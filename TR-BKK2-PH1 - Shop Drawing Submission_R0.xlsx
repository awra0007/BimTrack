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wut Wiangin\Downloads\"/>
    </mc:Choice>
  </mc:AlternateContent>
  <xr:revisionPtr revIDLastSave="720" documentId="13_ncr:1_{8656AB99-D240-4F79-A891-F92592AFA515}" xr6:coauthVersionLast="47" xr6:coauthVersionMax="47" xr10:uidLastSave="{92AB06E1-55A5-4864-8A51-FFF8971E06DD}"/>
  <bookViews>
    <workbookView xWindow="-108" yWindow="-108" windowWidth="23256" windowHeight="12456" firstSheet="2" activeTab="4" xr2:uid="{8607A3AA-6153-46AD-8D67-7BB4313CEAA9}"/>
  </bookViews>
  <sheets>
    <sheet name="Overview" sheetId="19" r:id="rId1"/>
    <sheet name="Summary" sheetId="34" r:id="rId2"/>
    <sheet name="AR" sheetId="1" r:id="rId3"/>
    <sheet name="ST" sheetId="8" r:id="rId4"/>
    <sheet name="EL" sheetId="22" r:id="rId5"/>
    <sheet name="ME" sheetId="23" r:id="rId6"/>
    <sheet name="HY" sheetId="25" r:id="rId7"/>
    <sheet name="FI" sheetId="24" r:id="rId8"/>
    <sheet name="CSD" sheetId="35" r:id="rId9"/>
    <sheet name="Internal Progress" sheetId="30" state="hidden" r:id="rId10"/>
    <sheet name="Priority " sheetId="37" r:id="rId11"/>
  </sheets>
  <externalReferences>
    <externalReference r:id="rId12"/>
  </externalReferences>
  <definedNames>
    <definedName name="_xlnm._FilterDatabase" localSheetId="8" hidden="1">CSD!$D$1:$AR$30</definedName>
    <definedName name="_xlnm._FilterDatabase" localSheetId="6" hidden="1">HY!$A$3:$AC$36</definedName>
    <definedName name="_xlnm._FilterDatabase" localSheetId="5" hidden="1">ME!$A$3:$AC$55</definedName>
    <definedName name="_xlnm._FilterDatabase" localSheetId="3" hidden="1">ST!$A$1:$AD$21</definedName>
    <definedName name="_xlnm._FilterDatabase" localSheetId="7" hidden="1">FI!$A$3:$AC$43</definedName>
    <definedName name="_xlnm._FilterDatabase" localSheetId="10" hidden="1">'Priority '!$A$2:$W$551</definedName>
    <definedName name="_xlnm._FilterDatabase" localSheetId="4" hidden="1">EL!$A$1:$AT$255</definedName>
    <definedName name="_xlnm._FilterDatabase" localSheetId="2" hidden="1">AR!$A$2:$CK$84</definedName>
    <definedName name="_xlnm.Print_Area" localSheetId="2">AR!$A$1:$AR$70</definedName>
    <definedName name="_xlnm.Print_Area" localSheetId="7">FI!$A$1:$AR$43</definedName>
    <definedName name="_xlnm.Print_Area" localSheetId="6">HY!$A$1:$AR$36</definedName>
    <definedName name="_xlnm.Print_Area" localSheetId="5">ME!$A$1:$AR$56</definedName>
    <definedName name="_xlnm.Print_Area" localSheetId="0">Overview!$A$1:$AJ$84</definedName>
    <definedName name="_xlnm.Print_Area" localSheetId="10">'Priority '!$A$1:$N$551</definedName>
    <definedName name="_xlnm.Print_Area" localSheetId="3">ST!$A$1:$AS$22</definedName>
    <definedName name="_xlnm.Print_Area" localSheetId="1">Summary!$A$1:$T$165</definedName>
    <definedName name="_xlnm.Print_Titles" localSheetId="2">AR!$1:$3</definedName>
    <definedName name="_xlnm.Print_Titles" localSheetId="4">EL!$1:$3</definedName>
    <definedName name="_xlnm.Print_Titles" localSheetId="7">FI!$1:$3</definedName>
    <definedName name="_xlnm.Print_Titles" localSheetId="6">HY!$1:$3</definedName>
    <definedName name="_xlnm.Print_Titles" localSheetId="5">ME!$1:$3</definedName>
    <definedName name="_xlnm.Print_Titles" localSheetId="10">'Priority '!$2:$2</definedName>
    <definedName name="_xlnm.Print_Titles" localSheetId="3">ST!$1:$3</definedName>
    <definedName name="_xlnm.Print_Titles" localSheetId="1">Summary!$1:$2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22" l="1"/>
  <c r="J157" i="22"/>
  <c r="J156" i="22"/>
  <c r="J155" i="22"/>
  <c r="J149" i="22"/>
  <c r="J262" i="22"/>
  <c r="K361" i="37"/>
  <c r="M361" i="37"/>
  <c r="K362" i="37"/>
  <c r="M362" i="37"/>
  <c r="K363" i="37"/>
  <c r="M363" i="37"/>
  <c r="K364" i="37"/>
  <c r="M364" i="37"/>
  <c r="J150" i="22"/>
  <c r="H17" i="24"/>
  <c r="H16" i="24"/>
  <c r="H15" i="24"/>
  <c r="J175" i="22"/>
  <c r="M348" i="37"/>
  <c r="O348" i="37"/>
  <c r="G348" i="37"/>
  <c r="K348" i="37"/>
  <c r="D348" i="37"/>
  <c r="E348" i="37"/>
  <c r="K338" i="37"/>
  <c r="K345" i="37"/>
  <c r="K342" i="37"/>
  <c r="K343" i="37"/>
  <c r="K344" i="37"/>
  <c r="K346" i="37"/>
  <c r="K347" i="37"/>
  <c r="D342" i="37"/>
  <c r="E342" i="37"/>
  <c r="G342" i="37"/>
  <c r="H342" i="37"/>
  <c r="I342" i="37"/>
  <c r="J342" i="37"/>
  <c r="M342" i="37"/>
  <c r="N342" i="37"/>
  <c r="O342" i="37"/>
  <c r="D343" i="37"/>
  <c r="E343" i="37"/>
  <c r="G343" i="37"/>
  <c r="H343" i="37"/>
  <c r="I343" i="37"/>
  <c r="J343" i="37"/>
  <c r="M343" i="37"/>
  <c r="O343" i="37"/>
  <c r="D344" i="37"/>
  <c r="E344" i="37"/>
  <c r="G344" i="37"/>
  <c r="H344" i="37"/>
  <c r="I344" i="37"/>
  <c r="J344" i="37"/>
  <c r="M344" i="37"/>
  <c r="O344" i="37"/>
  <c r="D345" i="37"/>
  <c r="E345" i="37"/>
  <c r="G345" i="37"/>
  <c r="H345" i="37"/>
  <c r="I345" i="37"/>
  <c r="J345" i="37"/>
  <c r="M345" i="37"/>
  <c r="O345" i="37"/>
  <c r="D346" i="37"/>
  <c r="E346" i="37"/>
  <c r="G346" i="37"/>
  <c r="H346" i="37"/>
  <c r="I346" i="37"/>
  <c r="J346" i="37"/>
  <c r="M346" i="37"/>
  <c r="N346" i="37"/>
  <c r="O346" i="37"/>
  <c r="D347" i="37"/>
  <c r="E347" i="37"/>
  <c r="G347" i="37"/>
  <c r="H347" i="37"/>
  <c r="I347" i="37"/>
  <c r="J347" i="37"/>
  <c r="M347" i="37"/>
  <c r="O347" i="37"/>
  <c r="J259" i="22"/>
  <c r="J258" i="22"/>
  <c r="F13" i="1"/>
  <c r="H25" i="35"/>
  <c r="H11" i="1"/>
  <c r="J188" i="22"/>
  <c r="J73" i="22"/>
  <c r="J51" i="22"/>
  <c r="H13" i="23"/>
  <c r="J209" i="22"/>
  <c r="J207" i="22"/>
  <c r="J46" i="22"/>
  <c r="J45" i="22"/>
  <c r="J44" i="22"/>
  <c r="J43" i="22"/>
  <c r="J261" i="22"/>
  <c r="J260" i="22"/>
  <c r="J257" i="22"/>
  <c r="J256" i="22"/>
  <c r="H22" i="1"/>
  <c r="K536" i="37"/>
  <c r="J255" i="22"/>
  <c r="J254" i="22"/>
  <c r="J253" i="22"/>
  <c r="J252" i="22"/>
  <c r="J42" i="22"/>
  <c r="J41" i="22"/>
  <c r="J210" i="22"/>
  <c r="J208" i="22"/>
  <c r="J205" i="22"/>
  <c r="J202" i="22"/>
  <c r="J216" i="22"/>
  <c r="M535" i="37"/>
  <c r="K535" i="37"/>
  <c r="H16" i="35"/>
  <c r="H14" i="1"/>
  <c r="P523" i="37" a="1"/>
  <c r="P523" i="37"/>
  <c r="D539" i="37"/>
  <c r="E539" i="37"/>
  <c r="G539" i="37"/>
  <c r="H539" i="37"/>
  <c r="I539" i="37"/>
  <c r="J539" i="37"/>
  <c r="K539" i="37"/>
  <c r="M539" i="37"/>
  <c r="L539" i="37" s="1" a="1"/>
  <c r="L539" i="37" s="1"/>
  <c r="N539" i="37"/>
  <c r="O539" i="37"/>
  <c r="D540" i="37"/>
  <c r="E540" i="37"/>
  <c r="G540" i="37"/>
  <c r="H540" i="37"/>
  <c r="I540" i="37"/>
  <c r="J540" i="37"/>
  <c r="K540" i="37"/>
  <c r="M540" i="37"/>
  <c r="L540" i="37" s="1" a="1"/>
  <c r="L540" i="37" s="1"/>
  <c r="N540" i="37"/>
  <c r="O540" i="37"/>
  <c r="D541" i="37"/>
  <c r="E541" i="37"/>
  <c r="G541" i="37"/>
  <c r="H541" i="37"/>
  <c r="I541" i="37"/>
  <c r="J541" i="37"/>
  <c r="K541" i="37"/>
  <c r="M541" i="37"/>
  <c r="L541" i="37" s="1" a="1"/>
  <c r="L541" i="37" s="1"/>
  <c r="N541" i="37"/>
  <c r="O541" i="37"/>
  <c r="D542" i="37"/>
  <c r="E542" i="37"/>
  <c r="G542" i="37"/>
  <c r="H542" i="37"/>
  <c r="I542" i="37"/>
  <c r="J542" i="37"/>
  <c r="K542" i="37"/>
  <c r="M542" i="37"/>
  <c r="L542" i="37" s="1" a="1"/>
  <c r="L542" i="37" s="1"/>
  <c r="N542" i="37"/>
  <c r="O542" i="37"/>
  <c r="D543" i="37"/>
  <c r="E543" i="37"/>
  <c r="G543" i="37"/>
  <c r="H543" i="37"/>
  <c r="I543" i="37"/>
  <c r="J543" i="37"/>
  <c r="K543" i="37"/>
  <c r="M543" i="37"/>
  <c r="L543" i="37" s="1" a="1"/>
  <c r="L543" i="37" s="1"/>
  <c r="N543" i="37"/>
  <c r="O543" i="37"/>
  <c r="D544" i="37"/>
  <c r="E544" i="37"/>
  <c r="G544" i="37"/>
  <c r="H544" i="37"/>
  <c r="I544" i="37"/>
  <c r="J544" i="37"/>
  <c r="K544" i="37"/>
  <c r="M544" i="37"/>
  <c r="L544" i="37" s="1" a="1"/>
  <c r="L544" i="37" s="1"/>
  <c r="N544" i="37"/>
  <c r="O544" i="37"/>
  <c r="D545" i="37"/>
  <c r="E545" i="37"/>
  <c r="G545" i="37"/>
  <c r="H545" i="37"/>
  <c r="I545" i="37"/>
  <c r="J545" i="37"/>
  <c r="K545" i="37"/>
  <c r="M545" i="37"/>
  <c r="L545" i="37" s="1" a="1"/>
  <c r="L545" i="37" s="1"/>
  <c r="N545" i="37"/>
  <c r="O545" i="37"/>
  <c r="D546" i="37"/>
  <c r="E546" i="37"/>
  <c r="G546" i="37"/>
  <c r="H546" i="37"/>
  <c r="I546" i="37"/>
  <c r="J546" i="37"/>
  <c r="K546" i="37"/>
  <c r="M546" i="37"/>
  <c r="L546" i="37" s="1" a="1"/>
  <c r="L546" i="37" s="1"/>
  <c r="N546" i="37"/>
  <c r="O546" i="37"/>
  <c r="D547" i="37"/>
  <c r="E547" i="37"/>
  <c r="G547" i="37"/>
  <c r="H547" i="37"/>
  <c r="I547" i="37"/>
  <c r="J547" i="37"/>
  <c r="K547" i="37"/>
  <c r="M547" i="37"/>
  <c r="L547" i="37" s="1" a="1"/>
  <c r="L547" i="37" s="1"/>
  <c r="N547" i="37"/>
  <c r="O547" i="37"/>
  <c r="D548" i="37"/>
  <c r="E548" i="37"/>
  <c r="G548" i="37"/>
  <c r="H548" i="37"/>
  <c r="I548" i="37"/>
  <c r="J548" i="37"/>
  <c r="K548" i="37"/>
  <c r="M548" i="37"/>
  <c r="L548" i="37" s="1" a="1"/>
  <c r="L548" i="37" s="1"/>
  <c r="N548" i="37"/>
  <c r="O548" i="37"/>
  <c r="P501" i="37" a="1"/>
  <c r="P501" i="37"/>
  <c r="P453" i="37" a="1"/>
  <c r="P453" i="37"/>
  <c r="P448" i="37" a="1"/>
  <c r="P448" i="37"/>
  <c r="D494" i="37"/>
  <c r="E494" i="37"/>
  <c r="G494" i="37"/>
  <c r="H494" i="37"/>
  <c r="I494" i="37"/>
  <c r="J494" i="37"/>
  <c r="K494" i="37"/>
  <c r="M494" i="37"/>
  <c r="L494" i="37" s="1" a="1"/>
  <c r="L494" i="37" s="1"/>
  <c r="N494" i="37"/>
  <c r="O494" i="37"/>
  <c r="D495" i="37"/>
  <c r="E495" i="37"/>
  <c r="G495" i="37"/>
  <c r="H495" i="37"/>
  <c r="I495" i="37"/>
  <c r="J495" i="37"/>
  <c r="K495" i="37"/>
  <c r="M495" i="37"/>
  <c r="L495" i="37" s="1" a="1"/>
  <c r="L495" i="37" s="1"/>
  <c r="N495" i="37"/>
  <c r="O495" i="37"/>
  <c r="D496" i="37"/>
  <c r="E496" i="37"/>
  <c r="G496" i="37"/>
  <c r="H496" i="37"/>
  <c r="I496" i="37"/>
  <c r="J496" i="37"/>
  <c r="K496" i="37"/>
  <c r="M496" i="37"/>
  <c r="L496" i="37" s="1" a="1"/>
  <c r="L496" i="37" s="1"/>
  <c r="N496" i="37"/>
  <c r="O496" i="37"/>
  <c r="D497" i="37"/>
  <c r="E497" i="37"/>
  <c r="G497" i="37"/>
  <c r="H497" i="37"/>
  <c r="I497" i="37"/>
  <c r="J497" i="37"/>
  <c r="K497" i="37"/>
  <c r="M497" i="37"/>
  <c r="L497" i="37" s="1" a="1"/>
  <c r="L497" i="37" s="1"/>
  <c r="N497" i="37"/>
  <c r="O497" i="37"/>
  <c r="D498" i="37"/>
  <c r="E498" i="37"/>
  <c r="G498" i="37"/>
  <c r="H498" i="37"/>
  <c r="I498" i="37"/>
  <c r="J498" i="37"/>
  <c r="K498" i="37"/>
  <c r="M498" i="37"/>
  <c r="L498" i="37" s="1" a="1"/>
  <c r="L498" i="37" s="1"/>
  <c r="N498" i="37"/>
  <c r="O498" i="37"/>
  <c r="P408" i="37" a="1"/>
  <c r="P408" i="37"/>
  <c r="P351" i="37" a="1"/>
  <c r="P351" i="37"/>
  <c r="P118" i="37" a="1"/>
  <c r="P118" i="37"/>
  <c r="P114" i="37"/>
  <c r="P91" i="37" a="1"/>
  <c r="P91" i="37"/>
  <c r="P5" i="37" a="1"/>
  <c r="P5" i="37"/>
  <c r="D10" i="37"/>
  <c r="H39" i="1"/>
  <c r="H28" i="1"/>
  <c r="D270" i="37"/>
  <c r="D271" i="37"/>
  <c r="D272" i="37"/>
  <c r="D273" i="37"/>
  <c r="D274" i="37"/>
  <c r="D275" i="37"/>
  <c r="D276" i="37"/>
  <c r="D277" i="37"/>
  <c r="D278" i="37"/>
  <c r="D279" i="37"/>
  <c r="D280" i="37"/>
  <c r="D281" i="37"/>
  <c r="D282" i="37"/>
  <c r="D283" i="37"/>
  <c r="D284" i="37"/>
  <c r="D285" i="37"/>
  <c r="D286" i="37"/>
  <c r="D287" i="37"/>
  <c r="D288" i="37"/>
  <c r="D289" i="37"/>
  <c r="D290" i="37"/>
  <c r="D291" i="37"/>
  <c r="D292" i="37"/>
  <c r="D293" i="37"/>
  <c r="D294" i="37"/>
  <c r="D295" i="37"/>
  <c r="D296" i="37"/>
  <c r="D297" i="37"/>
  <c r="D298" i="37"/>
  <c r="D299" i="37"/>
  <c r="D300" i="37"/>
  <c r="D301" i="37"/>
  <c r="D302" i="37"/>
  <c r="D303" i="37"/>
  <c r="D304" i="37"/>
  <c r="D305" i="37"/>
  <c r="D306" i="37"/>
  <c r="D307" i="37"/>
  <c r="D308" i="37"/>
  <c r="D309" i="37"/>
  <c r="D310" i="37"/>
  <c r="D311" i="37"/>
  <c r="D312" i="37"/>
  <c r="D313" i="37"/>
  <c r="D314" i="37"/>
  <c r="D315" i="37"/>
  <c r="D316" i="37"/>
  <c r="D317" i="37"/>
  <c r="D318" i="37"/>
  <c r="D319" i="37"/>
  <c r="D320" i="37"/>
  <c r="D321" i="37"/>
  <c r="D322" i="37"/>
  <c r="D323" i="37"/>
  <c r="D324" i="37"/>
  <c r="D325" i="37"/>
  <c r="D326" i="37"/>
  <c r="D327" i="37"/>
  <c r="D328" i="37"/>
  <c r="D329" i="37"/>
  <c r="D330" i="37"/>
  <c r="D331" i="37"/>
  <c r="D332" i="37"/>
  <c r="D333" i="37"/>
  <c r="D334" i="37"/>
  <c r="D335" i="37"/>
  <c r="D336" i="37"/>
  <c r="D337" i="37"/>
  <c r="D338" i="37"/>
  <c r="D339" i="37"/>
  <c r="D340" i="37"/>
  <c r="D341" i="37"/>
  <c r="D269" i="37"/>
  <c r="D171" i="37"/>
  <c r="D172" i="37"/>
  <c r="D173" i="37"/>
  <c r="D174" i="37"/>
  <c r="D175" i="37"/>
  <c r="D176" i="37"/>
  <c r="D177" i="37"/>
  <c r="D178" i="37"/>
  <c r="D179" i="37"/>
  <c r="D180" i="37"/>
  <c r="D181" i="37"/>
  <c r="D182" i="37"/>
  <c r="D183" i="37"/>
  <c r="D184" i="37"/>
  <c r="D185" i="37"/>
  <c r="D186" i="37"/>
  <c r="D187" i="37"/>
  <c r="D188" i="37"/>
  <c r="D189" i="37"/>
  <c r="D190" i="37"/>
  <c r="D191" i="37"/>
  <c r="D192" i="37"/>
  <c r="D193" i="37"/>
  <c r="D194" i="37"/>
  <c r="D195" i="37"/>
  <c r="D196" i="37"/>
  <c r="D197" i="37"/>
  <c r="D198" i="37"/>
  <c r="D199" i="37"/>
  <c r="D200" i="37"/>
  <c r="D201" i="37"/>
  <c r="D202" i="37"/>
  <c r="D203" i="37"/>
  <c r="D204" i="37"/>
  <c r="D205" i="37"/>
  <c r="D206" i="37"/>
  <c r="D207" i="37"/>
  <c r="D208" i="37"/>
  <c r="D209" i="37"/>
  <c r="D210" i="37"/>
  <c r="D211" i="37"/>
  <c r="D212" i="37"/>
  <c r="D213" i="37"/>
  <c r="D214" i="37"/>
  <c r="D215" i="37"/>
  <c r="D216" i="37"/>
  <c r="D217" i="37"/>
  <c r="D218" i="37"/>
  <c r="D219" i="37"/>
  <c r="D220" i="37"/>
  <c r="D221" i="37"/>
  <c r="D222" i="37"/>
  <c r="D223" i="37"/>
  <c r="D224" i="37"/>
  <c r="D225" i="37"/>
  <c r="D226" i="37"/>
  <c r="D227" i="37"/>
  <c r="D228" i="37"/>
  <c r="D229" i="37"/>
  <c r="D230" i="37"/>
  <c r="D231" i="37"/>
  <c r="D232" i="37"/>
  <c r="D233" i="37"/>
  <c r="D234" i="37"/>
  <c r="D235" i="37"/>
  <c r="D236" i="37"/>
  <c r="D237" i="37"/>
  <c r="D238" i="37"/>
  <c r="D239" i="37"/>
  <c r="D240" i="37"/>
  <c r="D241" i="37"/>
  <c r="D242" i="37"/>
  <c r="D243" i="37"/>
  <c r="D244" i="37"/>
  <c r="D245" i="37"/>
  <c r="D246" i="37"/>
  <c r="D247" i="37"/>
  <c r="D248" i="37"/>
  <c r="D249" i="37"/>
  <c r="D250" i="37"/>
  <c r="D251" i="37"/>
  <c r="D252" i="37"/>
  <c r="D253" i="37"/>
  <c r="D254" i="37"/>
  <c r="D255" i="37"/>
  <c r="D256" i="37"/>
  <c r="D257" i="37"/>
  <c r="D258" i="37"/>
  <c r="D259" i="37"/>
  <c r="D260" i="37"/>
  <c r="D261" i="37"/>
  <c r="D262" i="37"/>
  <c r="D263" i="37"/>
  <c r="D264" i="37"/>
  <c r="D265" i="37"/>
  <c r="D266" i="37"/>
  <c r="D267" i="37"/>
  <c r="D268" i="37"/>
  <c r="D170" i="37"/>
  <c r="D169" i="37"/>
  <c r="G93" i="37"/>
  <c r="G94" i="37"/>
  <c r="G95" i="37"/>
  <c r="G96" i="37"/>
  <c r="G97" i="37"/>
  <c r="G98" i="37"/>
  <c r="G99" i="37"/>
  <c r="G100" i="37"/>
  <c r="G101" i="37"/>
  <c r="G102" i="37"/>
  <c r="G103" i="37"/>
  <c r="G104" i="37"/>
  <c r="G105" i="37"/>
  <c r="G106" i="37"/>
  <c r="G107" i="37"/>
  <c r="G108" i="37"/>
  <c r="G109" i="37"/>
  <c r="G110" i="37"/>
  <c r="G111" i="37"/>
  <c r="G112" i="37"/>
  <c r="G113" i="37"/>
  <c r="G114" i="37"/>
  <c r="G115" i="37"/>
  <c r="G116" i="37"/>
  <c r="G117" i="37"/>
  <c r="G118" i="37"/>
  <c r="G119" i="37"/>
  <c r="G120" i="37"/>
  <c r="G121" i="37"/>
  <c r="G122" i="37"/>
  <c r="G123" i="37"/>
  <c r="G124" i="37"/>
  <c r="G125" i="37"/>
  <c r="G126" i="37"/>
  <c r="G127" i="37"/>
  <c r="G128" i="37"/>
  <c r="G129" i="37"/>
  <c r="G130" i="37"/>
  <c r="G131" i="37"/>
  <c r="G132" i="37"/>
  <c r="G133" i="37"/>
  <c r="G134" i="37"/>
  <c r="G135" i="37"/>
  <c r="G136" i="37"/>
  <c r="G137" i="37"/>
  <c r="G138" i="37"/>
  <c r="G139" i="37"/>
  <c r="G140" i="37"/>
  <c r="G141" i="37"/>
  <c r="G142" i="37"/>
  <c r="G143" i="37"/>
  <c r="G144" i="37"/>
  <c r="G145" i="37"/>
  <c r="G146" i="37"/>
  <c r="G147" i="37"/>
  <c r="G148" i="37"/>
  <c r="G149" i="37"/>
  <c r="G150" i="37"/>
  <c r="G151" i="37"/>
  <c r="G152" i="37"/>
  <c r="G153" i="37"/>
  <c r="G154" i="37"/>
  <c r="G155" i="37"/>
  <c r="G156" i="37"/>
  <c r="G157" i="37"/>
  <c r="G158" i="37"/>
  <c r="G159" i="37"/>
  <c r="G160" i="37"/>
  <c r="G161" i="37"/>
  <c r="G162" i="37"/>
  <c r="G163" i="37"/>
  <c r="G164" i="37"/>
  <c r="G165" i="37"/>
  <c r="G166" i="37"/>
  <c r="G167" i="37"/>
  <c r="G168" i="37"/>
  <c r="G169" i="37"/>
  <c r="G170" i="37"/>
  <c r="G171" i="37"/>
  <c r="G172" i="37"/>
  <c r="G173" i="37"/>
  <c r="G174" i="37"/>
  <c r="G175" i="37"/>
  <c r="G176" i="37"/>
  <c r="G177" i="37"/>
  <c r="G178" i="37"/>
  <c r="G179" i="37"/>
  <c r="G180" i="37"/>
  <c r="G181" i="37"/>
  <c r="G182" i="37"/>
  <c r="G183" i="37"/>
  <c r="G184" i="37"/>
  <c r="G185" i="37"/>
  <c r="G186" i="37"/>
  <c r="G187" i="37"/>
  <c r="G188" i="37"/>
  <c r="G189" i="37"/>
  <c r="G190" i="37"/>
  <c r="G191" i="37"/>
  <c r="G192" i="37"/>
  <c r="G193" i="37"/>
  <c r="G194" i="37"/>
  <c r="G195" i="37"/>
  <c r="G196" i="37"/>
  <c r="G197" i="37"/>
  <c r="G198" i="37"/>
  <c r="G199" i="37"/>
  <c r="G200" i="37"/>
  <c r="G201" i="37"/>
  <c r="G202" i="37"/>
  <c r="G203" i="37"/>
  <c r="G204" i="37"/>
  <c r="G205" i="37"/>
  <c r="G206" i="37"/>
  <c r="G207" i="37"/>
  <c r="G208" i="37"/>
  <c r="G209" i="37"/>
  <c r="G210" i="37"/>
  <c r="G211" i="37"/>
  <c r="G212" i="37"/>
  <c r="G213" i="37"/>
  <c r="G214" i="37"/>
  <c r="G215" i="37"/>
  <c r="G216" i="37"/>
  <c r="G217" i="37"/>
  <c r="G218" i="37"/>
  <c r="G219" i="37"/>
  <c r="G220" i="37"/>
  <c r="G221" i="37"/>
  <c r="G222" i="37"/>
  <c r="G223" i="37"/>
  <c r="G224" i="37"/>
  <c r="G225" i="37"/>
  <c r="G226" i="37"/>
  <c r="G227" i="37"/>
  <c r="G228" i="37"/>
  <c r="G229" i="37"/>
  <c r="G230" i="37"/>
  <c r="G231" i="37"/>
  <c r="G232" i="37"/>
  <c r="G233" i="37"/>
  <c r="G234" i="37"/>
  <c r="G235" i="37"/>
  <c r="G236" i="37"/>
  <c r="G237" i="37"/>
  <c r="G238" i="37"/>
  <c r="G239" i="37"/>
  <c r="G240" i="37"/>
  <c r="G241" i="37"/>
  <c r="G242" i="37"/>
  <c r="G243" i="37"/>
  <c r="G244" i="37"/>
  <c r="G245" i="37"/>
  <c r="G246" i="37"/>
  <c r="G247" i="37"/>
  <c r="G248" i="37"/>
  <c r="G249" i="37"/>
  <c r="G250" i="37"/>
  <c r="G251" i="37"/>
  <c r="G252" i="37"/>
  <c r="G253" i="37"/>
  <c r="G254" i="37"/>
  <c r="G255" i="37"/>
  <c r="G256" i="37"/>
  <c r="G257" i="37"/>
  <c r="G258" i="37"/>
  <c r="G259" i="37"/>
  <c r="G260" i="37"/>
  <c r="G261" i="37"/>
  <c r="G262" i="37"/>
  <c r="G263" i="37"/>
  <c r="G264" i="37"/>
  <c r="G265" i="37"/>
  <c r="G266" i="37"/>
  <c r="G267" i="37"/>
  <c r="G268" i="37"/>
  <c r="G269" i="37"/>
  <c r="G270" i="37"/>
  <c r="G271" i="37"/>
  <c r="G272" i="37"/>
  <c r="G273" i="37"/>
  <c r="G274" i="37"/>
  <c r="G275" i="37"/>
  <c r="G276" i="37"/>
  <c r="G277" i="37"/>
  <c r="G278" i="37"/>
  <c r="G279" i="37"/>
  <c r="G280" i="37"/>
  <c r="G281" i="37"/>
  <c r="G282" i="37"/>
  <c r="G283" i="37"/>
  <c r="G284" i="37"/>
  <c r="G285" i="37"/>
  <c r="G286" i="37"/>
  <c r="G287" i="37"/>
  <c r="G288" i="37"/>
  <c r="G289" i="37"/>
  <c r="G290" i="37"/>
  <c r="G291" i="37"/>
  <c r="G292" i="37"/>
  <c r="G293" i="37"/>
  <c r="G294" i="37"/>
  <c r="G295" i="37"/>
  <c r="G296" i="37"/>
  <c r="G297" i="37"/>
  <c r="G298" i="37"/>
  <c r="G299" i="37"/>
  <c r="G300" i="37"/>
  <c r="G301" i="37"/>
  <c r="G302" i="37"/>
  <c r="G303" i="37"/>
  <c r="G304" i="37"/>
  <c r="G305" i="37"/>
  <c r="G306" i="37"/>
  <c r="G307" i="37"/>
  <c r="G308" i="37"/>
  <c r="G309" i="37"/>
  <c r="G310" i="37"/>
  <c r="G311" i="37"/>
  <c r="G312" i="37"/>
  <c r="G313" i="37"/>
  <c r="G314" i="37"/>
  <c r="G315" i="37"/>
  <c r="G316" i="37"/>
  <c r="G317" i="37"/>
  <c r="G318" i="37"/>
  <c r="G319" i="37"/>
  <c r="G320" i="37"/>
  <c r="G321" i="37"/>
  <c r="G322" i="37"/>
  <c r="G323" i="37"/>
  <c r="G324" i="37"/>
  <c r="G325" i="37"/>
  <c r="G326" i="37"/>
  <c r="G327" i="37"/>
  <c r="G328" i="37"/>
  <c r="G329" i="37"/>
  <c r="G330" i="37"/>
  <c r="G331" i="37"/>
  <c r="G332" i="37"/>
  <c r="G333" i="37"/>
  <c r="G334" i="37"/>
  <c r="G335" i="37"/>
  <c r="G336" i="37"/>
  <c r="G337" i="37"/>
  <c r="G338" i="37"/>
  <c r="G339" i="37"/>
  <c r="G340" i="37"/>
  <c r="G341" i="37"/>
  <c r="G91" i="37"/>
  <c r="G92" i="37"/>
  <c r="H15" i="1"/>
  <c r="J249" i="22"/>
  <c r="J250" i="22"/>
  <c r="J251" i="22"/>
  <c r="O524" i="37"/>
  <c r="O525" i="37"/>
  <c r="O526" i="37"/>
  <c r="O527" i="37"/>
  <c r="O528" i="37"/>
  <c r="O529" i="37"/>
  <c r="O530" i="37"/>
  <c r="O531" i="37"/>
  <c r="O532" i="37"/>
  <c r="O533" i="37"/>
  <c r="O534" i="37"/>
  <c r="O535" i="37"/>
  <c r="O536" i="37"/>
  <c r="O537" i="37"/>
  <c r="O538" i="37"/>
  <c r="O523" i="37"/>
  <c r="O502" i="37"/>
  <c r="O503" i="37"/>
  <c r="O504" i="37"/>
  <c r="O505" i="37"/>
  <c r="O506" i="37"/>
  <c r="O507" i="37"/>
  <c r="O508" i="37"/>
  <c r="O509" i="37"/>
  <c r="O510" i="37"/>
  <c r="O511" i="37"/>
  <c r="O512" i="37"/>
  <c r="O513" i="37"/>
  <c r="O514" i="37"/>
  <c r="O515" i="37"/>
  <c r="O516" i="37"/>
  <c r="O517" i="37"/>
  <c r="O518" i="37"/>
  <c r="O519" i="37"/>
  <c r="O501" i="37"/>
  <c r="O449" i="37"/>
  <c r="O450" i="37"/>
  <c r="O451" i="37"/>
  <c r="O452" i="37"/>
  <c r="O453" i="37"/>
  <c r="O454" i="37"/>
  <c r="O455" i="37"/>
  <c r="O456" i="37"/>
  <c r="O457" i="37"/>
  <c r="O458" i="37"/>
  <c r="O459" i="37"/>
  <c r="O460" i="37"/>
  <c r="O461" i="37"/>
  <c r="O462" i="37"/>
  <c r="O463" i="37"/>
  <c r="O464" i="37"/>
  <c r="O465" i="37"/>
  <c r="O466" i="37"/>
  <c r="O467" i="37"/>
  <c r="O468" i="37"/>
  <c r="O469" i="37"/>
  <c r="O470" i="37"/>
  <c r="O471" i="37"/>
  <c r="O472" i="37"/>
  <c r="O473" i="37"/>
  <c r="O474" i="37"/>
  <c r="O475" i="37"/>
  <c r="O476" i="37"/>
  <c r="O477" i="37"/>
  <c r="O478" i="37"/>
  <c r="O479" i="37"/>
  <c r="O480" i="37"/>
  <c r="O481" i="37"/>
  <c r="O482" i="37"/>
  <c r="O483" i="37"/>
  <c r="O484" i="37"/>
  <c r="O485" i="37"/>
  <c r="O486" i="37"/>
  <c r="O487" i="37"/>
  <c r="O488" i="37"/>
  <c r="O489" i="37"/>
  <c r="O490" i="37"/>
  <c r="O491" i="37"/>
  <c r="O492" i="37"/>
  <c r="O493" i="37"/>
  <c r="O448" i="37"/>
  <c r="O409" i="37"/>
  <c r="O410" i="37"/>
  <c r="O411" i="37"/>
  <c r="O412" i="37"/>
  <c r="O413" i="37"/>
  <c r="O414" i="37"/>
  <c r="O415" i="37"/>
  <c r="O416" i="37"/>
  <c r="O417" i="37"/>
  <c r="O418" i="37"/>
  <c r="O419" i="37"/>
  <c r="O420" i="37"/>
  <c r="O421" i="37"/>
  <c r="O422" i="37"/>
  <c r="O423" i="37"/>
  <c r="O424" i="37"/>
  <c r="O425" i="37"/>
  <c r="O426" i="37"/>
  <c r="O427" i="37"/>
  <c r="O428" i="37"/>
  <c r="O429" i="37"/>
  <c r="O430" i="37"/>
  <c r="O431" i="37"/>
  <c r="O432" i="37"/>
  <c r="O433" i="37"/>
  <c r="O434" i="37"/>
  <c r="O435" i="37"/>
  <c r="O436" i="37"/>
  <c r="O437" i="37"/>
  <c r="O438" i="37"/>
  <c r="O439" i="37"/>
  <c r="O440" i="37"/>
  <c r="O441" i="37"/>
  <c r="O442" i="37"/>
  <c r="O443" i="37"/>
  <c r="O408" i="37"/>
  <c r="O352" i="37"/>
  <c r="O353" i="37"/>
  <c r="O354" i="37"/>
  <c r="O355" i="37"/>
  <c r="O356" i="37"/>
  <c r="O357" i="37"/>
  <c r="O358" i="37"/>
  <c r="O359" i="37"/>
  <c r="O360" i="37"/>
  <c r="O361" i="37"/>
  <c r="O362" i="37"/>
  <c r="O363" i="37"/>
  <c r="O364" i="37"/>
  <c r="O365" i="37"/>
  <c r="O366" i="37"/>
  <c r="O367" i="37"/>
  <c r="O368" i="37"/>
  <c r="O369" i="37"/>
  <c r="O370" i="37"/>
  <c r="O371" i="37"/>
  <c r="O372" i="37"/>
  <c r="O373" i="37"/>
  <c r="O374" i="37"/>
  <c r="O375" i="37"/>
  <c r="O376" i="37"/>
  <c r="O377" i="37"/>
  <c r="O378" i="37"/>
  <c r="O379" i="37"/>
  <c r="O380" i="37"/>
  <c r="O381" i="37"/>
  <c r="O382" i="37"/>
  <c r="O383" i="37"/>
  <c r="O384" i="37"/>
  <c r="O385" i="37"/>
  <c r="O386" i="37"/>
  <c r="O387" i="37"/>
  <c r="O388" i="37"/>
  <c r="O389" i="37"/>
  <c r="O390" i="37"/>
  <c r="O391" i="37"/>
  <c r="O392" i="37"/>
  <c r="O393" i="37"/>
  <c r="O394" i="37"/>
  <c r="O395" i="37"/>
  <c r="O396" i="37"/>
  <c r="O397" i="37"/>
  <c r="O398" i="37"/>
  <c r="O399" i="37"/>
  <c r="O400" i="37"/>
  <c r="O401" i="37"/>
  <c r="O402" i="37"/>
  <c r="O403" i="37"/>
  <c r="O404" i="37"/>
  <c r="O405" i="37"/>
  <c r="O35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332" i="37"/>
  <c r="O333" i="37"/>
  <c r="O334" i="37"/>
  <c r="O335" i="37"/>
  <c r="O336" i="37"/>
  <c r="O337" i="37"/>
  <c r="O338" i="37"/>
  <c r="O339" i="37"/>
  <c r="O340" i="37"/>
  <c r="O341" i="37"/>
  <c r="O91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5" i="37"/>
  <c r="H13" i="35"/>
  <c r="H12" i="35"/>
  <c r="H23" i="1"/>
  <c r="H12" i="1"/>
  <c r="M417" i="37"/>
  <c r="M418" i="37"/>
  <c r="M419" i="37"/>
  <c r="M420" i="37"/>
  <c r="M421" i="37"/>
  <c r="M422" i="37"/>
  <c r="M423" i="37"/>
  <c r="M424" i="37"/>
  <c r="M425" i="37"/>
  <c r="M426" i="37"/>
  <c r="M427" i="37"/>
  <c r="M428" i="37"/>
  <c r="M429" i="37"/>
  <c r="M430" i="37"/>
  <c r="M431" i="37"/>
  <c r="M432" i="37"/>
  <c r="M433" i="37"/>
  <c r="M434" i="37"/>
  <c r="M435" i="37"/>
  <c r="M436" i="37"/>
  <c r="M437" i="37"/>
  <c r="M438" i="37"/>
  <c r="M439" i="37"/>
  <c r="M440" i="37"/>
  <c r="M441" i="37"/>
  <c r="M442" i="37"/>
  <c r="M443" i="37"/>
  <c r="M444" i="37"/>
  <c r="N444" i="37" s="1"/>
  <c r="M445" i="37"/>
  <c r="N445" i="37" s="1"/>
  <c r="L444" i="37" a="1"/>
  <c r="L444" i="37" s="1"/>
  <c r="L445" i="37" a="1"/>
  <c r="L445" i="37" s="1"/>
  <c r="K417" i="37"/>
  <c r="K418" i="37"/>
  <c r="K419" i="37"/>
  <c r="K420" i="37"/>
  <c r="K421" i="37"/>
  <c r="K422" i="37"/>
  <c r="K423" i="37"/>
  <c r="K424" i="37"/>
  <c r="K425" i="37"/>
  <c r="K426" i="37"/>
  <c r="K427" i="37"/>
  <c r="K428" i="37"/>
  <c r="K429" i="37"/>
  <c r="K430" i="37"/>
  <c r="K431" i="37"/>
  <c r="K432" i="37"/>
  <c r="K433" i="37"/>
  <c r="K434" i="37"/>
  <c r="K435" i="37"/>
  <c r="K436" i="37"/>
  <c r="K437" i="37"/>
  <c r="K438" i="37"/>
  <c r="K439" i="37"/>
  <c r="K440" i="37"/>
  <c r="K441" i="37"/>
  <c r="K442" i="37"/>
  <c r="K443" i="37"/>
  <c r="H35" i="25"/>
  <c r="H34" i="25"/>
  <c r="H33" i="25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K141" i="37"/>
  <c r="K142" i="37"/>
  <c r="K143" i="37"/>
  <c r="K144" i="37"/>
  <c r="K145" i="37"/>
  <c r="K146" i="37"/>
  <c r="K147" i="37"/>
  <c r="K148" i="37"/>
  <c r="K149" i="37"/>
  <c r="K150" i="37"/>
  <c r="K151" i="37"/>
  <c r="K152" i="37"/>
  <c r="K153" i="37"/>
  <c r="K154" i="37"/>
  <c r="K155" i="37"/>
  <c r="K156" i="37"/>
  <c r="K157" i="37"/>
  <c r="K158" i="37"/>
  <c r="K159" i="37"/>
  <c r="K160" i="37"/>
  <c r="K161" i="37"/>
  <c r="K162" i="37"/>
  <c r="K163" i="37"/>
  <c r="K164" i="37"/>
  <c r="K165" i="37"/>
  <c r="K166" i="37"/>
  <c r="K167" i="37"/>
  <c r="K168" i="37"/>
  <c r="K169" i="37"/>
  <c r="K170" i="37"/>
  <c r="K171" i="37"/>
  <c r="K172" i="37"/>
  <c r="K173" i="37"/>
  <c r="K174" i="37"/>
  <c r="K175" i="37"/>
  <c r="K176" i="37"/>
  <c r="K177" i="37"/>
  <c r="K178" i="37"/>
  <c r="K179" i="37"/>
  <c r="K180" i="37"/>
  <c r="K181" i="37"/>
  <c r="K182" i="37"/>
  <c r="K183" i="37"/>
  <c r="K184" i="37"/>
  <c r="K185" i="37"/>
  <c r="K186" i="37"/>
  <c r="K187" i="37"/>
  <c r="K188" i="37"/>
  <c r="K189" i="37"/>
  <c r="K190" i="37"/>
  <c r="K191" i="37"/>
  <c r="K192" i="37"/>
  <c r="K193" i="37"/>
  <c r="K194" i="37"/>
  <c r="K195" i="37"/>
  <c r="K196" i="37"/>
  <c r="K197" i="37"/>
  <c r="K198" i="37"/>
  <c r="K199" i="37"/>
  <c r="K200" i="37"/>
  <c r="K201" i="37"/>
  <c r="K202" i="37"/>
  <c r="K203" i="37"/>
  <c r="K204" i="37"/>
  <c r="K205" i="37"/>
  <c r="K206" i="37"/>
  <c r="K207" i="37"/>
  <c r="K208" i="37"/>
  <c r="K209" i="37"/>
  <c r="K210" i="37"/>
  <c r="K211" i="37"/>
  <c r="K212" i="37"/>
  <c r="K213" i="37"/>
  <c r="K214" i="37"/>
  <c r="K215" i="37"/>
  <c r="K216" i="37"/>
  <c r="K217" i="37"/>
  <c r="K218" i="37"/>
  <c r="K219" i="37"/>
  <c r="K220" i="37"/>
  <c r="K221" i="37"/>
  <c r="K222" i="37"/>
  <c r="K223" i="37"/>
  <c r="K224" i="37"/>
  <c r="K225" i="37"/>
  <c r="K226" i="37"/>
  <c r="K227" i="37"/>
  <c r="K228" i="37"/>
  <c r="K229" i="37"/>
  <c r="K230" i="37"/>
  <c r="K231" i="37"/>
  <c r="K232" i="37"/>
  <c r="K233" i="37"/>
  <c r="K234" i="37"/>
  <c r="K235" i="37"/>
  <c r="K236" i="37"/>
  <c r="K237" i="37"/>
  <c r="K238" i="37"/>
  <c r="K239" i="37"/>
  <c r="K240" i="37"/>
  <c r="K241" i="37"/>
  <c r="K242" i="37"/>
  <c r="K243" i="37"/>
  <c r="K244" i="37"/>
  <c r="K245" i="37"/>
  <c r="K246" i="37"/>
  <c r="K247" i="37"/>
  <c r="K248" i="37"/>
  <c r="K249" i="37"/>
  <c r="K250" i="37"/>
  <c r="K251" i="37"/>
  <c r="K252" i="37"/>
  <c r="K253" i="37"/>
  <c r="K254" i="37"/>
  <c r="K255" i="37"/>
  <c r="K256" i="37"/>
  <c r="K257" i="37"/>
  <c r="K258" i="37"/>
  <c r="K259" i="37"/>
  <c r="K260" i="37"/>
  <c r="K261" i="37"/>
  <c r="K262" i="37"/>
  <c r="K263" i="37"/>
  <c r="K264" i="37"/>
  <c r="K265" i="37"/>
  <c r="K266" i="37"/>
  <c r="K267" i="37"/>
  <c r="K268" i="37"/>
  <c r="K269" i="37"/>
  <c r="K270" i="37"/>
  <c r="K271" i="37"/>
  <c r="K272" i="37"/>
  <c r="K273" i="37"/>
  <c r="K274" i="37"/>
  <c r="K275" i="37"/>
  <c r="K276" i="37"/>
  <c r="K277" i="37"/>
  <c r="K278" i="37"/>
  <c r="K279" i="37"/>
  <c r="K280" i="37"/>
  <c r="K281" i="37"/>
  <c r="K282" i="37"/>
  <c r="K283" i="37"/>
  <c r="K284" i="37"/>
  <c r="K285" i="37"/>
  <c r="K286" i="37"/>
  <c r="K287" i="37"/>
  <c r="K288" i="37"/>
  <c r="K289" i="37"/>
  <c r="K290" i="37"/>
  <c r="K291" i="37"/>
  <c r="K292" i="37"/>
  <c r="K293" i="37"/>
  <c r="K294" i="37"/>
  <c r="K295" i="37"/>
  <c r="K296" i="37"/>
  <c r="K297" i="37"/>
  <c r="K298" i="37"/>
  <c r="K299" i="37"/>
  <c r="K300" i="37"/>
  <c r="K301" i="37"/>
  <c r="K302" i="37"/>
  <c r="K303" i="37"/>
  <c r="K304" i="37"/>
  <c r="K305" i="37"/>
  <c r="K306" i="37"/>
  <c r="K307" i="37"/>
  <c r="K308" i="37"/>
  <c r="K309" i="37"/>
  <c r="K310" i="37"/>
  <c r="K311" i="37"/>
  <c r="K312" i="37"/>
  <c r="K313" i="37"/>
  <c r="K314" i="37"/>
  <c r="K315" i="37"/>
  <c r="K316" i="37"/>
  <c r="K317" i="37"/>
  <c r="K318" i="37"/>
  <c r="K319" i="37"/>
  <c r="K320" i="37"/>
  <c r="K321" i="37"/>
  <c r="K322" i="37"/>
  <c r="K323" i="37"/>
  <c r="K324" i="37"/>
  <c r="K325" i="37"/>
  <c r="K326" i="37"/>
  <c r="K327" i="37"/>
  <c r="K328" i="37"/>
  <c r="K329" i="37"/>
  <c r="K330" i="37"/>
  <c r="K331" i="37"/>
  <c r="K332" i="37"/>
  <c r="K333" i="37"/>
  <c r="K334" i="37"/>
  <c r="G408" i="37"/>
  <c r="E408" i="37"/>
  <c r="D408" i="37"/>
  <c r="H17" i="35"/>
  <c r="N128" i="19" a="1"/>
  <c r="N128" i="19"/>
  <c r="M128" i="19" a="1"/>
  <c r="M128" i="19"/>
  <c r="L128" i="19" a="1"/>
  <c r="L128" i="19"/>
  <c r="K128" i="19" a="1"/>
  <c r="K128" i="19"/>
  <c r="J128" i="19" a="1"/>
  <c r="J128" i="19"/>
  <c r="I128" i="19" a="1"/>
  <c r="I128" i="19"/>
  <c r="H128" i="19" a="1"/>
  <c r="H128" i="19"/>
  <c r="G128" i="19" a="1"/>
  <c r="G128" i="19"/>
  <c r="F128" i="19" a="1"/>
  <c r="F128" i="19"/>
  <c r="E128" i="19" a="1"/>
  <c r="E128" i="19"/>
  <c r="M127" i="19" a="1"/>
  <c r="M127" i="19"/>
  <c r="K127" i="19" a="1"/>
  <c r="K127" i="19"/>
  <c r="I127" i="19" a="1"/>
  <c r="I127" i="19"/>
  <c r="H127" i="19" a="1"/>
  <c r="H127" i="19"/>
  <c r="G127" i="19" a="1"/>
  <c r="G127" i="19"/>
  <c r="F127" i="19" a="1"/>
  <c r="F127" i="19"/>
  <c r="E127" i="19" a="1"/>
  <c r="E127" i="19"/>
  <c r="N126" i="19" a="1"/>
  <c r="N126" i="19"/>
  <c r="M126" i="19" a="1"/>
  <c r="M126" i="19"/>
  <c r="L126" i="19" a="1"/>
  <c r="L126" i="19"/>
  <c r="K126" i="19" a="1"/>
  <c r="K126" i="19"/>
  <c r="J126" i="19" a="1"/>
  <c r="J126" i="19"/>
  <c r="I126" i="19" a="1"/>
  <c r="I126" i="19"/>
  <c r="H126" i="19" a="1"/>
  <c r="H126" i="19"/>
  <c r="G126" i="19" a="1"/>
  <c r="G126" i="19"/>
  <c r="F126" i="19" a="1"/>
  <c r="F126" i="19"/>
  <c r="E126" i="19" a="1"/>
  <c r="E126" i="19"/>
  <c r="N125" i="19" a="1"/>
  <c r="N125" i="19"/>
  <c r="M125" i="19" a="1"/>
  <c r="M125" i="19"/>
  <c r="L125" i="19" a="1"/>
  <c r="L125" i="19"/>
  <c r="K125" i="19" a="1"/>
  <c r="K125" i="19"/>
  <c r="J125" i="19" a="1"/>
  <c r="J125" i="19"/>
  <c r="I125" i="19" a="1"/>
  <c r="I125" i="19"/>
  <c r="H125" i="19" a="1"/>
  <c r="H125" i="19"/>
  <c r="G125" i="19" a="1"/>
  <c r="G125" i="19"/>
  <c r="F125" i="19" a="1"/>
  <c r="F125" i="19"/>
  <c r="E125" i="19" a="1"/>
  <c r="E125" i="19"/>
  <c r="N124" i="19" a="1"/>
  <c r="N124" i="19"/>
  <c r="M124" i="19" a="1"/>
  <c r="M124" i="19"/>
  <c r="L124" i="19" a="1"/>
  <c r="L124" i="19"/>
  <c r="K124" i="19" a="1"/>
  <c r="K124" i="19"/>
  <c r="J124" i="19" a="1"/>
  <c r="J124" i="19"/>
  <c r="I124" i="19" a="1"/>
  <c r="I124" i="19"/>
  <c r="H124" i="19" a="1"/>
  <c r="H124" i="19"/>
  <c r="G124" i="19" a="1"/>
  <c r="G124" i="19"/>
  <c r="F124" i="19" a="1"/>
  <c r="F124" i="19"/>
  <c r="E124" i="19" a="1"/>
  <c r="E124" i="19"/>
  <c r="N121" i="19" a="1"/>
  <c r="N121" i="19"/>
  <c r="M121" i="19" a="1"/>
  <c r="M121" i="19"/>
  <c r="L121" i="19" a="1"/>
  <c r="L121" i="19"/>
  <c r="K121" i="19" a="1"/>
  <c r="K121" i="19"/>
  <c r="J121" i="19" a="1"/>
  <c r="J121" i="19"/>
  <c r="I121" i="19" a="1"/>
  <c r="I121" i="19"/>
  <c r="H121" i="19" a="1"/>
  <c r="H121" i="19"/>
  <c r="G121" i="19" a="1"/>
  <c r="G121" i="19"/>
  <c r="F121" i="19" a="1"/>
  <c r="F121" i="19"/>
  <c r="E121" i="19" a="1"/>
  <c r="E121" i="19"/>
  <c r="B123" i="34"/>
  <c r="B103" i="34"/>
  <c r="B85" i="34"/>
  <c r="B67" i="34"/>
  <c r="B48" i="34"/>
  <c r="B30" i="34"/>
  <c r="K12" i="34" a="1"/>
  <c r="K12" i="34"/>
  <c r="J12" i="34" a="1"/>
  <c r="J12" i="34"/>
  <c r="I12" i="34" a="1"/>
  <c r="I12" i="34"/>
  <c r="H12" i="34" a="1"/>
  <c r="H12" i="34"/>
  <c r="G12" i="34" a="1"/>
  <c r="G12" i="34"/>
  <c r="F12" i="34" a="1"/>
  <c r="F12" i="34"/>
  <c r="E12" i="34" a="1"/>
  <c r="E12" i="34"/>
  <c r="B12" i="34"/>
  <c r="L7" i="19" a="1"/>
  <c r="L7" i="19"/>
  <c r="K7" i="19" a="1"/>
  <c r="K7" i="19"/>
  <c r="L6" i="19" a="1"/>
  <c r="L6" i="19"/>
  <c r="K6" i="19" a="1"/>
  <c r="K6" i="19"/>
  <c r="H11" i="35"/>
  <c r="H40" i="1"/>
  <c r="H29" i="1"/>
  <c r="H9" i="1"/>
  <c r="J104" i="22"/>
  <c r="J102" i="22"/>
  <c r="H8" i="1"/>
  <c r="M126" i="37"/>
  <c r="M127" i="37"/>
  <c r="M128" i="37"/>
  <c r="M129" i="37"/>
  <c r="M130" i="37"/>
  <c r="M131" i="37"/>
  <c r="M132" i="37"/>
  <c r="M133" i="37"/>
  <c r="M134" i="37"/>
  <c r="M135" i="37"/>
  <c r="M136" i="37"/>
  <c r="M137" i="37"/>
  <c r="M138" i="37"/>
  <c r="M139" i="37"/>
  <c r="M140" i="37"/>
  <c r="M141" i="37"/>
  <c r="M142" i="37"/>
  <c r="M143" i="37"/>
  <c r="M144" i="37"/>
  <c r="M145" i="37"/>
  <c r="M146" i="37"/>
  <c r="M147" i="37"/>
  <c r="M148" i="37"/>
  <c r="M149" i="37"/>
  <c r="M150" i="37"/>
  <c r="M151" i="37"/>
  <c r="M152" i="37"/>
  <c r="M153" i="37"/>
  <c r="M154" i="37"/>
  <c r="M155" i="37"/>
  <c r="M156" i="37"/>
  <c r="M157" i="37"/>
  <c r="M158" i="37"/>
  <c r="M159" i="37"/>
  <c r="M160" i="37"/>
  <c r="M161" i="37"/>
  <c r="M162" i="37"/>
  <c r="M163" i="37"/>
  <c r="M164" i="37"/>
  <c r="M165" i="37"/>
  <c r="M166" i="37"/>
  <c r="M167" i="37"/>
  <c r="M168" i="37"/>
  <c r="M169" i="37"/>
  <c r="M170" i="37"/>
  <c r="M171" i="37"/>
  <c r="M172" i="37"/>
  <c r="M173" i="37"/>
  <c r="M174" i="37"/>
  <c r="M175" i="37"/>
  <c r="M176" i="37"/>
  <c r="M177" i="37"/>
  <c r="M178" i="37"/>
  <c r="M179" i="37"/>
  <c r="M180" i="37"/>
  <c r="M181" i="37"/>
  <c r="M182" i="37"/>
  <c r="M183" i="37"/>
  <c r="M184" i="37"/>
  <c r="M185" i="37"/>
  <c r="M186" i="37"/>
  <c r="M187" i="37"/>
  <c r="M188" i="37"/>
  <c r="M189" i="37"/>
  <c r="M190" i="37"/>
  <c r="M191" i="37"/>
  <c r="M192" i="37"/>
  <c r="M193" i="37"/>
  <c r="M194" i="37"/>
  <c r="M195" i="37"/>
  <c r="M196" i="37"/>
  <c r="M197" i="37"/>
  <c r="M198" i="37"/>
  <c r="M199" i="37"/>
  <c r="M200" i="37"/>
  <c r="M201" i="37"/>
  <c r="M202" i="37"/>
  <c r="M203" i="37"/>
  <c r="M204" i="37"/>
  <c r="M205" i="37"/>
  <c r="M206" i="37"/>
  <c r="M207" i="37"/>
  <c r="M208" i="37"/>
  <c r="M209" i="37"/>
  <c r="M210" i="37"/>
  <c r="M211" i="37"/>
  <c r="M212" i="37"/>
  <c r="M213" i="37"/>
  <c r="M214" i="37"/>
  <c r="M215" i="37"/>
  <c r="M216" i="37"/>
  <c r="M217" i="37"/>
  <c r="M218" i="37"/>
  <c r="M219" i="37"/>
  <c r="M220" i="37"/>
  <c r="M221" i="37"/>
  <c r="M222" i="37"/>
  <c r="M223" i="37"/>
  <c r="M224" i="37"/>
  <c r="M225" i="37"/>
  <c r="M226" i="37"/>
  <c r="M227" i="37"/>
  <c r="M228" i="37"/>
  <c r="M229" i="37"/>
  <c r="M230" i="37"/>
  <c r="M231" i="37"/>
  <c r="M232" i="37"/>
  <c r="M233" i="37"/>
  <c r="M234" i="37"/>
  <c r="M235" i="37"/>
  <c r="M236" i="37"/>
  <c r="M237" i="37"/>
  <c r="M238" i="37"/>
  <c r="M239" i="37"/>
  <c r="M240" i="37"/>
  <c r="M241" i="37"/>
  <c r="M242" i="37"/>
  <c r="M243" i="37"/>
  <c r="M244" i="37"/>
  <c r="M245" i="37"/>
  <c r="M246" i="37"/>
  <c r="M247" i="37"/>
  <c r="M248" i="37"/>
  <c r="M249" i="37"/>
  <c r="M250" i="37"/>
  <c r="M251" i="37"/>
  <c r="M252" i="37"/>
  <c r="M253" i="37"/>
  <c r="M254" i="37"/>
  <c r="M255" i="37"/>
  <c r="M256" i="37"/>
  <c r="M257" i="37"/>
  <c r="M258" i="37"/>
  <c r="M259" i="37"/>
  <c r="M260" i="37"/>
  <c r="M261" i="37"/>
  <c r="M262" i="37"/>
  <c r="M263" i="37"/>
  <c r="M264" i="37"/>
  <c r="M265" i="37"/>
  <c r="M266" i="37"/>
  <c r="M267" i="37"/>
  <c r="M268" i="37"/>
  <c r="M269" i="37"/>
  <c r="M270" i="37"/>
  <c r="M271" i="37"/>
  <c r="M272" i="37"/>
  <c r="M273" i="37"/>
  <c r="M274" i="37"/>
  <c r="M275" i="37"/>
  <c r="M276" i="37"/>
  <c r="M277" i="37"/>
  <c r="M278" i="37"/>
  <c r="M279" i="37"/>
  <c r="M280" i="37"/>
  <c r="M281" i="37"/>
  <c r="M282" i="37"/>
  <c r="M283" i="37"/>
  <c r="M284" i="37"/>
  <c r="M285" i="37"/>
  <c r="M286" i="37"/>
  <c r="M287" i="37"/>
  <c r="M288" i="37"/>
  <c r="M289" i="37"/>
  <c r="M290" i="37"/>
  <c r="M291" i="37"/>
  <c r="M292" i="37"/>
  <c r="M293" i="37"/>
  <c r="M294" i="37"/>
  <c r="M295" i="37"/>
  <c r="M296" i="37"/>
  <c r="M297" i="37"/>
  <c r="M298" i="37"/>
  <c r="M299" i="37"/>
  <c r="M300" i="37"/>
  <c r="M301" i="37"/>
  <c r="M302" i="37"/>
  <c r="M303" i="37"/>
  <c r="M304" i="37"/>
  <c r="M305" i="37"/>
  <c r="M306" i="37"/>
  <c r="M307" i="37"/>
  <c r="M308" i="37"/>
  <c r="M309" i="37"/>
  <c r="M310" i="37"/>
  <c r="M311" i="37"/>
  <c r="M312" i="37"/>
  <c r="M313" i="37"/>
  <c r="M314" i="37"/>
  <c r="M315" i="37"/>
  <c r="M316" i="37"/>
  <c r="M317" i="37"/>
  <c r="M318" i="37"/>
  <c r="M319" i="37"/>
  <c r="M320" i="37"/>
  <c r="M321" i="37"/>
  <c r="M322" i="37"/>
  <c r="M323" i="37"/>
  <c r="M324" i="37"/>
  <c r="M325" i="37"/>
  <c r="M326" i="37"/>
  <c r="M327" i="37"/>
  <c r="M328" i="37"/>
  <c r="M329" i="37"/>
  <c r="M330" i="37"/>
  <c r="M331" i="37"/>
  <c r="M332" i="37"/>
  <c r="M333" i="37"/>
  <c r="M334" i="37"/>
  <c r="K335" i="37"/>
  <c r="M335" i="37"/>
  <c r="K336" i="37"/>
  <c r="M336" i="37"/>
  <c r="K337" i="37"/>
  <c r="M337" i="37"/>
  <c r="M338" i="37"/>
  <c r="K339" i="37"/>
  <c r="M339" i="37"/>
  <c r="K340" i="37"/>
  <c r="M340" i="37"/>
  <c r="K341" i="37"/>
  <c r="M341" i="37"/>
  <c r="J135" i="22"/>
  <c r="J136" i="22"/>
  <c r="H54" i="1"/>
  <c r="M528" i="37"/>
  <c r="M529" i="37"/>
  <c r="M530" i="37"/>
  <c r="M531" i="37"/>
  <c r="M532" i="37"/>
  <c r="M533" i="37"/>
  <c r="M534" i="37"/>
  <c r="M536" i="37"/>
  <c r="M537" i="37"/>
  <c r="M538" i="37"/>
  <c r="H9" i="35"/>
  <c r="H10" i="35"/>
  <c r="H11" i="24"/>
  <c r="H10" i="24"/>
  <c r="H25" i="1"/>
  <c r="H38" i="1"/>
  <c r="H53" i="1"/>
  <c r="H37" i="23"/>
  <c r="J38" i="22"/>
  <c r="J37" i="22"/>
  <c r="J36" i="22"/>
  <c r="J35" i="22"/>
  <c r="J34" i="22"/>
  <c r="J33" i="22"/>
  <c r="J32" i="22"/>
  <c r="E47" i="34" a="1"/>
  <c r="E47" i="34" s="1"/>
  <c r="H52" i="1"/>
  <c r="H13" i="1"/>
  <c r="E119" i="37"/>
  <c r="E120" i="37"/>
  <c r="E121" i="37"/>
  <c r="E122" i="37"/>
  <c r="E123" i="37"/>
  <c r="E124" i="37"/>
  <c r="E125" i="37"/>
  <c r="E126" i="37"/>
  <c r="E127" i="37"/>
  <c r="E128" i="37"/>
  <c r="E129" i="37"/>
  <c r="E130" i="37"/>
  <c r="E131" i="37"/>
  <c r="E132" i="37"/>
  <c r="E133" i="37"/>
  <c r="E134" i="37"/>
  <c r="E135" i="37"/>
  <c r="E136" i="37"/>
  <c r="E137" i="37"/>
  <c r="E138" i="37"/>
  <c r="E139" i="37"/>
  <c r="E140" i="37"/>
  <c r="E141" i="37"/>
  <c r="E142" i="37"/>
  <c r="E143" i="37"/>
  <c r="E144" i="37"/>
  <c r="E145" i="37"/>
  <c r="E146" i="37"/>
  <c r="E147" i="37"/>
  <c r="E148" i="37"/>
  <c r="E149" i="37"/>
  <c r="E150" i="37"/>
  <c r="E151" i="37"/>
  <c r="E152" i="37"/>
  <c r="E153" i="37"/>
  <c r="E154" i="37"/>
  <c r="E155" i="37"/>
  <c r="E156" i="37"/>
  <c r="E157" i="37"/>
  <c r="E158" i="37"/>
  <c r="E159" i="37"/>
  <c r="E160" i="37"/>
  <c r="E161" i="37"/>
  <c r="E162" i="37"/>
  <c r="E163" i="37"/>
  <c r="E164" i="37"/>
  <c r="E165" i="37"/>
  <c r="E166" i="37"/>
  <c r="E167" i="37"/>
  <c r="E168" i="37"/>
  <c r="E169" i="37"/>
  <c r="E170" i="37"/>
  <c r="E171" i="37"/>
  <c r="E172" i="37"/>
  <c r="E173" i="37"/>
  <c r="E174" i="37"/>
  <c r="E175" i="37"/>
  <c r="E176" i="37"/>
  <c r="E177" i="37"/>
  <c r="E178" i="37"/>
  <c r="E179" i="37"/>
  <c r="E180" i="37"/>
  <c r="E181" i="37"/>
  <c r="E182" i="37"/>
  <c r="E183" i="37"/>
  <c r="E184" i="37"/>
  <c r="E185" i="37"/>
  <c r="E186" i="37"/>
  <c r="E187" i="37"/>
  <c r="E188" i="37"/>
  <c r="E189" i="37"/>
  <c r="E190" i="37"/>
  <c r="E191" i="37"/>
  <c r="E192" i="37"/>
  <c r="E193" i="37"/>
  <c r="E194" i="37"/>
  <c r="E195" i="37"/>
  <c r="E196" i="37"/>
  <c r="E197" i="37"/>
  <c r="E198" i="37"/>
  <c r="E199" i="37"/>
  <c r="E200" i="37"/>
  <c r="E201" i="37"/>
  <c r="E202" i="37"/>
  <c r="E203" i="37"/>
  <c r="E204" i="37"/>
  <c r="E205" i="37"/>
  <c r="E206" i="37"/>
  <c r="E207" i="37"/>
  <c r="E208" i="37"/>
  <c r="E209" i="37"/>
  <c r="E210" i="37"/>
  <c r="E211" i="37"/>
  <c r="E212" i="37"/>
  <c r="E213" i="37"/>
  <c r="E214" i="37"/>
  <c r="E215" i="37"/>
  <c r="E216" i="37"/>
  <c r="E217" i="37"/>
  <c r="E218" i="37"/>
  <c r="E219" i="37"/>
  <c r="E220" i="37"/>
  <c r="E221" i="37"/>
  <c r="E222" i="37"/>
  <c r="E223" i="37"/>
  <c r="E224" i="37"/>
  <c r="E225" i="37"/>
  <c r="E226" i="37"/>
  <c r="E227" i="37"/>
  <c r="E228" i="37"/>
  <c r="E229" i="37"/>
  <c r="E230" i="37"/>
  <c r="E231" i="37"/>
  <c r="E232" i="37"/>
  <c r="E233" i="37"/>
  <c r="E234" i="37"/>
  <c r="E235" i="37"/>
  <c r="E236" i="37"/>
  <c r="E237" i="37"/>
  <c r="E238" i="37"/>
  <c r="E239" i="37"/>
  <c r="E240" i="37"/>
  <c r="E241" i="37"/>
  <c r="E242" i="37"/>
  <c r="E243" i="37"/>
  <c r="E244" i="37"/>
  <c r="E245" i="37"/>
  <c r="E246" i="37"/>
  <c r="E247" i="37"/>
  <c r="E248" i="37"/>
  <c r="E249" i="37"/>
  <c r="E250" i="37"/>
  <c r="E251" i="37"/>
  <c r="E252" i="37"/>
  <c r="E253" i="37"/>
  <c r="E254" i="37"/>
  <c r="E255" i="37"/>
  <c r="E256" i="37"/>
  <c r="E257" i="37"/>
  <c r="E258" i="37"/>
  <c r="E259" i="37"/>
  <c r="E260" i="37"/>
  <c r="E261" i="37"/>
  <c r="E262" i="37"/>
  <c r="E263" i="37"/>
  <c r="E264" i="37"/>
  <c r="E265" i="37"/>
  <c r="E266" i="37"/>
  <c r="E267" i="37"/>
  <c r="E268" i="37"/>
  <c r="E269" i="37"/>
  <c r="E270" i="37"/>
  <c r="E271" i="37"/>
  <c r="E272" i="37"/>
  <c r="E273" i="37"/>
  <c r="E274" i="37"/>
  <c r="E275" i="37"/>
  <c r="E276" i="37"/>
  <c r="E277" i="37"/>
  <c r="E278" i="37"/>
  <c r="E279" i="37"/>
  <c r="E280" i="37"/>
  <c r="E281" i="37"/>
  <c r="E282" i="37"/>
  <c r="E283" i="37"/>
  <c r="E284" i="37"/>
  <c r="E285" i="37"/>
  <c r="E286" i="37"/>
  <c r="E287" i="37"/>
  <c r="E288" i="37"/>
  <c r="E289" i="37"/>
  <c r="E290" i="37"/>
  <c r="E291" i="37"/>
  <c r="E292" i="37"/>
  <c r="E293" i="37"/>
  <c r="E294" i="37"/>
  <c r="E295" i="37"/>
  <c r="E296" i="37"/>
  <c r="E297" i="37"/>
  <c r="E298" i="37"/>
  <c r="E299" i="37"/>
  <c r="E300" i="37"/>
  <c r="E301" i="37"/>
  <c r="E302" i="37"/>
  <c r="E303" i="37"/>
  <c r="E304" i="37"/>
  <c r="E305" i="37"/>
  <c r="E306" i="37"/>
  <c r="E307" i="37"/>
  <c r="E308" i="37"/>
  <c r="E309" i="37"/>
  <c r="E310" i="37"/>
  <c r="E311" i="37"/>
  <c r="E312" i="37"/>
  <c r="E313" i="37"/>
  <c r="E314" i="37"/>
  <c r="E315" i="37"/>
  <c r="E316" i="37"/>
  <c r="E317" i="37"/>
  <c r="E318" i="37"/>
  <c r="E319" i="37"/>
  <c r="E320" i="37"/>
  <c r="E321" i="37"/>
  <c r="E322" i="37"/>
  <c r="E323" i="37"/>
  <c r="E324" i="37"/>
  <c r="E325" i="37"/>
  <c r="E326" i="37"/>
  <c r="E327" i="37"/>
  <c r="E328" i="37"/>
  <c r="E329" i="37"/>
  <c r="E330" i="37"/>
  <c r="E331" i="37"/>
  <c r="E332" i="37"/>
  <c r="E333" i="37"/>
  <c r="E334" i="37"/>
  <c r="E335" i="37"/>
  <c r="E336" i="37"/>
  <c r="E337" i="37"/>
  <c r="E338" i="37"/>
  <c r="E339" i="37"/>
  <c r="E340" i="37"/>
  <c r="E341" i="37"/>
  <c r="E93" i="37"/>
  <c r="J6" i="22"/>
  <c r="E95" i="37"/>
  <c r="M524" i="37"/>
  <c r="M525" i="37"/>
  <c r="M526" i="37"/>
  <c r="M527" i="37"/>
  <c r="H21" i="1"/>
  <c r="H20" i="1"/>
  <c r="H19" i="1"/>
  <c r="E118" i="37"/>
  <c r="J31" i="22"/>
  <c r="E114" i="37"/>
  <c r="H10" i="1"/>
  <c r="M449" i="37"/>
  <c r="K527" i="37"/>
  <c r="K528" i="37"/>
  <c r="K529" i="37"/>
  <c r="K530" i="37"/>
  <c r="K531" i="37"/>
  <c r="K532" i="37"/>
  <c r="K533" i="37"/>
  <c r="K534" i="37"/>
  <c r="H7" i="35"/>
  <c r="H6" i="35"/>
  <c r="H5" i="35"/>
  <c r="B122" i="34"/>
  <c r="B102" i="34"/>
  <c r="B84" i="34"/>
  <c r="B66" i="34"/>
  <c r="B47" i="34"/>
  <c r="B29" i="34"/>
  <c r="K11" i="34" a="1"/>
  <c r="K11" i="34"/>
  <c r="J11" i="34" a="1"/>
  <c r="J11" i="34"/>
  <c r="I11" i="34" a="1"/>
  <c r="I11" i="34"/>
  <c r="H11" i="34" a="1"/>
  <c r="H11" i="34"/>
  <c r="G11" i="34" a="1"/>
  <c r="G11" i="34"/>
  <c r="F11" i="34" a="1"/>
  <c r="F11" i="34"/>
  <c r="E11" i="34" a="1"/>
  <c r="E11" i="34"/>
  <c r="B11" i="34"/>
  <c r="H7" i="1"/>
  <c r="B9" i="34"/>
  <c r="E109" i="37"/>
  <c r="E110" i="37"/>
  <c r="E111" i="37"/>
  <c r="E112" i="37"/>
  <c r="E113" i="37"/>
  <c r="J22" i="22"/>
  <c r="J23" i="22"/>
  <c r="J24" i="22"/>
  <c r="J25" i="22"/>
  <c r="J26" i="22"/>
  <c r="E108" i="37"/>
  <c r="J21" i="22"/>
  <c r="H5" i="1"/>
  <c r="H13" i="24"/>
  <c r="H12" i="24"/>
  <c r="H7" i="24"/>
  <c r="H6" i="24"/>
  <c r="H7" i="23"/>
  <c r="B119" i="34"/>
  <c r="B99" i="34"/>
  <c r="B81" i="34"/>
  <c r="B63" i="34"/>
  <c r="B44" i="34"/>
  <c r="B27" i="34"/>
  <c r="B26" i="34"/>
  <c r="E9" i="34" a="1"/>
  <c r="E9" i="34" s="1"/>
  <c r="F9" i="34" a="1"/>
  <c r="F9" i="34" s="1"/>
  <c r="G9" i="34" a="1"/>
  <c r="G9" i="34" s="1"/>
  <c r="H9" i="34" a="1"/>
  <c r="H9" i="34" s="1"/>
  <c r="I9" i="34" a="1"/>
  <c r="I9" i="34" s="1"/>
  <c r="J9" i="34" a="1"/>
  <c r="J9" i="34" s="1"/>
  <c r="K9" i="34" a="1"/>
  <c r="K9" i="34" s="1"/>
  <c r="B10" i="34"/>
  <c r="E94" i="37"/>
  <c r="H6" i="1"/>
  <c r="J7" i="22"/>
  <c r="E107" i="37"/>
  <c r="E106" i="37"/>
  <c r="E105" i="37"/>
  <c r="E104" i="37"/>
  <c r="E103" i="37"/>
  <c r="E102" i="37"/>
  <c r="E101" i="37"/>
  <c r="E100" i="37"/>
  <c r="E99" i="37"/>
  <c r="E98" i="37"/>
  <c r="E97" i="37"/>
  <c r="E96" i="37"/>
  <c r="J20" i="22"/>
  <c r="J19" i="22"/>
  <c r="J18" i="22"/>
  <c r="J17" i="22"/>
  <c r="J16" i="22"/>
  <c r="J15" i="22"/>
  <c r="J14" i="22"/>
  <c r="J13" i="22"/>
  <c r="J12" i="22"/>
  <c r="J11" i="22"/>
  <c r="J10" i="22"/>
  <c r="J9" i="22"/>
  <c r="K93" i="37"/>
  <c r="M93" i="37"/>
  <c r="K94" i="37"/>
  <c r="M94" i="37"/>
  <c r="K95" i="37"/>
  <c r="M95" i="37"/>
  <c r="K96" i="37"/>
  <c r="M96" i="37"/>
  <c r="K97" i="37"/>
  <c r="M97" i="37"/>
  <c r="K98" i="37"/>
  <c r="M98" i="37"/>
  <c r="K99" i="37"/>
  <c r="M99" i="37"/>
  <c r="K100" i="37"/>
  <c r="M100" i="37"/>
  <c r="K101" i="37"/>
  <c r="M101" i="37"/>
  <c r="K102" i="37"/>
  <c r="M102" i="37"/>
  <c r="K103" i="37"/>
  <c r="M103" i="37"/>
  <c r="K104" i="37"/>
  <c r="M104" i="37"/>
  <c r="K105" i="37"/>
  <c r="M105" i="37"/>
  <c r="K106" i="37"/>
  <c r="M106" i="37"/>
  <c r="K107" i="37"/>
  <c r="M107" i="37"/>
  <c r="K108" i="37"/>
  <c r="M108" i="37"/>
  <c r="K109" i="37"/>
  <c r="M109" i="37"/>
  <c r="K110" i="37"/>
  <c r="M110" i="37"/>
  <c r="K111" i="37"/>
  <c r="M111" i="37"/>
  <c r="K112" i="37"/>
  <c r="M112" i="37"/>
  <c r="K113" i="37"/>
  <c r="M113" i="37"/>
  <c r="K114" i="37"/>
  <c r="M114" i="37"/>
  <c r="M118" i="37"/>
  <c r="M119" i="37"/>
  <c r="M120" i="37"/>
  <c r="M121" i="37"/>
  <c r="M122" i="37"/>
  <c r="M123" i="37"/>
  <c r="M124" i="37"/>
  <c r="M125" i="37"/>
  <c r="K92" i="37"/>
  <c r="K91" i="37"/>
  <c r="M92" i="37"/>
  <c r="M91" i="37"/>
  <c r="E91" i="37"/>
  <c r="H91" i="37" s="1"/>
  <c r="E92" i="37"/>
  <c r="E79" i="37"/>
  <c r="E80" i="37"/>
  <c r="E81" i="37"/>
  <c r="E82" i="37"/>
  <c r="E83" i="37"/>
  <c r="E84" i="37"/>
  <c r="I84" i="37" s="1"/>
  <c r="E85" i="37"/>
  <c r="E86" i="37"/>
  <c r="K449" i="37"/>
  <c r="K450" i="37"/>
  <c r="K451" i="37"/>
  <c r="K452" i="37"/>
  <c r="K453" i="37"/>
  <c r="K454" i="37"/>
  <c r="K455" i="37"/>
  <c r="K456" i="37"/>
  <c r="K457" i="37"/>
  <c r="K458" i="37"/>
  <c r="K459" i="37"/>
  <c r="K460" i="37"/>
  <c r="K461" i="37"/>
  <c r="K462" i="37"/>
  <c r="K463" i="37"/>
  <c r="K464" i="37"/>
  <c r="K465" i="37"/>
  <c r="K466" i="37"/>
  <c r="K467" i="37"/>
  <c r="K468" i="37"/>
  <c r="K469" i="37"/>
  <c r="K470" i="37"/>
  <c r="K471" i="37"/>
  <c r="K472" i="37"/>
  <c r="K473" i="37"/>
  <c r="K474" i="37"/>
  <c r="K475" i="37"/>
  <c r="K476" i="37"/>
  <c r="K477" i="37"/>
  <c r="K478" i="37"/>
  <c r="K479" i="37"/>
  <c r="K480" i="37"/>
  <c r="K481" i="37"/>
  <c r="K482" i="37"/>
  <c r="K483" i="37"/>
  <c r="K484" i="37"/>
  <c r="K485" i="37"/>
  <c r="K486" i="37"/>
  <c r="K487" i="37"/>
  <c r="K488" i="37"/>
  <c r="K489" i="37"/>
  <c r="K490" i="37"/>
  <c r="K491" i="37"/>
  <c r="K492" i="37"/>
  <c r="K493" i="37"/>
  <c r="K448" i="37"/>
  <c r="H10" i="25"/>
  <c r="H11" i="25"/>
  <c r="H6" i="25"/>
  <c r="K6" i="37"/>
  <c r="K7" i="37"/>
  <c r="K8" i="37"/>
  <c r="K9" i="37"/>
  <c r="K10" i="37"/>
  <c r="K11" i="37"/>
  <c r="K12" i="37"/>
  <c r="K13" i="37"/>
  <c r="K14" i="37"/>
  <c r="K15" i="37"/>
  <c r="K16" i="37"/>
  <c r="K17" i="37"/>
  <c r="K18" i="37"/>
  <c r="K19" i="37"/>
  <c r="K20" i="37"/>
  <c r="K21" i="37"/>
  <c r="K22" i="37"/>
  <c r="K23" i="37"/>
  <c r="K24" i="37"/>
  <c r="K25" i="37"/>
  <c r="K26" i="37"/>
  <c r="K27" i="37"/>
  <c r="K28" i="37"/>
  <c r="K29" i="37"/>
  <c r="K30" i="37"/>
  <c r="K31" i="37"/>
  <c r="K32" i="37"/>
  <c r="K33" i="37"/>
  <c r="K34" i="37"/>
  <c r="K35" i="37"/>
  <c r="K36" i="37"/>
  <c r="K37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5" i="37"/>
  <c r="H4" i="1"/>
  <c r="G409" i="37"/>
  <c r="G410" i="37"/>
  <c r="G411" i="37"/>
  <c r="G412" i="37"/>
  <c r="G413" i="37"/>
  <c r="G414" i="37"/>
  <c r="G415" i="37"/>
  <c r="G416" i="37"/>
  <c r="G417" i="37"/>
  <c r="G418" i="37"/>
  <c r="G419" i="37"/>
  <c r="G420" i="37"/>
  <c r="G421" i="37"/>
  <c r="G422" i="37"/>
  <c r="G423" i="37"/>
  <c r="G424" i="37"/>
  <c r="G425" i="37"/>
  <c r="G426" i="37"/>
  <c r="G427" i="37"/>
  <c r="G428" i="37"/>
  <c r="G429" i="37"/>
  <c r="G430" i="37"/>
  <c r="G431" i="37"/>
  <c r="G432" i="37"/>
  <c r="G433" i="37"/>
  <c r="G434" i="37"/>
  <c r="G435" i="37"/>
  <c r="G436" i="37"/>
  <c r="G437" i="37"/>
  <c r="G438" i="37"/>
  <c r="G439" i="37"/>
  <c r="G440" i="37"/>
  <c r="G441" i="37"/>
  <c r="G442" i="37"/>
  <c r="G443" i="37"/>
  <c r="M410" i="37"/>
  <c r="M411" i="37"/>
  <c r="M412" i="37"/>
  <c r="M413" i="37"/>
  <c r="M414" i="37"/>
  <c r="M415" i="37"/>
  <c r="M416" i="37"/>
  <c r="M408" i="37"/>
  <c r="M409" i="37"/>
  <c r="H9" i="25"/>
  <c r="H8" i="25"/>
  <c r="H7" i="25"/>
  <c r="M448" i="37"/>
  <c r="M450" i="37"/>
  <c r="M451" i="37"/>
  <c r="M452" i="37"/>
  <c r="M453" i="37"/>
  <c r="M454" i="37"/>
  <c r="M455" i="37"/>
  <c r="M456" i="37"/>
  <c r="M457" i="37"/>
  <c r="M458" i="37"/>
  <c r="M459" i="37"/>
  <c r="M460" i="37"/>
  <c r="M461" i="37"/>
  <c r="M462" i="37"/>
  <c r="M463" i="37"/>
  <c r="M464" i="37"/>
  <c r="M465" i="37"/>
  <c r="M466" i="37"/>
  <c r="M467" i="37"/>
  <c r="M468" i="37"/>
  <c r="M469" i="37"/>
  <c r="M470" i="37"/>
  <c r="M471" i="37"/>
  <c r="M472" i="37"/>
  <c r="M473" i="37"/>
  <c r="M474" i="37"/>
  <c r="M475" i="37"/>
  <c r="M476" i="37"/>
  <c r="M477" i="37"/>
  <c r="M478" i="37"/>
  <c r="M479" i="37"/>
  <c r="M480" i="37"/>
  <c r="M481" i="37"/>
  <c r="M482" i="37"/>
  <c r="M483" i="37"/>
  <c r="M484" i="37"/>
  <c r="M485" i="37"/>
  <c r="M486" i="37"/>
  <c r="M487" i="37"/>
  <c r="M488" i="37"/>
  <c r="M489" i="37"/>
  <c r="M490" i="37"/>
  <c r="M491" i="37"/>
  <c r="M492" i="37"/>
  <c r="M493" i="37"/>
  <c r="M351" i="37"/>
  <c r="M352" i="37"/>
  <c r="M353" i="37"/>
  <c r="M354" i="37"/>
  <c r="M355" i="37"/>
  <c r="M356" i="37"/>
  <c r="M357" i="37"/>
  <c r="M358" i="37"/>
  <c r="M359" i="37"/>
  <c r="M360" i="37"/>
  <c r="M365" i="37"/>
  <c r="M366" i="37"/>
  <c r="M367" i="37"/>
  <c r="M368" i="37"/>
  <c r="M369" i="37"/>
  <c r="M370" i="37"/>
  <c r="M371" i="37"/>
  <c r="M372" i="37"/>
  <c r="M373" i="37"/>
  <c r="M374" i="37"/>
  <c r="M375" i="37"/>
  <c r="M376" i="37"/>
  <c r="M377" i="37"/>
  <c r="M378" i="37"/>
  <c r="M379" i="37"/>
  <c r="M380" i="37"/>
  <c r="M381" i="37"/>
  <c r="M382" i="37"/>
  <c r="M383" i="37"/>
  <c r="M384" i="37"/>
  <c r="M385" i="37"/>
  <c r="M386" i="37"/>
  <c r="M387" i="37"/>
  <c r="M388" i="37"/>
  <c r="M389" i="37"/>
  <c r="M390" i="37"/>
  <c r="M391" i="37"/>
  <c r="M392" i="37"/>
  <c r="M393" i="37"/>
  <c r="M394" i="37"/>
  <c r="M395" i="37"/>
  <c r="M396" i="37"/>
  <c r="M397" i="37"/>
  <c r="M398" i="37"/>
  <c r="M399" i="37"/>
  <c r="M400" i="37"/>
  <c r="M401" i="37"/>
  <c r="M402" i="37"/>
  <c r="M403" i="37"/>
  <c r="N403" i="37" s="1"/>
  <c r="M404" i="37"/>
  <c r="M405" i="37"/>
  <c r="G449" i="37"/>
  <c r="H5" i="23"/>
  <c r="H15" i="35"/>
  <c r="AJ6" i="19" a="1"/>
  <c r="AJ6" i="19"/>
  <c r="AI6" i="19" a="1"/>
  <c r="AI6" i="19"/>
  <c r="AH6" i="19" a="1"/>
  <c r="AH6" i="19"/>
  <c r="AG6" i="19" a="1"/>
  <c r="AG6" i="19"/>
  <c r="AF6" i="19" a="1"/>
  <c r="AF6" i="19"/>
  <c r="AE6" i="19" a="1"/>
  <c r="AE6" i="19"/>
  <c r="AD6" i="19" a="1"/>
  <c r="AD6" i="19"/>
  <c r="AC6" i="19" a="1"/>
  <c r="AC6" i="19"/>
  <c r="AB6" i="19" a="1"/>
  <c r="AB6" i="19"/>
  <c r="AA6" i="19" a="1"/>
  <c r="AA6" i="19"/>
  <c r="X6" i="19" a="1"/>
  <c r="X6" i="19"/>
  <c r="X7" i="19" a="1"/>
  <c r="X7" i="19"/>
  <c r="W6" i="19" a="1"/>
  <c r="W6" i="19"/>
  <c r="V6" i="19" a="1"/>
  <c r="V6" i="19"/>
  <c r="U6" i="19" a="1"/>
  <c r="U6" i="19"/>
  <c r="T6" i="19" a="1"/>
  <c r="T6" i="19"/>
  <c r="S6" i="19" a="1"/>
  <c r="S6" i="19"/>
  <c r="R6" i="19" a="1"/>
  <c r="R6" i="19"/>
  <c r="Q6" i="19" a="1"/>
  <c r="Q6" i="19"/>
  <c r="P6" i="19" a="1"/>
  <c r="P6" i="19"/>
  <c r="O6" i="19" a="1"/>
  <c r="O6" i="19"/>
  <c r="D115" i="37"/>
  <c r="D116" i="37"/>
  <c r="D117" i="37"/>
  <c r="H14" i="35"/>
  <c r="D85" i="37"/>
  <c r="D86" i="37"/>
  <c r="H8" i="35"/>
  <c r="H18" i="35"/>
  <c r="H19" i="35"/>
  <c r="H20" i="35"/>
  <c r="H21" i="35"/>
  <c r="H22" i="35"/>
  <c r="H23" i="35"/>
  <c r="H24" i="35"/>
  <c r="H26" i="35"/>
  <c r="H27" i="35"/>
  <c r="H28" i="35"/>
  <c r="H29" i="35"/>
  <c r="H30" i="35"/>
  <c r="H4" i="35"/>
  <c r="H22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4" i="8"/>
  <c r="H5" i="24"/>
  <c r="H8" i="24"/>
  <c r="H9" i="24"/>
  <c r="H14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" i="24"/>
  <c r="H5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4" i="25"/>
  <c r="J5" i="22"/>
  <c r="J27" i="22"/>
  <c r="J39" i="22"/>
  <c r="J40" i="22"/>
  <c r="J47" i="22"/>
  <c r="J48" i="22"/>
  <c r="J50" i="22"/>
  <c r="J52" i="22"/>
  <c r="J53" i="22"/>
  <c r="J54" i="22"/>
  <c r="J55" i="22"/>
  <c r="J56" i="22"/>
  <c r="J57" i="22"/>
  <c r="J58" i="22"/>
  <c r="J59" i="22"/>
  <c r="J60" i="22"/>
  <c r="J61" i="22"/>
  <c r="J62" i="22"/>
  <c r="J63" i="22"/>
  <c r="J64" i="22"/>
  <c r="J65" i="22"/>
  <c r="J66" i="22"/>
  <c r="J67" i="22"/>
  <c r="J68" i="22"/>
  <c r="J69" i="22"/>
  <c r="J70" i="22"/>
  <c r="J71" i="22"/>
  <c r="J72" i="22"/>
  <c r="J74" i="22"/>
  <c r="J77" i="22"/>
  <c r="J75" i="22"/>
  <c r="J76" i="22"/>
  <c r="J78" i="22"/>
  <c r="J79" i="22"/>
  <c r="J80" i="22"/>
  <c r="J81" i="22"/>
  <c r="J82" i="22"/>
  <c r="J83" i="22"/>
  <c r="J84" i="22"/>
  <c r="J85" i="22"/>
  <c r="J86" i="22"/>
  <c r="J87" i="22"/>
  <c r="J88" i="22"/>
  <c r="J89" i="22"/>
  <c r="J90" i="22"/>
  <c r="J91" i="22"/>
  <c r="J92" i="22"/>
  <c r="J93" i="22"/>
  <c r="J94" i="22"/>
  <c r="J95" i="22"/>
  <c r="J96" i="22"/>
  <c r="J97" i="22"/>
  <c r="J98" i="22"/>
  <c r="J99" i="22"/>
  <c r="J100" i="22"/>
  <c r="J101" i="22"/>
  <c r="J103" i="22"/>
  <c r="J105" i="22"/>
  <c r="J106" i="22"/>
  <c r="J107" i="22"/>
  <c r="J108" i="22"/>
  <c r="J109" i="22"/>
  <c r="J110" i="22"/>
  <c r="J111" i="22"/>
  <c r="J112" i="22"/>
  <c r="J113" i="22"/>
  <c r="J114" i="22"/>
  <c r="J115" i="22"/>
  <c r="J116" i="22"/>
  <c r="J117" i="22"/>
  <c r="J118" i="22"/>
  <c r="J119" i="22"/>
  <c r="J120" i="22"/>
  <c r="J121" i="22"/>
  <c r="J122" i="22"/>
  <c r="J123" i="22"/>
  <c r="J124" i="22"/>
  <c r="J126" i="22"/>
  <c r="J127" i="22"/>
  <c r="J128" i="22"/>
  <c r="J129" i="22"/>
  <c r="J130" i="22"/>
  <c r="J131" i="22"/>
  <c r="J132" i="22"/>
  <c r="J133" i="22"/>
  <c r="J134" i="22"/>
  <c r="J137" i="22"/>
  <c r="J138" i="22"/>
  <c r="J139" i="22"/>
  <c r="J140" i="22"/>
  <c r="J141" i="22"/>
  <c r="J142" i="22"/>
  <c r="J143" i="22"/>
  <c r="J144" i="22"/>
  <c r="J145" i="22"/>
  <c r="J146" i="22"/>
  <c r="J147" i="22"/>
  <c r="J148" i="22"/>
  <c r="J151" i="22"/>
  <c r="J152" i="22"/>
  <c r="J153" i="22"/>
  <c r="J154" i="22"/>
  <c r="J158" i="22"/>
  <c r="J159" i="22"/>
  <c r="J160" i="22"/>
  <c r="J161" i="22"/>
  <c r="J162" i="22"/>
  <c r="J163" i="22"/>
  <c r="J164" i="22"/>
  <c r="J165" i="22"/>
  <c r="J166" i="22"/>
  <c r="J167" i="22"/>
  <c r="J168" i="22"/>
  <c r="J169" i="22"/>
  <c r="J170" i="22"/>
  <c r="J171" i="22"/>
  <c r="J172" i="22"/>
  <c r="J173" i="22"/>
  <c r="J174" i="22"/>
  <c r="J176" i="22"/>
  <c r="J177" i="22"/>
  <c r="J178" i="22"/>
  <c r="J179" i="22"/>
  <c r="J180" i="22"/>
  <c r="J181" i="22"/>
  <c r="J182" i="22"/>
  <c r="J183" i="22"/>
  <c r="J184" i="22"/>
  <c r="J185" i="22"/>
  <c r="J186" i="22"/>
  <c r="J187" i="22"/>
  <c r="J189" i="22"/>
  <c r="J190" i="22"/>
  <c r="J191" i="22"/>
  <c r="J192" i="22"/>
  <c r="J193" i="22"/>
  <c r="J194" i="22"/>
  <c r="J195" i="22"/>
  <c r="J196" i="22"/>
  <c r="J197" i="22"/>
  <c r="J198" i="22"/>
  <c r="J199" i="22"/>
  <c r="J200" i="22"/>
  <c r="J203" i="22"/>
  <c r="J204" i="22"/>
  <c r="J206" i="22"/>
  <c r="J211" i="22"/>
  <c r="J212" i="22"/>
  <c r="J213" i="22"/>
  <c r="J214" i="22"/>
  <c r="J215" i="22"/>
  <c r="J217" i="22"/>
  <c r="J218" i="22"/>
  <c r="J219" i="22"/>
  <c r="J220" i="22"/>
  <c r="J221" i="22"/>
  <c r="J222" i="22"/>
  <c r="J223" i="22"/>
  <c r="J224" i="22"/>
  <c r="J225" i="22"/>
  <c r="J226" i="22"/>
  <c r="J227" i="22"/>
  <c r="J228" i="22"/>
  <c r="J229" i="22"/>
  <c r="J230" i="22"/>
  <c r="J231" i="22"/>
  <c r="J232" i="22"/>
  <c r="J233" i="22"/>
  <c r="J234" i="22"/>
  <c r="J235" i="22"/>
  <c r="J236" i="22"/>
  <c r="J237" i="22"/>
  <c r="J238" i="22"/>
  <c r="J239" i="22"/>
  <c r="J240" i="22"/>
  <c r="J241" i="22"/>
  <c r="J242" i="22"/>
  <c r="J243" i="22"/>
  <c r="J244" i="22"/>
  <c r="J245" i="22"/>
  <c r="J246" i="22"/>
  <c r="J247" i="22"/>
  <c r="J248" i="22"/>
  <c r="J4" i="22"/>
  <c r="H6" i="23"/>
  <c r="H8" i="23"/>
  <c r="H10" i="23"/>
  <c r="H11" i="23"/>
  <c r="H12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8" i="23"/>
  <c r="H39" i="23"/>
  <c r="H40" i="23"/>
  <c r="H4" i="23"/>
  <c r="J6" i="19" a="1"/>
  <c r="J6" i="19" s="1"/>
  <c r="I6" i="19" a="1"/>
  <c r="I6" i="19" s="1"/>
  <c r="H6" i="19" a="1"/>
  <c r="H6" i="19" s="1"/>
  <c r="G6" i="19" a="1"/>
  <c r="G6" i="19" s="1"/>
  <c r="F6" i="19" a="1"/>
  <c r="F6" i="19" s="1"/>
  <c r="E6" i="19" a="1"/>
  <c r="E6" i="19" s="1"/>
  <c r="D6" i="19" a="1"/>
  <c r="D6" i="19" s="1"/>
  <c r="B12" i="19" a="1"/>
  <c r="B12" i="19" s="1"/>
  <c r="B11" i="19" a="1"/>
  <c r="B11" i="19" s="1"/>
  <c r="B10" i="19" a="1"/>
  <c r="B10" i="19" s="1"/>
  <c r="B9" i="19" a="1"/>
  <c r="B9" i="19" s="1"/>
  <c r="B8" i="19" a="1"/>
  <c r="B8" i="19" s="1"/>
  <c r="C6" i="19" a="1"/>
  <c r="C6" i="19" s="1"/>
  <c r="B6" i="19" a="1"/>
  <c r="B6" i="19" s="1"/>
  <c r="K8" i="34" a="1"/>
  <c r="K8" i="34" s="1"/>
  <c r="J8" i="34" a="1"/>
  <c r="J8" i="34" s="1"/>
  <c r="I8" i="34" a="1"/>
  <c r="I8" i="34" s="1"/>
  <c r="H8" i="34" a="1"/>
  <c r="H8" i="34" s="1"/>
  <c r="G8" i="34" a="1"/>
  <c r="G8" i="34" s="1"/>
  <c r="F8" i="34" a="1"/>
  <c r="F8" i="34" s="1"/>
  <c r="E8" i="34" a="1"/>
  <c r="E8" i="34" s="1"/>
  <c r="D524" i="37"/>
  <c r="D525" i="37"/>
  <c r="D526" i="37"/>
  <c r="D527" i="37"/>
  <c r="D528" i="37"/>
  <c r="D529" i="37"/>
  <c r="D530" i="37"/>
  <c r="D531" i="37"/>
  <c r="D532" i="37"/>
  <c r="D533" i="37"/>
  <c r="D534" i="37"/>
  <c r="D535" i="37"/>
  <c r="D536" i="37"/>
  <c r="D537" i="37"/>
  <c r="D538" i="37"/>
  <c r="D523" i="37"/>
  <c r="D502" i="37"/>
  <c r="D503" i="37"/>
  <c r="D504" i="37"/>
  <c r="D505" i="37"/>
  <c r="D506" i="37"/>
  <c r="D507" i="37"/>
  <c r="D508" i="37"/>
  <c r="D509" i="37"/>
  <c r="D510" i="37"/>
  <c r="D511" i="37"/>
  <c r="D512" i="37"/>
  <c r="D513" i="37"/>
  <c r="D514" i="37"/>
  <c r="D515" i="37"/>
  <c r="D516" i="37"/>
  <c r="D517" i="37"/>
  <c r="D518" i="37"/>
  <c r="D519" i="37"/>
  <c r="D501" i="37"/>
  <c r="D409" i="37"/>
  <c r="D410" i="37"/>
  <c r="D411" i="37"/>
  <c r="D412" i="37"/>
  <c r="D413" i="37"/>
  <c r="D414" i="37"/>
  <c r="D415" i="37"/>
  <c r="D416" i="37"/>
  <c r="D417" i="37"/>
  <c r="D418" i="37"/>
  <c r="D419" i="37"/>
  <c r="D420" i="37"/>
  <c r="D421" i="37"/>
  <c r="D422" i="37"/>
  <c r="D423" i="37"/>
  <c r="D424" i="37"/>
  <c r="D425" i="37"/>
  <c r="D426" i="37"/>
  <c r="D427" i="37"/>
  <c r="D428" i="37"/>
  <c r="D429" i="37"/>
  <c r="D430" i="37"/>
  <c r="D431" i="37"/>
  <c r="D432" i="37"/>
  <c r="D433" i="37"/>
  <c r="D434" i="37"/>
  <c r="D435" i="37"/>
  <c r="D436" i="37"/>
  <c r="D437" i="37"/>
  <c r="D438" i="37"/>
  <c r="D439" i="37"/>
  <c r="D440" i="37"/>
  <c r="D441" i="37"/>
  <c r="D442" i="37"/>
  <c r="D443" i="37"/>
  <c r="D352" i="37"/>
  <c r="D353" i="37"/>
  <c r="D354" i="37"/>
  <c r="D355" i="37"/>
  <c r="D356" i="37"/>
  <c r="D357" i="37"/>
  <c r="D358" i="37"/>
  <c r="D359" i="37"/>
  <c r="D360" i="37"/>
  <c r="D361" i="37"/>
  <c r="D362" i="37"/>
  <c r="D363" i="37"/>
  <c r="D364" i="37"/>
  <c r="D365" i="37"/>
  <c r="D366" i="37"/>
  <c r="D367" i="37"/>
  <c r="D368" i="37"/>
  <c r="D369" i="37"/>
  <c r="D370" i="37"/>
  <c r="D371" i="37"/>
  <c r="D372" i="37"/>
  <c r="D373" i="37"/>
  <c r="D374" i="37"/>
  <c r="D375" i="37"/>
  <c r="D376" i="37"/>
  <c r="D377" i="37"/>
  <c r="D378" i="37"/>
  <c r="D379" i="37"/>
  <c r="D380" i="37"/>
  <c r="D381" i="37"/>
  <c r="D382" i="37"/>
  <c r="D383" i="37"/>
  <c r="D384" i="37"/>
  <c r="D385" i="37"/>
  <c r="D386" i="37"/>
  <c r="D387" i="37"/>
  <c r="D388" i="37"/>
  <c r="D389" i="37"/>
  <c r="D390" i="37"/>
  <c r="D391" i="37"/>
  <c r="D392" i="37"/>
  <c r="D393" i="37"/>
  <c r="D394" i="37"/>
  <c r="D395" i="37"/>
  <c r="D396" i="37"/>
  <c r="D397" i="37"/>
  <c r="D398" i="37"/>
  <c r="D399" i="37"/>
  <c r="D400" i="37"/>
  <c r="D401" i="37"/>
  <c r="D402" i="37"/>
  <c r="D35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D161" i="37"/>
  <c r="D162" i="37"/>
  <c r="D163" i="37"/>
  <c r="D164" i="37"/>
  <c r="D165" i="37"/>
  <c r="D166" i="37"/>
  <c r="D167" i="37"/>
  <c r="D168" i="37"/>
  <c r="D91" i="37"/>
  <c r="D449" i="37"/>
  <c r="D450" i="37"/>
  <c r="D451" i="37"/>
  <c r="D452" i="37"/>
  <c r="D453" i="37"/>
  <c r="D454" i="37"/>
  <c r="D455" i="37"/>
  <c r="D456" i="37"/>
  <c r="D457" i="37"/>
  <c r="D458" i="37"/>
  <c r="D459" i="37"/>
  <c r="D460" i="37"/>
  <c r="D461" i="37"/>
  <c r="D462" i="37"/>
  <c r="D463" i="37"/>
  <c r="D464" i="37"/>
  <c r="D465" i="37"/>
  <c r="D466" i="37"/>
  <c r="D467" i="37"/>
  <c r="D468" i="37"/>
  <c r="D469" i="37"/>
  <c r="D470" i="37"/>
  <c r="D471" i="37"/>
  <c r="D472" i="37"/>
  <c r="D473" i="37"/>
  <c r="D474" i="37"/>
  <c r="D475" i="37"/>
  <c r="D476" i="37"/>
  <c r="D477" i="37"/>
  <c r="D478" i="37"/>
  <c r="D479" i="37"/>
  <c r="D480" i="37"/>
  <c r="D481" i="37"/>
  <c r="D482" i="37"/>
  <c r="D483" i="37"/>
  <c r="D484" i="37"/>
  <c r="D485" i="37"/>
  <c r="D486" i="37"/>
  <c r="D487" i="37"/>
  <c r="D488" i="37"/>
  <c r="D489" i="37"/>
  <c r="D490" i="37"/>
  <c r="D491" i="37"/>
  <c r="D492" i="37"/>
  <c r="D493" i="37"/>
  <c r="D448" i="37"/>
  <c r="K524" i="37"/>
  <c r="K525" i="37"/>
  <c r="K526" i="37"/>
  <c r="K537" i="37"/>
  <c r="K538" i="37"/>
  <c r="K523" i="37"/>
  <c r="G524" i="37"/>
  <c r="G525" i="37"/>
  <c r="G526" i="37"/>
  <c r="G527" i="37"/>
  <c r="G528" i="37"/>
  <c r="G529" i="37"/>
  <c r="G530" i="37"/>
  <c r="G531" i="37"/>
  <c r="G532" i="37"/>
  <c r="G533" i="37"/>
  <c r="G534" i="37"/>
  <c r="G535" i="37"/>
  <c r="G536" i="37"/>
  <c r="G537" i="37"/>
  <c r="G538" i="37"/>
  <c r="G523" i="37"/>
  <c r="E524" i="37"/>
  <c r="E525" i="37"/>
  <c r="E526" i="37"/>
  <c r="E527" i="37"/>
  <c r="E528" i="37"/>
  <c r="E529" i="37"/>
  <c r="E530" i="37"/>
  <c r="E531" i="37"/>
  <c r="E532" i="37"/>
  <c r="E533" i="37"/>
  <c r="E534" i="37"/>
  <c r="E535" i="37"/>
  <c r="E536" i="37"/>
  <c r="E537" i="37"/>
  <c r="E538" i="37"/>
  <c r="E523" i="37"/>
  <c r="I523" i="37" s="1"/>
  <c r="K502" i="37"/>
  <c r="K503" i="37"/>
  <c r="K504" i="37"/>
  <c r="K505" i="37"/>
  <c r="K506" i="37"/>
  <c r="K507" i="37"/>
  <c r="K508" i="37"/>
  <c r="K509" i="37"/>
  <c r="K510" i="37"/>
  <c r="K511" i="37"/>
  <c r="K512" i="37"/>
  <c r="K513" i="37"/>
  <c r="K514" i="37"/>
  <c r="K515" i="37"/>
  <c r="K516" i="37"/>
  <c r="K517" i="37"/>
  <c r="K518" i="37"/>
  <c r="K519" i="37"/>
  <c r="K501" i="37"/>
  <c r="G501" i="37"/>
  <c r="G502" i="37"/>
  <c r="G503" i="37"/>
  <c r="G504" i="37"/>
  <c r="G505" i="37"/>
  <c r="G506" i="37"/>
  <c r="G507" i="37"/>
  <c r="G508" i="37"/>
  <c r="G509" i="37"/>
  <c r="G510" i="37"/>
  <c r="G511" i="37"/>
  <c r="G512" i="37"/>
  <c r="G513" i="37"/>
  <c r="G514" i="37"/>
  <c r="G515" i="37"/>
  <c r="G516" i="37"/>
  <c r="G517" i="37"/>
  <c r="G518" i="37"/>
  <c r="G519" i="37"/>
  <c r="E501" i="37"/>
  <c r="E502" i="37"/>
  <c r="E503" i="37"/>
  <c r="E504" i="37"/>
  <c r="E505" i="37"/>
  <c r="E506" i="37"/>
  <c r="E507" i="37"/>
  <c r="H507" i="37" s="1"/>
  <c r="E508" i="37"/>
  <c r="E509" i="37"/>
  <c r="E510" i="37"/>
  <c r="E511" i="37"/>
  <c r="E512" i="37"/>
  <c r="E513" i="37"/>
  <c r="E514" i="37"/>
  <c r="E515" i="37"/>
  <c r="E516" i="37"/>
  <c r="E517" i="37"/>
  <c r="E518" i="37"/>
  <c r="E519" i="37"/>
  <c r="N499" i="37"/>
  <c r="M501" i="37"/>
  <c r="M502" i="37"/>
  <c r="M503" i="37"/>
  <c r="M504" i="37"/>
  <c r="M505" i="37"/>
  <c r="M506" i="37"/>
  <c r="M507" i="37"/>
  <c r="M508" i="37"/>
  <c r="M509" i="37"/>
  <c r="M510" i="37"/>
  <c r="M511" i="37"/>
  <c r="M512" i="37"/>
  <c r="M513" i="37"/>
  <c r="M514" i="37"/>
  <c r="M515" i="37"/>
  <c r="M516" i="37"/>
  <c r="M517" i="37"/>
  <c r="M518" i="37"/>
  <c r="M519" i="37"/>
  <c r="M523" i="37"/>
  <c r="G450" i="37"/>
  <c r="G451" i="37"/>
  <c r="G452" i="37"/>
  <c r="G453" i="37"/>
  <c r="G454" i="37"/>
  <c r="G455" i="37"/>
  <c r="G456" i="37"/>
  <c r="G457" i="37"/>
  <c r="G458" i="37"/>
  <c r="G459" i="37"/>
  <c r="G460" i="37"/>
  <c r="G461" i="37"/>
  <c r="G462" i="37"/>
  <c r="G463" i="37"/>
  <c r="G464" i="37"/>
  <c r="G465" i="37"/>
  <c r="G466" i="37"/>
  <c r="G467" i="37"/>
  <c r="G468" i="37"/>
  <c r="G469" i="37"/>
  <c r="G470" i="37"/>
  <c r="G471" i="37"/>
  <c r="G472" i="37"/>
  <c r="G473" i="37"/>
  <c r="G474" i="37"/>
  <c r="G475" i="37"/>
  <c r="G476" i="37"/>
  <c r="G477" i="37"/>
  <c r="G478" i="37"/>
  <c r="G479" i="37"/>
  <c r="G480" i="37"/>
  <c r="G481" i="37"/>
  <c r="G482" i="37"/>
  <c r="G483" i="37"/>
  <c r="G484" i="37"/>
  <c r="G485" i="37"/>
  <c r="G486" i="37"/>
  <c r="G487" i="37"/>
  <c r="G488" i="37"/>
  <c r="G489" i="37"/>
  <c r="G490" i="37"/>
  <c r="G491" i="37"/>
  <c r="G492" i="37"/>
  <c r="G493" i="37"/>
  <c r="G448" i="37"/>
  <c r="E449" i="37"/>
  <c r="E450" i="37"/>
  <c r="E451" i="37"/>
  <c r="E452" i="37"/>
  <c r="E453" i="37"/>
  <c r="E454" i="37"/>
  <c r="E455" i="37"/>
  <c r="E456" i="37"/>
  <c r="E457" i="37"/>
  <c r="E458" i="37"/>
  <c r="E459" i="37"/>
  <c r="E460" i="37"/>
  <c r="E461" i="37"/>
  <c r="E462" i="37"/>
  <c r="E463" i="37"/>
  <c r="E464" i="37"/>
  <c r="E465" i="37"/>
  <c r="E466" i="37"/>
  <c r="E467" i="37"/>
  <c r="E468" i="37"/>
  <c r="E469" i="37"/>
  <c r="E470" i="37"/>
  <c r="E471" i="37"/>
  <c r="E472" i="37"/>
  <c r="E473" i="37"/>
  <c r="E474" i="37"/>
  <c r="E475" i="37"/>
  <c r="E476" i="37"/>
  <c r="E477" i="37"/>
  <c r="E478" i="37"/>
  <c r="E479" i="37"/>
  <c r="E480" i="37"/>
  <c r="E481" i="37"/>
  <c r="E482" i="37"/>
  <c r="E483" i="37"/>
  <c r="E484" i="37"/>
  <c r="E485" i="37"/>
  <c r="E486" i="37"/>
  <c r="E487" i="37"/>
  <c r="E488" i="37"/>
  <c r="E489" i="37"/>
  <c r="E490" i="37"/>
  <c r="E491" i="37"/>
  <c r="E492" i="37"/>
  <c r="E493" i="37"/>
  <c r="E448" i="37"/>
  <c r="K409" i="37"/>
  <c r="K410" i="37"/>
  <c r="K411" i="37"/>
  <c r="K412" i="37"/>
  <c r="K413" i="37"/>
  <c r="K414" i="37"/>
  <c r="K415" i="37"/>
  <c r="K416" i="37"/>
  <c r="K408" i="37"/>
  <c r="E409" i="37"/>
  <c r="H409" i="37" s="1"/>
  <c r="E410" i="37"/>
  <c r="E411" i="37"/>
  <c r="E412" i="37"/>
  <c r="E413" i="37"/>
  <c r="E414" i="37"/>
  <c r="E415" i="37"/>
  <c r="E416" i="37"/>
  <c r="E417" i="37"/>
  <c r="E418" i="37"/>
  <c r="E419" i="37"/>
  <c r="E420" i="37"/>
  <c r="E421" i="37"/>
  <c r="E422" i="37"/>
  <c r="E423" i="37"/>
  <c r="E424" i="37"/>
  <c r="E425" i="37"/>
  <c r="E426" i="37"/>
  <c r="E427" i="37"/>
  <c r="E428" i="37"/>
  <c r="E429" i="37"/>
  <c r="E430" i="37"/>
  <c r="E431" i="37"/>
  <c r="E432" i="37"/>
  <c r="E433" i="37"/>
  <c r="E434" i="37"/>
  <c r="E435" i="37"/>
  <c r="E436" i="37"/>
  <c r="E437" i="37"/>
  <c r="E438" i="37"/>
  <c r="E439" i="37"/>
  <c r="E440" i="37"/>
  <c r="E441" i="37"/>
  <c r="E442" i="37"/>
  <c r="E443" i="37"/>
  <c r="J408" i="37"/>
  <c r="N349" i="37"/>
  <c r="K352" i="37"/>
  <c r="K353" i="37"/>
  <c r="K354" i="37"/>
  <c r="K355" i="37"/>
  <c r="K356" i="37"/>
  <c r="K357" i="37"/>
  <c r="K358" i="37"/>
  <c r="K359" i="37"/>
  <c r="K360" i="37"/>
  <c r="K365" i="37"/>
  <c r="K366" i="37"/>
  <c r="K367" i="37"/>
  <c r="K368" i="37"/>
  <c r="K369" i="37"/>
  <c r="K370" i="37"/>
  <c r="K371" i="37"/>
  <c r="K372" i="37"/>
  <c r="K373" i="37"/>
  <c r="K374" i="37"/>
  <c r="K375" i="37"/>
  <c r="K376" i="37"/>
  <c r="K377" i="37"/>
  <c r="K378" i="37"/>
  <c r="K379" i="37"/>
  <c r="K380" i="37"/>
  <c r="K381" i="37"/>
  <c r="K382" i="37"/>
  <c r="K383" i="37"/>
  <c r="K384" i="37"/>
  <c r="K385" i="37"/>
  <c r="K386" i="37"/>
  <c r="K387" i="37"/>
  <c r="K388" i="37"/>
  <c r="K389" i="37"/>
  <c r="K390" i="37"/>
  <c r="K391" i="37"/>
  <c r="K392" i="37"/>
  <c r="K393" i="37"/>
  <c r="K394" i="37"/>
  <c r="K395" i="37"/>
  <c r="K396" i="37"/>
  <c r="K397" i="37"/>
  <c r="K398" i="37"/>
  <c r="K399" i="37"/>
  <c r="K400" i="37"/>
  <c r="K401" i="37"/>
  <c r="K402" i="37"/>
  <c r="K403" i="37"/>
  <c r="K404" i="37"/>
  <c r="K405" i="37"/>
  <c r="K351" i="37"/>
  <c r="J403" i="37"/>
  <c r="J404" i="37"/>
  <c r="J405" i="37"/>
  <c r="I403" i="37"/>
  <c r="I404" i="37"/>
  <c r="I405" i="37"/>
  <c r="H403" i="37"/>
  <c r="H404" i="37"/>
  <c r="H405" i="37"/>
  <c r="G352" i="37"/>
  <c r="G353" i="37"/>
  <c r="G354" i="37"/>
  <c r="G355" i="37"/>
  <c r="G356" i="37"/>
  <c r="G357" i="37"/>
  <c r="G358" i="37"/>
  <c r="G359" i="37"/>
  <c r="G360" i="37"/>
  <c r="G361" i="37"/>
  <c r="G362" i="37"/>
  <c r="G363" i="37"/>
  <c r="G364" i="37"/>
  <c r="G365" i="37"/>
  <c r="G366" i="37"/>
  <c r="G367" i="37"/>
  <c r="G368" i="37"/>
  <c r="G369" i="37"/>
  <c r="G370" i="37"/>
  <c r="G371" i="37"/>
  <c r="G372" i="37"/>
  <c r="G373" i="37"/>
  <c r="G374" i="37"/>
  <c r="G375" i="37"/>
  <c r="G376" i="37"/>
  <c r="G377" i="37"/>
  <c r="G378" i="37"/>
  <c r="G379" i="37"/>
  <c r="G380" i="37"/>
  <c r="G381" i="37"/>
  <c r="G382" i="37"/>
  <c r="G383" i="37"/>
  <c r="G384" i="37"/>
  <c r="G385" i="37"/>
  <c r="G386" i="37"/>
  <c r="G387" i="37"/>
  <c r="G388" i="37"/>
  <c r="G389" i="37"/>
  <c r="G390" i="37"/>
  <c r="G391" i="37"/>
  <c r="G392" i="37"/>
  <c r="G393" i="37"/>
  <c r="G394" i="37"/>
  <c r="G395" i="37"/>
  <c r="G396" i="37"/>
  <c r="G397" i="37"/>
  <c r="G398" i="37"/>
  <c r="G399" i="37"/>
  <c r="G400" i="37"/>
  <c r="G401" i="37"/>
  <c r="G402" i="37"/>
  <c r="G403" i="37"/>
  <c r="G404" i="37"/>
  <c r="G405" i="37"/>
  <c r="G351" i="37"/>
  <c r="E352" i="37"/>
  <c r="E353" i="37"/>
  <c r="E354" i="37"/>
  <c r="E355" i="37"/>
  <c r="E356" i="37"/>
  <c r="E357" i="37"/>
  <c r="E358" i="37"/>
  <c r="E359" i="37"/>
  <c r="E360" i="37"/>
  <c r="E361" i="37"/>
  <c r="E362" i="37"/>
  <c r="E363" i="37"/>
  <c r="E364" i="37"/>
  <c r="E365" i="37"/>
  <c r="E366" i="37"/>
  <c r="E367" i="37"/>
  <c r="E368" i="37"/>
  <c r="E369" i="37"/>
  <c r="E370" i="37"/>
  <c r="E371" i="37"/>
  <c r="E372" i="37"/>
  <c r="E373" i="37"/>
  <c r="E374" i="37"/>
  <c r="E375" i="37"/>
  <c r="E376" i="37"/>
  <c r="E377" i="37"/>
  <c r="E378" i="37"/>
  <c r="E379" i="37"/>
  <c r="E380" i="37"/>
  <c r="E381" i="37"/>
  <c r="E382" i="37"/>
  <c r="E383" i="37"/>
  <c r="E384" i="37"/>
  <c r="E385" i="37"/>
  <c r="E386" i="37"/>
  <c r="E387" i="37"/>
  <c r="E388" i="37"/>
  <c r="E389" i="37"/>
  <c r="E390" i="37"/>
  <c r="E391" i="37"/>
  <c r="E392" i="37"/>
  <c r="E393" i="37"/>
  <c r="E394" i="37"/>
  <c r="E395" i="37"/>
  <c r="E396" i="37"/>
  <c r="E397" i="37"/>
  <c r="E398" i="37"/>
  <c r="E399" i="37"/>
  <c r="E400" i="37"/>
  <c r="E401" i="37"/>
  <c r="E402" i="37"/>
  <c r="E351" i="37"/>
  <c r="M6" i="37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22" i="37"/>
  <c r="M23" i="37"/>
  <c r="M24" i="37"/>
  <c r="M25" i="37"/>
  <c r="M26" i="37"/>
  <c r="M27" i="37"/>
  <c r="M28" i="37"/>
  <c r="M29" i="37"/>
  <c r="M30" i="37"/>
  <c r="M31" i="37"/>
  <c r="M32" i="37"/>
  <c r="M33" i="37"/>
  <c r="M34" i="37"/>
  <c r="M35" i="37"/>
  <c r="M36" i="37"/>
  <c r="M37" i="37"/>
  <c r="M38" i="37"/>
  <c r="M39" i="37"/>
  <c r="M40" i="37"/>
  <c r="M41" i="37"/>
  <c r="M42" i="37"/>
  <c r="M43" i="37"/>
  <c r="M44" i="37"/>
  <c r="M45" i="37"/>
  <c r="M46" i="37"/>
  <c r="M47" i="37"/>
  <c r="M48" i="37"/>
  <c r="M49" i="37"/>
  <c r="M50" i="37"/>
  <c r="M51" i="37"/>
  <c r="M52" i="37"/>
  <c r="M53" i="37"/>
  <c r="M54" i="37"/>
  <c r="M55" i="37"/>
  <c r="M56" i="37"/>
  <c r="M57" i="37"/>
  <c r="M58" i="37"/>
  <c r="M59" i="37"/>
  <c r="M60" i="37"/>
  <c r="M61" i="37"/>
  <c r="M62" i="37"/>
  <c r="M63" i="37"/>
  <c r="M64" i="37"/>
  <c r="M65" i="37"/>
  <c r="M66" i="37"/>
  <c r="M67" i="37"/>
  <c r="M68" i="37"/>
  <c r="M69" i="37"/>
  <c r="M70" i="37"/>
  <c r="M71" i="37"/>
  <c r="M72" i="37"/>
  <c r="M73" i="37"/>
  <c r="M74" i="37"/>
  <c r="M75" i="37"/>
  <c r="M76" i="37"/>
  <c r="M77" i="37"/>
  <c r="M78" i="37"/>
  <c r="M79" i="37"/>
  <c r="M80" i="37"/>
  <c r="M81" i="37"/>
  <c r="M82" i="37"/>
  <c r="M83" i="37"/>
  <c r="M84" i="37"/>
  <c r="M85" i="37"/>
  <c r="M86" i="37"/>
  <c r="M87" i="37"/>
  <c r="M88" i="37"/>
  <c r="M89" i="37"/>
  <c r="I349" i="37"/>
  <c r="G5" i="37"/>
  <c r="G6" i="37"/>
  <c r="I1" i="37" s="1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21" i="37"/>
  <c r="G22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57" i="37"/>
  <c r="G58" i="37"/>
  <c r="G59" i="37"/>
  <c r="G60" i="37"/>
  <c r="G61" i="37"/>
  <c r="G62" i="37"/>
  <c r="G63" i="37"/>
  <c r="G64" i="37"/>
  <c r="G65" i="37"/>
  <c r="G66" i="37"/>
  <c r="G67" i="37"/>
  <c r="G68" i="37"/>
  <c r="G69" i="37"/>
  <c r="G70" i="37"/>
  <c r="G71" i="37"/>
  <c r="G72" i="37"/>
  <c r="G73" i="37"/>
  <c r="G74" i="37"/>
  <c r="G75" i="37"/>
  <c r="G76" i="37"/>
  <c r="G77" i="37"/>
  <c r="G78" i="37"/>
  <c r="G79" i="37"/>
  <c r="G80" i="37"/>
  <c r="G81" i="37"/>
  <c r="G82" i="37"/>
  <c r="G83" i="37"/>
  <c r="G84" i="37"/>
  <c r="E6" i="37"/>
  <c r="E7" i="37"/>
  <c r="E8" i="37"/>
  <c r="E9" i="37"/>
  <c r="E10" i="37"/>
  <c r="E11" i="37"/>
  <c r="E12" i="37"/>
  <c r="E13" i="37"/>
  <c r="E14" i="37"/>
  <c r="I14" i="37" s="1"/>
  <c r="E15" i="37"/>
  <c r="E16" i="37"/>
  <c r="E17" i="37"/>
  <c r="E18" i="37"/>
  <c r="E19" i="37"/>
  <c r="E20" i="37"/>
  <c r="E21" i="37"/>
  <c r="E22" i="37"/>
  <c r="E23" i="37"/>
  <c r="E24" i="37"/>
  <c r="E25" i="37"/>
  <c r="E26" i="37"/>
  <c r="E27" i="37"/>
  <c r="E28" i="37"/>
  <c r="E29" i="37"/>
  <c r="E30" i="37"/>
  <c r="E31" i="37"/>
  <c r="E32" i="37"/>
  <c r="E33" i="37"/>
  <c r="E34" i="37"/>
  <c r="E35" i="37"/>
  <c r="E36" i="37"/>
  <c r="E37" i="37"/>
  <c r="E38" i="37"/>
  <c r="E39" i="37"/>
  <c r="E40" i="37"/>
  <c r="E41" i="37"/>
  <c r="E42" i="37"/>
  <c r="E43" i="37"/>
  <c r="E44" i="37"/>
  <c r="E45" i="37"/>
  <c r="E46" i="37"/>
  <c r="E47" i="37"/>
  <c r="E48" i="37"/>
  <c r="E49" i="37"/>
  <c r="E50" i="37"/>
  <c r="E51" i="37"/>
  <c r="E52" i="37"/>
  <c r="E53" i="37"/>
  <c r="E54" i="37"/>
  <c r="E55" i="37"/>
  <c r="E56" i="37"/>
  <c r="E57" i="37"/>
  <c r="E58" i="37"/>
  <c r="E59" i="37"/>
  <c r="E60" i="37"/>
  <c r="E61" i="37"/>
  <c r="E62" i="37"/>
  <c r="E63" i="37"/>
  <c r="E64" i="37"/>
  <c r="E65" i="37"/>
  <c r="E66" i="37"/>
  <c r="E67" i="37"/>
  <c r="E68" i="37"/>
  <c r="E69" i="37"/>
  <c r="E70" i="37"/>
  <c r="E71" i="37"/>
  <c r="E72" i="37"/>
  <c r="E73" i="37"/>
  <c r="E74" i="37"/>
  <c r="E75" i="37"/>
  <c r="E76" i="37"/>
  <c r="E77" i="37"/>
  <c r="E78" i="37"/>
  <c r="E5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56" i="37"/>
  <c r="D6" i="37"/>
  <c r="D7" i="37"/>
  <c r="D8" i="37"/>
  <c r="D9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" i="37"/>
  <c r="A148" i="37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A161" i="37" s="1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175" i="37" s="1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99" i="37" s="1"/>
  <c r="A200" i="37" s="1"/>
  <c r="A201" i="37" s="1"/>
  <c r="A202" i="37" s="1"/>
  <c r="A203" i="37" s="1"/>
  <c r="A204" i="37" s="1"/>
  <c r="A205" i="37" s="1"/>
  <c r="A206" i="37" s="1"/>
  <c r="A207" i="37" s="1"/>
  <c r="A208" i="37" s="1"/>
  <c r="A209" i="37" s="1"/>
  <c r="A210" i="37" s="1"/>
  <c r="A211" i="37" s="1"/>
  <c r="A212" i="37" s="1"/>
  <c r="A213" i="37" s="1"/>
  <c r="A214" i="37" s="1"/>
  <c r="A215" i="37" s="1"/>
  <c r="A216" i="37" s="1"/>
  <c r="A217" i="37" s="1"/>
  <c r="A218" i="37" s="1"/>
  <c r="A219" i="37" s="1"/>
  <c r="A220" i="37" s="1"/>
  <c r="A221" i="37" s="1"/>
  <c r="A222" i="37" s="1"/>
  <c r="A223" i="37" s="1"/>
  <c r="A224" i="37" s="1"/>
  <c r="A225" i="37" s="1"/>
  <c r="A226" i="37" s="1"/>
  <c r="A227" i="37" s="1"/>
  <c r="A228" i="37" s="1"/>
  <c r="A229" i="37" s="1"/>
  <c r="A230" i="37" s="1"/>
  <c r="A231" i="37" s="1"/>
  <c r="A232" i="37" s="1"/>
  <c r="A233" i="37" s="1"/>
  <c r="A234" i="37" s="1"/>
  <c r="A235" i="37" s="1"/>
  <c r="A236" i="37" s="1"/>
  <c r="A237" i="37" s="1"/>
  <c r="A238" i="37" s="1"/>
  <c r="A239" i="37" s="1"/>
  <c r="A240" i="37" s="1"/>
  <c r="A241" i="37" s="1"/>
  <c r="A242" i="37" s="1"/>
  <c r="A243" i="37" s="1"/>
  <c r="A244" i="37" s="1"/>
  <c r="A245" i="37" s="1"/>
  <c r="A246" i="37" s="1"/>
  <c r="A247" i="37" s="1"/>
  <c r="A248" i="37" s="1"/>
  <c r="A249" i="37" s="1"/>
  <c r="A250" i="37" s="1"/>
  <c r="A251" i="37" s="1"/>
  <c r="A252" i="37" s="1"/>
  <c r="A253" i="37" s="1"/>
  <c r="A254" i="37" s="1"/>
  <c r="A255" i="37" s="1"/>
  <c r="A256" i="37" s="1"/>
  <c r="A257" i="37" s="1"/>
  <c r="A258" i="37" s="1"/>
  <c r="A259" i="37" s="1"/>
  <c r="A260" i="37" s="1"/>
  <c r="A261" i="37" s="1"/>
  <c r="A262" i="37" s="1"/>
  <c r="A263" i="37" s="1"/>
  <c r="A264" i="37" s="1"/>
  <c r="A265" i="37" s="1"/>
  <c r="A266" i="37" s="1"/>
  <c r="A267" i="37" s="1"/>
  <c r="A268" i="37" s="1"/>
  <c r="A269" i="37" s="1"/>
  <c r="A270" i="37" s="1"/>
  <c r="A271" i="37" s="1"/>
  <c r="A272" i="37" s="1"/>
  <c r="A273" i="37" s="1"/>
  <c r="A274" i="37" s="1"/>
  <c r="A275" i="37" s="1"/>
  <c r="A276" i="37" s="1"/>
  <c r="A277" i="37" s="1"/>
  <c r="A278" i="37" s="1"/>
  <c r="A279" i="37" s="1"/>
  <c r="A280" i="37" s="1"/>
  <c r="A281" i="37" s="1"/>
  <c r="A282" i="37" s="1"/>
  <c r="A283" i="37" s="1"/>
  <c r="A284" i="37" s="1"/>
  <c r="A285" i="37" s="1"/>
  <c r="A286" i="37" s="1"/>
  <c r="A287" i="37" s="1"/>
  <c r="A288" i="37" s="1"/>
  <c r="A289" i="37" s="1"/>
  <c r="A290" i="37" s="1"/>
  <c r="A291" i="37" s="1"/>
  <c r="A292" i="37" s="1"/>
  <c r="A293" i="37" s="1"/>
  <c r="A294" i="37" s="1"/>
  <c r="A295" i="37" s="1"/>
  <c r="A296" i="37" s="1"/>
  <c r="A297" i="37" s="1"/>
  <c r="A298" i="37" s="1"/>
  <c r="A299" i="37" s="1"/>
  <c r="A300" i="37" s="1"/>
  <c r="A301" i="37" s="1"/>
  <c r="A302" i="37" s="1"/>
  <c r="A303" i="37" s="1"/>
  <c r="A304" i="37" s="1"/>
  <c r="A305" i="37" s="1"/>
  <c r="A306" i="37" s="1"/>
  <c r="A307" i="37" s="1"/>
  <c r="A308" i="37" s="1"/>
  <c r="A309" i="37" s="1"/>
  <c r="A310" i="37" s="1"/>
  <c r="A311" i="37" s="1"/>
  <c r="A312" i="37" s="1"/>
  <c r="A313" i="37" s="1"/>
  <c r="A314" i="37" s="1"/>
  <c r="A315" i="37" s="1"/>
  <c r="A316" i="37" s="1"/>
  <c r="A317" i="37" s="1"/>
  <c r="A318" i="37" s="1"/>
  <c r="A319" i="37" s="1"/>
  <c r="A320" i="37" s="1"/>
  <c r="A321" i="37" s="1"/>
  <c r="A322" i="37" s="1"/>
  <c r="A323" i="37" s="1"/>
  <c r="A324" i="37" s="1"/>
  <c r="A325" i="37" s="1"/>
  <c r="A326" i="37" s="1"/>
  <c r="A327" i="37" s="1"/>
  <c r="A328" i="37" s="1"/>
  <c r="A329" i="37" s="1"/>
  <c r="A330" i="37" s="1"/>
  <c r="A331" i="37" s="1"/>
  <c r="A332" i="37" s="1"/>
  <c r="A333" i="37" s="1"/>
  <c r="A334" i="37" s="1"/>
  <c r="A335" i="37" s="1"/>
  <c r="A336" i="37" s="1"/>
  <c r="A337" i="37" s="1"/>
  <c r="A338" i="37" s="1"/>
  <c r="A339" i="37" s="1"/>
  <c r="A340" i="37" s="1"/>
  <c r="A341" i="37" s="1"/>
  <c r="A342" i="37" s="1"/>
  <c r="A343" i="37" s="1"/>
  <c r="A344" i="37" s="1"/>
  <c r="A345" i="37" s="1"/>
  <c r="A346" i="37" s="1"/>
  <c r="A347" i="37" s="1"/>
  <c r="A348" i="37" s="1"/>
  <c r="J349" i="37"/>
  <c r="A5" i="24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F76" i="1"/>
  <c r="F84" i="1" s="1"/>
  <c r="F83" i="1" s="1"/>
  <c r="F7" i="8"/>
  <c r="F5" i="8"/>
  <c r="F23" i="35"/>
  <c r="F29" i="35" s="1"/>
  <c r="F30" i="35" s="1"/>
  <c r="F5" i="35"/>
  <c r="F6" i="25"/>
  <c r="F6" i="24"/>
  <c r="F37" i="23"/>
  <c r="F18" i="23"/>
  <c r="F6" i="23"/>
  <c r="F5" i="1"/>
  <c r="H364" i="37" l="1"/>
  <c r="I364" i="37"/>
  <c r="J364" i="37"/>
  <c r="H363" i="37"/>
  <c r="I363" i="37"/>
  <c r="J363" i="37"/>
  <c r="H362" i="37"/>
  <c r="I362" i="37"/>
  <c r="J362" i="37"/>
  <c r="H361" i="37"/>
  <c r="I361" i="37"/>
  <c r="J361" i="37"/>
  <c r="L364" i="37" a="1"/>
  <c r="L364" i="37" s="1"/>
  <c r="N364" i="37" s="1"/>
  <c r="L363" i="37" a="1"/>
  <c r="L363" i="37" s="1"/>
  <c r="N363" i="37" s="1"/>
  <c r="L362" i="37" a="1"/>
  <c r="L362" i="37" s="1"/>
  <c r="N362" i="37" s="1"/>
  <c r="L361" i="37" a="1"/>
  <c r="L361" i="37" s="1"/>
  <c r="N361" i="37" s="1"/>
  <c r="H348" i="37"/>
  <c r="I348" i="37"/>
  <c r="J348" i="37"/>
  <c r="L347" i="37" a="1"/>
  <c r="L347" i="37" s="1"/>
  <c r="L346" i="37" a="1"/>
  <c r="L346" i="37" s="1"/>
  <c r="L345" i="37" a="1"/>
  <c r="L345" i="37" s="1"/>
  <c r="N345" i="37" s="1"/>
  <c r="N347" i="37"/>
  <c r="L344" i="37" a="1"/>
  <c r="L344" i="37" s="1"/>
  <c r="N344" i="37" s="1"/>
  <c r="L343" i="37" a="1"/>
  <c r="L343" i="37" s="1"/>
  <c r="N343" i="37" s="1"/>
  <c r="L342" i="37" a="1"/>
  <c r="L342" i="37" s="1"/>
  <c r="H341" i="37"/>
  <c r="I341" i="37"/>
  <c r="J341" i="37"/>
  <c r="H340" i="37"/>
  <c r="I340" i="37"/>
  <c r="J340" i="37"/>
  <c r="H339" i="37"/>
  <c r="I339" i="37"/>
  <c r="J339" i="37"/>
  <c r="H338" i="37"/>
  <c r="I338" i="37"/>
  <c r="J338" i="37"/>
  <c r="H337" i="37"/>
  <c r="I337" i="37"/>
  <c r="J337" i="37"/>
  <c r="H336" i="37"/>
  <c r="I336" i="37"/>
  <c r="J336" i="37"/>
  <c r="H335" i="37"/>
  <c r="I335" i="37"/>
  <c r="J335" i="37"/>
  <c r="N417" i="37"/>
  <c r="N418" i="37"/>
  <c r="N419" i="37"/>
  <c r="N420" i="37"/>
  <c r="N421" i="37"/>
  <c r="N422" i="37"/>
  <c r="N423" i="37"/>
  <c r="N424" i="37"/>
  <c r="N425" i="37"/>
  <c r="N426" i="37"/>
  <c r="N427" i="37"/>
  <c r="N428" i="37"/>
  <c r="N429" i="37"/>
  <c r="J430" i="37"/>
  <c r="N430" i="37"/>
  <c r="J431" i="37"/>
  <c r="N431" i="37"/>
  <c r="J432" i="37"/>
  <c r="N432" i="37"/>
  <c r="J433" i="37"/>
  <c r="N433" i="37"/>
  <c r="J434" i="37"/>
  <c r="N434" i="37"/>
  <c r="J435" i="37"/>
  <c r="N435" i="37"/>
  <c r="J436" i="37"/>
  <c r="N436" i="37"/>
  <c r="J437" i="37"/>
  <c r="J438" i="37"/>
  <c r="J439" i="37"/>
  <c r="J440" i="37"/>
  <c r="N440" i="37"/>
  <c r="J441" i="37"/>
  <c r="N441" i="37"/>
  <c r="J442" i="37"/>
  <c r="N442" i="37"/>
  <c r="J443" i="37"/>
  <c r="N443" i="37"/>
  <c r="N127" i="19" a="1"/>
  <c r="N127" i="19" s="1"/>
  <c r="L127" i="19" a="1"/>
  <c r="L127" i="19" s="1"/>
  <c r="J127" i="19" a="1"/>
  <c r="J127" i="19" s="1"/>
  <c r="N335" i="37"/>
  <c r="N336" i="37"/>
  <c r="N337" i="37"/>
  <c r="K123" i="34" a="1"/>
  <c r="K123" i="34" s="1"/>
  <c r="J123" i="34" a="1"/>
  <c r="J123" i="34" s="1"/>
  <c r="I123" i="34" a="1"/>
  <c r="I123" i="34" s="1"/>
  <c r="H123" i="34" a="1"/>
  <c r="H123" i="34" s="1"/>
  <c r="G123" i="34" a="1"/>
  <c r="G123" i="34" s="1"/>
  <c r="F123" i="34" a="1"/>
  <c r="F123" i="34" s="1"/>
  <c r="E123" i="34" a="1"/>
  <c r="E123" i="34" s="1"/>
  <c r="K103" i="34" a="1"/>
  <c r="K103" i="34" s="1"/>
  <c r="J103" i="34" a="1"/>
  <c r="J103" i="34" s="1"/>
  <c r="I103" i="34" a="1"/>
  <c r="I103" i="34" s="1"/>
  <c r="H103" i="34" a="1"/>
  <c r="H103" i="34" s="1"/>
  <c r="G103" i="34" a="1"/>
  <c r="G103" i="34" s="1"/>
  <c r="F103" i="34" a="1"/>
  <c r="F103" i="34" s="1"/>
  <c r="E103" i="34" a="1"/>
  <c r="E103" i="34" s="1"/>
  <c r="K85" i="34" a="1"/>
  <c r="K85" i="34" s="1"/>
  <c r="J85" i="34" a="1"/>
  <c r="J85" i="34" s="1"/>
  <c r="I85" i="34" a="1"/>
  <c r="I85" i="34" s="1"/>
  <c r="H85" i="34" a="1"/>
  <c r="H85" i="34" s="1"/>
  <c r="G85" i="34" a="1"/>
  <c r="G85" i="34" s="1"/>
  <c r="F85" i="34" a="1"/>
  <c r="F85" i="34" s="1"/>
  <c r="E85" i="34" a="1"/>
  <c r="E85" i="34" s="1"/>
  <c r="K67" i="34" a="1"/>
  <c r="K67" i="34" s="1"/>
  <c r="J67" i="34" a="1"/>
  <c r="J67" i="34" s="1"/>
  <c r="I67" i="34" a="1"/>
  <c r="I67" i="34" s="1"/>
  <c r="H67" i="34" a="1"/>
  <c r="H67" i="34" s="1"/>
  <c r="G67" i="34" a="1"/>
  <c r="G67" i="34" s="1"/>
  <c r="F67" i="34" a="1"/>
  <c r="F67" i="34" s="1"/>
  <c r="E67" i="34" a="1"/>
  <c r="E67" i="34" s="1"/>
  <c r="K48" i="34" a="1"/>
  <c r="K48" i="34" s="1"/>
  <c r="J48" i="34" a="1"/>
  <c r="J48" i="34" s="1"/>
  <c r="I48" i="34" a="1"/>
  <c r="I48" i="34" s="1"/>
  <c r="H48" i="34" a="1"/>
  <c r="H48" i="34" s="1"/>
  <c r="G48" i="34" a="1"/>
  <c r="G48" i="34" s="1"/>
  <c r="F48" i="34" a="1"/>
  <c r="F48" i="34" s="1"/>
  <c r="E48" i="34" a="1"/>
  <c r="E48" i="34" s="1"/>
  <c r="D48" i="34" a="1"/>
  <c r="D48" i="34" s="1"/>
  <c r="C48" i="34" a="1"/>
  <c r="C48" i="34" s="1"/>
  <c r="K30" i="34" a="1"/>
  <c r="K30" i="34" s="1"/>
  <c r="J30" i="34" a="1"/>
  <c r="J30" i="34" s="1"/>
  <c r="I30" i="34" a="1"/>
  <c r="I30" i="34" s="1"/>
  <c r="H30" i="34" a="1"/>
  <c r="H30" i="34" s="1"/>
  <c r="G30" i="34" a="1"/>
  <c r="G30" i="34" s="1"/>
  <c r="F30" i="34" a="1"/>
  <c r="F30" i="34" s="1"/>
  <c r="E30" i="34" a="1"/>
  <c r="E30" i="34" s="1"/>
  <c r="H334" i="37"/>
  <c r="I334" i="37"/>
  <c r="J334" i="37"/>
  <c r="N334" i="37"/>
  <c r="H333" i="37"/>
  <c r="I333" i="37"/>
  <c r="J333" i="37"/>
  <c r="N333" i="37"/>
  <c r="H332" i="37"/>
  <c r="I332" i="37"/>
  <c r="J332" i="37"/>
  <c r="N332" i="37"/>
  <c r="H331" i="37"/>
  <c r="I331" i="37"/>
  <c r="J331" i="37"/>
  <c r="N331" i="37"/>
  <c r="H330" i="37"/>
  <c r="I330" i="37"/>
  <c r="J330" i="37"/>
  <c r="N330" i="37"/>
  <c r="H329" i="37"/>
  <c r="I329" i="37"/>
  <c r="J329" i="37"/>
  <c r="N329" i="37"/>
  <c r="H328" i="37"/>
  <c r="I328" i="37"/>
  <c r="J328" i="37"/>
  <c r="N328" i="37"/>
  <c r="H327" i="37"/>
  <c r="I327" i="37"/>
  <c r="J327" i="37"/>
  <c r="N327" i="37"/>
  <c r="H326" i="37"/>
  <c r="I326" i="37"/>
  <c r="J326" i="37"/>
  <c r="N326" i="37"/>
  <c r="H325" i="37"/>
  <c r="I325" i="37"/>
  <c r="J325" i="37"/>
  <c r="N325" i="37"/>
  <c r="H324" i="37"/>
  <c r="I324" i="37"/>
  <c r="J324" i="37"/>
  <c r="N324" i="37"/>
  <c r="H323" i="37"/>
  <c r="I323" i="37"/>
  <c r="J323" i="37"/>
  <c r="N323" i="37"/>
  <c r="H322" i="37"/>
  <c r="I322" i="37"/>
  <c r="J322" i="37"/>
  <c r="N322" i="37"/>
  <c r="H321" i="37"/>
  <c r="I321" i="37"/>
  <c r="J321" i="37"/>
  <c r="N321" i="37"/>
  <c r="H320" i="37"/>
  <c r="I320" i="37"/>
  <c r="J320" i="37"/>
  <c r="N320" i="37"/>
  <c r="H319" i="37"/>
  <c r="I319" i="37"/>
  <c r="J319" i="37"/>
  <c r="N319" i="37"/>
  <c r="H318" i="37"/>
  <c r="I318" i="37"/>
  <c r="J318" i="37"/>
  <c r="N318" i="37"/>
  <c r="H317" i="37"/>
  <c r="I317" i="37"/>
  <c r="J317" i="37"/>
  <c r="N317" i="37"/>
  <c r="H316" i="37"/>
  <c r="I316" i="37"/>
  <c r="J316" i="37"/>
  <c r="N316" i="37"/>
  <c r="H315" i="37"/>
  <c r="I315" i="37"/>
  <c r="J315" i="37"/>
  <c r="N315" i="37"/>
  <c r="H314" i="37"/>
  <c r="I314" i="37"/>
  <c r="J314" i="37"/>
  <c r="N314" i="37"/>
  <c r="H313" i="37"/>
  <c r="I313" i="37"/>
  <c r="J313" i="37"/>
  <c r="N313" i="37"/>
  <c r="H312" i="37"/>
  <c r="I312" i="37"/>
  <c r="J312" i="37"/>
  <c r="N312" i="37"/>
  <c r="H311" i="37"/>
  <c r="I311" i="37"/>
  <c r="J311" i="37"/>
  <c r="N311" i="37"/>
  <c r="H310" i="37"/>
  <c r="I310" i="37"/>
  <c r="J310" i="37"/>
  <c r="N310" i="37"/>
  <c r="H309" i="37"/>
  <c r="I309" i="37"/>
  <c r="J309" i="37"/>
  <c r="N309" i="37"/>
  <c r="H308" i="37"/>
  <c r="I308" i="37"/>
  <c r="J308" i="37"/>
  <c r="N308" i="37"/>
  <c r="H307" i="37"/>
  <c r="I307" i="37"/>
  <c r="J307" i="37"/>
  <c r="N307" i="37"/>
  <c r="H306" i="37"/>
  <c r="I306" i="37"/>
  <c r="J306" i="37"/>
  <c r="N306" i="37"/>
  <c r="H305" i="37"/>
  <c r="I305" i="37"/>
  <c r="J305" i="37"/>
  <c r="N305" i="37"/>
  <c r="H304" i="37"/>
  <c r="I304" i="37"/>
  <c r="J304" i="37"/>
  <c r="N304" i="37"/>
  <c r="H303" i="37"/>
  <c r="I303" i="37"/>
  <c r="J303" i="37"/>
  <c r="N303" i="37"/>
  <c r="H302" i="37"/>
  <c r="I302" i="37"/>
  <c r="J302" i="37"/>
  <c r="H301" i="37"/>
  <c r="I301" i="37"/>
  <c r="J301" i="37"/>
  <c r="N301" i="37"/>
  <c r="H300" i="37"/>
  <c r="I300" i="37"/>
  <c r="J300" i="37"/>
  <c r="N300" i="37"/>
  <c r="H299" i="37"/>
  <c r="I299" i="37"/>
  <c r="J299" i="37"/>
  <c r="N299" i="37"/>
  <c r="H298" i="37"/>
  <c r="I298" i="37"/>
  <c r="J298" i="37"/>
  <c r="N298" i="37"/>
  <c r="H297" i="37"/>
  <c r="I297" i="37"/>
  <c r="J297" i="37"/>
  <c r="N297" i="37"/>
  <c r="H296" i="37"/>
  <c r="I296" i="37"/>
  <c r="J296" i="37"/>
  <c r="H295" i="37"/>
  <c r="I295" i="37"/>
  <c r="J295" i="37"/>
  <c r="H294" i="37"/>
  <c r="I294" i="37"/>
  <c r="J294" i="37"/>
  <c r="H293" i="37"/>
  <c r="I293" i="37"/>
  <c r="J293" i="37"/>
  <c r="H292" i="37"/>
  <c r="I292" i="37"/>
  <c r="J292" i="37"/>
  <c r="N292" i="37"/>
  <c r="H291" i="37"/>
  <c r="I291" i="37"/>
  <c r="J291" i="37"/>
  <c r="H290" i="37"/>
  <c r="I290" i="37"/>
  <c r="J290" i="37"/>
  <c r="N290" i="37"/>
  <c r="H289" i="37"/>
  <c r="I289" i="37"/>
  <c r="J289" i="37"/>
  <c r="N289" i="37"/>
  <c r="H288" i="37"/>
  <c r="I288" i="37"/>
  <c r="J288" i="37"/>
  <c r="H287" i="37"/>
  <c r="I287" i="37"/>
  <c r="J287" i="37"/>
  <c r="H286" i="37"/>
  <c r="I286" i="37"/>
  <c r="J286" i="37"/>
  <c r="N286" i="37"/>
  <c r="H285" i="37"/>
  <c r="I285" i="37"/>
  <c r="J285" i="37"/>
  <c r="N285" i="37"/>
  <c r="H284" i="37"/>
  <c r="I284" i="37"/>
  <c r="J284" i="37"/>
  <c r="N284" i="37"/>
  <c r="H283" i="37"/>
  <c r="I283" i="37"/>
  <c r="J283" i="37"/>
  <c r="N283" i="37"/>
  <c r="H282" i="37"/>
  <c r="I282" i="37"/>
  <c r="J282" i="37"/>
  <c r="N282" i="37"/>
  <c r="H281" i="37"/>
  <c r="I281" i="37"/>
  <c r="J281" i="37"/>
  <c r="N281" i="37"/>
  <c r="H280" i="37"/>
  <c r="I280" i="37"/>
  <c r="J280" i="37"/>
  <c r="N280" i="37"/>
  <c r="H279" i="37"/>
  <c r="I279" i="37"/>
  <c r="J279" i="37"/>
  <c r="N279" i="37"/>
  <c r="H278" i="37"/>
  <c r="I278" i="37"/>
  <c r="J278" i="37"/>
  <c r="N278" i="37"/>
  <c r="H277" i="37"/>
  <c r="I277" i="37"/>
  <c r="J277" i="37"/>
  <c r="N277" i="37"/>
  <c r="H276" i="37"/>
  <c r="I276" i="37"/>
  <c r="J276" i="37"/>
  <c r="N276" i="37"/>
  <c r="H275" i="37"/>
  <c r="I275" i="37"/>
  <c r="J275" i="37"/>
  <c r="N275" i="37"/>
  <c r="H274" i="37"/>
  <c r="I274" i="37"/>
  <c r="J274" i="37"/>
  <c r="H273" i="37"/>
  <c r="I273" i="37"/>
  <c r="J273" i="37"/>
  <c r="N273" i="37"/>
  <c r="H272" i="37"/>
  <c r="I272" i="37"/>
  <c r="J272" i="37"/>
  <c r="N272" i="37"/>
  <c r="H271" i="37"/>
  <c r="I271" i="37"/>
  <c r="J271" i="37"/>
  <c r="N271" i="37"/>
  <c r="H270" i="37"/>
  <c r="I270" i="37"/>
  <c r="J270" i="37"/>
  <c r="N270" i="37"/>
  <c r="H269" i="37"/>
  <c r="I269" i="37"/>
  <c r="J269" i="37"/>
  <c r="N269" i="37"/>
  <c r="H268" i="37"/>
  <c r="I268" i="37"/>
  <c r="J268" i="37"/>
  <c r="N268" i="37"/>
  <c r="H267" i="37"/>
  <c r="I267" i="37"/>
  <c r="J267" i="37"/>
  <c r="N267" i="37"/>
  <c r="H266" i="37"/>
  <c r="I266" i="37"/>
  <c r="J266" i="37"/>
  <c r="N266" i="37"/>
  <c r="H265" i="37"/>
  <c r="I265" i="37"/>
  <c r="J265" i="37"/>
  <c r="N265" i="37"/>
  <c r="H264" i="37"/>
  <c r="I264" i="37"/>
  <c r="J264" i="37"/>
  <c r="N264" i="37"/>
  <c r="H263" i="37"/>
  <c r="I263" i="37"/>
  <c r="J263" i="37"/>
  <c r="N263" i="37"/>
  <c r="H262" i="37"/>
  <c r="I262" i="37"/>
  <c r="J262" i="37"/>
  <c r="N262" i="37"/>
  <c r="H261" i="37"/>
  <c r="I261" i="37"/>
  <c r="J261" i="37"/>
  <c r="H260" i="37"/>
  <c r="I260" i="37"/>
  <c r="J260" i="37"/>
  <c r="N260" i="37"/>
  <c r="H259" i="37"/>
  <c r="I259" i="37"/>
  <c r="J259" i="37"/>
  <c r="N259" i="37"/>
  <c r="H258" i="37"/>
  <c r="I258" i="37"/>
  <c r="J258" i="37"/>
  <c r="N258" i="37"/>
  <c r="H257" i="37"/>
  <c r="I257" i="37"/>
  <c r="J257" i="37"/>
  <c r="N257" i="37"/>
  <c r="H256" i="37"/>
  <c r="I256" i="37"/>
  <c r="J256" i="37"/>
  <c r="N256" i="37"/>
  <c r="H255" i="37"/>
  <c r="I255" i="37"/>
  <c r="J255" i="37"/>
  <c r="N255" i="37"/>
  <c r="H254" i="37"/>
  <c r="I254" i="37"/>
  <c r="J254" i="37"/>
  <c r="N254" i="37"/>
  <c r="H253" i="37"/>
  <c r="I253" i="37"/>
  <c r="J253" i="37"/>
  <c r="N253" i="37"/>
  <c r="H252" i="37"/>
  <c r="I252" i="37"/>
  <c r="J252" i="37"/>
  <c r="H251" i="37"/>
  <c r="I251" i="37"/>
  <c r="J251" i="37"/>
  <c r="N251" i="37"/>
  <c r="H250" i="37"/>
  <c r="I250" i="37"/>
  <c r="J250" i="37"/>
  <c r="N250" i="37"/>
  <c r="H249" i="37"/>
  <c r="I249" i="37"/>
  <c r="J249" i="37"/>
  <c r="N249" i="37"/>
  <c r="H248" i="37"/>
  <c r="I248" i="37"/>
  <c r="J248" i="37"/>
  <c r="N248" i="37"/>
  <c r="H247" i="37"/>
  <c r="I247" i="37"/>
  <c r="J247" i="37"/>
  <c r="N247" i="37"/>
  <c r="H246" i="37"/>
  <c r="I246" i="37"/>
  <c r="J246" i="37"/>
  <c r="N246" i="37"/>
  <c r="H245" i="37"/>
  <c r="I245" i="37"/>
  <c r="J245" i="37"/>
  <c r="N245" i="37"/>
  <c r="H244" i="37"/>
  <c r="I244" i="37"/>
  <c r="J244" i="37"/>
  <c r="N244" i="37"/>
  <c r="H243" i="37"/>
  <c r="I243" i="37"/>
  <c r="J243" i="37"/>
  <c r="H242" i="37"/>
  <c r="I242" i="37"/>
  <c r="J242" i="37"/>
  <c r="H241" i="37"/>
  <c r="I241" i="37"/>
  <c r="J241" i="37"/>
  <c r="H240" i="37"/>
  <c r="I240" i="37"/>
  <c r="J240" i="37"/>
  <c r="N240" i="37"/>
  <c r="H239" i="37"/>
  <c r="I239" i="37"/>
  <c r="J239" i="37"/>
  <c r="N239" i="37"/>
  <c r="H238" i="37"/>
  <c r="I238" i="37"/>
  <c r="J238" i="37"/>
  <c r="N238" i="37"/>
  <c r="H237" i="37"/>
  <c r="I237" i="37"/>
  <c r="J237" i="37"/>
  <c r="N237" i="37"/>
  <c r="H236" i="37"/>
  <c r="I236" i="37"/>
  <c r="J236" i="37"/>
  <c r="H235" i="37"/>
  <c r="I235" i="37"/>
  <c r="J235" i="37"/>
  <c r="H234" i="37"/>
  <c r="I234" i="37"/>
  <c r="J234" i="37"/>
  <c r="N234" i="37"/>
  <c r="H233" i="37"/>
  <c r="I233" i="37"/>
  <c r="J233" i="37"/>
  <c r="N233" i="37"/>
  <c r="H232" i="37"/>
  <c r="I232" i="37"/>
  <c r="J232" i="37"/>
  <c r="N232" i="37"/>
  <c r="H231" i="37"/>
  <c r="I231" i="37"/>
  <c r="J231" i="37"/>
  <c r="N231" i="37"/>
  <c r="H230" i="37"/>
  <c r="I230" i="37"/>
  <c r="J230" i="37"/>
  <c r="N230" i="37"/>
  <c r="H229" i="37"/>
  <c r="I229" i="37"/>
  <c r="J229" i="37"/>
  <c r="N229" i="37"/>
  <c r="H228" i="37"/>
  <c r="I228" i="37"/>
  <c r="J228" i="37"/>
  <c r="N228" i="37"/>
  <c r="H227" i="37"/>
  <c r="I227" i="37"/>
  <c r="J227" i="37"/>
  <c r="N227" i="37"/>
  <c r="H226" i="37"/>
  <c r="I226" i="37"/>
  <c r="J226" i="37"/>
  <c r="N226" i="37"/>
  <c r="H225" i="37"/>
  <c r="I225" i="37"/>
  <c r="J225" i="37"/>
  <c r="N225" i="37"/>
  <c r="H224" i="37"/>
  <c r="I224" i="37"/>
  <c r="J224" i="37"/>
  <c r="N224" i="37"/>
  <c r="H223" i="37"/>
  <c r="I223" i="37"/>
  <c r="J223" i="37"/>
  <c r="N223" i="37"/>
  <c r="H222" i="37"/>
  <c r="I222" i="37"/>
  <c r="J222" i="37"/>
  <c r="N222" i="37"/>
  <c r="H221" i="37"/>
  <c r="I221" i="37"/>
  <c r="J221" i="37"/>
  <c r="N221" i="37"/>
  <c r="H220" i="37"/>
  <c r="I220" i="37"/>
  <c r="J220" i="37"/>
  <c r="N220" i="37"/>
  <c r="H219" i="37"/>
  <c r="I219" i="37"/>
  <c r="J219" i="37"/>
  <c r="N219" i="37"/>
  <c r="H218" i="37"/>
  <c r="I218" i="37"/>
  <c r="J218" i="37"/>
  <c r="N218" i="37"/>
  <c r="H217" i="37"/>
  <c r="I217" i="37"/>
  <c r="J217" i="37"/>
  <c r="N217" i="37"/>
  <c r="H216" i="37"/>
  <c r="I216" i="37"/>
  <c r="J216" i="37"/>
  <c r="N216" i="37"/>
  <c r="H215" i="37"/>
  <c r="I215" i="37"/>
  <c r="J215" i="37"/>
  <c r="N215" i="37"/>
  <c r="H214" i="37"/>
  <c r="I214" i="37"/>
  <c r="J214" i="37"/>
  <c r="N214" i="37"/>
  <c r="H213" i="37"/>
  <c r="I213" i="37"/>
  <c r="J213" i="37"/>
  <c r="N213" i="37"/>
  <c r="H212" i="37"/>
  <c r="I212" i="37"/>
  <c r="J212" i="37"/>
  <c r="N212" i="37"/>
  <c r="H211" i="37"/>
  <c r="I211" i="37"/>
  <c r="J211" i="37"/>
  <c r="N211" i="37"/>
  <c r="H210" i="37"/>
  <c r="I210" i="37"/>
  <c r="J210" i="37"/>
  <c r="N210" i="37"/>
  <c r="H209" i="37"/>
  <c r="I209" i="37"/>
  <c r="J209" i="37"/>
  <c r="N209" i="37"/>
  <c r="H208" i="37"/>
  <c r="I208" i="37"/>
  <c r="J208" i="37"/>
  <c r="N208" i="37"/>
  <c r="H207" i="37"/>
  <c r="I207" i="37"/>
  <c r="J207" i="37"/>
  <c r="N207" i="37"/>
  <c r="H206" i="37"/>
  <c r="I206" i="37"/>
  <c r="J206" i="37"/>
  <c r="N206" i="37"/>
  <c r="H205" i="37"/>
  <c r="I205" i="37"/>
  <c r="J205" i="37"/>
  <c r="N205" i="37"/>
  <c r="H204" i="37"/>
  <c r="I204" i="37"/>
  <c r="J204" i="37"/>
  <c r="N204" i="37"/>
  <c r="H203" i="37"/>
  <c r="I203" i="37"/>
  <c r="J203" i="37"/>
  <c r="N203" i="37"/>
  <c r="H202" i="37"/>
  <c r="I202" i="37"/>
  <c r="J202" i="37"/>
  <c r="N202" i="37"/>
  <c r="H201" i="37"/>
  <c r="I201" i="37"/>
  <c r="J201" i="37"/>
  <c r="H200" i="37"/>
  <c r="I200" i="37"/>
  <c r="J200" i="37"/>
  <c r="N200" i="37"/>
  <c r="H199" i="37"/>
  <c r="I199" i="37"/>
  <c r="J199" i="37"/>
  <c r="N199" i="37"/>
  <c r="H198" i="37"/>
  <c r="I198" i="37"/>
  <c r="J198" i="37"/>
  <c r="N198" i="37"/>
  <c r="H197" i="37"/>
  <c r="I197" i="37"/>
  <c r="J197" i="37"/>
  <c r="N197" i="37"/>
  <c r="H196" i="37"/>
  <c r="I196" i="37"/>
  <c r="J196" i="37"/>
  <c r="N196" i="37"/>
  <c r="H195" i="37"/>
  <c r="I195" i="37"/>
  <c r="J195" i="37"/>
  <c r="N195" i="37"/>
  <c r="H194" i="37"/>
  <c r="I194" i="37"/>
  <c r="J194" i="37"/>
  <c r="N194" i="37"/>
  <c r="H193" i="37"/>
  <c r="I193" i="37"/>
  <c r="J193" i="37"/>
  <c r="H192" i="37"/>
  <c r="I192" i="37"/>
  <c r="J192" i="37"/>
  <c r="H191" i="37"/>
  <c r="I191" i="37"/>
  <c r="J191" i="37"/>
  <c r="H190" i="37"/>
  <c r="I190" i="37"/>
  <c r="J190" i="37"/>
  <c r="N190" i="37"/>
  <c r="H189" i="37"/>
  <c r="I189" i="37"/>
  <c r="J189" i="37"/>
  <c r="H188" i="37"/>
  <c r="I188" i="37"/>
  <c r="J188" i="37"/>
  <c r="N188" i="37"/>
  <c r="H187" i="37"/>
  <c r="I187" i="37"/>
  <c r="J187" i="37"/>
  <c r="N187" i="37"/>
  <c r="H186" i="37"/>
  <c r="I186" i="37"/>
  <c r="J186" i="37"/>
  <c r="N186" i="37"/>
  <c r="H185" i="37"/>
  <c r="I185" i="37"/>
  <c r="J185" i="37"/>
  <c r="N185" i="37"/>
  <c r="H184" i="37"/>
  <c r="I184" i="37"/>
  <c r="J184" i="37"/>
  <c r="N184" i="37"/>
  <c r="H183" i="37"/>
  <c r="I183" i="37"/>
  <c r="J183" i="37"/>
  <c r="N183" i="37"/>
  <c r="H182" i="37"/>
  <c r="I182" i="37"/>
  <c r="J182" i="37"/>
  <c r="N182" i="37"/>
  <c r="H181" i="37"/>
  <c r="I181" i="37"/>
  <c r="J181" i="37"/>
  <c r="N181" i="37"/>
  <c r="H180" i="37"/>
  <c r="I180" i="37"/>
  <c r="J180" i="37"/>
  <c r="N180" i="37"/>
  <c r="H179" i="37"/>
  <c r="I179" i="37"/>
  <c r="J179" i="37"/>
  <c r="N179" i="37"/>
  <c r="H178" i="37"/>
  <c r="I178" i="37"/>
  <c r="J178" i="37"/>
  <c r="N178" i="37"/>
  <c r="H177" i="37"/>
  <c r="I177" i="37"/>
  <c r="J177" i="37"/>
  <c r="N177" i="37"/>
  <c r="H176" i="37"/>
  <c r="I176" i="37"/>
  <c r="J176" i="37"/>
  <c r="N176" i="37"/>
  <c r="H175" i="37"/>
  <c r="I175" i="37"/>
  <c r="J175" i="37"/>
  <c r="N175" i="37"/>
  <c r="H174" i="37"/>
  <c r="I174" i="37"/>
  <c r="J174" i="37"/>
  <c r="N174" i="37"/>
  <c r="H173" i="37"/>
  <c r="I173" i="37"/>
  <c r="J173" i="37"/>
  <c r="N173" i="37"/>
  <c r="H172" i="37"/>
  <c r="I172" i="37"/>
  <c r="J172" i="37"/>
  <c r="N172" i="37"/>
  <c r="H171" i="37"/>
  <c r="I171" i="37"/>
  <c r="J171" i="37"/>
  <c r="N171" i="37"/>
  <c r="H170" i="37"/>
  <c r="I170" i="37"/>
  <c r="J170" i="37"/>
  <c r="N170" i="37"/>
  <c r="H169" i="37"/>
  <c r="I169" i="37"/>
  <c r="J169" i="37"/>
  <c r="H168" i="37"/>
  <c r="I168" i="37"/>
  <c r="J168" i="37"/>
  <c r="N168" i="37"/>
  <c r="H167" i="37"/>
  <c r="I167" i="37"/>
  <c r="J167" i="37"/>
  <c r="N167" i="37"/>
  <c r="H166" i="37"/>
  <c r="I166" i="37"/>
  <c r="J166" i="37"/>
  <c r="N166" i="37"/>
  <c r="H165" i="37"/>
  <c r="I165" i="37"/>
  <c r="J165" i="37"/>
  <c r="N165" i="37"/>
  <c r="H164" i="37"/>
  <c r="I164" i="37"/>
  <c r="J164" i="37"/>
  <c r="N164" i="37"/>
  <c r="H163" i="37"/>
  <c r="I163" i="37"/>
  <c r="J163" i="37"/>
  <c r="N163" i="37"/>
  <c r="H162" i="37"/>
  <c r="I162" i="37"/>
  <c r="J162" i="37"/>
  <c r="N162" i="37"/>
  <c r="H161" i="37"/>
  <c r="I161" i="37"/>
  <c r="J161" i="37"/>
  <c r="N161" i="37"/>
  <c r="H160" i="37"/>
  <c r="I160" i="37"/>
  <c r="J160" i="37"/>
  <c r="H159" i="37"/>
  <c r="I159" i="37"/>
  <c r="J159" i="37"/>
  <c r="N159" i="37"/>
  <c r="H158" i="37"/>
  <c r="I158" i="37"/>
  <c r="J158" i="37"/>
  <c r="N158" i="37"/>
  <c r="H157" i="37"/>
  <c r="I157" i="37"/>
  <c r="J157" i="37"/>
  <c r="N157" i="37"/>
  <c r="H156" i="37"/>
  <c r="I156" i="37"/>
  <c r="J156" i="37"/>
  <c r="N156" i="37"/>
  <c r="H155" i="37"/>
  <c r="I155" i="37"/>
  <c r="J155" i="37"/>
  <c r="N155" i="37"/>
  <c r="H154" i="37"/>
  <c r="I154" i="37"/>
  <c r="J154" i="37"/>
  <c r="N154" i="37"/>
  <c r="H153" i="37"/>
  <c r="I153" i="37"/>
  <c r="J153" i="37"/>
  <c r="N153" i="37"/>
  <c r="H152" i="37"/>
  <c r="I152" i="37"/>
  <c r="J152" i="37"/>
  <c r="N152" i="37"/>
  <c r="H151" i="37"/>
  <c r="I151" i="37"/>
  <c r="J151" i="37"/>
  <c r="N151" i="37"/>
  <c r="H150" i="37"/>
  <c r="I150" i="37"/>
  <c r="J150" i="37"/>
  <c r="N150" i="37"/>
  <c r="H149" i="37"/>
  <c r="I149" i="37"/>
  <c r="J149" i="37"/>
  <c r="N149" i="37"/>
  <c r="H148" i="37"/>
  <c r="I148" i="37"/>
  <c r="J148" i="37"/>
  <c r="N148" i="37"/>
  <c r="H147" i="37"/>
  <c r="I147" i="37"/>
  <c r="J147" i="37"/>
  <c r="N147" i="37"/>
  <c r="H146" i="37"/>
  <c r="I146" i="37"/>
  <c r="J146" i="37"/>
  <c r="N146" i="37"/>
  <c r="H145" i="37"/>
  <c r="I145" i="37"/>
  <c r="J145" i="37"/>
  <c r="N145" i="37"/>
  <c r="H144" i="37"/>
  <c r="I144" i="37"/>
  <c r="J144" i="37"/>
  <c r="N144" i="37"/>
  <c r="H143" i="37"/>
  <c r="I143" i="37"/>
  <c r="J143" i="37"/>
  <c r="N143" i="37"/>
  <c r="H142" i="37"/>
  <c r="I142" i="37"/>
  <c r="J142" i="37"/>
  <c r="N142" i="37"/>
  <c r="H141" i="37"/>
  <c r="I141" i="37"/>
  <c r="J141" i="37"/>
  <c r="N141" i="37"/>
  <c r="H140" i="37"/>
  <c r="I140" i="37"/>
  <c r="J140" i="37"/>
  <c r="N140" i="37"/>
  <c r="H139" i="37"/>
  <c r="I139" i="37"/>
  <c r="J139" i="37"/>
  <c r="N139" i="37"/>
  <c r="H138" i="37"/>
  <c r="I138" i="37"/>
  <c r="J138" i="37"/>
  <c r="H137" i="37"/>
  <c r="I137" i="37"/>
  <c r="J137" i="37"/>
  <c r="H136" i="37"/>
  <c r="I136" i="37"/>
  <c r="J136" i="37"/>
  <c r="H135" i="37"/>
  <c r="I135" i="37"/>
  <c r="J135" i="37"/>
  <c r="N135" i="37"/>
  <c r="H134" i="37"/>
  <c r="I134" i="37"/>
  <c r="J134" i="37"/>
  <c r="N134" i="37"/>
  <c r="H133" i="37"/>
  <c r="I133" i="37"/>
  <c r="J133" i="37"/>
  <c r="H132" i="37"/>
  <c r="I132" i="37"/>
  <c r="J132" i="37"/>
  <c r="H131" i="37"/>
  <c r="I131" i="37"/>
  <c r="J131" i="37"/>
  <c r="H130" i="37"/>
  <c r="I130" i="37"/>
  <c r="J130" i="37"/>
  <c r="H129" i="37"/>
  <c r="I129" i="37"/>
  <c r="J129" i="37"/>
  <c r="H128" i="37"/>
  <c r="I128" i="37"/>
  <c r="J128" i="37"/>
  <c r="H127" i="37"/>
  <c r="I127" i="37"/>
  <c r="J127" i="37"/>
  <c r="H126" i="37"/>
  <c r="I126" i="37"/>
  <c r="J126" i="37"/>
  <c r="H538" i="37"/>
  <c r="N538" i="37"/>
  <c r="H537" i="37"/>
  <c r="N537" i="37"/>
  <c r="H536" i="37"/>
  <c r="H535" i="37"/>
  <c r="H534" i="37"/>
  <c r="H533" i="37"/>
  <c r="H532" i="37"/>
  <c r="H531" i="37"/>
  <c r="H530" i="37"/>
  <c r="H529" i="37"/>
  <c r="H528" i="37"/>
  <c r="H527" i="37"/>
  <c r="H526" i="37"/>
  <c r="H525" i="37"/>
  <c r="K122" i="34" a="1"/>
  <c r="K122" i="34" s="1"/>
  <c r="J122" i="34" a="1"/>
  <c r="J122" i="34" s="1"/>
  <c r="I122" i="34" a="1"/>
  <c r="I122" i="34" s="1"/>
  <c r="H122" i="34" a="1"/>
  <c r="H122" i="34" s="1"/>
  <c r="G122" i="34" a="1"/>
  <c r="G122" i="34" s="1"/>
  <c r="F122" i="34" a="1"/>
  <c r="F122" i="34" s="1"/>
  <c r="E122" i="34" a="1"/>
  <c r="E122" i="34" s="1"/>
  <c r="K102" i="34" a="1"/>
  <c r="K102" i="34" s="1"/>
  <c r="J102" i="34" a="1"/>
  <c r="J102" i="34" s="1"/>
  <c r="I102" i="34" a="1"/>
  <c r="I102" i="34" s="1"/>
  <c r="H102" i="34" a="1"/>
  <c r="H102" i="34" s="1"/>
  <c r="G102" i="34" a="1"/>
  <c r="G102" i="34" s="1"/>
  <c r="F102" i="34" a="1"/>
  <c r="F102" i="34" s="1"/>
  <c r="E102" i="34" a="1"/>
  <c r="E102" i="34" s="1"/>
  <c r="K84" i="34" a="1"/>
  <c r="K84" i="34" s="1"/>
  <c r="J84" i="34" a="1"/>
  <c r="J84" i="34" s="1"/>
  <c r="I84" i="34" a="1"/>
  <c r="I84" i="34" s="1"/>
  <c r="H84" i="34" a="1"/>
  <c r="H84" i="34" s="1"/>
  <c r="G84" i="34" a="1"/>
  <c r="G84" i="34" s="1"/>
  <c r="F84" i="34" a="1"/>
  <c r="F84" i="34" s="1"/>
  <c r="E84" i="34" a="1"/>
  <c r="E84" i="34" s="1"/>
  <c r="K66" i="34" a="1"/>
  <c r="K66" i="34" s="1"/>
  <c r="J66" i="34" a="1"/>
  <c r="J66" i="34" s="1"/>
  <c r="I66" i="34" a="1"/>
  <c r="I66" i="34" s="1"/>
  <c r="H66" i="34" a="1"/>
  <c r="H66" i="34" s="1"/>
  <c r="G66" i="34" a="1"/>
  <c r="G66" i="34" s="1"/>
  <c r="F66" i="34" a="1"/>
  <c r="F66" i="34" s="1"/>
  <c r="E66" i="34" a="1"/>
  <c r="E66" i="34" s="1"/>
  <c r="K47" i="34" a="1"/>
  <c r="K47" i="34" s="1"/>
  <c r="J47" i="34" a="1"/>
  <c r="J47" i="34" s="1"/>
  <c r="I47" i="34" a="1"/>
  <c r="I47" i="34" s="1"/>
  <c r="H47" i="34" a="1"/>
  <c r="H47" i="34" s="1"/>
  <c r="G47" i="34" a="1"/>
  <c r="G47" i="34" s="1"/>
  <c r="F47" i="34" a="1"/>
  <c r="F47" i="34" s="1"/>
  <c r="D47" i="34" a="1"/>
  <c r="D47" i="34" s="1"/>
  <c r="C47" i="34" a="1"/>
  <c r="C47" i="34" s="1"/>
  <c r="K29" i="34" a="1"/>
  <c r="K29" i="34" s="1"/>
  <c r="J29" i="34" a="1"/>
  <c r="J29" i="34" s="1"/>
  <c r="I29" i="34" a="1"/>
  <c r="I29" i="34" s="1"/>
  <c r="H29" i="34" a="1"/>
  <c r="H29" i="34" s="1"/>
  <c r="G29" i="34" a="1"/>
  <c r="G29" i="34" s="1"/>
  <c r="F29" i="34" a="1"/>
  <c r="F29" i="34" s="1"/>
  <c r="E29" i="34" a="1"/>
  <c r="E29" i="34" s="1"/>
  <c r="K27" i="34" a="1"/>
  <c r="K27" i="34" s="1"/>
  <c r="J27" i="34" a="1"/>
  <c r="J27" i="34" s="1"/>
  <c r="J119" i="34" a="1"/>
  <c r="J119" i="34" s="1"/>
  <c r="H119" i="34" a="1"/>
  <c r="H119" i="34" s="1"/>
  <c r="F119" i="34" a="1"/>
  <c r="F119" i="34" s="1"/>
  <c r="E119" i="34" a="1"/>
  <c r="E119" i="34" s="1"/>
  <c r="I119" i="34" a="1"/>
  <c r="I119" i="34" s="1"/>
  <c r="G119" i="34" a="1"/>
  <c r="G119" i="34" s="1"/>
  <c r="K119" i="34" a="1"/>
  <c r="K119" i="34" s="1"/>
  <c r="J99" i="34" a="1"/>
  <c r="J99" i="34" s="1"/>
  <c r="H99" i="34" a="1"/>
  <c r="H99" i="34" s="1"/>
  <c r="E99" i="34" a="1"/>
  <c r="E99" i="34" s="1"/>
  <c r="I99" i="34" a="1"/>
  <c r="I99" i="34" s="1"/>
  <c r="G99" i="34" a="1"/>
  <c r="G99" i="34" s="1"/>
  <c r="F99" i="34" a="1"/>
  <c r="F99" i="34" s="1"/>
  <c r="K99" i="34" a="1"/>
  <c r="K99" i="34" s="1"/>
  <c r="F81" i="34" a="1"/>
  <c r="F81" i="34" s="1"/>
  <c r="K81" i="34" a="1"/>
  <c r="K81" i="34" s="1"/>
  <c r="G81" i="34" a="1"/>
  <c r="G81" i="34" s="1"/>
  <c r="I81" i="34" a="1"/>
  <c r="I81" i="34" s="1"/>
  <c r="H81" i="34" a="1"/>
  <c r="H81" i="34" s="1"/>
  <c r="E81" i="34" a="1"/>
  <c r="E81" i="34" s="1"/>
  <c r="J81" i="34" a="1"/>
  <c r="J81" i="34" s="1"/>
  <c r="I63" i="34" a="1"/>
  <c r="I63" i="34" s="1"/>
  <c r="E63" i="34" a="1"/>
  <c r="E63" i="34" s="1"/>
  <c r="K63" i="34" a="1"/>
  <c r="K63" i="34" s="1"/>
  <c r="G63" i="34" a="1"/>
  <c r="G63" i="34" s="1"/>
  <c r="H63" i="34" a="1"/>
  <c r="H63" i="34" s="1"/>
  <c r="F63" i="34" a="1"/>
  <c r="F63" i="34" s="1"/>
  <c r="J63" i="34" a="1"/>
  <c r="J63" i="34" s="1"/>
  <c r="I44" i="34" a="1"/>
  <c r="I44" i="34" s="1"/>
  <c r="E44" i="34" a="1"/>
  <c r="E44" i="34" s="1"/>
  <c r="C44" i="34" a="1"/>
  <c r="C44" i="34" s="1"/>
  <c r="H44" i="34" a="1"/>
  <c r="H44" i="34" s="1"/>
  <c r="G44" i="34" a="1"/>
  <c r="G44" i="34" s="1"/>
  <c r="J44" i="34" a="1"/>
  <c r="J44" i="34" s="1"/>
  <c r="F44" i="34" a="1"/>
  <c r="F44" i="34" s="1"/>
  <c r="D44" i="34" a="1"/>
  <c r="D44" i="34" s="1"/>
  <c r="K44" i="34" a="1"/>
  <c r="K44" i="34" s="1"/>
  <c r="B64" i="34"/>
  <c r="B100" i="34"/>
  <c r="B45" i="34"/>
  <c r="B82" i="34"/>
  <c r="B120" i="34"/>
  <c r="K26" i="34" a="1"/>
  <c r="K26" i="34" s="1"/>
  <c r="J26" i="34" a="1"/>
  <c r="J26" i="34" s="1"/>
  <c r="I26" i="34" a="1"/>
  <c r="I26" i="34" s="1"/>
  <c r="G26" i="34" a="1"/>
  <c r="G26" i="34" s="1"/>
  <c r="F26" i="34" a="1"/>
  <c r="F26" i="34" s="1"/>
  <c r="E26" i="34" a="1"/>
  <c r="E26" i="34" s="1"/>
  <c r="H26" i="34" a="1"/>
  <c r="H26" i="34" s="1"/>
  <c r="B101" i="34"/>
  <c r="B83" i="34"/>
  <c r="B46" i="34"/>
  <c r="B65" i="34"/>
  <c r="B121" i="34"/>
  <c r="E27" i="34" a="1"/>
  <c r="E27" i="34" s="1"/>
  <c r="G27" i="34" a="1"/>
  <c r="G27" i="34" s="1"/>
  <c r="I27" i="34" a="1"/>
  <c r="I27" i="34" s="1"/>
  <c r="F27" i="34" a="1"/>
  <c r="F27" i="34" s="1"/>
  <c r="H27" i="34" a="1"/>
  <c r="H27" i="34" s="1"/>
  <c r="E10" i="34" a="1"/>
  <c r="E10" i="34" s="1"/>
  <c r="I10" i="34" a="1"/>
  <c r="I10" i="34" s="1"/>
  <c r="K10" i="34" a="1"/>
  <c r="K10" i="34" s="1"/>
  <c r="B28" i="34"/>
  <c r="G10" i="34" a="1"/>
  <c r="G10" i="34" s="1"/>
  <c r="H10" i="34" a="1"/>
  <c r="H10" i="34" s="1"/>
  <c r="F10" i="34" a="1"/>
  <c r="F10" i="34" s="1"/>
  <c r="J10" i="34" a="1"/>
  <c r="J10" i="34" s="1"/>
  <c r="I476" i="37"/>
  <c r="H476" i="37"/>
  <c r="L476" i="37" s="1" a="1"/>
  <c r="L476" i="37" s="1"/>
  <c r="H125" i="37"/>
  <c r="I125" i="37"/>
  <c r="J125" i="37"/>
  <c r="H124" i="37"/>
  <c r="I124" i="37"/>
  <c r="J124" i="37"/>
  <c r="H123" i="37"/>
  <c r="I123" i="37"/>
  <c r="J123" i="37"/>
  <c r="H122" i="37"/>
  <c r="I122" i="37"/>
  <c r="J122" i="37"/>
  <c r="H121" i="37"/>
  <c r="I121" i="37"/>
  <c r="J121" i="37"/>
  <c r="H120" i="37"/>
  <c r="I120" i="37"/>
  <c r="J120" i="37"/>
  <c r="H119" i="37"/>
  <c r="I119" i="37"/>
  <c r="J119" i="37"/>
  <c r="H118" i="37"/>
  <c r="I118" i="37"/>
  <c r="J118" i="37"/>
  <c r="H114" i="37"/>
  <c r="I114" i="37"/>
  <c r="J114" i="37"/>
  <c r="H113" i="37"/>
  <c r="I113" i="37"/>
  <c r="J113" i="37"/>
  <c r="H112" i="37"/>
  <c r="I112" i="37"/>
  <c r="J112" i="37"/>
  <c r="H111" i="37"/>
  <c r="I111" i="37"/>
  <c r="J111" i="37"/>
  <c r="H110" i="37"/>
  <c r="I110" i="37"/>
  <c r="J110" i="37"/>
  <c r="H109" i="37"/>
  <c r="I109" i="37"/>
  <c r="J109" i="37"/>
  <c r="H108" i="37"/>
  <c r="I108" i="37"/>
  <c r="J108" i="37"/>
  <c r="H107" i="37"/>
  <c r="I107" i="37"/>
  <c r="J107" i="37"/>
  <c r="H106" i="37"/>
  <c r="I106" i="37"/>
  <c r="J106" i="37"/>
  <c r="H105" i="37"/>
  <c r="I105" i="37"/>
  <c r="J105" i="37"/>
  <c r="H104" i="37"/>
  <c r="I104" i="37"/>
  <c r="J104" i="37"/>
  <c r="H103" i="37"/>
  <c r="I103" i="37"/>
  <c r="J103" i="37"/>
  <c r="H102" i="37"/>
  <c r="I102" i="37"/>
  <c r="J102" i="37"/>
  <c r="H101" i="37"/>
  <c r="I101" i="37"/>
  <c r="J101" i="37"/>
  <c r="H100" i="37"/>
  <c r="I100" i="37"/>
  <c r="J100" i="37"/>
  <c r="H99" i="37"/>
  <c r="I99" i="37"/>
  <c r="J99" i="37"/>
  <c r="H98" i="37"/>
  <c r="I98" i="37"/>
  <c r="J98" i="37"/>
  <c r="H97" i="37"/>
  <c r="I97" i="37"/>
  <c r="J97" i="37"/>
  <c r="H96" i="37"/>
  <c r="I96" i="37"/>
  <c r="J96" i="37"/>
  <c r="H95" i="37"/>
  <c r="I95" i="37"/>
  <c r="J95" i="37"/>
  <c r="H94" i="37"/>
  <c r="I94" i="37"/>
  <c r="J94" i="37"/>
  <c r="H93" i="37"/>
  <c r="I93" i="37"/>
  <c r="J93" i="37"/>
  <c r="J92" i="37"/>
  <c r="I92" i="37"/>
  <c r="H92" i="37"/>
  <c r="I449" i="37"/>
  <c r="H449" i="37"/>
  <c r="J524" i="37"/>
  <c r="I524" i="37"/>
  <c r="H524" i="37"/>
  <c r="L524" i="37" s="1" a="1"/>
  <c r="L524" i="37" s="1"/>
  <c r="N524" i="37" s="1"/>
  <c r="I525" i="37"/>
  <c r="J525" i="37"/>
  <c r="I526" i="37"/>
  <c r="J526" i="37"/>
  <c r="I527" i="37"/>
  <c r="J527" i="37"/>
  <c r="I528" i="37"/>
  <c r="J528" i="37"/>
  <c r="J529" i="37"/>
  <c r="I529" i="37"/>
  <c r="I530" i="37"/>
  <c r="J530" i="37"/>
  <c r="I531" i="37"/>
  <c r="J531" i="37"/>
  <c r="I532" i="37"/>
  <c r="J532" i="37"/>
  <c r="I533" i="37"/>
  <c r="J533" i="37"/>
  <c r="I534" i="37"/>
  <c r="J534" i="37"/>
  <c r="I535" i="37"/>
  <c r="J535" i="37"/>
  <c r="J536" i="37"/>
  <c r="I536" i="37"/>
  <c r="I537" i="37"/>
  <c r="J537" i="37"/>
  <c r="J538" i="37"/>
  <c r="I538" i="37"/>
  <c r="F18" i="35"/>
  <c r="F19" i="35" s="1"/>
  <c r="F20" i="35" s="1"/>
  <c r="F26" i="35"/>
  <c r="F27" i="35" s="1"/>
  <c r="F28" i="35" s="1"/>
  <c r="J523" i="37"/>
  <c r="H523" i="37"/>
  <c r="L523" i="37" s="1" a="1"/>
  <c r="L523" i="37" s="1"/>
  <c r="F7" i="25"/>
  <c r="F7" i="24"/>
  <c r="L403" i="37" a="1"/>
  <c r="L403" i="37" s="1"/>
  <c r="H501" i="37"/>
  <c r="J501" i="37"/>
  <c r="I501" i="37"/>
  <c r="J502" i="37"/>
  <c r="I502" i="37"/>
  <c r="H502" i="37"/>
  <c r="L502" i="37" s="1" a="1"/>
  <c r="L502" i="37" s="1"/>
  <c r="J503" i="37"/>
  <c r="I503" i="37"/>
  <c r="H503" i="37"/>
  <c r="L503" i="37" s="1" a="1"/>
  <c r="L503" i="37" s="1"/>
  <c r="J504" i="37"/>
  <c r="H504" i="37"/>
  <c r="I504" i="37"/>
  <c r="J505" i="37"/>
  <c r="I505" i="37"/>
  <c r="H505" i="37"/>
  <c r="J506" i="37"/>
  <c r="H506" i="37"/>
  <c r="I506" i="37"/>
  <c r="J507" i="37"/>
  <c r="I507" i="37"/>
  <c r="L507" i="37" s="1" a="1"/>
  <c r="L507" i="37" s="1"/>
  <c r="J508" i="37"/>
  <c r="H508" i="37"/>
  <c r="I508" i="37"/>
  <c r="J509" i="37"/>
  <c r="H509" i="37"/>
  <c r="I509" i="37"/>
  <c r="J510" i="37"/>
  <c r="I510" i="37"/>
  <c r="H510" i="37"/>
  <c r="L510" i="37" s="1" a="1"/>
  <c r="L510" i="37" s="1"/>
  <c r="I511" i="37"/>
  <c r="J511" i="37"/>
  <c r="H511" i="37"/>
  <c r="J512" i="37"/>
  <c r="I512" i="37"/>
  <c r="H512" i="37"/>
  <c r="L512" i="37" s="1" a="1"/>
  <c r="L512" i="37" s="1"/>
  <c r="J513" i="37"/>
  <c r="H513" i="37"/>
  <c r="I513" i="37"/>
  <c r="I514" i="37"/>
  <c r="J514" i="37"/>
  <c r="H514" i="37"/>
  <c r="L514" i="37" s="1" a="1"/>
  <c r="L514" i="37" s="1"/>
  <c r="J515" i="37"/>
  <c r="I515" i="37"/>
  <c r="H515" i="37"/>
  <c r="L515" i="37" s="1" a="1"/>
  <c r="L515" i="37" s="1"/>
  <c r="J516" i="37"/>
  <c r="I516" i="37"/>
  <c r="H516" i="37"/>
  <c r="L516" i="37" s="1" a="1"/>
  <c r="L516" i="37" s="1"/>
  <c r="J517" i="37"/>
  <c r="I517" i="37"/>
  <c r="H517" i="37"/>
  <c r="J518" i="37"/>
  <c r="I518" i="37"/>
  <c r="H518" i="37"/>
  <c r="L518" i="37" s="1" a="1"/>
  <c r="L518" i="37" s="1"/>
  <c r="J519" i="37"/>
  <c r="I519" i="37"/>
  <c r="H519" i="37"/>
  <c r="N408" i="37"/>
  <c r="N523" i="37"/>
  <c r="J449" i="37"/>
  <c r="I450" i="37"/>
  <c r="J450" i="37"/>
  <c r="H450" i="37"/>
  <c r="I451" i="37"/>
  <c r="J451" i="37"/>
  <c r="H451" i="37"/>
  <c r="L451" i="37" s="1" a="1"/>
  <c r="L451" i="37" s="1"/>
  <c r="N451" i="37" s="1"/>
  <c r="I452" i="37"/>
  <c r="J452" i="37"/>
  <c r="N452" i="37"/>
  <c r="H452" i="37"/>
  <c r="L452" i="37" s="1" a="1"/>
  <c r="L452" i="37" s="1"/>
  <c r="J453" i="37"/>
  <c r="N453" i="37"/>
  <c r="I453" i="37"/>
  <c r="H453" i="37"/>
  <c r="L453" i="37" s="1" a="1"/>
  <c r="L453" i="37" s="1"/>
  <c r="I454" i="37"/>
  <c r="N454" i="37"/>
  <c r="J454" i="37"/>
  <c r="H454" i="37"/>
  <c r="I455" i="37"/>
  <c r="N455" i="37"/>
  <c r="J455" i="37"/>
  <c r="H455" i="37"/>
  <c r="L455" i="37" s="1" a="1"/>
  <c r="L455" i="37" s="1"/>
  <c r="I456" i="37"/>
  <c r="J456" i="37"/>
  <c r="H456" i="37"/>
  <c r="L456" i="37" s="1" a="1"/>
  <c r="L456" i="37" s="1"/>
  <c r="N456" i="37" s="1"/>
  <c r="I457" i="37"/>
  <c r="N457" i="37"/>
  <c r="J457" i="37"/>
  <c r="H457" i="37"/>
  <c r="L457" i="37" s="1" a="1"/>
  <c r="L457" i="37" s="1"/>
  <c r="I458" i="37"/>
  <c r="H458" i="37"/>
  <c r="N458" i="37"/>
  <c r="J458" i="37"/>
  <c r="J459" i="37"/>
  <c r="I459" i="37"/>
  <c r="N459" i="37"/>
  <c r="H459" i="37"/>
  <c r="L459" i="37" s="1" a="1"/>
  <c r="L459" i="37" s="1"/>
  <c r="N460" i="37"/>
  <c r="I460" i="37"/>
  <c r="H460" i="37"/>
  <c r="J460" i="37"/>
  <c r="N461" i="37"/>
  <c r="H461" i="37"/>
  <c r="I461" i="37"/>
  <c r="J461" i="37"/>
  <c r="H462" i="37"/>
  <c r="I462" i="37"/>
  <c r="N462" i="37"/>
  <c r="J462" i="37"/>
  <c r="I463" i="37"/>
  <c r="H463" i="37"/>
  <c r="L463" i="37" s="1" a="1"/>
  <c r="L463" i="37" s="1"/>
  <c r="J463" i="37"/>
  <c r="N463" i="37"/>
  <c r="I464" i="37"/>
  <c r="J464" i="37"/>
  <c r="N464" i="37"/>
  <c r="H464" i="37"/>
  <c r="L464" i="37" s="1" a="1"/>
  <c r="L464" i="37" s="1"/>
  <c r="I465" i="37"/>
  <c r="J465" i="37"/>
  <c r="N465" i="37"/>
  <c r="H465" i="37"/>
  <c r="L465" i="37" s="1" a="1"/>
  <c r="L465" i="37" s="1"/>
  <c r="I466" i="37"/>
  <c r="N466" i="37"/>
  <c r="J466" i="37"/>
  <c r="H466" i="37"/>
  <c r="L466" i="37" s="1" a="1"/>
  <c r="L466" i="37" s="1"/>
  <c r="J467" i="37"/>
  <c r="N467" i="37"/>
  <c r="I467" i="37"/>
  <c r="H467" i="37"/>
  <c r="L467" i="37" s="1" a="1"/>
  <c r="L467" i="37" s="1"/>
  <c r="J468" i="37"/>
  <c r="I468" i="37"/>
  <c r="N468" i="37"/>
  <c r="H468" i="37"/>
  <c r="L468" i="37" s="1" a="1"/>
  <c r="L468" i="37" s="1"/>
  <c r="H469" i="37"/>
  <c r="N469" i="37"/>
  <c r="J469" i="37"/>
  <c r="I469" i="37"/>
  <c r="L469" i="37" s="1" a="1"/>
  <c r="L469" i="37" s="1"/>
  <c r="H470" i="37"/>
  <c r="N470" i="37"/>
  <c r="J470" i="37"/>
  <c r="I470" i="37"/>
  <c r="N471" i="37"/>
  <c r="H471" i="37"/>
  <c r="J471" i="37"/>
  <c r="I471" i="37"/>
  <c r="N472" i="37"/>
  <c r="H472" i="37"/>
  <c r="I472" i="37"/>
  <c r="L472" i="37" s="1" a="1"/>
  <c r="L472" i="37" s="1"/>
  <c r="J472" i="37"/>
  <c r="J473" i="37"/>
  <c r="H473" i="37"/>
  <c r="N473" i="37"/>
  <c r="I473" i="37"/>
  <c r="N474" i="37"/>
  <c r="J474" i="37"/>
  <c r="I474" i="37"/>
  <c r="H474" i="37"/>
  <c r="N475" i="37"/>
  <c r="J475" i="37"/>
  <c r="I475" i="37"/>
  <c r="H475" i="37"/>
  <c r="L475" i="37" s="1" a="1"/>
  <c r="L475" i="37" s="1"/>
  <c r="J476" i="37"/>
  <c r="N476" i="37"/>
  <c r="I477" i="37"/>
  <c r="N477" i="37"/>
  <c r="J477" i="37"/>
  <c r="H477" i="37"/>
  <c r="I478" i="37"/>
  <c r="N478" i="37"/>
  <c r="J478" i="37"/>
  <c r="H478" i="37"/>
  <c r="N479" i="37"/>
  <c r="I479" i="37"/>
  <c r="J479" i="37"/>
  <c r="H479" i="37"/>
  <c r="I480" i="37"/>
  <c r="J480" i="37"/>
  <c r="H480" i="37"/>
  <c r="L480" i="37" s="1" a="1"/>
  <c r="L480" i="37" s="1"/>
  <c r="N480" i="37" s="1"/>
  <c r="N481" i="37"/>
  <c r="J481" i="37"/>
  <c r="I481" i="37"/>
  <c r="H481" i="37"/>
  <c r="N482" i="37"/>
  <c r="I482" i="37"/>
  <c r="H482" i="37"/>
  <c r="L482" i="37" s="1" a="1"/>
  <c r="L482" i="37" s="1"/>
  <c r="J482" i="37"/>
  <c r="N483" i="37"/>
  <c r="I483" i="37"/>
  <c r="H483" i="37"/>
  <c r="J483" i="37"/>
  <c r="N484" i="37"/>
  <c r="H484" i="37"/>
  <c r="I484" i="37"/>
  <c r="J484" i="37"/>
  <c r="N485" i="37"/>
  <c r="J485" i="37"/>
  <c r="I485" i="37"/>
  <c r="H485" i="37"/>
  <c r="N486" i="37"/>
  <c r="J486" i="37"/>
  <c r="H486" i="37"/>
  <c r="I486" i="37"/>
  <c r="N487" i="37"/>
  <c r="H487" i="37"/>
  <c r="J487" i="37"/>
  <c r="I487" i="37"/>
  <c r="H488" i="37"/>
  <c r="J488" i="37"/>
  <c r="I488" i="37"/>
  <c r="N488" i="37"/>
  <c r="N489" i="37"/>
  <c r="J489" i="37"/>
  <c r="I489" i="37"/>
  <c r="H489" i="37"/>
  <c r="N490" i="37"/>
  <c r="J490" i="37"/>
  <c r="H490" i="37"/>
  <c r="I490" i="37"/>
  <c r="J491" i="37"/>
  <c r="I491" i="37"/>
  <c r="N491" i="37"/>
  <c r="H491" i="37"/>
  <c r="L491" i="37" s="1" a="1"/>
  <c r="L491" i="37" s="1"/>
  <c r="I492" i="37"/>
  <c r="J492" i="37"/>
  <c r="N492" i="37"/>
  <c r="H492" i="37"/>
  <c r="N493" i="37"/>
  <c r="J493" i="37"/>
  <c r="I493" i="37"/>
  <c r="H493" i="37"/>
  <c r="J448" i="37"/>
  <c r="I448" i="37"/>
  <c r="H448" i="37"/>
  <c r="N448" i="37"/>
  <c r="I409" i="37"/>
  <c r="L409" i="37" s="1" a="1"/>
  <c r="L409" i="37" s="1"/>
  <c r="N409" i="37" s="1"/>
  <c r="J409" i="37"/>
  <c r="I410" i="37"/>
  <c r="J410" i="37"/>
  <c r="I411" i="37"/>
  <c r="J411" i="37"/>
  <c r="I412" i="37"/>
  <c r="J412" i="37"/>
  <c r="I413" i="37"/>
  <c r="J413" i="37"/>
  <c r="I414" i="37"/>
  <c r="J414" i="37"/>
  <c r="J415" i="37"/>
  <c r="I415" i="37"/>
  <c r="J416" i="37"/>
  <c r="I416" i="37"/>
  <c r="J417" i="37"/>
  <c r="I417" i="37"/>
  <c r="J418" i="37"/>
  <c r="I418" i="37"/>
  <c r="J419" i="37"/>
  <c r="I419" i="37"/>
  <c r="J420" i="37"/>
  <c r="I420" i="37"/>
  <c r="J421" i="37"/>
  <c r="I421" i="37"/>
  <c r="I422" i="37"/>
  <c r="J422" i="37"/>
  <c r="I423" i="37"/>
  <c r="J423" i="37"/>
  <c r="J424" i="37"/>
  <c r="I424" i="37"/>
  <c r="J425" i="37"/>
  <c r="I425" i="37"/>
  <c r="I426" i="37"/>
  <c r="J426" i="37"/>
  <c r="I427" i="37"/>
  <c r="J427" i="37"/>
  <c r="I428" i="37"/>
  <c r="J428" i="37"/>
  <c r="J429" i="37"/>
  <c r="I429" i="37"/>
  <c r="N404" i="37"/>
  <c r="L404" i="37" a="1"/>
  <c r="L404" i="37" s="1"/>
  <c r="N405" i="37"/>
  <c r="L405" i="37" a="1"/>
  <c r="L405" i="37" s="1"/>
  <c r="N501" i="37"/>
  <c r="N502" i="37"/>
  <c r="N503" i="37"/>
  <c r="N504" i="37"/>
  <c r="N505" i="37"/>
  <c r="N506" i="37"/>
  <c r="N507" i="37"/>
  <c r="N508" i="37"/>
  <c r="N509" i="37"/>
  <c r="N510" i="37"/>
  <c r="N511" i="37"/>
  <c r="N512" i="37"/>
  <c r="N513" i="37"/>
  <c r="N514" i="37"/>
  <c r="N515" i="37"/>
  <c r="N516" i="37"/>
  <c r="N517" i="37"/>
  <c r="N518" i="37"/>
  <c r="N519" i="37"/>
  <c r="H410" i="37"/>
  <c r="H411" i="37"/>
  <c r="H412" i="37"/>
  <c r="H413" i="37"/>
  <c r="H414" i="37"/>
  <c r="H415" i="37"/>
  <c r="H416" i="37"/>
  <c r="H417" i="37"/>
  <c r="L417" i="37" s="1" a="1"/>
  <c r="L417" i="37" s="1"/>
  <c r="H418" i="37"/>
  <c r="L418" i="37" s="1" a="1"/>
  <c r="L418" i="37" s="1"/>
  <c r="H419" i="37"/>
  <c r="L419" i="37" s="1" a="1"/>
  <c r="L419" i="37" s="1"/>
  <c r="H420" i="37"/>
  <c r="L420" i="37" s="1" a="1"/>
  <c r="L420" i="37" s="1"/>
  <c r="H421" i="37"/>
  <c r="L421" i="37" s="1" a="1"/>
  <c r="L421" i="37" s="1"/>
  <c r="H422" i="37"/>
  <c r="L422" i="37" s="1" a="1"/>
  <c r="L422" i="37" s="1"/>
  <c r="H423" i="37"/>
  <c r="L423" i="37" s="1" a="1"/>
  <c r="L423" i="37" s="1"/>
  <c r="H424" i="37"/>
  <c r="H425" i="37"/>
  <c r="H426" i="37"/>
  <c r="H427" i="37"/>
  <c r="H428" i="37"/>
  <c r="H429" i="37"/>
  <c r="I430" i="37"/>
  <c r="H430" i="37"/>
  <c r="L430" i="37" s="1" a="1"/>
  <c r="L430" i="37" s="1"/>
  <c r="I431" i="37"/>
  <c r="H431" i="37"/>
  <c r="L431" i="37" s="1" a="1"/>
  <c r="L431" i="37" s="1"/>
  <c r="I432" i="37"/>
  <c r="H432" i="37"/>
  <c r="I433" i="37"/>
  <c r="H433" i="37"/>
  <c r="L433" i="37" s="1" a="1"/>
  <c r="L433" i="37" s="1"/>
  <c r="I434" i="37"/>
  <c r="H434" i="37"/>
  <c r="L434" i="37" s="1" a="1"/>
  <c r="L434" i="37" s="1"/>
  <c r="I435" i="37"/>
  <c r="H435" i="37"/>
  <c r="L435" i="37" s="1" a="1"/>
  <c r="L435" i="37" s="1"/>
  <c r="I436" i="37"/>
  <c r="H436" i="37"/>
  <c r="I437" i="37"/>
  <c r="H437" i="37"/>
  <c r="L437" i="37" s="1" a="1"/>
  <c r="L437" i="37" s="1"/>
  <c r="N437" i="37" s="1"/>
  <c r="I438" i="37"/>
  <c r="H438" i="37"/>
  <c r="I439" i="37"/>
  <c r="H439" i="37"/>
  <c r="I440" i="37"/>
  <c r="H440" i="37"/>
  <c r="I441" i="37"/>
  <c r="H441" i="37"/>
  <c r="I442" i="37"/>
  <c r="H442" i="37"/>
  <c r="L442" i="37" s="1" a="1"/>
  <c r="L442" i="37" s="1"/>
  <c r="I443" i="37"/>
  <c r="H443" i="37"/>
  <c r="I408" i="37"/>
  <c r="H408" i="37"/>
  <c r="I352" i="37"/>
  <c r="H352" i="37"/>
  <c r="L352" i="37" s="1" a="1"/>
  <c r="L352" i="37" s="1"/>
  <c r="N352" i="37" s="1"/>
  <c r="J352" i="37"/>
  <c r="I353" i="37"/>
  <c r="J353" i="37"/>
  <c r="H353" i="37"/>
  <c r="J354" i="37"/>
  <c r="I354" i="37"/>
  <c r="H354" i="37"/>
  <c r="L354" i="37" s="1" a="1"/>
  <c r="L354" i="37" s="1"/>
  <c r="N354" i="37" s="1"/>
  <c r="N355" i="37"/>
  <c r="J355" i="37"/>
  <c r="I355" i="37"/>
  <c r="H355" i="37"/>
  <c r="L355" i="37" s="1" a="1"/>
  <c r="L355" i="37" s="1"/>
  <c r="N356" i="37"/>
  <c r="I356" i="37"/>
  <c r="J356" i="37"/>
  <c r="H356" i="37"/>
  <c r="L356" i="37" s="1" a="1"/>
  <c r="L356" i="37" s="1"/>
  <c r="I357" i="37"/>
  <c r="J357" i="37"/>
  <c r="H357" i="37"/>
  <c r="I358" i="37"/>
  <c r="H358" i="37"/>
  <c r="J358" i="37"/>
  <c r="I359" i="37"/>
  <c r="H359" i="37"/>
  <c r="J359" i="37"/>
  <c r="H360" i="37"/>
  <c r="J360" i="37"/>
  <c r="I360" i="37"/>
  <c r="N365" i="37"/>
  <c r="J365" i="37"/>
  <c r="I365" i="37"/>
  <c r="H365" i="37"/>
  <c r="I366" i="37"/>
  <c r="H366" i="37"/>
  <c r="L366" i="37" s="1" a="1"/>
  <c r="L366" i="37" s="1"/>
  <c r="J366" i="37"/>
  <c r="N366" i="37"/>
  <c r="N367" i="37"/>
  <c r="J367" i="37"/>
  <c r="I367" i="37"/>
  <c r="H367" i="37"/>
  <c r="L367" i="37" s="1" a="1"/>
  <c r="L367" i="37" s="1"/>
  <c r="I368" i="37"/>
  <c r="H368" i="37"/>
  <c r="L368" i="37" s="1" a="1"/>
  <c r="L368" i="37" s="1"/>
  <c r="J368" i="37"/>
  <c r="N368" i="37"/>
  <c r="H369" i="37"/>
  <c r="J369" i="37"/>
  <c r="I369" i="37"/>
  <c r="N369" i="37"/>
  <c r="H370" i="37"/>
  <c r="N370" i="37"/>
  <c r="J370" i="37"/>
  <c r="I370" i="37"/>
  <c r="H371" i="37"/>
  <c r="N371" i="37"/>
  <c r="I371" i="37"/>
  <c r="J371" i="37"/>
  <c r="J372" i="37"/>
  <c r="N372" i="37"/>
  <c r="H372" i="37"/>
  <c r="I372" i="37"/>
  <c r="H373" i="37"/>
  <c r="J373" i="37"/>
  <c r="N373" i="37"/>
  <c r="I373" i="37"/>
  <c r="J374" i="37"/>
  <c r="N374" i="37"/>
  <c r="I374" i="37"/>
  <c r="H374" i="37"/>
  <c r="L374" i="37" s="1" a="1"/>
  <c r="L374" i="37" s="1"/>
  <c r="J375" i="37"/>
  <c r="N375" i="37"/>
  <c r="I375" i="37"/>
  <c r="H375" i="37"/>
  <c r="L375" i="37" s="1" a="1"/>
  <c r="L375" i="37" s="1"/>
  <c r="N376" i="37"/>
  <c r="J376" i="37"/>
  <c r="I376" i="37"/>
  <c r="H376" i="37"/>
  <c r="N377" i="37"/>
  <c r="H377" i="37"/>
  <c r="I377" i="37"/>
  <c r="J377" i="37"/>
  <c r="N378" i="37"/>
  <c r="I378" i="37"/>
  <c r="H378" i="37"/>
  <c r="J378" i="37"/>
  <c r="N379" i="37"/>
  <c r="H379" i="37"/>
  <c r="J379" i="37"/>
  <c r="I379" i="37"/>
  <c r="N380" i="37"/>
  <c r="J380" i="37"/>
  <c r="H380" i="37"/>
  <c r="I380" i="37"/>
  <c r="N381" i="37"/>
  <c r="J381" i="37"/>
  <c r="H381" i="37"/>
  <c r="I381" i="37"/>
  <c r="J382" i="37"/>
  <c r="H382" i="37"/>
  <c r="I382" i="37"/>
  <c r="N382" i="37"/>
  <c r="N383" i="37"/>
  <c r="H383" i="37"/>
  <c r="J383" i="37"/>
  <c r="I383" i="37"/>
  <c r="J384" i="37"/>
  <c r="I384" i="37"/>
  <c r="H384" i="37"/>
  <c r="L384" i="37" s="1" a="1"/>
  <c r="L384" i="37" s="1"/>
  <c r="N384" i="37"/>
  <c r="J385" i="37"/>
  <c r="I385" i="37"/>
  <c r="H385" i="37"/>
  <c r="N385" i="37"/>
  <c r="I386" i="37"/>
  <c r="H386" i="37"/>
  <c r="N386" i="37"/>
  <c r="J386" i="37"/>
  <c r="J387" i="37"/>
  <c r="I387" i="37"/>
  <c r="N387" i="37"/>
  <c r="H387" i="37"/>
  <c r="J388" i="37"/>
  <c r="I388" i="37"/>
  <c r="H388" i="37"/>
  <c r="N388" i="37"/>
  <c r="H389" i="37"/>
  <c r="J389" i="37"/>
  <c r="N389" i="37"/>
  <c r="I389" i="37"/>
  <c r="I390" i="37"/>
  <c r="H390" i="37"/>
  <c r="N390" i="37"/>
  <c r="J390" i="37"/>
  <c r="N391" i="37"/>
  <c r="I391" i="37"/>
  <c r="H391" i="37"/>
  <c r="J391" i="37"/>
  <c r="N392" i="37"/>
  <c r="J392" i="37"/>
  <c r="I392" i="37"/>
  <c r="H392" i="37"/>
  <c r="J393" i="37"/>
  <c r="H393" i="37"/>
  <c r="I393" i="37"/>
  <c r="N393" i="37"/>
  <c r="I394" i="37"/>
  <c r="J394" i="37"/>
  <c r="H394" i="37"/>
  <c r="L394" i="37" s="1" a="1"/>
  <c r="L394" i="37" s="1"/>
  <c r="N394" i="37"/>
  <c r="H395" i="37"/>
  <c r="J395" i="37"/>
  <c r="I395" i="37"/>
  <c r="L395" i="37" s="1" a="1"/>
  <c r="L395" i="37" s="1"/>
  <c r="N395" i="37"/>
  <c r="N396" i="37"/>
  <c r="I396" i="37"/>
  <c r="H396" i="37"/>
  <c r="J396" i="37"/>
  <c r="N397" i="37"/>
  <c r="I397" i="37"/>
  <c r="H397" i="37"/>
  <c r="J397" i="37"/>
  <c r="J398" i="37"/>
  <c r="N398" i="37"/>
  <c r="I398" i="37"/>
  <c r="H398" i="37"/>
  <c r="J399" i="37"/>
  <c r="N399" i="37"/>
  <c r="H399" i="37"/>
  <c r="I399" i="37"/>
  <c r="J400" i="37"/>
  <c r="H400" i="37"/>
  <c r="I400" i="37"/>
  <c r="N400" i="37"/>
  <c r="I401" i="37"/>
  <c r="H401" i="37"/>
  <c r="L401" i="37" s="1" a="1"/>
  <c r="L401" i="37" s="1"/>
  <c r="N401" i="37"/>
  <c r="J401" i="37"/>
  <c r="N402" i="37"/>
  <c r="H402" i="37"/>
  <c r="I402" i="37"/>
  <c r="J402" i="37"/>
  <c r="I351" i="37"/>
  <c r="H351" i="37"/>
  <c r="L351" i="37" s="1" a="1"/>
  <c r="L351" i="37" s="1"/>
  <c r="J351" i="37"/>
  <c r="N351" i="37"/>
  <c r="L85" i="37" a="1"/>
  <c r="L85" i="37" s="1"/>
  <c r="N85" i="37"/>
  <c r="L86" i="37" a="1"/>
  <c r="L86" i="37" s="1"/>
  <c r="N86" i="37"/>
  <c r="L87" i="37" a="1"/>
  <c r="L87" i="37" s="1"/>
  <c r="N87" i="37"/>
  <c r="L88" i="37" a="1"/>
  <c r="L88" i="37" s="1"/>
  <c r="N88" i="37"/>
  <c r="L89" i="37" a="1"/>
  <c r="L89" i="37" s="1"/>
  <c r="N89" i="37"/>
  <c r="J91" i="37"/>
  <c r="N91" i="37"/>
  <c r="L91" i="37" a="1"/>
  <c r="L91" i="37" s="1"/>
  <c r="H6" i="37"/>
  <c r="H7" i="37"/>
  <c r="H8" i="37"/>
  <c r="H9" i="37"/>
  <c r="H10" i="37"/>
  <c r="H11" i="37"/>
  <c r="H12" i="37"/>
  <c r="H13" i="37"/>
  <c r="H14" i="37"/>
  <c r="H15" i="37"/>
  <c r="H16" i="37"/>
  <c r="H17" i="37"/>
  <c r="N17" i="37"/>
  <c r="H18" i="37"/>
  <c r="N18" i="37"/>
  <c r="H19" i="37"/>
  <c r="N19" i="37"/>
  <c r="H20" i="37"/>
  <c r="H21" i="37"/>
  <c r="H22" i="37"/>
  <c r="H23" i="37"/>
  <c r="H24" i="37"/>
  <c r="H25" i="37"/>
  <c r="N25" i="37"/>
  <c r="H26" i="37"/>
  <c r="H27" i="37"/>
  <c r="N27" i="37"/>
  <c r="H28" i="37"/>
  <c r="N28" i="37"/>
  <c r="H29" i="37"/>
  <c r="H30" i="37"/>
  <c r="H31" i="37"/>
  <c r="N31" i="37"/>
  <c r="H32" i="37"/>
  <c r="N32" i="37"/>
  <c r="H33" i="37"/>
  <c r="N33" i="37"/>
  <c r="H34" i="37"/>
  <c r="N34" i="37"/>
  <c r="H35" i="37"/>
  <c r="N35" i="37"/>
  <c r="H36" i="37"/>
  <c r="N36" i="37"/>
  <c r="H37" i="37"/>
  <c r="N37" i="37"/>
  <c r="H38" i="37"/>
  <c r="N38" i="37"/>
  <c r="H39" i="37"/>
  <c r="H40" i="37"/>
  <c r="H41" i="37"/>
  <c r="N42" i="37"/>
  <c r="H42" i="37"/>
  <c r="H43" i="37"/>
  <c r="N43" i="37"/>
  <c r="N44" i="37"/>
  <c r="H44" i="37"/>
  <c r="N45" i="37"/>
  <c r="H45" i="37"/>
  <c r="H46" i="37"/>
  <c r="N46" i="37"/>
  <c r="H47" i="37"/>
  <c r="N47" i="37"/>
  <c r="H48" i="37"/>
  <c r="N48" i="37"/>
  <c r="N49" i="37"/>
  <c r="H49" i="37"/>
  <c r="H50" i="37"/>
  <c r="N50" i="37"/>
  <c r="H51" i="37"/>
  <c r="N51" i="37"/>
  <c r="N52" i="37"/>
  <c r="H52" i="37"/>
  <c r="H53" i="37"/>
  <c r="H54" i="37"/>
  <c r="H55" i="37"/>
  <c r="H56" i="37"/>
  <c r="N56" i="37"/>
  <c r="H57" i="37"/>
  <c r="N57" i="37"/>
  <c r="N58" i="37"/>
  <c r="H58" i="37"/>
  <c r="N59" i="37"/>
  <c r="H59" i="37"/>
  <c r="H60" i="37"/>
  <c r="N60" i="37"/>
  <c r="N61" i="37"/>
  <c r="H61" i="37"/>
  <c r="N62" i="37"/>
  <c r="H62" i="37"/>
  <c r="N63" i="37"/>
  <c r="H63" i="37"/>
  <c r="N64" i="37"/>
  <c r="H64" i="37"/>
  <c r="N65" i="37"/>
  <c r="H65" i="37"/>
  <c r="N66" i="37"/>
  <c r="H66" i="37"/>
  <c r="N67" i="37"/>
  <c r="H67" i="37"/>
  <c r="N68" i="37"/>
  <c r="H68" i="37"/>
  <c r="H69" i="37"/>
  <c r="N69" i="37"/>
  <c r="N70" i="37"/>
  <c r="H70" i="37"/>
  <c r="H71" i="37"/>
  <c r="N71" i="37"/>
  <c r="H72" i="37"/>
  <c r="N72" i="37"/>
  <c r="N73" i="37"/>
  <c r="H73" i="37"/>
  <c r="N74" i="37"/>
  <c r="N75" i="37"/>
  <c r="N76" i="37"/>
  <c r="N77" i="37"/>
  <c r="N78" i="37"/>
  <c r="N79" i="37"/>
  <c r="N80" i="37"/>
  <c r="N81" i="37"/>
  <c r="N82" i="37"/>
  <c r="N83" i="37"/>
  <c r="N84" i="37"/>
  <c r="J6" i="37"/>
  <c r="I6" i="37"/>
  <c r="J7" i="37"/>
  <c r="I7" i="37"/>
  <c r="J8" i="37"/>
  <c r="I8" i="37"/>
  <c r="J9" i="37"/>
  <c r="I9" i="37"/>
  <c r="J10" i="37"/>
  <c r="I10" i="37"/>
  <c r="J11" i="37"/>
  <c r="I11" i="37"/>
  <c r="J12" i="37"/>
  <c r="I12" i="37"/>
  <c r="J13" i="37"/>
  <c r="I13" i="37"/>
  <c r="J14" i="37"/>
  <c r="J15" i="37"/>
  <c r="I15" i="37"/>
  <c r="J16" i="37"/>
  <c r="I16" i="37"/>
  <c r="J17" i="37"/>
  <c r="I17" i="37"/>
  <c r="J18" i="37"/>
  <c r="I18" i="37"/>
  <c r="J19" i="37"/>
  <c r="I19" i="37"/>
  <c r="J20" i="37"/>
  <c r="I20" i="37"/>
  <c r="J21" i="37"/>
  <c r="I21" i="37"/>
  <c r="J22" i="37"/>
  <c r="I22" i="37"/>
  <c r="J23" i="37"/>
  <c r="I23" i="37"/>
  <c r="J24" i="37"/>
  <c r="I24" i="37"/>
  <c r="J25" i="37"/>
  <c r="I25" i="37"/>
  <c r="J26" i="37"/>
  <c r="I26" i="37"/>
  <c r="J27" i="37"/>
  <c r="I27" i="37"/>
  <c r="J28" i="37"/>
  <c r="I28" i="37"/>
  <c r="J29" i="37"/>
  <c r="I29" i="37"/>
  <c r="J30" i="37"/>
  <c r="I30" i="37"/>
  <c r="J31" i="37"/>
  <c r="I31" i="37"/>
  <c r="J32" i="37"/>
  <c r="I32" i="37"/>
  <c r="J33" i="37"/>
  <c r="I33" i="37"/>
  <c r="J34" i="37"/>
  <c r="I34" i="37"/>
  <c r="J35" i="37"/>
  <c r="I35" i="37"/>
  <c r="J36" i="37"/>
  <c r="I36" i="37"/>
  <c r="J37" i="37"/>
  <c r="I37" i="37"/>
  <c r="J38" i="37"/>
  <c r="I38" i="37"/>
  <c r="J39" i="37"/>
  <c r="I39" i="37"/>
  <c r="J40" i="37"/>
  <c r="I40" i="37"/>
  <c r="J41" i="37"/>
  <c r="I41" i="37"/>
  <c r="J42" i="37"/>
  <c r="I42" i="37"/>
  <c r="I43" i="37"/>
  <c r="J43" i="37"/>
  <c r="I44" i="37"/>
  <c r="J44" i="37"/>
  <c r="J45" i="37"/>
  <c r="I45" i="37"/>
  <c r="J46" i="37"/>
  <c r="I46" i="37"/>
  <c r="J47" i="37"/>
  <c r="I47" i="37"/>
  <c r="J48" i="37"/>
  <c r="I48" i="37"/>
  <c r="J49" i="37"/>
  <c r="I49" i="37"/>
  <c r="J50" i="37"/>
  <c r="I50" i="37"/>
  <c r="J51" i="37"/>
  <c r="I51" i="37"/>
  <c r="J52" i="37"/>
  <c r="I52" i="37"/>
  <c r="I53" i="37"/>
  <c r="J53" i="37"/>
  <c r="I54" i="37"/>
  <c r="J54" i="37"/>
  <c r="J55" i="37"/>
  <c r="I55" i="37"/>
  <c r="J56" i="37"/>
  <c r="I56" i="37"/>
  <c r="I57" i="37"/>
  <c r="J57" i="37"/>
  <c r="J58" i="37"/>
  <c r="I58" i="37"/>
  <c r="I59" i="37"/>
  <c r="J59" i="37"/>
  <c r="J60" i="37"/>
  <c r="I60" i="37"/>
  <c r="I61" i="37"/>
  <c r="J61" i="37"/>
  <c r="J62" i="37"/>
  <c r="I62" i="37"/>
  <c r="J63" i="37"/>
  <c r="I63" i="37"/>
  <c r="J64" i="37"/>
  <c r="I64" i="37"/>
  <c r="I65" i="37"/>
  <c r="J65" i="37"/>
  <c r="I66" i="37"/>
  <c r="J66" i="37"/>
  <c r="I67" i="37"/>
  <c r="J67" i="37"/>
  <c r="I68" i="37"/>
  <c r="J68" i="37"/>
  <c r="I69" i="37"/>
  <c r="J69" i="37"/>
  <c r="I70" i="37"/>
  <c r="J70" i="37"/>
  <c r="I71" i="37"/>
  <c r="J71" i="37"/>
  <c r="J72" i="37"/>
  <c r="I72" i="37"/>
  <c r="J73" i="37"/>
  <c r="I73" i="37"/>
  <c r="J74" i="37"/>
  <c r="I74" i="37"/>
  <c r="H74" i="37"/>
  <c r="J75" i="37"/>
  <c r="I75" i="37"/>
  <c r="H75" i="37"/>
  <c r="J76" i="37"/>
  <c r="I76" i="37"/>
  <c r="H76" i="37"/>
  <c r="J77" i="37"/>
  <c r="I77" i="37"/>
  <c r="H77" i="37"/>
  <c r="J78" i="37"/>
  <c r="I78" i="37"/>
  <c r="H78" i="37"/>
  <c r="I79" i="37"/>
  <c r="J79" i="37"/>
  <c r="H79" i="37"/>
  <c r="I80" i="37"/>
  <c r="H80" i="37"/>
  <c r="J80" i="37"/>
  <c r="I81" i="37"/>
  <c r="H81" i="37"/>
  <c r="J81" i="37"/>
  <c r="H82" i="37"/>
  <c r="I82" i="37"/>
  <c r="J82" i="37"/>
  <c r="H83" i="37"/>
  <c r="I83" i="37"/>
  <c r="J83" i="37"/>
  <c r="J84" i="37"/>
  <c r="H84" i="37"/>
  <c r="H5" i="37"/>
  <c r="J5" i="37"/>
  <c r="I5" i="37"/>
  <c r="F15" i="8"/>
  <c r="F20" i="8" s="1"/>
  <c r="F21" i="8" s="1"/>
  <c r="F14" i="8"/>
  <c r="F16" i="8"/>
  <c r="F11" i="1"/>
  <c r="F10" i="1"/>
  <c r="F7" i="1"/>
  <c r="F29" i="23"/>
  <c r="F30" i="23" s="1"/>
  <c r="F31" i="23" s="1"/>
  <c r="F32" i="23" s="1"/>
  <c r="F12" i="23"/>
  <c r="F19" i="23"/>
  <c r="F4" i="35"/>
  <c r="F6" i="35"/>
  <c r="F7" i="35" s="1"/>
  <c r="F8" i="35" s="1"/>
  <c r="F9" i="35" s="1"/>
  <c r="F10" i="35" s="1"/>
  <c r="F11" i="35" s="1"/>
  <c r="F12" i="35" s="1"/>
  <c r="F13" i="35" s="1"/>
  <c r="F14" i="35" s="1"/>
  <c r="F15" i="35" s="1"/>
  <c r="F16" i="35" s="1"/>
  <c r="F17" i="35" s="1"/>
  <c r="F20" i="1"/>
  <c r="F12" i="1"/>
  <c r="C11" i="19" a="1"/>
  <c r="C11" i="19" s="1"/>
  <c r="E10" i="19"/>
  <c r="E11" i="19"/>
  <c r="L348" i="37" l="1" a="1"/>
  <c r="L348" i="37" s="1"/>
  <c r="N348" i="37" s="1"/>
  <c r="L391" i="37" a="1"/>
  <c r="L391" i="37" s="1"/>
  <c r="L441" i="37" a="1"/>
  <c r="L441" i="37" s="1"/>
  <c r="L439" i="37" a="1"/>
  <c r="L439" i="37" s="1"/>
  <c r="N439" i="37" s="1"/>
  <c r="L443" i="37" a="1"/>
  <c r="L443" i="37" s="1"/>
  <c r="L383" i="37" a="1"/>
  <c r="L383" i="37" s="1"/>
  <c r="L432" i="37" a="1"/>
  <c r="L432" i="37" s="1"/>
  <c r="L436" i="37" a="1"/>
  <c r="L436" i="37" s="1"/>
  <c r="L438" i="37" a="1"/>
  <c r="L438" i="37" s="1"/>
  <c r="N438" i="37" s="1"/>
  <c r="L392" i="37" a="1"/>
  <c r="L392" i="37" s="1"/>
  <c r="L339" i="37" a="1"/>
  <c r="L339" i="37" s="1"/>
  <c r="N339" i="37" s="1"/>
  <c r="L338" i="37" a="1"/>
  <c r="L338" i="37" s="1"/>
  <c r="N338" i="37" s="1"/>
  <c r="L337" i="37" a="1"/>
  <c r="L337" i="37" s="1"/>
  <c r="L336" i="37" a="1"/>
  <c r="L336" i="37" s="1"/>
  <c r="L440" i="37" a="1"/>
  <c r="L440" i="37" s="1"/>
  <c r="L535" i="37" a="1"/>
  <c r="L535" i="37" s="1"/>
  <c r="N535" i="37" s="1"/>
  <c r="L335" i="37" a="1"/>
  <c r="L335" i="37" s="1"/>
  <c r="L341" i="37" a="1"/>
  <c r="L341" i="37" s="1"/>
  <c r="N341" i="37" s="1"/>
  <c r="L340" i="37" a="1"/>
  <c r="L340" i="37" s="1"/>
  <c r="N340" i="37" s="1"/>
  <c r="L460" i="37" a="1"/>
  <c r="L460" i="37" s="1"/>
  <c r="D12" i="34" a="1"/>
  <c r="D12" i="34" s="1"/>
  <c r="C12" i="34" a="1"/>
  <c r="C12" i="34" s="1"/>
  <c r="L429" i="37" a="1"/>
  <c r="L429" i="37" s="1"/>
  <c r="L428" i="37" a="1"/>
  <c r="L428" i="37" s="1"/>
  <c r="L427" i="37" a="1"/>
  <c r="L427" i="37" s="1"/>
  <c r="L426" i="37" a="1"/>
  <c r="L426" i="37" s="1"/>
  <c r="L425" i="37" a="1"/>
  <c r="L425" i="37" s="1"/>
  <c r="L424" i="37" a="1"/>
  <c r="L424" i="37" s="1"/>
  <c r="L458" i="37" a="1"/>
  <c r="L458" i="37" s="1"/>
  <c r="L483" i="37" a="1"/>
  <c r="L483" i="37" s="1"/>
  <c r="L454" i="37" a="1"/>
  <c r="L454" i="37" s="1"/>
  <c r="L471" i="37" a="1"/>
  <c r="L471" i="37" s="1"/>
  <c r="L311" i="37" a="1"/>
  <c r="L311" i="37" s="1"/>
  <c r="L321" i="37" a="1"/>
  <c r="L321" i="37" s="1"/>
  <c r="L320" i="37" a="1"/>
  <c r="L320" i="37" s="1"/>
  <c r="L319" i="37" a="1"/>
  <c r="L319" i="37" s="1"/>
  <c r="L318" i="37" a="1"/>
  <c r="L318" i="37" s="1"/>
  <c r="L317" i="37" a="1"/>
  <c r="L317" i="37" s="1"/>
  <c r="L316" i="37" a="1"/>
  <c r="L316" i="37" s="1"/>
  <c r="L315" i="37" a="1"/>
  <c r="L315" i="37" s="1"/>
  <c r="L314" i="37" a="1"/>
  <c r="L314" i="37" s="1"/>
  <c r="L313" i="37" a="1"/>
  <c r="L313" i="37" s="1"/>
  <c r="L312" i="37" a="1"/>
  <c r="L312" i="37" s="1"/>
  <c r="L310" i="37" a="1"/>
  <c r="L310" i="37" s="1"/>
  <c r="L517" i="37" a="1"/>
  <c r="L517" i="37" s="1"/>
  <c r="L357" i="37" a="1"/>
  <c r="L357" i="37" s="1"/>
  <c r="N357" i="37" s="1"/>
  <c r="L78" i="37" a="1"/>
  <c r="L78" i="37" s="1"/>
  <c r="L164" i="37" a="1"/>
  <c r="L164" i="37" s="1"/>
  <c r="L259" i="37" a="1"/>
  <c r="L259" i="37" s="1"/>
  <c r="L260" i="37" a="1"/>
  <c r="L260" i="37" s="1"/>
  <c r="L262" i="37" a="1"/>
  <c r="L262" i="37" s="1"/>
  <c r="L263" i="37" a="1"/>
  <c r="L263" i="37" s="1"/>
  <c r="L264" i="37" a="1"/>
  <c r="L264" i="37" s="1"/>
  <c r="L265" i="37" a="1"/>
  <c r="L265" i="37" s="1"/>
  <c r="L266" i="37" a="1"/>
  <c r="L266" i="37" s="1"/>
  <c r="L267" i="37" a="1"/>
  <c r="L267" i="37" s="1"/>
  <c r="L268" i="37" a="1"/>
  <c r="L268" i="37" s="1"/>
  <c r="L269" i="37" a="1"/>
  <c r="L269" i="37" s="1"/>
  <c r="L270" i="37" a="1"/>
  <c r="L270" i="37" s="1"/>
  <c r="L271" i="37" a="1"/>
  <c r="L271" i="37" s="1"/>
  <c r="L272" i="37" a="1"/>
  <c r="L272" i="37" s="1"/>
  <c r="L273" i="37" a="1"/>
  <c r="L273" i="37" s="1"/>
  <c r="L274" i="37" a="1"/>
  <c r="L274" i="37" s="1"/>
  <c r="N274" i="37" s="1"/>
  <c r="L276" i="37" a="1"/>
  <c r="L276" i="37" s="1"/>
  <c r="L277" i="37" a="1"/>
  <c r="L277" i="37" s="1"/>
  <c r="L278" i="37" a="1"/>
  <c r="L278" i="37" s="1"/>
  <c r="L279" i="37" a="1"/>
  <c r="L279" i="37" s="1"/>
  <c r="L280" i="37" a="1"/>
  <c r="L280" i="37" s="1"/>
  <c r="L281" i="37" a="1"/>
  <c r="L281" i="37" s="1"/>
  <c r="L282" i="37" a="1"/>
  <c r="L282" i="37" s="1"/>
  <c r="L283" i="37" a="1"/>
  <c r="L283" i="37" s="1"/>
  <c r="L284" i="37" a="1"/>
  <c r="L284" i="37" s="1"/>
  <c r="L285" i="37" a="1"/>
  <c r="L285" i="37" s="1"/>
  <c r="L286" i="37" a="1"/>
  <c r="L286" i="37" s="1"/>
  <c r="L287" i="37" a="1"/>
  <c r="L287" i="37" s="1"/>
  <c r="N287" i="37" s="1"/>
  <c r="L288" i="37" a="1"/>
  <c r="L288" i="37" s="1"/>
  <c r="N288" i="37" s="1"/>
  <c r="L289" i="37" a="1"/>
  <c r="L289" i="37" s="1"/>
  <c r="L290" i="37" a="1"/>
  <c r="L290" i="37" s="1"/>
  <c r="L291" i="37" a="1"/>
  <c r="L291" i="37" s="1"/>
  <c r="N291" i="37" s="1"/>
  <c r="L292" i="37" a="1"/>
  <c r="L292" i="37" s="1"/>
  <c r="L293" i="37" a="1"/>
  <c r="L293" i="37" s="1"/>
  <c r="N293" i="37" s="1"/>
  <c r="L294" i="37" a="1"/>
  <c r="L294" i="37" s="1"/>
  <c r="N294" i="37" s="1"/>
  <c r="L295" i="37" a="1"/>
  <c r="L295" i="37" s="1"/>
  <c r="N295" i="37" s="1"/>
  <c r="L296" i="37" a="1"/>
  <c r="L296" i="37" s="1"/>
  <c r="N296" i="37" s="1"/>
  <c r="L297" i="37" a="1"/>
  <c r="L297" i="37" s="1"/>
  <c r="L298" i="37" a="1"/>
  <c r="L298" i="37" s="1"/>
  <c r="L299" i="37" a="1"/>
  <c r="L299" i="37" s="1"/>
  <c r="L300" i="37" a="1"/>
  <c r="L300" i="37" s="1"/>
  <c r="L301" i="37" a="1"/>
  <c r="L301" i="37" s="1"/>
  <c r="L302" i="37" a="1"/>
  <c r="L302" i="37" s="1"/>
  <c r="N302" i="37" s="1"/>
  <c r="L303" i="37" a="1"/>
  <c r="L303" i="37" s="1"/>
  <c r="L304" i="37" a="1"/>
  <c r="L304" i="37" s="1"/>
  <c r="L305" i="37" a="1"/>
  <c r="L305" i="37" s="1"/>
  <c r="L306" i="37" a="1"/>
  <c r="L306" i="37" s="1"/>
  <c r="L307" i="37" a="1"/>
  <c r="L307" i="37" s="1"/>
  <c r="L308" i="37" a="1"/>
  <c r="L308" i="37" s="1"/>
  <c r="L309" i="37" a="1"/>
  <c r="L309" i="37" s="1"/>
  <c r="L322" i="37" a="1"/>
  <c r="L322" i="37" s="1"/>
  <c r="L323" i="37" a="1"/>
  <c r="L323" i="37" s="1"/>
  <c r="L324" i="37" a="1"/>
  <c r="L324" i="37" s="1"/>
  <c r="L325" i="37" a="1"/>
  <c r="L325" i="37" s="1"/>
  <c r="L326" i="37" a="1"/>
  <c r="L326" i="37" s="1"/>
  <c r="L327" i="37" a="1"/>
  <c r="L327" i="37" s="1"/>
  <c r="L328" i="37" a="1"/>
  <c r="L328" i="37" s="1"/>
  <c r="L329" i="37" a="1"/>
  <c r="L329" i="37" s="1"/>
  <c r="L330" i="37" a="1"/>
  <c r="L330" i="37" s="1"/>
  <c r="L331" i="37" a="1"/>
  <c r="L331" i="37" s="1"/>
  <c r="L332" i="37" a="1"/>
  <c r="L332" i="37" s="1"/>
  <c r="L333" i="37" a="1"/>
  <c r="L333" i="37" s="1"/>
  <c r="L334" i="37" a="1"/>
  <c r="L334" i="37" s="1"/>
  <c r="L234" i="37" a="1"/>
  <c r="L234" i="37" s="1"/>
  <c r="L231" i="37" a="1"/>
  <c r="L231" i="37" s="1"/>
  <c r="L219" i="37" a="1"/>
  <c r="L219" i="37" s="1"/>
  <c r="L211" i="37" a="1"/>
  <c r="L211" i="37" s="1"/>
  <c r="L209" i="37" a="1"/>
  <c r="L209" i="37" s="1"/>
  <c r="L208" i="37" a="1"/>
  <c r="L208" i="37" s="1"/>
  <c r="L205" i="37" a="1"/>
  <c r="L205" i="37" s="1"/>
  <c r="L204" i="37" a="1"/>
  <c r="L204" i="37" s="1"/>
  <c r="L202" i="37" a="1"/>
  <c r="L202" i="37" s="1"/>
  <c r="L201" i="37" a="1"/>
  <c r="L201" i="37" s="1"/>
  <c r="N201" i="37" s="1"/>
  <c r="L200" i="37" a="1"/>
  <c r="L200" i="37" s="1"/>
  <c r="L198" i="37" a="1"/>
  <c r="L198" i="37" s="1"/>
  <c r="L171" i="37" a="1"/>
  <c r="L171" i="37" s="1"/>
  <c r="L170" i="37" a="1"/>
  <c r="L170" i="37" s="1"/>
  <c r="L168" i="37" a="1"/>
  <c r="L168" i="37" s="1"/>
  <c r="L167" i="37" a="1"/>
  <c r="L167" i="37" s="1"/>
  <c r="L165" i="37" a="1"/>
  <c r="L165" i="37" s="1"/>
  <c r="L275" i="37" a="1"/>
  <c r="L275" i="37" s="1"/>
  <c r="L261" i="37" a="1"/>
  <c r="L261" i="37" s="1"/>
  <c r="N261" i="37" s="1"/>
  <c r="L144" i="37" a="1"/>
  <c r="L144" i="37" s="1"/>
  <c r="L143" i="37" a="1"/>
  <c r="L143" i="37" s="1"/>
  <c r="L141" i="37" a="1"/>
  <c r="L141" i="37" s="1"/>
  <c r="L140" i="37" a="1"/>
  <c r="L140" i="37" s="1"/>
  <c r="L139" i="37" a="1"/>
  <c r="L139" i="37" s="1"/>
  <c r="L138" i="37" a="1"/>
  <c r="L138" i="37" s="1"/>
  <c r="N138" i="37" s="1"/>
  <c r="L137" i="37" a="1"/>
  <c r="L137" i="37" s="1"/>
  <c r="N137" i="37" s="1"/>
  <c r="L136" i="37" a="1"/>
  <c r="L136" i="37" s="1"/>
  <c r="N136" i="37" s="1"/>
  <c r="L135" i="37" a="1"/>
  <c r="L135" i="37" s="1"/>
  <c r="L134" i="37" a="1"/>
  <c r="L134" i="37" s="1"/>
  <c r="L215" i="37" a="1"/>
  <c r="L215" i="37" s="1"/>
  <c r="L142" i="37" a="1"/>
  <c r="L142" i="37" s="1"/>
  <c r="L216" i="37" a="1"/>
  <c r="L216" i="37" s="1"/>
  <c r="L228" i="37" a="1"/>
  <c r="L228" i="37" s="1"/>
  <c r="L227" i="37" a="1"/>
  <c r="L227" i="37" s="1"/>
  <c r="L226" i="37" a="1"/>
  <c r="L226" i="37" s="1"/>
  <c r="L225" i="37" a="1"/>
  <c r="L225" i="37" s="1"/>
  <c r="L223" i="37" a="1"/>
  <c r="L223" i="37" s="1"/>
  <c r="L222" i="37" a="1"/>
  <c r="L222" i="37" s="1"/>
  <c r="L221" i="37" a="1"/>
  <c r="L221" i="37" s="1"/>
  <c r="L196" i="37" a="1"/>
  <c r="L196" i="37" s="1"/>
  <c r="L195" i="37" a="1"/>
  <c r="L195" i="37" s="1"/>
  <c r="L192" i="37" a="1"/>
  <c r="L192" i="37" s="1"/>
  <c r="N192" i="37" s="1"/>
  <c r="L191" i="37" a="1"/>
  <c r="L191" i="37" s="1"/>
  <c r="N191" i="37" s="1"/>
  <c r="L190" i="37" a="1"/>
  <c r="L190" i="37" s="1"/>
  <c r="L188" i="37" a="1"/>
  <c r="L188" i="37" s="1"/>
  <c r="L186" i="37" a="1"/>
  <c r="L186" i="37" s="1"/>
  <c r="L185" i="37" a="1"/>
  <c r="L185" i="37" s="1"/>
  <c r="L184" i="37" a="1"/>
  <c r="L184" i="37" s="1"/>
  <c r="L183" i="37" a="1"/>
  <c r="L183" i="37" s="1"/>
  <c r="L182" i="37" a="1"/>
  <c r="L182" i="37" s="1"/>
  <c r="L181" i="37" a="1"/>
  <c r="L181" i="37" s="1"/>
  <c r="L180" i="37" a="1"/>
  <c r="L180" i="37" s="1"/>
  <c r="L178" i="37" a="1"/>
  <c r="L178" i="37" s="1"/>
  <c r="L177" i="37" a="1"/>
  <c r="L177" i="37" s="1"/>
  <c r="L175" i="37" a="1"/>
  <c r="L175" i="37" s="1"/>
  <c r="L174" i="37" a="1"/>
  <c r="L174" i="37" s="1"/>
  <c r="L163" i="37" a="1"/>
  <c r="L163" i="37" s="1"/>
  <c r="L162" i="37" a="1"/>
  <c r="L162" i="37" s="1"/>
  <c r="L161" i="37" a="1"/>
  <c r="L161" i="37" s="1"/>
  <c r="L160" i="37" a="1"/>
  <c r="L160" i="37" s="1"/>
  <c r="N160" i="37" s="1"/>
  <c r="L158" i="37" a="1"/>
  <c r="L158" i="37" s="1"/>
  <c r="L157" i="37" a="1"/>
  <c r="L157" i="37" s="1"/>
  <c r="L156" i="37" a="1"/>
  <c r="L156" i="37" s="1"/>
  <c r="L155" i="37" a="1"/>
  <c r="L155" i="37" s="1"/>
  <c r="L154" i="37" a="1"/>
  <c r="L154" i="37" s="1"/>
  <c r="L153" i="37" a="1"/>
  <c r="L153" i="37" s="1"/>
  <c r="L152" i="37" a="1"/>
  <c r="L152" i="37" s="1"/>
  <c r="L151" i="37" a="1"/>
  <c r="L151" i="37" s="1"/>
  <c r="L150" i="37" a="1"/>
  <c r="L150" i="37" s="1"/>
  <c r="L149" i="37" a="1"/>
  <c r="L149" i="37" s="1"/>
  <c r="L148" i="37" a="1"/>
  <c r="L148" i="37" s="1"/>
  <c r="L147" i="37" a="1"/>
  <c r="L147" i="37" s="1"/>
  <c r="L146" i="37" a="1"/>
  <c r="L146" i="37" s="1"/>
  <c r="L145" i="37" a="1"/>
  <c r="L145" i="37" s="1"/>
  <c r="L133" i="37" a="1"/>
  <c r="L133" i="37" s="1"/>
  <c r="N133" i="37" s="1"/>
  <c r="L132" i="37" a="1"/>
  <c r="L132" i="37" s="1"/>
  <c r="N132" i="37" s="1"/>
  <c r="L131" i="37" a="1"/>
  <c r="L131" i="37" s="1"/>
  <c r="N131" i="37" s="1"/>
  <c r="L130" i="37" a="1"/>
  <c r="L130" i="37" s="1"/>
  <c r="N130" i="37" s="1"/>
  <c r="L129" i="37" a="1"/>
  <c r="L129" i="37" s="1"/>
  <c r="N129" i="37" s="1"/>
  <c r="L128" i="37" a="1"/>
  <c r="L128" i="37" s="1"/>
  <c r="N128" i="37" s="1"/>
  <c r="L127" i="37" a="1"/>
  <c r="L127" i="37" s="1"/>
  <c r="N127" i="37" s="1"/>
  <c r="L126" i="37" a="1"/>
  <c r="L126" i="37" s="1"/>
  <c r="N126" i="37" s="1"/>
  <c r="L258" i="37" a="1"/>
  <c r="L258" i="37" s="1"/>
  <c r="L257" i="37" a="1"/>
  <c r="L257" i="37" s="1"/>
  <c r="L256" i="37" a="1"/>
  <c r="L256" i="37" s="1"/>
  <c r="L255" i="37" a="1"/>
  <c r="L255" i="37" s="1"/>
  <c r="L254" i="37" a="1"/>
  <c r="L254" i="37" s="1"/>
  <c r="L253" i="37" a="1"/>
  <c r="L253" i="37" s="1"/>
  <c r="L252" i="37" a="1"/>
  <c r="L252" i="37" s="1"/>
  <c r="N252" i="37" s="1"/>
  <c r="L251" i="37" a="1"/>
  <c r="L251" i="37" s="1"/>
  <c r="L250" i="37" a="1"/>
  <c r="L250" i="37" s="1"/>
  <c r="L249" i="37" a="1"/>
  <c r="L249" i="37" s="1"/>
  <c r="L248" i="37" a="1"/>
  <c r="L248" i="37" s="1"/>
  <c r="L247" i="37" a="1"/>
  <c r="L247" i="37" s="1"/>
  <c r="L246" i="37" a="1"/>
  <c r="L246" i="37" s="1"/>
  <c r="L245" i="37" a="1"/>
  <c r="L245" i="37" s="1"/>
  <c r="L244" i="37" a="1"/>
  <c r="L244" i="37" s="1"/>
  <c r="L243" i="37" a="1"/>
  <c r="L243" i="37" s="1"/>
  <c r="N243" i="37" s="1"/>
  <c r="L242" i="37" a="1"/>
  <c r="L242" i="37" s="1"/>
  <c r="N242" i="37" s="1"/>
  <c r="L241" i="37" a="1"/>
  <c r="L241" i="37" s="1"/>
  <c r="N241" i="37" s="1"/>
  <c r="L240" i="37" a="1"/>
  <c r="L240" i="37" s="1"/>
  <c r="L239" i="37" a="1"/>
  <c r="L239" i="37" s="1"/>
  <c r="L238" i="37" a="1"/>
  <c r="L238" i="37" s="1"/>
  <c r="L237" i="37" a="1"/>
  <c r="L237" i="37" s="1"/>
  <c r="L236" i="37" a="1"/>
  <c r="L236" i="37" s="1"/>
  <c r="N236" i="37" s="1"/>
  <c r="L235" i="37" a="1"/>
  <c r="L235" i="37" s="1"/>
  <c r="N235" i="37" s="1"/>
  <c r="L233" i="37" a="1"/>
  <c r="L233" i="37" s="1"/>
  <c r="L232" i="37" a="1"/>
  <c r="L232" i="37" s="1"/>
  <c r="L230" i="37" a="1"/>
  <c r="L230" i="37" s="1"/>
  <c r="L229" i="37" a="1"/>
  <c r="L229" i="37" s="1"/>
  <c r="L224" i="37" a="1"/>
  <c r="L224" i="37" s="1"/>
  <c r="L220" i="37" a="1"/>
  <c r="L220" i="37" s="1"/>
  <c r="L218" i="37" a="1"/>
  <c r="L218" i="37" s="1"/>
  <c r="L217" i="37" a="1"/>
  <c r="L217" i="37" s="1"/>
  <c r="L214" i="37" a="1"/>
  <c r="L214" i="37" s="1"/>
  <c r="L213" i="37" a="1"/>
  <c r="L213" i="37" s="1"/>
  <c r="L212" i="37" a="1"/>
  <c r="L212" i="37" s="1"/>
  <c r="L210" i="37" a="1"/>
  <c r="L210" i="37" s="1"/>
  <c r="L207" i="37" a="1"/>
  <c r="L207" i="37" s="1"/>
  <c r="L206" i="37" a="1"/>
  <c r="L206" i="37" s="1"/>
  <c r="L203" i="37" a="1"/>
  <c r="L203" i="37" s="1"/>
  <c r="L199" i="37" a="1"/>
  <c r="L199" i="37" s="1"/>
  <c r="L197" i="37" a="1"/>
  <c r="L197" i="37" s="1"/>
  <c r="L194" i="37" a="1"/>
  <c r="L194" i="37" s="1"/>
  <c r="L193" i="37" a="1"/>
  <c r="L193" i="37" s="1"/>
  <c r="N193" i="37" s="1"/>
  <c r="L189" i="37" a="1"/>
  <c r="L189" i="37" s="1"/>
  <c r="N189" i="37" s="1"/>
  <c r="L187" i="37" a="1"/>
  <c r="L187" i="37" s="1"/>
  <c r="L179" i="37" a="1"/>
  <c r="L179" i="37" s="1"/>
  <c r="L176" i="37" a="1"/>
  <c r="L176" i="37" s="1"/>
  <c r="L173" i="37" a="1"/>
  <c r="L173" i="37" s="1"/>
  <c r="L172" i="37" a="1"/>
  <c r="L172" i="37" s="1"/>
  <c r="L169" i="37" a="1"/>
  <c r="L169" i="37" s="1"/>
  <c r="N169" i="37" s="1"/>
  <c r="L166" i="37" a="1"/>
  <c r="L166" i="37" s="1"/>
  <c r="L159" i="37" a="1"/>
  <c r="L159" i="37" s="1"/>
  <c r="L531" i="37" a="1"/>
  <c r="L531" i="37" s="1"/>
  <c r="N531" i="37" s="1"/>
  <c r="L534" i="37" a="1"/>
  <c r="L534" i="37" s="1"/>
  <c r="N534" i="37" s="1"/>
  <c r="L537" i="37" a="1"/>
  <c r="L537" i="37" s="1"/>
  <c r="L525" i="37" a="1"/>
  <c r="L525" i="37" s="1"/>
  <c r="N525" i="37" s="1"/>
  <c r="L526" i="37" a="1"/>
  <c r="L526" i="37" s="1"/>
  <c r="N526" i="37" s="1"/>
  <c r="L527" i="37" a="1"/>
  <c r="L527" i="37" s="1"/>
  <c r="N527" i="37" s="1"/>
  <c r="L528" i="37" a="1"/>
  <c r="L528" i="37" s="1"/>
  <c r="N528" i="37" s="1"/>
  <c r="L529" i="37" a="1"/>
  <c r="L529" i="37" s="1"/>
  <c r="N529" i="37" s="1"/>
  <c r="L530" i="37" a="1"/>
  <c r="L530" i="37" s="1"/>
  <c r="N530" i="37" s="1"/>
  <c r="L532" i="37" a="1"/>
  <c r="L532" i="37" s="1"/>
  <c r="N532" i="37" s="1"/>
  <c r="L533" i="37" a="1"/>
  <c r="L533" i="37" s="1"/>
  <c r="N533" i="37" s="1"/>
  <c r="L536" i="37" a="1"/>
  <c r="L536" i="37" s="1"/>
  <c r="N536" i="37" s="1"/>
  <c r="L538" i="37" a="1"/>
  <c r="L538" i="37" s="1"/>
  <c r="L511" i="37" a="1"/>
  <c r="L511" i="37" s="1"/>
  <c r="L387" i="37" a="1"/>
  <c r="L387" i="37" s="1"/>
  <c r="L389" i="37" a="1"/>
  <c r="L389" i="37" s="1"/>
  <c r="L519" i="37" a="1"/>
  <c r="L519" i="37" s="1"/>
  <c r="L77" i="37" a="1"/>
  <c r="L77" i="37" s="1"/>
  <c r="L416" i="37" a="1"/>
  <c r="L416" i="37" s="1"/>
  <c r="N416" i="37" s="1"/>
  <c r="D11" i="34" a="1"/>
  <c r="D11" i="34" s="1"/>
  <c r="C11" i="34" a="1"/>
  <c r="C11" i="34" s="1"/>
  <c r="L449" i="37" a="1"/>
  <c r="L449" i="37" s="1"/>
  <c r="N449" i="37" s="1"/>
  <c r="C9" i="34" a="1"/>
  <c r="C9" i="34" s="1"/>
  <c r="D9" i="34" a="1"/>
  <c r="D9" i="34" s="1"/>
  <c r="D8" i="34" a="1"/>
  <c r="D8" i="34" s="1"/>
  <c r="C8" i="34" a="1"/>
  <c r="C8" i="34" s="1"/>
  <c r="C10" i="34" a="1"/>
  <c r="C10" i="34" s="1"/>
  <c r="D10" i="34" a="1"/>
  <c r="D10" i="34" s="1"/>
  <c r="L93" i="37" a="1"/>
  <c r="L93" i="37" s="1"/>
  <c r="N93" i="37" s="1"/>
  <c r="L94" i="37" a="1"/>
  <c r="L94" i="37" s="1"/>
  <c r="N94" i="37" s="1"/>
  <c r="L95" i="37" a="1"/>
  <c r="L95" i="37" s="1"/>
  <c r="N95" i="37" s="1"/>
  <c r="L96" i="37" a="1"/>
  <c r="L96" i="37" s="1"/>
  <c r="N96" i="37" s="1"/>
  <c r="L97" i="37" a="1"/>
  <c r="L97" i="37" s="1"/>
  <c r="N97" i="37" s="1"/>
  <c r="L98" i="37" a="1"/>
  <c r="L98" i="37" s="1"/>
  <c r="N98" i="37" s="1"/>
  <c r="L99" i="37" a="1"/>
  <c r="L99" i="37" s="1"/>
  <c r="N99" i="37" s="1"/>
  <c r="L100" i="37" a="1"/>
  <c r="L100" i="37" s="1"/>
  <c r="N100" i="37" s="1"/>
  <c r="L101" i="37" a="1"/>
  <c r="L101" i="37" s="1"/>
  <c r="N101" i="37" s="1"/>
  <c r="L102" i="37" a="1"/>
  <c r="L102" i="37" s="1"/>
  <c r="N102" i="37" s="1"/>
  <c r="L103" i="37" a="1"/>
  <c r="L103" i="37" s="1"/>
  <c r="N103" i="37" s="1"/>
  <c r="L104" i="37" a="1"/>
  <c r="L104" i="37" s="1"/>
  <c r="N104" i="37" s="1"/>
  <c r="L105" i="37" a="1"/>
  <c r="L105" i="37" s="1"/>
  <c r="N105" i="37" s="1"/>
  <c r="L106" i="37" a="1"/>
  <c r="L106" i="37" s="1"/>
  <c r="N106" i="37" s="1"/>
  <c r="L107" i="37" a="1"/>
  <c r="L107" i="37" s="1"/>
  <c r="N107" i="37" s="1"/>
  <c r="L108" i="37" a="1"/>
  <c r="L108" i="37" s="1"/>
  <c r="N108" i="37" s="1"/>
  <c r="L110" i="37" a="1"/>
  <c r="L110" i="37" s="1"/>
  <c r="N110" i="37" s="1"/>
  <c r="L111" i="37" a="1"/>
  <c r="L111" i="37" s="1"/>
  <c r="N111" i="37" s="1"/>
  <c r="L113" i="37" a="1"/>
  <c r="L113" i="37" s="1"/>
  <c r="N113" i="37" s="1"/>
  <c r="L114" i="37" a="1"/>
  <c r="L114" i="37" s="1"/>
  <c r="N114" i="37" s="1"/>
  <c r="L118" i="37" a="1"/>
  <c r="L118" i="37" s="1"/>
  <c r="N118" i="37" s="1"/>
  <c r="L119" i="37" a="1"/>
  <c r="L119" i="37" s="1"/>
  <c r="N119" i="37" s="1"/>
  <c r="L120" i="37" a="1"/>
  <c r="L120" i="37" s="1"/>
  <c r="N120" i="37" s="1"/>
  <c r="L121" i="37" a="1"/>
  <c r="L121" i="37" s="1"/>
  <c r="N121" i="37" s="1"/>
  <c r="L122" i="37" a="1"/>
  <c r="L122" i="37" s="1"/>
  <c r="N122" i="37" s="1"/>
  <c r="L123" i="37" a="1"/>
  <c r="L123" i="37" s="1"/>
  <c r="N123" i="37" s="1"/>
  <c r="L124" i="37" a="1"/>
  <c r="L124" i="37" s="1"/>
  <c r="N124" i="37" s="1"/>
  <c r="L125" i="37" a="1"/>
  <c r="L125" i="37" s="1"/>
  <c r="N125" i="37" s="1"/>
  <c r="E64" i="34" a="1"/>
  <c r="E64" i="34" s="1"/>
  <c r="H64" i="34" a="1"/>
  <c r="H64" i="34" s="1"/>
  <c r="I64" i="34" a="1"/>
  <c r="I64" i="34" s="1"/>
  <c r="G64" i="34" a="1"/>
  <c r="G64" i="34" s="1"/>
  <c r="K64" i="34" a="1"/>
  <c r="K64" i="34" s="1"/>
  <c r="J64" i="34" a="1"/>
  <c r="J64" i="34" s="1"/>
  <c r="F64" i="34" a="1"/>
  <c r="F64" i="34" s="1"/>
  <c r="G100" i="34" a="1"/>
  <c r="G100" i="34" s="1"/>
  <c r="K100" i="34" a="1"/>
  <c r="K100" i="34" s="1"/>
  <c r="F100" i="34" a="1"/>
  <c r="F100" i="34" s="1"/>
  <c r="I100" i="34" a="1"/>
  <c r="I100" i="34" s="1"/>
  <c r="E100" i="34" a="1"/>
  <c r="E100" i="34" s="1"/>
  <c r="H100" i="34" a="1"/>
  <c r="H100" i="34" s="1"/>
  <c r="J100" i="34" a="1"/>
  <c r="J100" i="34" s="1"/>
  <c r="F45" i="34" a="1"/>
  <c r="F45" i="34" s="1"/>
  <c r="D45" i="34" a="1"/>
  <c r="D45" i="34" s="1"/>
  <c r="I45" i="34" a="1"/>
  <c r="I45" i="34" s="1"/>
  <c r="C45" i="34" a="1"/>
  <c r="C45" i="34" s="1"/>
  <c r="H45" i="34" a="1"/>
  <c r="H45" i="34" s="1"/>
  <c r="E45" i="34" a="1"/>
  <c r="E45" i="34" s="1"/>
  <c r="J45" i="34" a="1"/>
  <c r="J45" i="34" s="1"/>
  <c r="K45" i="34" a="1"/>
  <c r="K45" i="34" s="1"/>
  <c r="G45" i="34" a="1"/>
  <c r="G45" i="34" s="1"/>
  <c r="F82" i="34" a="1"/>
  <c r="F82" i="34" s="1"/>
  <c r="I82" i="34" a="1"/>
  <c r="I82" i="34" s="1"/>
  <c r="E82" i="34" a="1"/>
  <c r="E82" i="34" s="1"/>
  <c r="K82" i="34" a="1"/>
  <c r="K82" i="34" s="1"/>
  <c r="G82" i="34" a="1"/>
  <c r="G82" i="34" s="1"/>
  <c r="J82" i="34" a="1"/>
  <c r="J82" i="34" s="1"/>
  <c r="H82" i="34" a="1"/>
  <c r="H82" i="34" s="1"/>
  <c r="G120" i="34" a="1"/>
  <c r="G120" i="34" s="1"/>
  <c r="J120" i="34" a="1"/>
  <c r="J120" i="34" s="1"/>
  <c r="I120" i="34" a="1"/>
  <c r="I120" i="34" s="1"/>
  <c r="K120" i="34" a="1"/>
  <c r="K120" i="34" s="1"/>
  <c r="H120" i="34" a="1"/>
  <c r="H120" i="34" s="1"/>
  <c r="F120" i="34" a="1"/>
  <c r="F120" i="34" s="1"/>
  <c r="E120" i="34" a="1"/>
  <c r="E120" i="34" s="1"/>
  <c r="K101" i="34" a="1"/>
  <c r="K101" i="34" s="1"/>
  <c r="G101" i="34" a="1"/>
  <c r="G101" i="34" s="1"/>
  <c r="J101" i="34" a="1"/>
  <c r="J101" i="34" s="1"/>
  <c r="F101" i="34" a="1"/>
  <c r="F101" i="34" s="1"/>
  <c r="H101" i="34" a="1"/>
  <c r="H101" i="34" s="1"/>
  <c r="I101" i="34" a="1"/>
  <c r="I101" i="34" s="1"/>
  <c r="E101" i="34" a="1"/>
  <c r="E101" i="34" s="1"/>
  <c r="J83" i="34" a="1"/>
  <c r="J83" i="34" s="1"/>
  <c r="G83" i="34" a="1"/>
  <c r="G83" i="34" s="1"/>
  <c r="H83" i="34" a="1"/>
  <c r="H83" i="34" s="1"/>
  <c r="K83" i="34" a="1"/>
  <c r="K83" i="34" s="1"/>
  <c r="E83" i="34" a="1"/>
  <c r="E83" i="34" s="1"/>
  <c r="F83" i="34" a="1"/>
  <c r="F83" i="34" s="1"/>
  <c r="I83" i="34" a="1"/>
  <c r="I83" i="34" s="1"/>
  <c r="J46" i="34" a="1"/>
  <c r="J46" i="34" s="1"/>
  <c r="C46" i="34" a="1"/>
  <c r="C46" i="34" s="1"/>
  <c r="E46" i="34" a="1"/>
  <c r="E46" i="34" s="1"/>
  <c r="F46" i="34" a="1"/>
  <c r="F46" i="34" s="1"/>
  <c r="D46" i="34" a="1"/>
  <c r="D46" i="34" s="1"/>
  <c r="H46" i="34" a="1"/>
  <c r="H46" i="34" s="1"/>
  <c r="I46" i="34" a="1"/>
  <c r="I46" i="34" s="1"/>
  <c r="K46" i="34" a="1"/>
  <c r="K46" i="34" s="1"/>
  <c r="G46" i="34" a="1"/>
  <c r="G46" i="34" s="1"/>
  <c r="H65" i="34" a="1"/>
  <c r="H65" i="34" s="1"/>
  <c r="K65" i="34" a="1"/>
  <c r="K65" i="34" s="1"/>
  <c r="G65" i="34" a="1"/>
  <c r="G65" i="34" s="1"/>
  <c r="E65" i="34" a="1"/>
  <c r="E65" i="34" s="1"/>
  <c r="F65" i="34" a="1"/>
  <c r="F65" i="34" s="1"/>
  <c r="J65" i="34" a="1"/>
  <c r="J65" i="34" s="1"/>
  <c r="I65" i="34" a="1"/>
  <c r="I65" i="34" s="1"/>
  <c r="K121" i="34" a="1"/>
  <c r="K121" i="34" s="1"/>
  <c r="J121" i="34" a="1"/>
  <c r="J121" i="34" s="1"/>
  <c r="I121" i="34" a="1"/>
  <c r="I121" i="34" s="1"/>
  <c r="H121" i="34" a="1"/>
  <c r="H121" i="34" s="1"/>
  <c r="G121" i="34" a="1"/>
  <c r="G121" i="34" s="1"/>
  <c r="F121" i="34" a="1"/>
  <c r="F121" i="34" s="1"/>
  <c r="E121" i="34" a="1"/>
  <c r="E121" i="34" s="1"/>
  <c r="J28" i="34" a="1"/>
  <c r="J28" i="34" s="1"/>
  <c r="F28" i="34" a="1"/>
  <c r="F28" i="34" s="1"/>
  <c r="K28" i="34" a="1"/>
  <c r="K28" i="34" s="1"/>
  <c r="H28" i="34" a="1"/>
  <c r="H28" i="34" s="1"/>
  <c r="E28" i="34" a="1"/>
  <c r="E28" i="34" s="1"/>
  <c r="I28" i="34" a="1"/>
  <c r="I28" i="34" s="1"/>
  <c r="G28" i="34" a="1"/>
  <c r="G28" i="34" s="1"/>
  <c r="L450" i="37" a="1"/>
  <c r="L450" i="37" s="1"/>
  <c r="N450" i="37" s="1"/>
  <c r="L112" i="37" a="1"/>
  <c r="L112" i="37" s="1"/>
  <c r="N112" i="37" s="1"/>
  <c r="L109" i="37" a="1"/>
  <c r="L109" i="37" s="1"/>
  <c r="N109" i="37" s="1"/>
  <c r="L492" i="37" a="1"/>
  <c r="L492" i="37" s="1"/>
  <c r="L402" i="37" a="1"/>
  <c r="L402" i="37" s="1"/>
  <c r="L5" i="37" a="1"/>
  <c r="L5" i="37" s="1"/>
  <c r="N5" i="37" s="1"/>
  <c r="F8" i="25"/>
  <c r="F16" i="23"/>
  <c r="F38" i="23" s="1"/>
  <c r="F40" i="23" s="1"/>
  <c r="L513" i="37" a="1"/>
  <c r="L513" i="37" s="1"/>
  <c r="L509" i="37" a="1"/>
  <c r="L509" i="37" s="1"/>
  <c r="L508" i="37" a="1"/>
  <c r="L508" i="37" s="1"/>
  <c r="L506" i="37" a="1"/>
  <c r="L506" i="37" s="1"/>
  <c r="L504" i="37" a="1"/>
  <c r="L504" i="37" s="1"/>
  <c r="L390" i="37" a="1"/>
  <c r="L390" i="37" s="1"/>
  <c r="F21" i="35"/>
  <c r="L505" i="37" a="1"/>
  <c r="L505" i="37" s="1"/>
  <c r="L501" i="37" a="1"/>
  <c r="L501" i="37" s="1"/>
  <c r="L410" i="37" a="1"/>
  <c r="L410" i="37" s="1"/>
  <c r="N410" i="37" s="1"/>
  <c r="L411" i="37" a="1"/>
  <c r="L411" i="37" s="1"/>
  <c r="N411" i="37" s="1"/>
  <c r="L378" i="37" a="1"/>
  <c r="L378" i="37" s="1"/>
  <c r="L386" i="37" a="1"/>
  <c r="L386" i="37" s="1"/>
  <c r="L399" i="37" a="1"/>
  <c r="L399" i="37" s="1"/>
  <c r="L396" i="37" a="1"/>
  <c r="L396" i="37" s="1"/>
  <c r="L385" i="37" a="1"/>
  <c r="L385" i="37" s="1"/>
  <c r="F8" i="24"/>
  <c r="L408" i="37" a="1"/>
  <c r="L408" i="37" s="1"/>
  <c r="L376" i="37" a="1"/>
  <c r="L376" i="37" s="1"/>
  <c r="L393" i="37" a="1"/>
  <c r="L393" i="37" s="1"/>
  <c r="L353" i="37" a="1"/>
  <c r="L353" i="37" s="1"/>
  <c r="N353" i="37" s="1"/>
  <c r="L493" i="37" a="1"/>
  <c r="L493" i="37" s="1"/>
  <c r="L470" i="37" a="1"/>
  <c r="L470" i="37" s="1"/>
  <c r="L474" i="37" a="1"/>
  <c r="L474" i="37" s="1"/>
  <c r="L479" i="37" a="1"/>
  <c r="L479" i="37" s="1"/>
  <c r="L481" i="37" a="1"/>
  <c r="L481" i="37" s="1"/>
  <c r="L448" i="37" a="1"/>
  <c r="L448" i="37" s="1"/>
  <c r="L478" i="37" a="1"/>
  <c r="L478" i="37" s="1"/>
  <c r="L477" i="37" a="1"/>
  <c r="L477" i="37" s="1"/>
  <c r="L473" i="37" a="1"/>
  <c r="L473" i="37" s="1"/>
  <c r="L488" i="37" a="1"/>
  <c r="L488" i="37" s="1"/>
  <c r="L490" i="37" a="1"/>
  <c r="L490" i="37" s="1"/>
  <c r="F20" i="23"/>
  <c r="F39" i="23"/>
  <c r="L461" i="37" a="1"/>
  <c r="L461" i="37" s="1"/>
  <c r="L462" i="37" a="1"/>
  <c r="L462" i="37" s="1"/>
  <c r="L484" i="37" a="1"/>
  <c r="L484" i="37" s="1"/>
  <c r="L485" i="37" a="1"/>
  <c r="L485" i="37" s="1"/>
  <c r="L486" i="37" a="1"/>
  <c r="L486" i="37" s="1"/>
  <c r="L487" i="37" a="1"/>
  <c r="L487" i="37" s="1"/>
  <c r="L489" i="37" a="1"/>
  <c r="L489" i="37" s="1"/>
  <c r="L412" i="37" a="1"/>
  <c r="L412" i="37" s="1"/>
  <c r="N412" i="37" s="1"/>
  <c r="L413" i="37" a="1"/>
  <c r="L413" i="37" s="1"/>
  <c r="N413" i="37" s="1"/>
  <c r="L414" i="37" a="1"/>
  <c r="L414" i="37" s="1"/>
  <c r="N414" i="37" s="1"/>
  <c r="L415" i="37" a="1"/>
  <c r="L415" i="37" s="1"/>
  <c r="N415" i="37" s="1"/>
  <c r="L398" i="37" a="1"/>
  <c r="L398" i="37" s="1"/>
  <c r="L365" i="37" a="1"/>
  <c r="L365" i="37" s="1"/>
  <c r="L388" i="37" a="1"/>
  <c r="L388" i="37" s="1"/>
  <c r="L79" i="37" a="1"/>
  <c r="L79" i="37" s="1"/>
  <c r="L74" i="37" a="1"/>
  <c r="L74" i="37" s="1"/>
  <c r="L397" i="37" a="1"/>
  <c r="L397" i="37" s="1"/>
  <c r="L400" i="37" a="1"/>
  <c r="L400" i="37" s="1"/>
  <c r="L92" i="37" a="1"/>
  <c r="L92" i="37" s="1"/>
  <c r="N92" i="37" s="1"/>
  <c r="L81" i="37" a="1"/>
  <c r="L81" i="37" s="1"/>
  <c r="L53" i="37" a="1"/>
  <c r="L53" i="37" s="1"/>
  <c r="N53" i="37" s="1"/>
  <c r="L55" i="37" a="1"/>
  <c r="L55" i="37" s="1"/>
  <c r="N55" i="37" s="1"/>
  <c r="L56" i="37" a="1"/>
  <c r="L56" i="37" s="1"/>
  <c r="L57" i="37" a="1"/>
  <c r="L57" i="37" s="1"/>
  <c r="L58" i="37" a="1"/>
  <c r="L58" i="37" s="1"/>
  <c r="L65" i="37" a="1"/>
  <c r="L65" i="37" s="1"/>
  <c r="L69" i="37" a="1"/>
  <c r="L69" i="37" s="1"/>
  <c r="L70" i="37" a="1"/>
  <c r="L70" i="37" s="1"/>
  <c r="L72" i="37" a="1"/>
  <c r="L72" i="37" s="1"/>
  <c r="L73" i="37" a="1"/>
  <c r="L73" i="37" s="1"/>
  <c r="L360" i="37" a="1"/>
  <c r="L360" i="37" s="1"/>
  <c r="N360" i="37" s="1"/>
  <c r="L358" i="37" a="1"/>
  <c r="L358" i="37" s="1"/>
  <c r="N358" i="37" s="1"/>
  <c r="L359" i="37" a="1"/>
  <c r="L359" i="37" s="1"/>
  <c r="N359" i="37" s="1"/>
  <c r="L369" i="37" a="1"/>
  <c r="L369" i="37" s="1"/>
  <c r="L370" i="37" a="1"/>
  <c r="L370" i="37" s="1"/>
  <c r="L371" i="37" a="1"/>
  <c r="L371" i="37" s="1"/>
  <c r="L372" i="37" a="1"/>
  <c r="L372" i="37" s="1"/>
  <c r="L47" i="37" a="1"/>
  <c r="L47" i="37" s="1"/>
  <c r="L82" i="37" a="1"/>
  <c r="L82" i="37" s="1"/>
  <c r="L377" i="37" a="1"/>
  <c r="L377" i="37" s="1"/>
  <c r="L379" i="37" a="1"/>
  <c r="L379" i="37" s="1"/>
  <c r="L380" i="37" a="1"/>
  <c r="L380" i="37" s="1"/>
  <c r="L381" i="37" a="1"/>
  <c r="L381" i="37" s="1"/>
  <c r="L382" i="37" a="1"/>
  <c r="L382" i="37" s="1"/>
  <c r="L46" i="37" a="1"/>
  <c r="L46" i="37" s="1"/>
  <c r="L84" i="37" a="1"/>
  <c r="L84" i="37" s="1"/>
  <c r="L52" i="37" a="1"/>
  <c r="L52" i="37" s="1"/>
  <c r="L44" i="37" a="1"/>
  <c r="L44" i="37" s="1"/>
  <c r="L50" i="37" a="1"/>
  <c r="L50" i="37" s="1"/>
  <c r="L48" i="37" a="1"/>
  <c r="L48" i="37" s="1"/>
  <c r="L45" i="37" a="1"/>
  <c r="L45" i="37" s="1"/>
  <c r="L76" i="37" a="1"/>
  <c r="L76" i="37" s="1"/>
  <c r="L49" i="37" a="1"/>
  <c r="L49" i="37" s="1"/>
  <c r="L373" i="37" a="1"/>
  <c r="L373" i="37" s="1"/>
  <c r="L51" i="37" a="1"/>
  <c r="L51" i="37" s="1"/>
  <c r="L83" i="37" a="1"/>
  <c r="L83" i="37" s="1"/>
  <c r="L80" i="37" a="1"/>
  <c r="L80" i="37" s="1"/>
  <c r="L63" i="37" a="1"/>
  <c r="L63" i="37" s="1"/>
  <c r="L59" i="37" a="1"/>
  <c r="L59" i="37" s="1"/>
  <c r="L66" i="37" a="1"/>
  <c r="L66" i="37" s="1"/>
  <c r="L71" i="37" a="1"/>
  <c r="L71" i="37" s="1"/>
  <c r="L75" i="37" a="1"/>
  <c r="L75" i="37" s="1"/>
  <c r="L54" i="37" a="1"/>
  <c r="L54" i="37" s="1"/>
  <c r="N54" i="37" s="1"/>
  <c r="L60" i="37" a="1"/>
  <c r="L60" i="37" s="1"/>
  <c r="L64" i="37" a="1"/>
  <c r="L64" i="37" s="1"/>
  <c r="L67" i="37" a="1"/>
  <c r="L67" i="37" s="1"/>
  <c r="L62" i="37" a="1"/>
  <c r="L62" i="37" s="1"/>
  <c r="L68" i="37" a="1"/>
  <c r="L68" i="37" s="1"/>
  <c r="L61" i="37" a="1"/>
  <c r="L61" i="37" s="1"/>
  <c r="L6" i="37" a="1"/>
  <c r="L6" i="37" s="1"/>
  <c r="N6" i="37" s="1"/>
  <c r="L7" i="37" a="1"/>
  <c r="L7" i="37" s="1"/>
  <c r="N7" i="37" s="1"/>
  <c r="L8" i="37" a="1"/>
  <c r="L8" i="37" s="1"/>
  <c r="N8" i="37" s="1"/>
  <c r="L9" i="37" a="1"/>
  <c r="L9" i="37" s="1"/>
  <c r="N9" i="37" s="1"/>
  <c r="L10" i="37" a="1"/>
  <c r="L10" i="37" s="1"/>
  <c r="N10" i="37" s="1"/>
  <c r="L11" i="37" a="1"/>
  <c r="L11" i="37" s="1"/>
  <c r="N11" i="37" s="1"/>
  <c r="L12" i="37" a="1"/>
  <c r="L12" i="37" s="1"/>
  <c r="N12" i="37" s="1"/>
  <c r="L13" i="37" a="1"/>
  <c r="L13" i="37" s="1"/>
  <c r="N13" i="37" s="1"/>
  <c r="L14" i="37" a="1"/>
  <c r="L14" i="37" s="1"/>
  <c r="N14" i="37" s="1"/>
  <c r="L15" i="37" a="1"/>
  <c r="L15" i="37" s="1"/>
  <c r="N15" i="37" s="1"/>
  <c r="L16" i="37" a="1"/>
  <c r="L16" i="37" s="1"/>
  <c r="N16" i="37" s="1"/>
  <c r="L17" i="37" a="1"/>
  <c r="L17" i="37" s="1"/>
  <c r="L18" i="37" a="1"/>
  <c r="L18" i="37" s="1"/>
  <c r="L19" i="37" a="1"/>
  <c r="L19" i="37" s="1"/>
  <c r="L20" i="37" a="1"/>
  <c r="L20" i="37" s="1"/>
  <c r="N20" i="37" s="1"/>
  <c r="L21" i="37" a="1"/>
  <c r="L21" i="37" s="1"/>
  <c r="N21" i="37" s="1"/>
  <c r="L22" i="37" a="1"/>
  <c r="L22" i="37" s="1"/>
  <c r="N22" i="37" s="1"/>
  <c r="L23" i="37" a="1"/>
  <c r="L23" i="37" s="1"/>
  <c r="N23" i="37" s="1"/>
  <c r="L24" i="37" a="1"/>
  <c r="L24" i="37" s="1"/>
  <c r="N24" i="37" s="1"/>
  <c r="L25" i="37" a="1"/>
  <c r="L25" i="37" s="1"/>
  <c r="L26" i="37" a="1"/>
  <c r="L26" i="37" s="1"/>
  <c r="N26" i="37" s="1"/>
  <c r="L27" i="37" a="1"/>
  <c r="L27" i="37" s="1"/>
  <c r="L28" i="37" a="1"/>
  <c r="L28" i="37" s="1"/>
  <c r="L29" i="37" a="1"/>
  <c r="L29" i="37" s="1"/>
  <c r="N29" i="37" s="1"/>
  <c r="L30" i="37" a="1"/>
  <c r="L30" i="37" s="1"/>
  <c r="N30" i="37" s="1"/>
  <c r="L31" i="37" a="1"/>
  <c r="L31" i="37" s="1"/>
  <c r="L32" i="37" a="1"/>
  <c r="L32" i="37" s="1"/>
  <c r="L33" i="37" a="1"/>
  <c r="L33" i="37" s="1"/>
  <c r="L34" i="37" a="1"/>
  <c r="L34" i="37" s="1"/>
  <c r="L35" i="37" a="1"/>
  <c r="L35" i="37" s="1"/>
  <c r="L36" i="37" a="1"/>
  <c r="L36" i="37" s="1"/>
  <c r="L37" i="37" a="1"/>
  <c r="L37" i="37" s="1"/>
  <c r="L38" i="37" a="1"/>
  <c r="L38" i="37" s="1"/>
  <c r="L39" i="37" a="1"/>
  <c r="L39" i="37" s="1"/>
  <c r="N39" i="37" s="1"/>
  <c r="L40" i="37" a="1"/>
  <c r="L40" i="37" s="1"/>
  <c r="N40" i="37" s="1"/>
  <c r="L41" i="37" a="1"/>
  <c r="L41" i="37" s="1"/>
  <c r="N41" i="37" s="1"/>
  <c r="L42" i="37" a="1"/>
  <c r="L42" i="37" s="1"/>
  <c r="L43" i="37" a="1"/>
  <c r="L43" i="37" s="1"/>
  <c r="F8" i="1"/>
  <c r="F26" i="23"/>
  <c r="F27" i="23" s="1"/>
  <c r="F28" i="23" s="1"/>
  <c r="F14" i="23"/>
  <c r="F17" i="23"/>
  <c r="F16" i="1"/>
  <c r="F17" i="1" s="1"/>
  <c r="F21" i="1"/>
  <c r="F9" i="25" l="1"/>
  <c r="F22" i="35"/>
  <c r="C119" i="34" a="1"/>
  <c r="C119" i="34" s="1"/>
  <c r="F9" i="1"/>
  <c r="F9" i="24"/>
  <c r="F22" i="1"/>
  <c r="F23" i="1" s="1"/>
  <c r="F24" i="1" s="1"/>
  <c r="F52" i="1"/>
  <c r="F21" i="23"/>
  <c r="F22" i="23" s="1"/>
  <c r="F23" i="23" s="1"/>
  <c r="F24" i="23" s="1"/>
  <c r="F39" i="1"/>
  <c r="F38" i="1" s="1"/>
  <c r="F18" i="1"/>
  <c r="F10" i="25" l="1"/>
  <c r="F11" i="25" s="1"/>
  <c r="F12" i="25" s="1"/>
  <c r="D123" i="34" a="1"/>
  <c r="D123" i="34" s="1"/>
  <c r="C123" i="34" a="1"/>
  <c r="C123" i="34" s="1"/>
  <c r="D119" i="34" a="1"/>
  <c r="D119" i="34" s="1"/>
  <c r="D122" i="34" a="1"/>
  <c r="D122" i="34" s="1"/>
  <c r="C122" i="34" a="1"/>
  <c r="C122" i="34" s="1"/>
  <c r="D120" i="34" a="1"/>
  <c r="D120" i="34" s="1"/>
  <c r="C120" i="34" a="1"/>
  <c r="C120" i="34" s="1"/>
  <c r="D121" i="34" a="1"/>
  <c r="D121" i="34" s="1"/>
  <c r="C121" i="34" a="1"/>
  <c r="C121" i="34" s="1"/>
  <c r="F10" i="24"/>
  <c r="F50" i="1"/>
  <c r="F51" i="1" s="1"/>
  <c r="F53" i="1"/>
  <c r="F56" i="1" s="1"/>
  <c r="F33" i="23"/>
  <c r="F35" i="23" s="1"/>
  <c r="F34" i="23" s="1"/>
  <c r="F36" i="23" s="1"/>
  <c r="F25" i="23"/>
  <c r="F15" i="23" s="1"/>
  <c r="F25" i="1"/>
  <c r="F40" i="1"/>
  <c r="F41" i="1" s="1"/>
  <c r="D67" i="34" l="1" a="1"/>
  <c r="D67" i="34" s="1"/>
  <c r="C67" i="34" a="1"/>
  <c r="C67" i="34" s="1"/>
  <c r="D66" i="34" a="1"/>
  <c r="D66" i="34" s="1"/>
  <c r="C66" i="34" a="1"/>
  <c r="C66" i="34" s="1"/>
  <c r="D64" i="34" a="1"/>
  <c r="D64" i="34" s="1"/>
  <c r="C64" i="34" a="1"/>
  <c r="C64" i="34" s="1"/>
  <c r="D65" i="34" a="1"/>
  <c r="D65" i="34" s="1"/>
  <c r="C65" i="34" a="1"/>
  <c r="C65" i="34" s="1"/>
  <c r="D63" i="34" a="1"/>
  <c r="D63" i="34" s="1"/>
  <c r="C63" i="34" a="1"/>
  <c r="C63" i="34" s="1"/>
  <c r="F11" i="24"/>
  <c r="F26" i="1"/>
  <c r="F27" i="1" s="1"/>
  <c r="F28" i="1" s="1"/>
  <c r="F29" i="1" s="1"/>
  <c r="F58" i="1" s="1"/>
  <c r="F14" i="1"/>
  <c r="F42" i="1"/>
  <c r="F66" i="1"/>
  <c r="F67" i="1" s="1"/>
  <c r="F44" i="1"/>
  <c r="F57" i="1"/>
  <c r="F54" i="1" s="1"/>
  <c r="F55" i="1" s="1"/>
  <c r="F59" i="1"/>
  <c r="F60" i="1" s="1"/>
  <c r="F61" i="1" s="1"/>
  <c r="F62" i="1" s="1"/>
  <c r="F63" i="1" s="1"/>
  <c r="F64" i="1" s="1"/>
  <c r="F70" i="1" l="1"/>
  <c r="F71" i="1" s="1"/>
  <c r="F69" i="1"/>
  <c r="F68" i="1"/>
  <c r="F12" i="24"/>
  <c r="F45" i="1"/>
  <c r="F47" i="1" s="1"/>
  <c r="F43" i="1"/>
  <c r="F73" i="1" l="1"/>
  <c r="F72" i="1" s="1"/>
  <c r="F13" i="24"/>
  <c r="F49" i="1"/>
  <c r="F46" i="1"/>
  <c r="F30" i="1" s="1"/>
  <c r="D85" i="34" l="1" a="1"/>
  <c r="D85" i="34" s="1"/>
  <c r="C85" i="34" a="1"/>
  <c r="C85" i="34" s="1"/>
  <c r="D84" i="34" a="1"/>
  <c r="D84" i="34" s="1"/>
  <c r="C84" i="34" a="1"/>
  <c r="C84" i="34" s="1"/>
  <c r="C82" i="34" a="1"/>
  <c r="C82" i="34" s="1"/>
  <c r="D82" i="34" a="1"/>
  <c r="D82" i="34" s="1"/>
  <c r="C83" i="34" a="1"/>
  <c r="C83" i="34" s="1"/>
  <c r="D83" i="34" a="1"/>
  <c r="D83" i="34" s="1"/>
  <c r="F75" i="1"/>
  <c r="F31" i="1"/>
  <c r="AJ12" i="19" a="1"/>
  <c r="AJ12" i="19" s="1"/>
  <c r="AI12" i="19" a="1"/>
  <c r="AI12" i="19" s="1"/>
  <c r="AH12" i="19" a="1"/>
  <c r="AH12" i="19" s="1"/>
  <c r="AG12" i="19" a="1"/>
  <c r="AG12" i="19" s="1"/>
  <c r="AF12" i="19" a="1"/>
  <c r="AF12" i="19" s="1"/>
  <c r="AE12" i="19" a="1"/>
  <c r="AE12" i="19" s="1"/>
  <c r="AD12" i="19" a="1"/>
  <c r="AD12" i="19" s="1"/>
  <c r="AC12" i="19" a="1"/>
  <c r="AC12" i="19" s="1"/>
  <c r="AB12" i="19" a="1"/>
  <c r="AB12" i="19" s="1"/>
  <c r="AA12" i="19" a="1"/>
  <c r="AA12" i="19" s="1"/>
  <c r="X12" i="19" a="1"/>
  <c r="X12" i="19" s="1"/>
  <c r="Z12" i="19" s="1"/>
  <c r="W12" i="19" a="1"/>
  <c r="W12" i="19" s="1"/>
  <c r="V12" i="19" a="1"/>
  <c r="V12" i="19" s="1"/>
  <c r="U12" i="19" a="1"/>
  <c r="U12" i="19" s="1"/>
  <c r="T12" i="19" a="1"/>
  <c r="T12" i="19" s="1"/>
  <c r="S12" i="19" a="1"/>
  <c r="S12" i="19" s="1"/>
  <c r="R12" i="19" a="1"/>
  <c r="R12" i="19" s="1"/>
  <c r="Q12" i="19" a="1"/>
  <c r="Q12" i="19" s="1"/>
  <c r="P12" i="19" a="1"/>
  <c r="P12" i="19" s="1"/>
  <c r="O12" i="19" a="1"/>
  <c r="O12" i="19" s="1"/>
  <c r="L12" i="19" a="1"/>
  <c r="L12" i="19" s="1"/>
  <c r="N12" i="19" s="1"/>
  <c r="K12" i="19" a="1"/>
  <c r="K12" i="19" s="1"/>
  <c r="J12" i="19" a="1"/>
  <c r="J12" i="19" s="1"/>
  <c r="I12" i="19" a="1"/>
  <c r="I12" i="19" s="1"/>
  <c r="H12" i="19" a="1"/>
  <c r="H12" i="19" s="1"/>
  <c r="G12" i="19" a="1"/>
  <c r="G12" i="19" s="1"/>
  <c r="F12" i="19" a="1"/>
  <c r="F12" i="19" s="1"/>
  <c r="E12" i="19" a="1"/>
  <c r="E12" i="19" s="1"/>
  <c r="D12" i="19" a="1"/>
  <c r="D12" i="19" s="1"/>
  <c r="C12" i="19" a="1"/>
  <c r="C12" i="19" s="1"/>
  <c r="D128" i="19"/>
  <c r="M135" i="19"/>
  <c r="K135" i="19"/>
  <c r="M13" i="19"/>
  <c r="Y13" i="19"/>
  <c r="F32" i="1" l="1"/>
  <c r="J135" i="19"/>
  <c r="N135" i="19"/>
  <c r="I135" i="19"/>
  <c r="L135" i="19"/>
  <c r="E135" i="19"/>
  <c r="F135" i="19"/>
  <c r="G135" i="19"/>
  <c r="H135" i="19"/>
  <c r="F33" i="1" l="1"/>
  <c r="J122" i="19" a="1"/>
  <c r="J122" i="19" s="1"/>
  <c r="N122" i="19" a="1"/>
  <c r="N122" i="19" s="1"/>
  <c r="C10" i="19" a="1"/>
  <c r="C10" i="19" s="1"/>
  <c r="F6" i="30"/>
  <c r="J6" i="30"/>
  <c r="B10" i="30" a="1"/>
  <c r="B10" i="30" s="1"/>
  <c r="B9" i="30" a="1"/>
  <c r="B9" i="30" s="1"/>
  <c r="B6" i="30" a="1"/>
  <c r="B6" i="30" s="1"/>
  <c r="I9" i="30"/>
  <c r="I8" i="30"/>
  <c r="I6" i="30"/>
  <c r="I11" i="30"/>
  <c r="I10" i="30"/>
  <c r="F11" i="30"/>
  <c r="D11" i="30"/>
  <c r="C11" i="30"/>
  <c r="G11" i="30"/>
  <c r="E11" i="30"/>
  <c r="J11" i="30"/>
  <c r="K11" i="30"/>
  <c r="N11" i="30" s="1"/>
  <c r="H11" i="30"/>
  <c r="F10" i="30"/>
  <c r="G10" i="30"/>
  <c r="H10" i="30"/>
  <c r="K10" i="30"/>
  <c r="J10" i="30"/>
  <c r="F9" i="30"/>
  <c r="G9" i="30"/>
  <c r="H9" i="30"/>
  <c r="K9" i="30"/>
  <c r="J9" i="30"/>
  <c r="F8" i="30"/>
  <c r="K8" i="30"/>
  <c r="J8" i="30"/>
  <c r="I7" i="30"/>
  <c r="G8" i="30"/>
  <c r="H8" i="30"/>
  <c r="F7" i="30"/>
  <c r="G7" i="30"/>
  <c r="K7" i="30"/>
  <c r="J7" i="30"/>
  <c r="H7" i="30"/>
  <c r="K6" i="30"/>
  <c r="H6" i="30"/>
  <c r="G6" i="30"/>
  <c r="E10" i="30"/>
  <c r="D10" i="30"/>
  <c r="C10" i="30"/>
  <c r="E9" i="30"/>
  <c r="D9" i="30"/>
  <c r="C9" i="30"/>
  <c r="E8" i="30"/>
  <c r="D8" i="30"/>
  <c r="C8" i="30"/>
  <c r="E7" i="30"/>
  <c r="D7" i="30"/>
  <c r="C7" i="30"/>
  <c r="B7" i="30" a="1"/>
  <c r="B7" i="30" s="1"/>
  <c r="E6" i="30"/>
  <c r="D6" i="30"/>
  <c r="C6" i="30"/>
  <c r="F34" i="1" l="1"/>
  <c r="F12" i="30"/>
  <c r="C12" i="30"/>
  <c r="E12" i="30"/>
  <c r="H12" i="30"/>
  <c r="D12" i="30"/>
  <c r="J12" i="30"/>
  <c r="L6" i="30"/>
  <c r="M6" i="30" s="1"/>
  <c r="N6" i="30"/>
  <c r="L7" i="30"/>
  <c r="M7" i="30" s="1"/>
  <c r="G12" i="30"/>
  <c r="N7" i="30"/>
  <c r="O7" i="30" s="1"/>
  <c r="K12" i="30"/>
  <c r="L10" i="30"/>
  <c r="M10" i="30" s="1"/>
  <c r="N10" i="30"/>
  <c r="O10" i="30" s="1"/>
  <c r="L9" i="30"/>
  <c r="M9" i="30" s="1"/>
  <c r="N9" i="30"/>
  <c r="O9" i="30" s="1"/>
  <c r="L11" i="30"/>
  <c r="P11" i="30" s="1"/>
  <c r="L8" i="30"/>
  <c r="I12" i="30"/>
  <c r="N8" i="30"/>
  <c r="F35" i="1" l="1"/>
  <c r="P6" i="30"/>
  <c r="N12" i="30"/>
  <c r="O6" i="30"/>
  <c r="P9" i="30"/>
  <c r="Q9" i="30" s="1"/>
  <c r="P10" i="30"/>
  <c r="Q10" i="30" s="1"/>
  <c r="P7" i="30"/>
  <c r="Q7" i="30" s="1"/>
  <c r="P8" i="30"/>
  <c r="N14" i="30"/>
  <c r="Q6" i="30"/>
  <c r="P12" i="30"/>
  <c r="L12" i="30"/>
  <c r="L14" i="30"/>
  <c r="M14" i="30"/>
  <c r="F36" i="1" l="1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M122" i="19" a="1"/>
  <c r="M122" i="19" s="1"/>
  <c r="K122" i="19" a="1"/>
  <c r="K122" i="19" s="1"/>
  <c r="I122" i="19" a="1"/>
  <c r="I122" i="19" s="1"/>
  <c r="L122" i="19"/>
  <c r="F37" i="1" l="1"/>
  <c r="D26" i="34" a="1"/>
  <c r="D26" i="34" s="1"/>
  <c r="B11" i="30" a="1"/>
  <c r="B11" i="30" s="1"/>
  <c r="D127" i="19"/>
  <c r="I123" i="19"/>
  <c r="I129" i="19" s="1"/>
  <c r="M123" i="19"/>
  <c r="M129" i="19" s="1"/>
  <c r="K123" i="19"/>
  <c r="K129" i="19" s="1"/>
  <c r="J123" i="19"/>
  <c r="J129" i="19" s="1"/>
  <c r="N123" i="19"/>
  <c r="N129" i="19" s="1"/>
  <c r="L123" i="19"/>
  <c r="L129" i="19" s="1"/>
  <c r="C26" i="34" l="1" a="1"/>
  <c r="C26" i="34" s="1"/>
  <c r="D30" i="34" a="1"/>
  <c r="D30" i="34" s="1"/>
  <c r="C30" i="34" a="1"/>
  <c r="C30" i="34" s="1"/>
  <c r="D29" i="34" a="1"/>
  <c r="D29" i="34" s="1"/>
  <c r="C29" i="34" a="1"/>
  <c r="C29" i="34" s="1"/>
  <c r="D27" i="34" a="1"/>
  <c r="D27" i="34" s="1"/>
  <c r="C27" i="34" a="1"/>
  <c r="C27" i="34" s="1"/>
  <c r="C28" i="34" a="1"/>
  <c r="C28" i="34" s="1"/>
  <c r="D28" i="34" a="1"/>
  <c r="D28" i="34" s="1"/>
  <c r="B12" i="30"/>
  <c r="O11" i="30"/>
  <c r="Q11" i="30"/>
  <c r="M11" i="30"/>
  <c r="D81" i="34" l="1" a="1"/>
  <c r="D81" i="34" s="1"/>
  <c r="C81" i="34" a="1"/>
  <c r="C81" i="34" s="1"/>
  <c r="O12" i="30"/>
  <c r="M12" i="30"/>
  <c r="Q12" i="30"/>
  <c r="M15" i="30" s="1"/>
  <c r="B7" i="19" a="1"/>
  <c r="B7" i="19" s="1"/>
  <c r="H122" i="19"/>
  <c r="G122" i="19"/>
  <c r="F122" i="19"/>
  <c r="E122" i="19"/>
  <c r="AJ11" i="19" l="1"/>
  <c r="AI11" i="19"/>
  <c r="AH11" i="19"/>
  <c r="AG11" i="19"/>
  <c r="AF11" i="19"/>
  <c r="AE11" i="19"/>
  <c r="AD11" i="19"/>
  <c r="AC11" i="19"/>
  <c r="AB11" i="19"/>
  <c r="AA11" i="19"/>
  <c r="X11" i="19"/>
  <c r="Z11" i="19" s="1"/>
  <c r="W11" i="19"/>
  <c r="V11" i="19"/>
  <c r="U11" i="19"/>
  <c r="T11" i="19"/>
  <c r="S11" i="19"/>
  <c r="R11" i="19"/>
  <c r="Q11" i="19"/>
  <c r="P11" i="19"/>
  <c r="O11" i="19"/>
  <c r="L11" i="19"/>
  <c r="N11" i="19" s="1"/>
  <c r="K11" i="19"/>
  <c r="J11" i="19"/>
  <c r="I11" i="19"/>
  <c r="H11" i="19"/>
  <c r="G11" i="19"/>
  <c r="F11" i="19"/>
  <c r="D11" i="19"/>
  <c r="AJ10" i="19"/>
  <c r="AI10" i="19"/>
  <c r="AH10" i="19"/>
  <c r="AG10" i="19"/>
  <c r="AF10" i="19"/>
  <c r="AE10" i="19"/>
  <c r="AD10" i="19"/>
  <c r="AC10" i="19"/>
  <c r="AB10" i="19"/>
  <c r="AA10" i="19"/>
  <c r="X10" i="19"/>
  <c r="Z10" i="19" s="1"/>
  <c r="W10" i="19"/>
  <c r="V10" i="19"/>
  <c r="U10" i="19"/>
  <c r="T10" i="19"/>
  <c r="S10" i="19"/>
  <c r="R10" i="19"/>
  <c r="Q10" i="19"/>
  <c r="P10" i="19"/>
  <c r="O10" i="19"/>
  <c r="L10" i="19"/>
  <c r="N10" i="19" s="1"/>
  <c r="K10" i="19"/>
  <c r="J10" i="19"/>
  <c r="I10" i="19"/>
  <c r="H10" i="19"/>
  <c r="G10" i="19"/>
  <c r="F10" i="19"/>
  <c r="D10" i="19"/>
  <c r="AJ9" i="19"/>
  <c r="AI9" i="19"/>
  <c r="AH9" i="19"/>
  <c r="AG9" i="19"/>
  <c r="AF9" i="19"/>
  <c r="AE9" i="19"/>
  <c r="AD9" i="19"/>
  <c r="AC9" i="19"/>
  <c r="AB9" i="19"/>
  <c r="AA9" i="19"/>
  <c r="X9" i="19"/>
  <c r="Z9" i="19" s="1"/>
  <c r="W9" i="19"/>
  <c r="V9" i="19"/>
  <c r="U9" i="19"/>
  <c r="T9" i="19"/>
  <c r="S9" i="19"/>
  <c r="R9" i="19"/>
  <c r="Q9" i="19"/>
  <c r="P9" i="19"/>
  <c r="O9" i="19"/>
  <c r="L9" i="19"/>
  <c r="N9" i="19" s="1"/>
  <c r="K9" i="19"/>
  <c r="J9" i="19"/>
  <c r="I9" i="19"/>
  <c r="H9" i="19"/>
  <c r="G9" i="19"/>
  <c r="F9" i="19"/>
  <c r="E9" i="19"/>
  <c r="D9" i="19"/>
  <c r="C9" i="19"/>
  <c r="AJ8" i="19"/>
  <c r="AI8" i="19"/>
  <c r="AH8" i="19"/>
  <c r="AG8" i="19"/>
  <c r="AF8" i="19"/>
  <c r="AE8" i="19"/>
  <c r="AD8" i="19"/>
  <c r="AC8" i="19"/>
  <c r="AB8" i="19"/>
  <c r="AA8" i="19"/>
  <c r="X8" i="19"/>
  <c r="Z8" i="19" s="1"/>
  <c r="W8" i="19"/>
  <c r="V8" i="19"/>
  <c r="U8" i="19"/>
  <c r="T8" i="19"/>
  <c r="S8" i="19"/>
  <c r="R8" i="19"/>
  <c r="Q8" i="19"/>
  <c r="P8" i="19"/>
  <c r="O8" i="19"/>
  <c r="L8" i="19"/>
  <c r="N8" i="19" s="1"/>
  <c r="K8" i="19"/>
  <c r="J8" i="19"/>
  <c r="I8" i="19"/>
  <c r="H8" i="19"/>
  <c r="G8" i="19"/>
  <c r="F8" i="19"/>
  <c r="E8" i="19"/>
  <c r="D8" i="19"/>
  <c r="C8" i="19"/>
  <c r="AJ7" i="19"/>
  <c r="AI7" i="19"/>
  <c r="AH7" i="19"/>
  <c r="AG7" i="19"/>
  <c r="AF7" i="19"/>
  <c r="AE7" i="19"/>
  <c r="AD7" i="19"/>
  <c r="AC7" i="19"/>
  <c r="AB7" i="19"/>
  <c r="AA7" i="19"/>
  <c r="Z7" i="19"/>
  <c r="W7" i="19"/>
  <c r="V7" i="19"/>
  <c r="U7" i="19"/>
  <c r="T7" i="19"/>
  <c r="S7" i="19"/>
  <c r="R7" i="19"/>
  <c r="Q7" i="19"/>
  <c r="P7" i="19"/>
  <c r="O7" i="19"/>
  <c r="N7" i="19"/>
  <c r="J7" i="19"/>
  <c r="I7" i="19"/>
  <c r="H7" i="19"/>
  <c r="G7" i="19"/>
  <c r="F7" i="19"/>
  <c r="E7" i="19"/>
  <c r="D7" i="19"/>
  <c r="C7" i="19"/>
  <c r="AJ13" i="19" l="1"/>
  <c r="B13" i="19"/>
  <c r="T13" i="19"/>
  <c r="W13" i="19"/>
  <c r="AC13" i="19"/>
  <c r="J13" i="19"/>
  <c r="AD13" i="19"/>
  <c r="G13" i="19"/>
  <c r="O13" i="19"/>
  <c r="K13" i="19"/>
  <c r="C13" i="19"/>
  <c r="AE13" i="19"/>
  <c r="AA13" i="19"/>
  <c r="R13" i="19"/>
  <c r="I13" i="19"/>
  <c r="AI13" i="19"/>
  <c r="AG13" i="19"/>
  <c r="Q13" i="19"/>
  <c r="N6" i="19"/>
  <c r="N13" i="19" s="1"/>
  <c r="L13" i="19"/>
  <c r="S13" i="19"/>
  <c r="P13" i="19"/>
  <c r="Z6" i="19"/>
  <c r="Z13" i="19" s="1"/>
  <c r="X13" i="19"/>
  <c r="D13" i="19"/>
  <c r="U13" i="19"/>
  <c r="E13" i="19"/>
  <c r="AB13" i="19"/>
  <c r="F13" i="19"/>
  <c r="V13" i="19"/>
  <c r="AF13" i="19"/>
  <c r="H13" i="19"/>
  <c r="AH13" i="19"/>
  <c r="D126" i="19"/>
  <c r="D122" i="19"/>
  <c r="D125" i="19" l="1"/>
  <c r="M133" i="19" l="1"/>
  <c r="I133" i="19"/>
  <c r="N133" i="19"/>
  <c r="L133" i="19"/>
  <c r="K133" i="19"/>
  <c r="J133" i="19"/>
  <c r="M132" i="19"/>
  <c r="K132" i="19"/>
  <c r="L132" i="19"/>
  <c r="N132" i="19"/>
  <c r="J132" i="19"/>
  <c r="I132" i="19"/>
  <c r="M134" i="19"/>
  <c r="K134" i="19"/>
  <c r="I134" i="19"/>
  <c r="J134" i="19"/>
  <c r="N134" i="19"/>
  <c r="L134" i="19"/>
  <c r="G134" i="19"/>
  <c r="E134" i="19"/>
  <c r="F133" i="19"/>
  <c r="G132" i="19"/>
  <c r="F123" i="19"/>
  <c r="F129" i="19" s="1"/>
  <c r="F132" i="19"/>
  <c r="G133" i="19"/>
  <c r="E133" i="19"/>
  <c r="E132" i="19"/>
  <c r="F134" i="19"/>
  <c r="E123" i="19"/>
  <c r="E129" i="19" l="1"/>
  <c r="H134" i="19"/>
  <c r="H133" i="19"/>
  <c r="H132" i="19"/>
  <c r="H123" i="19"/>
  <c r="H129" i="19" s="1"/>
  <c r="G123" i="19"/>
  <c r="G129" i="19" s="1"/>
  <c r="D121" i="19" l="1"/>
  <c r="D123" i="19" s="1"/>
  <c r="E130" i="19" s="1"/>
  <c r="I130" i="19" l="1"/>
  <c r="M130" i="19"/>
  <c r="N130" i="19"/>
  <c r="J130" i="19"/>
  <c r="K130" i="19"/>
  <c r="L130" i="19"/>
  <c r="H130" i="19"/>
  <c r="G130" i="19"/>
  <c r="F130" i="19"/>
  <c r="A5" i="23" l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B8" i="30" l="1" a="1"/>
  <c r="B8" i="30" s="1"/>
  <c r="D124" i="19"/>
  <c r="D129" i="19" s="1"/>
  <c r="I136" i="19" l="1"/>
  <c r="J136" i="19"/>
  <c r="L136" i="19"/>
  <c r="M136" i="19"/>
  <c r="K136" i="19"/>
  <c r="N136" i="19"/>
  <c r="E136" i="19"/>
  <c r="H136" i="19"/>
  <c r="G136" i="19"/>
  <c r="F136" i="19"/>
  <c r="Q8" i="30"/>
  <c r="M8" i="30"/>
  <c r="O8" i="30"/>
  <c r="G131" i="19"/>
  <c r="F131" i="19"/>
  <c r="L131" i="19"/>
  <c r="N131" i="19"/>
  <c r="J131" i="19"/>
  <c r="K131" i="19"/>
  <c r="I131" i="19"/>
  <c r="M131" i="19"/>
  <c r="H131" i="19"/>
  <c r="E131" i="19"/>
  <c r="D103" i="34" a="1"/>
  <c r="D103" i="34" s="1"/>
  <c r="D101" i="34" l="1" a="1"/>
  <c r="D101" i="34" s="1"/>
  <c r="C101" i="34" a="1"/>
  <c r="C101" i="34" s="1"/>
  <c r="D100" i="34" a="1"/>
  <c r="D100" i="34" s="1"/>
  <c r="C100" i="34" a="1"/>
  <c r="C100" i="34" s="1"/>
  <c r="C102" i="34" a="1"/>
  <c r="C102" i="34" s="1"/>
  <c r="D102" i="34" a="1"/>
  <c r="D102" i="34" s="1"/>
  <c r="C99" i="34" a="1"/>
  <c r="C99" i="34" s="1"/>
  <c r="D99" i="34" a="1"/>
  <c r="D99" i="34" s="1"/>
  <c r="C103" i="34" a="1"/>
  <c r="C103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Panjarin Insuan</author>
  </authors>
  <commentList>
    <comment ref="R7" authorId="0" shapeId="0" xr:uid="{3D1A6947-0D9C-4BC4-9280-4E97E263042F}">
      <text>
        <r>
          <rPr>
            <sz val="11"/>
            <color theme="1"/>
            <rFont val="Tahoma"/>
            <family val="2"/>
            <scheme val="minor"/>
          </rPr>
          <t xml:space="preserve">Panjarin Insuan:
CTA ส่งเมล์ให้ AUR ไม่ได้ CC </t>
        </r>
      </text>
    </comment>
    <comment ref="V216" authorId="0" shapeId="0" xr:uid="{F33A1D51-12F1-4391-932E-BF55C87899FC}">
      <text>
        <r>
          <rPr>
            <sz val="11"/>
            <color theme="1"/>
            <rFont val="Tahoma"/>
            <family val="2"/>
            <scheme val="minor"/>
          </rPr>
          <t>Panjarin Insuan:
R0 ตัวนี้ ที่ขอส่งเป็น Revise 1 เนื่องจากต้อง ขยับตำแหน่งบางตัว กล้องบางตัว หลบงาน ที่ TTI เท คอนกรีตไปแล้วครับ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<sst xmlns="http://schemas.openxmlformats.org/spreadsheetml/2006/main" count="5669" uniqueCount="1718">
  <si>
    <t>Shop Drawing Approval Summary</t>
  </si>
  <si>
    <t>Trade</t>
  </si>
  <si>
    <t>Planned Equipment Shop Drawing</t>
  </si>
  <si>
    <t>Rev0</t>
  </si>
  <si>
    <t>Rev1</t>
  </si>
  <si>
    <t>Rev2</t>
  </si>
  <si>
    <t>GAA Status</t>
  </si>
  <si>
    <t>CTA Status</t>
  </si>
  <si>
    <t>AUR Status</t>
  </si>
  <si>
    <t>STT Status</t>
  </si>
  <si>
    <t>Total Submission</t>
  </si>
  <si>
    <t>Total reviewed</t>
  </si>
  <si>
    <t>Total outstanding</t>
  </si>
  <si>
    <t>Status A</t>
  </si>
  <si>
    <t>Status B</t>
  </si>
  <si>
    <t>Status C</t>
  </si>
  <si>
    <t>Pending resubmission</t>
  </si>
  <si>
    <t>Submitted</t>
  </si>
  <si>
    <t>Structural</t>
  </si>
  <si>
    <t>Architectural</t>
  </si>
  <si>
    <t>Mechanical</t>
  </si>
  <si>
    <t>Fire Protection</t>
  </si>
  <si>
    <t>Hydraulics</t>
  </si>
  <si>
    <t>Electrical &amp; Comms</t>
  </si>
  <si>
    <t>Combine services drawing</t>
  </si>
  <si>
    <t>Overall</t>
  </si>
  <si>
    <t>Submission</t>
  </si>
  <si>
    <t xml:space="preserve">Approved by All </t>
  </si>
  <si>
    <t>Rejected</t>
  </si>
  <si>
    <t>Pending submission</t>
  </si>
  <si>
    <t>CTA Approved</t>
  </si>
  <si>
    <t>CTA Outstanding</t>
  </si>
  <si>
    <t>AUR Approved</t>
  </si>
  <si>
    <t>AUR Outstanding</t>
  </si>
  <si>
    <t>STT Approved</t>
  </si>
  <si>
    <t>STT outstanding</t>
  </si>
  <si>
    <t>AR &amp; ST</t>
  </si>
  <si>
    <t>Fire</t>
  </si>
  <si>
    <t>CSD</t>
  </si>
  <si>
    <t>Do not tounch</t>
  </si>
  <si>
    <t>w/e</t>
  </si>
  <si>
    <t>Total Expected</t>
  </si>
  <si>
    <t>Planned Submission</t>
  </si>
  <si>
    <t>Actual Submitted</t>
  </si>
  <si>
    <t>Status</t>
  </si>
  <si>
    <t>Under Review</t>
  </si>
  <si>
    <t>A</t>
  </si>
  <si>
    <t>B</t>
  </si>
  <si>
    <t>C</t>
  </si>
  <si>
    <t>CTA</t>
  </si>
  <si>
    <t>AUR</t>
  </si>
  <si>
    <t>STT</t>
  </si>
  <si>
    <t>Electrical</t>
  </si>
  <si>
    <t>Combined Service Drawing</t>
  </si>
  <si>
    <t>Status: (A) Approved with No Comments, (B) Approved with Comments, (C) Revise &amp; Resubmit</t>
  </si>
  <si>
    <t>Action by</t>
  </si>
  <si>
    <t>GAA</t>
  </si>
  <si>
    <t>S/N</t>
  </si>
  <si>
    <t>SDW Doc No.</t>
  </si>
  <si>
    <t>Document Description</t>
  </si>
  <si>
    <t>RFAS Doc No.</t>
  </si>
  <si>
    <t>Submission Date</t>
  </si>
  <si>
    <t>Consultant Respond Date</t>
  </si>
  <si>
    <t>Rev</t>
  </si>
  <si>
    <t>Action</t>
  </si>
  <si>
    <t>Approval Date</t>
  </si>
  <si>
    <t>Scope</t>
  </si>
  <si>
    <t>Remarks</t>
  </si>
  <si>
    <t>Rev 0</t>
  </si>
  <si>
    <t>Rev 1</t>
  </si>
  <si>
    <t>Rev 2</t>
  </si>
  <si>
    <t>Rev 3</t>
  </si>
  <si>
    <t>Rev 4</t>
  </si>
  <si>
    <t>Rev 5</t>
  </si>
  <si>
    <t>Rev 6</t>
  </si>
  <si>
    <t>Rev 7</t>
  </si>
  <si>
    <t>Required Review by STT's Engineering Team (YES/NO)</t>
  </si>
  <si>
    <t>523213-01-SDW-AR-0001</t>
  </si>
  <si>
    <t>Architectural Drawing Index</t>
  </si>
  <si>
    <t>523213-01-RFAS-AR-0001</t>
  </si>
  <si>
    <t>Closed</t>
  </si>
  <si>
    <t>GC</t>
  </si>
  <si>
    <t>NO</t>
  </si>
  <si>
    <t>523213-01-SDW-AR-0100</t>
  </si>
  <si>
    <t>Level 1 - Overall Base Plan</t>
  </si>
  <si>
    <t>523213-01-RFAS-AR-0002</t>
  </si>
  <si>
    <t>523213-01-SDW-AR-0200</t>
  </si>
  <si>
    <t>Level 2 - Overall Base Plan</t>
  </si>
  <si>
    <t>523213-01-RFAS-AR-0003</t>
  </si>
  <si>
    <t>Pending</t>
  </si>
  <si>
    <t>RFI-EL-0018</t>
  </si>
  <si>
    <t>523213-01-SDW-AR-0300</t>
  </si>
  <si>
    <t>Level 3 - Overall Base Plan</t>
  </si>
  <si>
    <t>523213-01-RFAS-AR-0004</t>
  </si>
  <si>
    <t>523213-01-SDW-AR-0400</t>
  </si>
  <si>
    <t>Level 4 - Overall Base Plan</t>
  </si>
  <si>
    <t>523213-01-RFAS-AR-0005</t>
  </si>
  <si>
    <t>523213-01-SDW-AR-0500</t>
  </si>
  <si>
    <t>Level 5 - Overall Base Plan</t>
  </si>
  <si>
    <t>523213-01-RFAS-AR-0006</t>
  </si>
  <si>
    <t>523213-01-SDW-AR-0600</t>
  </si>
  <si>
    <t>Level 6 - Overall Base Plan</t>
  </si>
  <si>
    <t>523213-01-RFAS-AR-0007</t>
  </si>
  <si>
    <t>523213-01-SDW-AR-0700</t>
  </si>
  <si>
    <t>Roof Deck - Overall Base Plan</t>
  </si>
  <si>
    <t>523213-01-RFAS-AR-0008</t>
  </si>
  <si>
    <t>523213-01-SDW-AR-1100</t>
  </si>
  <si>
    <t>Level 1 - Floor Finishes &amp; Details</t>
  </si>
  <si>
    <t>523213-01-RFAS-AR-0009</t>
  </si>
  <si>
    <t>523213-01-SDW-AR-1200</t>
  </si>
  <si>
    <t>Level 2 - Floor Finishes &amp; Details</t>
  </si>
  <si>
    <t>523213-01-RFAS-AR-0010</t>
  </si>
  <si>
    <t>523213-01-SDW-AR-1300</t>
  </si>
  <si>
    <t>Level 3 - Floor Finishes &amp; Details</t>
  </si>
  <si>
    <t>523213-01-RFAS-AR-0011</t>
  </si>
  <si>
    <t>523213-01-SDW-AR-1600</t>
  </si>
  <si>
    <t>Level 6 - Floor Finishes &amp; Details</t>
  </si>
  <si>
    <t>523213-01-RFAS-AR-0012</t>
  </si>
  <si>
    <t>523213-01-SDW-AR-2100</t>
  </si>
  <si>
    <t>Level 1 - Bund Wall Setting-out &amp; Details</t>
  </si>
  <si>
    <t>523213-01-RFAS-AR-0013</t>
  </si>
  <si>
    <t>523213-01-SDW-AR-2110</t>
  </si>
  <si>
    <t>Level 1 - Wall Finishes &amp; Details</t>
  </si>
  <si>
    <t>523213-01-RFAS-AR-0014</t>
  </si>
  <si>
    <t>523213-01-SDW-AR-2140</t>
  </si>
  <si>
    <t>Level 1 - Block Wall Layout &amp; Details</t>
  </si>
  <si>
    <t>523213-01-RFAS-AR-0015</t>
  </si>
  <si>
    <t>523213-01-SDW-AR-2200</t>
  </si>
  <si>
    <t>Level 2 - Bund Wall Setting-out &amp; Details</t>
  </si>
  <si>
    <t>523213-01-RFAS-AR-0016</t>
  </si>
  <si>
    <t>523213-01-SDW-AR-2210</t>
  </si>
  <si>
    <t>Level 2 - Wall Finishes &amp; Details</t>
  </si>
  <si>
    <t>523213-01-RFAS-AR-0017</t>
  </si>
  <si>
    <t>523213-01-SDW-AR-2220</t>
  </si>
  <si>
    <t>Level 2 - Wall Setting-out</t>
  </si>
  <si>
    <t>523213-01-RFAS-AR-0018</t>
  </si>
  <si>
    <t>523213-01-SDW-AR-2230</t>
  </si>
  <si>
    <t>Level 2 - Block Wall Layout &amp; Details</t>
  </si>
  <si>
    <t>523213-01-RFAS-AR-0019</t>
  </si>
  <si>
    <t>523213-01-SDW-AR-2240</t>
  </si>
  <si>
    <t>Level 2 - Partition Wall Support Layout &amp; Details</t>
  </si>
  <si>
    <t>523213-01-RFAS-AR-0020</t>
  </si>
  <si>
    <t>523213-01-SDW-AR-2250</t>
  </si>
  <si>
    <t>Level 2 - Wire Mesh Layout &amp; Details</t>
  </si>
  <si>
    <t>523213-01-RFAS-AR-0021</t>
  </si>
  <si>
    <t>523213-01-SDW-AR-2300</t>
  </si>
  <si>
    <t>Level 3 - Bund Wall Setting-out &amp; Details</t>
  </si>
  <si>
    <t>523213-01-RFAS-AR-0022</t>
  </si>
  <si>
    <t>523213-01-SDW-AR-2340</t>
  </si>
  <si>
    <t>Level 3 - Partition Wall Support Layout &amp; Details</t>
  </si>
  <si>
    <t>523213-01-RFAS-AR-0023</t>
  </si>
  <si>
    <t>523213-01-SDW-AR-2330</t>
  </si>
  <si>
    <t>Level 3 - Block Wall Layout &amp; Details</t>
  </si>
  <si>
    <t>523213-01-RFAS-AR-0024</t>
  </si>
  <si>
    <t>523213-01-SDW-AR-2310</t>
  </si>
  <si>
    <t>Level 3 - Wall Finishes &amp; Details</t>
  </si>
  <si>
    <t>523213-01-RFAS-AR-0025</t>
  </si>
  <si>
    <t>523213-01-SDW-AR-2320</t>
  </si>
  <si>
    <t>Level 3 - Wall Setting-out</t>
  </si>
  <si>
    <t>523213-01-RFAS-AR-0026</t>
  </si>
  <si>
    <t>523213-01-SDW-AR-2400</t>
  </si>
  <si>
    <t>Level 4 - Bund Wall Setting-out &amp; Details</t>
  </si>
  <si>
    <t>523213-01-RFAS-AR-0027</t>
  </si>
  <si>
    <t>523213-01-SDW-AR-2410</t>
  </si>
  <si>
    <t>Level 4 - Wall Finishes &amp; Details</t>
  </si>
  <si>
    <t>523213-01-RFAS-AR-0028</t>
  </si>
  <si>
    <t>523213-01-SDW-AR-2420</t>
  </si>
  <si>
    <t>Level 4 - Wall Setting-out</t>
  </si>
  <si>
    <t>523213-01-RFAS-AR-0029</t>
  </si>
  <si>
    <t>523213-01-SDW-AR-2430</t>
  </si>
  <si>
    <t>Level 4 - Block Wall Layout &amp; Details</t>
  </si>
  <si>
    <t>523213-01-RFAS-AR-0030</t>
  </si>
  <si>
    <t>523213-01-SDW-AR-2500</t>
  </si>
  <si>
    <t>Level 5 - Bund Wall Setting-out &amp; Details</t>
  </si>
  <si>
    <t>523213-01-RFAS-AR-0031</t>
  </si>
  <si>
    <t>523213-01-SDW-AR-2510</t>
  </si>
  <si>
    <t>Level 5 - Wall Finishes &amp; Details</t>
  </si>
  <si>
    <t>523213-01-RFAS-AR-0032</t>
  </si>
  <si>
    <t>523213-01-SDW-AR-2520</t>
  </si>
  <si>
    <t>Level 5 - Wall Setting-out</t>
  </si>
  <si>
    <t>523213-01-RFAS-AR-0033</t>
  </si>
  <si>
    <t>523213-01-SDW-AR-2530</t>
  </si>
  <si>
    <t>Level 5 - Block Wall Layout &amp; Details</t>
  </si>
  <si>
    <t>523213-01-RFAS-AR-0034</t>
  </si>
  <si>
    <t>523213-01-SDW-AR-2600</t>
  </si>
  <si>
    <t>Level 6 - Bund Wall Setting-out &amp; Details</t>
  </si>
  <si>
    <t>523213-01-RFAS-AR-0035</t>
  </si>
  <si>
    <t>523213-01-SDW-AR-2610</t>
  </si>
  <si>
    <t>Level 6 - Wall Finishes &amp; Details</t>
  </si>
  <si>
    <t>523213-01-RFAS-AR-0036</t>
  </si>
  <si>
    <t>523213-01-SDW-AR-2620</t>
  </si>
  <si>
    <t>Level 6 - Wall Setting-out</t>
  </si>
  <si>
    <t>523213-01-RFAS-AR-0037</t>
  </si>
  <si>
    <t>523213-01-SDW-AR-2630</t>
  </si>
  <si>
    <t>Level 6 - Block Wall Layout &amp; Details</t>
  </si>
  <si>
    <t>523213-01-RFAS-AR-0038</t>
  </si>
  <si>
    <t>523213-01-SDW-AR-2640</t>
  </si>
  <si>
    <t>Level 6 - Partition Wall Support Layout &amp; Details</t>
  </si>
  <si>
    <t>523213-01-RFAS-AR-0039</t>
  </si>
  <si>
    <t>523213-01-SDW-AR-3100</t>
  </si>
  <si>
    <t>Level 1 - Crash Rail &amp; Skirting Layout &amp; Details</t>
  </si>
  <si>
    <t>523213-01-RFAS-AR-0040</t>
  </si>
  <si>
    <t>523213-01-SDW-AR-3200</t>
  </si>
  <si>
    <t>Level 2 - Crash Rail &amp; Skirting Layout &amp; Details</t>
  </si>
  <si>
    <t>523213-01-RFAS-AR-0041</t>
  </si>
  <si>
    <t>523213-01-SDW-AR-3600</t>
  </si>
  <si>
    <t>Level 6 - Crash Rail &amp; Skirting Layout &amp; Details</t>
  </si>
  <si>
    <t>523213-01-RFAS-AR-0042</t>
  </si>
  <si>
    <t>523213-01-SDW-AR-4100</t>
  </si>
  <si>
    <t>Level 1 - Door Schedule Layout &amp; Details</t>
  </si>
  <si>
    <t>523213-01-RFAS-AR-0043</t>
  </si>
  <si>
    <t>523213-01-SDW-AR-4200</t>
  </si>
  <si>
    <t>Level 2 - Door Schedule Layout &amp; Details</t>
  </si>
  <si>
    <t>523213-01-RFAS-AR-0044</t>
  </si>
  <si>
    <t>523213-01-SDW-AR-4300</t>
  </si>
  <si>
    <t>Level 3 - Door Schedule Layout &amp; Details</t>
  </si>
  <si>
    <t>523213-01-RFAS-AR-0045</t>
  </si>
  <si>
    <t>523213-01-SDW-AR-4600</t>
  </si>
  <si>
    <t>Level 6 - Door Schedule Layout &amp; Details</t>
  </si>
  <si>
    <t>523213-01-RFAS-AR-0046</t>
  </si>
  <si>
    <t>523213-01-SDW-AR-5100</t>
  </si>
  <si>
    <t>Level 1 - Soffit Finishes &amp; Details</t>
  </si>
  <si>
    <t>523213-01-RFAS-AR-0047</t>
  </si>
  <si>
    <t>523213-01-SDW-AR-5110</t>
  </si>
  <si>
    <t>Level 1 - Ceiling Finishes &amp; Details</t>
  </si>
  <si>
    <t>523213-01-RFAS-AR-0048</t>
  </si>
  <si>
    <t>523213-01-SDW-AR-5200</t>
  </si>
  <si>
    <t>Level 2 - Soffit Finishes &amp; Details</t>
  </si>
  <si>
    <t>523213-01-RFAS-AR-0049</t>
  </si>
  <si>
    <t>523213-01-SDW-AR-5210</t>
  </si>
  <si>
    <t>Level 2 - Ceiling Finishes &amp; Details</t>
  </si>
  <si>
    <t>523213-01-RFAS-AR-0050</t>
  </si>
  <si>
    <t>523213-01-SDW-AR-5220</t>
  </si>
  <si>
    <t>Level 2 - Structured Ceiling Anchor Layout &amp; Details</t>
  </si>
  <si>
    <t>523213-01-RFAS-AR-0051</t>
  </si>
  <si>
    <t>523213-01-SDW-AR-5300</t>
  </si>
  <si>
    <t>Level 3 - Soffit Finishes &amp; Details</t>
  </si>
  <si>
    <t>523213-01-RFAS-AR-0052</t>
  </si>
  <si>
    <t>523213-01-SDW-AR-5600</t>
  </si>
  <si>
    <t>Level 6 - Soffit Finishes &amp; Details</t>
  </si>
  <si>
    <t>523213-01-RFAS-AR-0053</t>
  </si>
  <si>
    <t>523213-01-SDW-AR-5700</t>
  </si>
  <si>
    <t>Roof Deck - Soffit Finishes &amp; Details</t>
  </si>
  <si>
    <t>523213-01-RFAS-AR-0054</t>
  </si>
  <si>
    <t>523213-01-SDW-AR-6110</t>
  </si>
  <si>
    <t>Level 1 - Interior Elevation Views, Layout &amp; Details</t>
  </si>
  <si>
    <t>523213-01-RFAS-AR-0055</t>
  </si>
  <si>
    <t>523213-01-SDW-AR-6101</t>
  </si>
  <si>
    <t>Level 1 - Reception Hall Layout &amp; Details</t>
  </si>
  <si>
    <t>523213-01-RFAS-AR-0056</t>
  </si>
  <si>
    <t>523213-01-SDW-AR-6102</t>
  </si>
  <si>
    <t>Level 1 - Security Room 1 Layout &amp; Details</t>
  </si>
  <si>
    <t>523213-01-RFAS-AR-0057</t>
  </si>
  <si>
    <t>YES</t>
  </si>
  <si>
    <t>523213-01-SDW-AR-6103</t>
  </si>
  <si>
    <t>Level 1 - Security Room 2 Layout &amp; Details</t>
  </si>
  <si>
    <t>523213-01-RFAS-AR-0058</t>
  </si>
  <si>
    <t>523213-01-SDW-AR-6104</t>
  </si>
  <si>
    <t>Level 1 - Pantry Layout &amp; Details</t>
  </si>
  <si>
    <t>523213-01-RFAS-AR-0059</t>
  </si>
  <si>
    <t>523213-01-SDW-AR-6105</t>
  </si>
  <si>
    <t>Level 1 - Technical Assistant Room Layout &amp; Details</t>
  </si>
  <si>
    <t>523213-01-RFAS-AR-0060</t>
  </si>
  <si>
    <t>523213-01-SDW-AR-6106</t>
  </si>
  <si>
    <t>Level 1 - Hall 1.1 Layout &amp; Details</t>
  </si>
  <si>
    <t>523213-01-RFAS-AR-0061</t>
  </si>
  <si>
    <t>523213-01-SDW-AR-6120</t>
  </si>
  <si>
    <t>Level 1 - Fireman Lift Lobby Layout &amp; Details</t>
  </si>
  <si>
    <t>523213-01-RFAS-AR-0062</t>
  </si>
  <si>
    <t>523213-01-SDW-AR-6210</t>
  </si>
  <si>
    <t>Level 2 - Interior Elevation Views, Layout &amp; Details</t>
  </si>
  <si>
    <t>523213-01-RFAS-AR-0063</t>
  </si>
  <si>
    <t>523213-01-SDW-AR-6230</t>
  </si>
  <si>
    <t>Level 2 - Toilet Layout &amp; Details</t>
  </si>
  <si>
    <t>523213-01-RFAS-AR-0064</t>
  </si>
  <si>
    <t>523213-01-SDW-AR-6240</t>
  </si>
  <si>
    <t>Level 2 - GENSET Room Layout &amp; Details</t>
  </si>
  <si>
    <t>523213-01-RFAS-AR-0065</t>
  </si>
  <si>
    <t>523213-01-SDW-AR-6290</t>
  </si>
  <si>
    <t>Level 2 - Hot Aisle Containment Layout Plan</t>
  </si>
  <si>
    <t>523213-01-RFAS-AR-0066</t>
  </si>
  <si>
    <t>523213-01-SDW-AR-6610</t>
  </si>
  <si>
    <t>Level 6 - Interior Elevation Views, Layout &amp; Details</t>
  </si>
  <si>
    <t>523213-01-RFAS-AR-0067</t>
  </si>
  <si>
    <t>523213-01-SDW-AR-6640</t>
  </si>
  <si>
    <t>Level 6 - GENSET Room Layout &amp; Details</t>
  </si>
  <si>
    <t>523213-01-RFAS-AR-0068</t>
  </si>
  <si>
    <t>523213-01-SDW-AR-7100</t>
  </si>
  <si>
    <t>Level 1 - Signage Layout Plan &amp; Details</t>
  </si>
  <si>
    <t>523213-01-RFAS-AR-0069</t>
  </si>
  <si>
    <t>523213-01-SDW-AR-7200</t>
  </si>
  <si>
    <t>Level 2 - Signage Layout Plan &amp; Details</t>
  </si>
  <si>
    <t>523213-01-RFAS-AR-0070</t>
  </si>
  <si>
    <t>523213-01-SDW-AR-7300</t>
  </si>
  <si>
    <t>Level 3 - Signage Layout Plan &amp; Details</t>
  </si>
  <si>
    <t>523213-01-RFAS-AR-0071</t>
  </si>
  <si>
    <t>523213-01-SDW-AR-7600</t>
  </si>
  <si>
    <t>Level 6 - Signage Layout Plan &amp; Details</t>
  </si>
  <si>
    <t>523213-01-RFAS-AR-0072</t>
  </si>
  <si>
    <t>523213-01-SDW-AR-8100</t>
  </si>
  <si>
    <t>Level 1 - Block-out &amp; Pipe Sleeve Details</t>
  </si>
  <si>
    <t>523213-01-RFAS-AR-0073</t>
  </si>
  <si>
    <t>523213-01-SDW-AR-8200</t>
  </si>
  <si>
    <t>Level 2 - Data Hall 2-A Block-out &amp; Pipe Sleeve Details</t>
  </si>
  <si>
    <t>523213-01-RFAS-AR-0074</t>
  </si>
  <si>
    <t>523213-01-SDW-AR-8201</t>
  </si>
  <si>
    <t>Level 2 - Spare Space Block-out &amp; Pipe Sleeve Details</t>
  </si>
  <si>
    <t>523213-01-RFAS-AR-0075</t>
  </si>
  <si>
    <t>523213-01-SDW-AR-8202</t>
  </si>
  <si>
    <t>Level 2 - Data Hall 2-C Block-out &amp; Pipe Sleeve Details</t>
  </si>
  <si>
    <t>523213-01-RFAS-AR-0076</t>
  </si>
  <si>
    <t>523213-01-SDW-AR-8203</t>
  </si>
  <si>
    <t>Level 2 - ELV B Area Block-out &amp; Pipe Sleeve Details</t>
  </si>
  <si>
    <t>523213-01-RFAS-AR-0077</t>
  </si>
  <si>
    <t>523213-01-SDW-AR-8204</t>
  </si>
  <si>
    <t>Level 2 - ELV A Area Block-out &amp; Pipe Sleeve Details</t>
  </si>
  <si>
    <t>523213-01-RFAS-AR-0078</t>
  </si>
  <si>
    <t>523213-01-SDW-AR-8205</t>
  </si>
  <si>
    <t>Level 2 - LV Room Block-out &amp; Pipe Sleeve Details</t>
  </si>
  <si>
    <t>523213-01-RFAS-AR-0079</t>
  </si>
  <si>
    <t>523213-01-SDW-AR-8300</t>
  </si>
  <si>
    <t>Level 3 - TX Room Block-out &amp; Pipe Sleeve Details</t>
  </si>
  <si>
    <t>523213-01-RFAS-AR-0080</t>
  </si>
  <si>
    <t>523213-01-SDW-AR-8600</t>
  </si>
  <si>
    <t>Level 6 - MSB Room Block-out &amp; Pipe Sleeve Details</t>
  </si>
  <si>
    <t>523213-01-RFAS-AR-0081</t>
  </si>
  <si>
    <t>523213-01-SDW-AR-8601</t>
  </si>
  <si>
    <t>Level 6 - ELV Room Block-out &amp; Pipe Sleeve Details</t>
  </si>
  <si>
    <t>523213-01-RFAS-AR-0082</t>
  </si>
  <si>
    <t>523213-01-SDW-AR-3300</t>
  </si>
  <si>
    <t>Level 3 - Level 3 Skirting Layout &amp; Details</t>
  </si>
  <si>
    <t>DO NOT DELETE</t>
  </si>
  <si>
    <t>Civil &amp; Structure</t>
  </si>
  <si>
    <t>523213-01-SDW-ST-0001</t>
  </si>
  <si>
    <t>Structural Drawing Index</t>
  </si>
  <si>
    <t>523213-01-RFAS-ST-0001</t>
  </si>
  <si>
    <t>523213-01-SDW-ST-1100</t>
  </si>
  <si>
    <t>Level 1 - Concrete Plinth Layout Plan &amp; Details</t>
  </si>
  <si>
    <t>523213-01-RFAS-ST-0002</t>
  </si>
  <si>
    <t>523213-01-SDW-ST-1200</t>
  </si>
  <si>
    <t>Level 2 - Concrete Plinth Layout Plan &amp; Details</t>
  </si>
  <si>
    <t>523213-01-RFAS-ST-0003</t>
  </si>
  <si>
    <t>523213-01-SDW-ST-1201</t>
  </si>
  <si>
    <t>Level 2 - Ladder Cover Sections &amp; Details</t>
  </si>
  <si>
    <t>523213-01-RFAS-ST-0004</t>
  </si>
  <si>
    <t>523213-01-SDW-ST-1300</t>
  </si>
  <si>
    <t>Level 3 - Concrete Plinth Layout Plan &amp; Details</t>
  </si>
  <si>
    <t>523213-01-RFAS-ST-0005</t>
  </si>
  <si>
    <t>523213-01-SDW-ST-1310</t>
  </si>
  <si>
    <t>Level 3 - Ladder Cover Sections &amp; Details</t>
  </si>
  <si>
    <t>523213-01-RFAS-ST-0006</t>
  </si>
  <si>
    <t>523213-01-SDW-ST-1400</t>
  </si>
  <si>
    <t>Level 4 - Concrete Plinth Layout Plan &amp; Details</t>
  </si>
  <si>
    <t>523213-01-RFAS-ST-0007</t>
  </si>
  <si>
    <t>523213-01-SDW-ST-1410</t>
  </si>
  <si>
    <t>Level 4 - Ladder Cover Sections &amp; Details</t>
  </si>
  <si>
    <t>523213-01-RFAS-ST-0008</t>
  </si>
  <si>
    <t>523213-01-SDW-ST-1500</t>
  </si>
  <si>
    <t>Level 5 - Concrete Plinth Layout Plan &amp; Details</t>
  </si>
  <si>
    <t>523213-01-RFAS-ST-0009</t>
  </si>
  <si>
    <t>523213-01-SDW-ST-1510</t>
  </si>
  <si>
    <t>Level 5 - Ladder Cover Sections &amp; Details</t>
  </si>
  <si>
    <t>523213-01-RFAS-ST-0010</t>
  </si>
  <si>
    <t>Level 6 - Concrete Plinth Layout Plan &amp; Details</t>
  </si>
  <si>
    <t>523213-01-RFAS-ST-0011</t>
  </si>
  <si>
    <t>523213-01-SDW-ST-2100</t>
  </si>
  <si>
    <t>Level 1 - Steel Support &amp; Details</t>
  </si>
  <si>
    <t>523213-01-RFAS-ST-0012</t>
  </si>
  <si>
    <t>523213-01-SDW-ST-2200</t>
  </si>
  <si>
    <t>Level 2 - Steel Support &amp; Details</t>
  </si>
  <si>
    <t>523213-01-RFAS-ST-0013</t>
  </si>
  <si>
    <t>523213-01-SDW-ST-2300</t>
  </si>
  <si>
    <t>Level 3 - Steel Support &amp; Details</t>
  </si>
  <si>
    <t>523213-01-RFAS-ST-0014</t>
  </si>
  <si>
    <t>523213-01-SDW-ST-2400</t>
  </si>
  <si>
    <t>Level 4 - Steel Support &amp; Details</t>
  </si>
  <si>
    <t>523213-01-RFAS-ST-0015</t>
  </si>
  <si>
    <t>523213-01-SDW-ST-2500</t>
  </si>
  <si>
    <t>Level 5 - Steel Support &amp; Details</t>
  </si>
  <si>
    <t>523213-01-RFAS-ST-0016</t>
  </si>
  <si>
    <t>523213-01-SDW-ST-2600</t>
  </si>
  <si>
    <t>Level 6 - Steel Support &amp; Details</t>
  </si>
  <si>
    <t>523213-01-RFAS-ST-0017</t>
  </si>
  <si>
    <t>523213-01-SDW-ST-2700</t>
  </si>
  <si>
    <t>Roof Deck Cooling Tower Platform Steel Details</t>
  </si>
  <si>
    <t>523213-01-RFAS-ST-0018</t>
  </si>
  <si>
    <t>523213-01-SDW-ST-3000</t>
  </si>
  <si>
    <t>Typical Detail</t>
  </si>
  <si>
    <t>523213-01-RFAS-ST-0019</t>
  </si>
  <si>
    <t>System</t>
  </si>
  <si>
    <t>PIC</t>
  </si>
  <si>
    <t>Rev 8</t>
  </si>
  <si>
    <t>523213-01-SDW-EL-0001</t>
  </si>
  <si>
    <t>Electrical Drawing Index</t>
  </si>
  <si>
    <t>523213-01-RFAS-EL-0001</t>
  </si>
  <si>
    <t>General</t>
  </si>
  <si>
    <t>523213-01-SDW-EL-0002</t>
  </si>
  <si>
    <t>Legend, Abbreviation, And General Notes</t>
  </si>
  <si>
    <t>523213-01-RFAS-EL-0002</t>
  </si>
  <si>
    <t>Tong</t>
  </si>
  <si>
    <t>523213-01-SDW-EL-0010</t>
  </si>
  <si>
    <t>Medium Voltage Overall Distribution Schematic</t>
  </si>
  <si>
    <t>523213-01-RFAS-EL-0003</t>
  </si>
  <si>
    <t>MV</t>
  </si>
  <si>
    <t>Ao</t>
  </si>
  <si>
    <t>523213-01-SDW-EL-0011</t>
  </si>
  <si>
    <t>Generator Allocation Schematic</t>
  </si>
  <si>
    <t>523213-01-RFAS-EL-0004</t>
  </si>
  <si>
    <t>SLD</t>
  </si>
  <si>
    <t>AO</t>
  </si>
  <si>
    <t>523213-01-SDW-EL-0020</t>
  </si>
  <si>
    <t>Medium Voltage And Communications Routing Layout</t>
  </si>
  <si>
    <t>523213-01-RFAS-EL-0005</t>
  </si>
  <si>
    <t>Yin</t>
  </si>
  <si>
    <t xml:space="preserve">ENG Review. Pending </t>
  </si>
  <si>
    <t>523213-01-SDW-EL-0101</t>
  </si>
  <si>
    <t>LV  Single Line Diagram IT Load For Typical 4 MW With 2N Configuration Sheet 1</t>
  </si>
  <si>
    <t>523213-01-RFAS-EL-0006</t>
  </si>
  <si>
    <t>523213-01-SDW-EL-0102</t>
  </si>
  <si>
    <t>LV  Single Line Diagram IT Load For Typical 4 MW With 2N Configuration Sheet 2</t>
  </si>
  <si>
    <t>523213-01-RFAS-EL-0007</t>
  </si>
  <si>
    <t>523213-01-SDW-EL-0103</t>
  </si>
  <si>
    <t>LV  Single Line Diagram IT Load For Typical 6 MW With 4M3 DR Configuration Sheet 1</t>
  </si>
  <si>
    <t>523213-01-RFAS-EL-0008</t>
  </si>
  <si>
    <t>523213-01-SDW-EL-0104</t>
  </si>
  <si>
    <t xml:space="preserve">LV  Single Line Diagram IT Load For Typical 6 MW With 4M3 DR Configuration Sheet 2 </t>
  </si>
  <si>
    <t>523213-01-RFAS-EL-0009</t>
  </si>
  <si>
    <t>523213-01-SDW-EL-0105</t>
  </si>
  <si>
    <t xml:space="preserve">LV  Single Line Diagram IT Load For Typical 6 MW With 4M3 DR Configuration Sheet 3 </t>
  </si>
  <si>
    <t>523213-01-RFAS-EL-0010</t>
  </si>
  <si>
    <t>523213-01-SDW-EL-0106</t>
  </si>
  <si>
    <t>LV  Single Line Diagram IT Load For Typical 6 MW With 4M3 DR Configuration Sheet 4</t>
  </si>
  <si>
    <t>523213-01-RFAS-EL-0011</t>
  </si>
  <si>
    <t>523213-01-SDW-EL-0107</t>
  </si>
  <si>
    <t>LV  Single Line Diagram IT Load For Typical 6 MW With 4M3 DR Configuration Sheet 5</t>
  </si>
  <si>
    <t>523213-01-RFAS-EL-0012</t>
  </si>
  <si>
    <t>523213-01-SDW-EL-0108</t>
  </si>
  <si>
    <t>LV  Single Line Diagram IT Load For Typical 6 MW With 4M3 DR Configuration Sheet 6</t>
  </si>
  <si>
    <t>523213-01-RFAS-EL-0013</t>
  </si>
  <si>
    <t>523213-01-SDW-EL-0109</t>
  </si>
  <si>
    <t>LV  Single Line Diagram IT Load For Typical 8 MW With 4M3 DR Configuration Sheet 1</t>
  </si>
  <si>
    <t>523213-01-RFAS-EL-0014</t>
  </si>
  <si>
    <t>523213-01-SDW-EL-0110</t>
  </si>
  <si>
    <t>LV  Single Line Diagram IT Load For Typical 8 MW With 4M3 DR Configuration Sheet 2</t>
  </si>
  <si>
    <t>523213-01-RFAS-EL-0015</t>
  </si>
  <si>
    <t>523213-01-SDW-EL-0111</t>
  </si>
  <si>
    <t>LV  Single Line Diagram IT Load For Typical 8 MW With 4M3 DR Configuration Sheet 3</t>
  </si>
  <si>
    <t>523213-01-RFAS-EL-0016</t>
  </si>
  <si>
    <t>523213-01-SDW-EL-0112</t>
  </si>
  <si>
    <t>LV  Single Line Diagram IT Load For Typical 8 MW With 4M3 DR Configuration Sheet 4</t>
  </si>
  <si>
    <t>523213-01-RFAS-EL-0017</t>
  </si>
  <si>
    <t>523213-01-SDW-EL-0113</t>
  </si>
  <si>
    <t>LV  Single Line Diagram For Swing Power System Sheet 1</t>
  </si>
  <si>
    <t>523213-01-RFAS-EL-0018</t>
  </si>
  <si>
    <t>523213-01-SDW-EL-0114</t>
  </si>
  <si>
    <t>LV  Single Line Diagram For Swing Power System Sheet 2</t>
  </si>
  <si>
    <t>523213-01-RFAS-EL-0019</t>
  </si>
  <si>
    <t>523213-01-SDW-EL-0115</t>
  </si>
  <si>
    <t>LV  Single Line Diagram For Swing Power System Sheet 3</t>
  </si>
  <si>
    <t>523213-01-RFAS-EL-0020</t>
  </si>
  <si>
    <t>523213-01-SDW-EL-0116</t>
  </si>
  <si>
    <t>LV  Single Line Diagram For Non-It Power System Sheet 1</t>
  </si>
  <si>
    <t>523213-01-RFAS-EL-0021</t>
  </si>
  <si>
    <t>523213-01-SDW-EL-0117</t>
  </si>
  <si>
    <t>LV  Single Line Diagram For Non-It Power System Sheet 2</t>
  </si>
  <si>
    <t>523213-01-RFAS-EL-0022</t>
  </si>
  <si>
    <t>523213-01-SDW-EL-0118</t>
  </si>
  <si>
    <t>LV  Single Line Diagram For Non-It Power System Sheet 3</t>
  </si>
  <si>
    <t>523213-01-RFAS-EL-0023</t>
  </si>
  <si>
    <t>523213-01-SDW-EL-0119</t>
  </si>
  <si>
    <t>LV  Single Line Diagram Typical For Data Hall PDU</t>
  </si>
  <si>
    <t>523213-01-RFAS-EL-0024</t>
  </si>
  <si>
    <t>523213-01-SDW-EL-0119-1</t>
  </si>
  <si>
    <t>LV  Single Line Diagram PDU For MDF Room A</t>
  </si>
  <si>
    <t>523213-01-SDW-EL-0119-2</t>
  </si>
  <si>
    <t>LV  Single Line Diagram PDU For MDF Room B</t>
  </si>
  <si>
    <t>523213-01-SDW-EL-0119-3</t>
  </si>
  <si>
    <t>LV  Single Line Diagram PDU For MDF Room C</t>
  </si>
  <si>
    <t>523213-01-SDW-EL-0120</t>
  </si>
  <si>
    <t>DC Supply Schematic For HV Equipment</t>
  </si>
  <si>
    <t>523213-01-RFAS-EL-0025</t>
  </si>
  <si>
    <t>523213-01-SDW-EL-0121</t>
  </si>
  <si>
    <t>LV  Single Line Diagram For Fan Wall UPS For Level 2</t>
  </si>
  <si>
    <t>523213-01-RFAS-EL-0026</t>
  </si>
  <si>
    <t>523213-01-SDW-EL-0122</t>
  </si>
  <si>
    <t>LV  Single Line Diagram For Fan Wall UPS For Level 3</t>
  </si>
  <si>
    <t>523213-01-RFAS-EL-0027</t>
  </si>
  <si>
    <t>523213-01-SDW-EL-0123</t>
  </si>
  <si>
    <t>LV  Single Line Diagram For Fan Wall UPS For Level 4</t>
  </si>
  <si>
    <t>523213-01-RFAS-EL-0028</t>
  </si>
  <si>
    <t>523213-01-SDW-EL-0124</t>
  </si>
  <si>
    <t>LV  Single Line Diagram For Fan Wall UPS For Level 5</t>
  </si>
  <si>
    <t>523213-01-RFAS-EL-0029</t>
  </si>
  <si>
    <t>523213-01-SDW-EL-0125</t>
  </si>
  <si>
    <t>LV  Single Line Diagram For Fan Wall OUSB For Level 2 and Level 3</t>
  </si>
  <si>
    <t>523213-01-RFAS-EL-0030</t>
  </si>
  <si>
    <t>523213-01-SDW-EL-0126</t>
  </si>
  <si>
    <t>LV  Single Line Diagram For Fan Wall OUSB For Level 4 and Level 5</t>
  </si>
  <si>
    <t>523213-01-RFAS-EL-0031</t>
  </si>
  <si>
    <t>523213-01-SDW-EL-0130</t>
  </si>
  <si>
    <t>LV  Single Line Diagram For Load Bank</t>
  </si>
  <si>
    <t>523213-01-RFAS-EL-0032</t>
  </si>
  <si>
    <t>523213-01-SDW-EL-0140</t>
  </si>
  <si>
    <t>LV  Single Line Diagram For Chiller Plant MSSB</t>
  </si>
  <si>
    <t>523213-01-RFAS-EL-0033</t>
  </si>
  <si>
    <t>523213-01-SDW-EL-0141</t>
  </si>
  <si>
    <t>LV  Single Line Diagram For Building NON-IT UPS</t>
  </si>
  <si>
    <t>523213-01-RFAS-EL-0034</t>
  </si>
  <si>
    <t>523213-01-SDW-EL-0142</t>
  </si>
  <si>
    <t>LV  Single Line Diagram For Building Load Sheet 1</t>
  </si>
  <si>
    <t>523213-01-RFAS-EL-0035</t>
  </si>
  <si>
    <t>523213-01-SDW-EL-0143</t>
  </si>
  <si>
    <t>LV  Single Line Diagram For Building Load Sheet 2</t>
  </si>
  <si>
    <t>523213-01-RFAS-EL-0036</t>
  </si>
  <si>
    <t>523213-01-SDW-EL-0144</t>
  </si>
  <si>
    <t>LV  Single Line Diagram For Building Load Sheet 3</t>
  </si>
  <si>
    <t>523213-01-RFAS-EL-0037</t>
  </si>
  <si>
    <t>523213-01-SDW-EL-0145</t>
  </si>
  <si>
    <t>LV  Single Line Diagram For Building Load Sheet 4</t>
  </si>
  <si>
    <t>523213-01-RFAS-EL-0038</t>
  </si>
  <si>
    <t>523213-01-SDW-EL-0146</t>
  </si>
  <si>
    <t>LV  Single Line Diagram For Building Load Sheet 5</t>
  </si>
  <si>
    <t>523213-01-RFAS-EL-0039</t>
  </si>
  <si>
    <t>523213-01-SDW-EL-0147</t>
  </si>
  <si>
    <t>LV  Single Line Diagram For Building Load Sheet 6</t>
  </si>
  <si>
    <t>523213-01-RFAS-EL-0040</t>
  </si>
  <si>
    <t>523213-01-SDW-EL-0170</t>
  </si>
  <si>
    <t>Automatic Fire Detection And Alarm System Schematic</t>
  </si>
  <si>
    <t>523213-01-RFAS-EL-0041</t>
  </si>
  <si>
    <t>FA</t>
  </si>
  <si>
    <t>Eimon</t>
  </si>
  <si>
    <t>Pending RFI-EL-0007,RFI-EL-0022,RFI-EL-0029</t>
  </si>
  <si>
    <t>523213-01-SDW-EL-0171</t>
  </si>
  <si>
    <t>Public Address And Voice Alarm System Schematic</t>
  </si>
  <si>
    <t>523213-01-RFAS-EL-0042</t>
  </si>
  <si>
    <t>PA</t>
  </si>
  <si>
    <t>ENG Review. Pending RFI-EL-0021</t>
  </si>
  <si>
    <t>523213-01-SDW-EL-0172</t>
  </si>
  <si>
    <t>Lighting Control System Schematic</t>
  </si>
  <si>
    <t>523213-01-RFAS-EL-0043</t>
  </si>
  <si>
    <t>LTG-C</t>
  </si>
  <si>
    <t>Tone-Pang</t>
  </si>
  <si>
    <t>ENG Review. RFI-EL-0021</t>
  </si>
  <si>
    <t>523213-01-SDW-EL-0173</t>
  </si>
  <si>
    <t>Data Cabling System Schematic</t>
  </si>
  <si>
    <t>523213-01-RFAS-EL-0044</t>
  </si>
  <si>
    <t>DATA</t>
  </si>
  <si>
    <t>May</t>
  </si>
  <si>
    <t>523213-01-SDW-EL-0174</t>
  </si>
  <si>
    <t>Overall Security System Schematic</t>
  </si>
  <si>
    <t>523213-01-RFAS-EL-0045</t>
  </si>
  <si>
    <t>SEC</t>
  </si>
  <si>
    <t>Mon Max</t>
  </si>
  <si>
    <t>523213-01-SDW-EL-0175</t>
  </si>
  <si>
    <t>Lightning Protection And Grounding System Schematic</t>
  </si>
  <si>
    <t>523213-01-RFAS-EL-0046</t>
  </si>
  <si>
    <t>EARTH</t>
  </si>
  <si>
    <t>523213-01-SDW-EL-0176</t>
  </si>
  <si>
    <t>Building Management System Schematic</t>
  </si>
  <si>
    <t>523213-01-RFAS-EL-0047</t>
  </si>
  <si>
    <t>ECMS</t>
  </si>
  <si>
    <t>Jang</t>
  </si>
  <si>
    <t>523213-01-SDW-EL-0177</t>
  </si>
  <si>
    <t>Electrical Power Monitoring System Schematic</t>
  </si>
  <si>
    <t>523213-01-RFAS-EL-0048</t>
  </si>
  <si>
    <t>523213-01-SDW-EL-0178</t>
  </si>
  <si>
    <t>Chiller Management System Schematic</t>
  </si>
  <si>
    <t>523213-01-RFAS-EL-0049</t>
  </si>
  <si>
    <t>523213-03-SDW-EL-0179</t>
  </si>
  <si>
    <t>Load Schedule For Level 1</t>
  </si>
  <si>
    <t>523213-01-RFAS-EL-0050</t>
  </si>
  <si>
    <t>LOAD</t>
  </si>
  <si>
    <t>ENG Review. Pending RFI-EL-0001,0014,0016,0017,0021</t>
  </si>
  <si>
    <t>523213-04-SDW-EL-0180</t>
  </si>
  <si>
    <t>Load Schedule For Level 2</t>
  </si>
  <si>
    <t>523213-01-RFAS-EL-0051</t>
  </si>
  <si>
    <t>523213-05-SDW-EL-0181</t>
  </si>
  <si>
    <t>Load Schedule For Level 6</t>
  </si>
  <si>
    <t>523213-01-RFAS-EL-0052</t>
  </si>
  <si>
    <t>523213-01-SDW-EL-0220</t>
  </si>
  <si>
    <t>Fuel System Schematic</t>
  </si>
  <si>
    <t>523213-01-RFAS-EL-0053</t>
  </si>
  <si>
    <t>523213-01-SDW-EL-0300</t>
  </si>
  <si>
    <t>Ecms (Bms) Point List For Level 1</t>
  </si>
  <si>
    <t>523213-01-RFAS-EL-0054</t>
  </si>
  <si>
    <t>Jang-May</t>
  </si>
  <si>
    <t>TBC-CX</t>
  </si>
  <si>
    <t>523213-02-SDW-EL-0311</t>
  </si>
  <si>
    <t>Ecms (Pms) Point List For Level 1</t>
  </si>
  <si>
    <t>523213-01-RFAS-EL-0055</t>
  </si>
  <si>
    <t>523213-02-SDW-EL-0312</t>
  </si>
  <si>
    <t>Ecms (Ems) Point List For Level 1</t>
  </si>
  <si>
    <t>523213-01-RFAS-EL-0056</t>
  </si>
  <si>
    <t>523213-02-SDW-EL-0320</t>
  </si>
  <si>
    <t>Ecms (Bms) Point List For Level 2</t>
  </si>
  <si>
    <t>523213-01-RFAS-EL-0057</t>
  </si>
  <si>
    <t>523213-02-SDW-EL-0321</t>
  </si>
  <si>
    <t>Ecms (Pms) Point List For Level 2</t>
  </si>
  <si>
    <t>523213-01-RFAS-EL-0058</t>
  </si>
  <si>
    <t>523213-02-SDW-EL-0322</t>
  </si>
  <si>
    <t>Ecms (Ems) Point List For Level 2</t>
  </si>
  <si>
    <t>523213-01-RFAS-EL-0059</t>
  </si>
  <si>
    <t>523213-02-SDW-EL-0360</t>
  </si>
  <si>
    <t>Ecms (Bms) Point List For Level 6</t>
  </si>
  <si>
    <t>523213-01-RFAS-EL-0060</t>
  </si>
  <si>
    <t>523213-02-SDW-EL-0361</t>
  </si>
  <si>
    <t>Ecms (Pms) Point List For Level 6</t>
  </si>
  <si>
    <t>523213-01-RFAS-EL-0061</t>
  </si>
  <si>
    <t>523213-02-SDW-EL-0362</t>
  </si>
  <si>
    <t>Ecms (Ems) Point List For Level 6</t>
  </si>
  <si>
    <t>523213-01-RFAS-EL-0062</t>
  </si>
  <si>
    <t>523213-01-SDW-EL-0400</t>
  </si>
  <si>
    <t>Lighting Control Schematic Diagram For Level 1</t>
  </si>
  <si>
    <t>523213-01-RFAS-EL-0063</t>
  </si>
  <si>
    <t>523213-01-SDW-EL-0401</t>
  </si>
  <si>
    <t>Lighting Control Schematic Diagram For Level 2</t>
  </si>
  <si>
    <t>523213-01-RFAS-EL-0064</t>
  </si>
  <si>
    <t>523213-01-SDW-EL-0402</t>
  </si>
  <si>
    <t>Lighting Control Schematic Diagram For Level 6</t>
  </si>
  <si>
    <t>523213-01-RFAS-EL-0065</t>
  </si>
  <si>
    <t>523213-01-SDW-EL-0500</t>
  </si>
  <si>
    <t>Data Schematic Diagram For Level 1</t>
  </si>
  <si>
    <t>523213-01-RFAS-EL-0066</t>
  </si>
  <si>
    <t>523213-01-SDW-EL-0501</t>
  </si>
  <si>
    <t>Data Schematic Diagram For Level 2</t>
  </si>
  <si>
    <t>523213-01-RFAS-EL-0067</t>
  </si>
  <si>
    <t>523213-01-SDW-EL-0502</t>
  </si>
  <si>
    <t>Data Schematic Diagram For Level 6</t>
  </si>
  <si>
    <t>523213-01-RFAS-EL-0068</t>
  </si>
  <si>
    <t>523213-01-SDW-EL-0601</t>
  </si>
  <si>
    <t>Fire Alarm Schematic Diagram For Level 2</t>
  </si>
  <si>
    <t>523213-01-RFAS-EL-0070</t>
  </si>
  <si>
    <t>Max-Emon</t>
  </si>
  <si>
    <t>523213-01-SDW-EL-0602</t>
  </si>
  <si>
    <t>Fire Alarm Schematic Diagram For Level 6</t>
  </si>
  <si>
    <t>523213-01-RFAS-EL-0071</t>
  </si>
  <si>
    <t>523213-01-SDW-EL-0600</t>
  </si>
  <si>
    <t>Fire Alarm Schematic Diagram For Level 1</t>
  </si>
  <si>
    <t>523213-01-RFAS-EL-0069</t>
  </si>
  <si>
    <t>523213-01-SDW-EL-0603</t>
  </si>
  <si>
    <t>Fire Alarm Temincal Box Diagram For Level 1</t>
  </si>
  <si>
    <t>523213-01-RFAS-EL-0072</t>
  </si>
  <si>
    <t xml:space="preserve">Pending subcon submit </t>
  </si>
  <si>
    <t>523213-01-SDW-EL-0604</t>
  </si>
  <si>
    <t>Fire Alarm Temincal Box Diagram For Level 2</t>
  </si>
  <si>
    <t>523213-01-RFAS-EL-0073</t>
  </si>
  <si>
    <t>523213-01-SDW-EL-0605</t>
  </si>
  <si>
    <t>Fire Alarm Temincal Box Diagram For Level 6</t>
  </si>
  <si>
    <t>523213-01-RFAS-EL-0074</t>
  </si>
  <si>
    <t>523213-01-SDW-EL-0610</t>
  </si>
  <si>
    <t>Public Address Schematic Diagram For Level 1</t>
  </si>
  <si>
    <t>523213-01-RFAS-EL-0075</t>
  </si>
  <si>
    <t>523213-01-SDW-EL-0611</t>
  </si>
  <si>
    <t>Public Address Schematic Diagram For Level 2</t>
  </si>
  <si>
    <t>523213-01-RFAS-EL-0076</t>
  </si>
  <si>
    <t>523213-01-SDW-EL-0612</t>
  </si>
  <si>
    <t>Public Address Schematic Diagram For Level 6</t>
  </si>
  <si>
    <t>523213-01-RFAS-EL-0077</t>
  </si>
  <si>
    <t>523213-01-SDW-EL-0620</t>
  </si>
  <si>
    <t>Pre-Action Schematic Diagram For Level 1</t>
  </si>
  <si>
    <t>523213-01-RFAS-EL-0078</t>
  </si>
  <si>
    <t>FI</t>
  </si>
  <si>
    <t>Please Cancel from EL to FI</t>
  </si>
  <si>
    <t>523213-01-SDW-EL-0621</t>
  </si>
  <si>
    <t>Pre-Action Schematic Diagram For Level 2</t>
  </si>
  <si>
    <t>523213-01-RFAS-EL-0079</t>
  </si>
  <si>
    <t>523213-01-SDW-EL-0622</t>
  </si>
  <si>
    <t>Pre-Action Schematic Diagram For Level 6</t>
  </si>
  <si>
    <t>523213-01-RFAS-EL-0080</t>
  </si>
  <si>
    <t>523213-01-SDW-EL-0630</t>
  </si>
  <si>
    <t>Aspirated Smoke Detection System Diagram For Level 1</t>
  </si>
  <si>
    <t>523213-01-RFAS-EL-0081</t>
  </si>
  <si>
    <t>ASD</t>
  </si>
  <si>
    <t>523213-01-SDW-EL-0631</t>
  </si>
  <si>
    <t>Aspirated Smoke Detection System Diagram For Level 2</t>
  </si>
  <si>
    <t>523213-01-RFAS-EL-0082</t>
  </si>
  <si>
    <t>Aspirated Smoke Detection System Diagram For Level 3</t>
  </si>
  <si>
    <t>523213-01-RFAS-EL-0083</t>
  </si>
  <si>
    <t>523213-01-SDW-EL-0632</t>
  </si>
  <si>
    <t>Aspirated Smoke Detection System Diagram For Level 6</t>
  </si>
  <si>
    <t>523213-01-RFAS-EL-0084</t>
  </si>
  <si>
    <t>523213-01-SDW-EL-0700</t>
  </si>
  <si>
    <t>Security (Cctv) Schematic Diagram For Level 1</t>
  </si>
  <si>
    <t>523213-01-RFAS-EL-0085</t>
  </si>
  <si>
    <t>RFI-EL-0019</t>
  </si>
  <si>
    <t>523213-01-SDW-EL-0701</t>
  </si>
  <si>
    <t>Security (Cctv) Schematic Diagram For Level 2</t>
  </si>
  <si>
    <t>523213-01-RFAS-EL-0086</t>
  </si>
  <si>
    <t>523213-01-SDW-EL-0702</t>
  </si>
  <si>
    <t>Security (Cctv) Schematic Diagram For Level 6</t>
  </si>
  <si>
    <t>523213-01-RFAS-EL-0087</t>
  </si>
  <si>
    <t>523213-01-SDW-EL-0703</t>
  </si>
  <si>
    <t>Security (Cctv) Schematic Diagram For Level Roof</t>
  </si>
  <si>
    <t>523213-01-RFAS-EL-0088</t>
  </si>
  <si>
    <t>523213-01-SDW-EL-0710</t>
  </si>
  <si>
    <t>Security (Acs) Schematic Diagram For Level 1</t>
  </si>
  <si>
    <t>523213-01-RFAS-EL-0089</t>
  </si>
  <si>
    <t>523213-01-SDW-EL-0711</t>
  </si>
  <si>
    <t>Security (Acs) Schematic Diagram For Level 2</t>
  </si>
  <si>
    <t>523213-01-RFAS-EL-0090</t>
  </si>
  <si>
    <t>523213-01-SDW-EL-0712</t>
  </si>
  <si>
    <t>Security (Acs) Schematic Diagram For Level 6</t>
  </si>
  <si>
    <t>523213-01-RFAS-EL-0091</t>
  </si>
  <si>
    <t>523213-01-SDW-EL-0713</t>
  </si>
  <si>
    <t>Security (Acs) Schematic Diagram For Level Roof</t>
  </si>
  <si>
    <t>523213-01-RFAS-EL-0092</t>
  </si>
  <si>
    <t>523213-01-SDW-EL-1000</t>
  </si>
  <si>
    <t xml:space="preserve">TX </t>
  </si>
  <si>
    <t>523213-01-RFAS-EL-0093</t>
  </si>
  <si>
    <t>FACTORY</t>
  </si>
  <si>
    <t>Max</t>
  </si>
  <si>
    <t>TBC</t>
  </si>
  <si>
    <t>LLE</t>
  </si>
  <si>
    <t>523213-01-SDW-EL-1001</t>
  </si>
  <si>
    <t>HVSB</t>
  </si>
  <si>
    <t>523213-01-RFAS-EL-0094</t>
  </si>
  <si>
    <t>523213-01-SDW-EL-1002</t>
  </si>
  <si>
    <t>RMU</t>
  </si>
  <si>
    <t>523213-01-RFAS-EL-0095</t>
  </si>
  <si>
    <t>523213-01-SDW-EL-1003</t>
  </si>
  <si>
    <t>MVBTU and MVBATT Details</t>
  </si>
  <si>
    <t>523213-01-RFAS-EL-0096</t>
  </si>
  <si>
    <t>SE-BTU-523213-01-RFAS-EL-001</t>
  </si>
  <si>
    <t>523213-01-SDW-EL-1004</t>
  </si>
  <si>
    <t>RCP</t>
  </si>
  <si>
    <t>523213-01-RFAS-EL-0097</t>
  </si>
  <si>
    <t>523213-01-SDW-EL-1005</t>
  </si>
  <si>
    <t>Schematic Diagram For AIS Switchgear</t>
  </si>
  <si>
    <t>523213-01-RFAS-EL-0098</t>
  </si>
  <si>
    <t>SE-AIS-523213-01-RFAS-EL-003</t>
  </si>
  <si>
    <t>523213-01-SDW-EL-1006</t>
  </si>
  <si>
    <t>Schematic Diagram for RMU</t>
  </si>
  <si>
    <t>523213-01-RFAS-EL-0099</t>
  </si>
  <si>
    <t>523213-01-SDW-EL-1007</t>
  </si>
  <si>
    <t>Control Logic for AIS Switchgear</t>
  </si>
  <si>
    <t>523213-01-RFAS-EL-0100</t>
  </si>
  <si>
    <t>523213-01-SDW-EL-1008</t>
  </si>
  <si>
    <t>Control Logic for RMU</t>
  </si>
  <si>
    <t>523213-01-RFAS-EL-0101</t>
  </si>
  <si>
    <t>523213-01-SDW-EL-1009</t>
  </si>
  <si>
    <t>For Manufacturing Drawing</t>
  </si>
  <si>
    <t>523213-01-RFAS-EL-0102</t>
  </si>
  <si>
    <t>523213-01-SDW-EL-1010</t>
  </si>
  <si>
    <t>523213-01-RFAS-EL-0103</t>
  </si>
  <si>
    <t>523213-01-SDW-EL-2100</t>
  </si>
  <si>
    <t xml:space="preserve">Level 1 - Mv Cable Routing Layout </t>
  </si>
  <si>
    <t>523213-01-RFAS-EL-0104</t>
  </si>
  <si>
    <t>ENG Review.</t>
  </si>
  <si>
    <t>523213-01-SDW-EL-2101</t>
  </si>
  <si>
    <t xml:space="preserve">Level 1 - LV  Cable Routing Layout </t>
  </si>
  <si>
    <t>523213-01-RFAS-EL-0105</t>
  </si>
  <si>
    <t xml:space="preserve">LV </t>
  </si>
  <si>
    <t>Aon-Ao</t>
  </si>
  <si>
    <t>523213-01-SDW-EL-2102</t>
  </si>
  <si>
    <t xml:space="preserve">Level 1 - Aux Power Routing Layout </t>
  </si>
  <si>
    <t>523213-01-RFAS-EL-0106</t>
  </si>
  <si>
    <t>523213-01-SDW-EL-2103</t>
  </si>
  <si>
    <t xml:space="preserve">Level 1 - Mvdc Cable Routing Layout  </t>
  </si>
  <si>
    <t>523213-01-RFAS-EL-0107</t>
  </si>
  <si>
    <t>523213-01-SDW-EL-2200</t>
  </si>
  <si>
    <t xml:space="preserve">Level 2 - MV Cable Routing Layout </t>
  </si>
  <si>
    <t>523213-01-RFAS-EL-0108</t>
  </si>
  <si>
    <t>523213-01-SDW-EL-2201</t>
  </si>
  <si>
    <t xml:space="preserve">Level 2 - LV  Cable Routing Layout </t>
  </si>
  <si>
    <t>523213-01-RFAS-EL-0109</t>
  </si>
  <si>
    <t>523213-01-SDW-EL-2202</t>
  </si>
  <si>
    <t xml:space="preserve">Level 2 - Aux Power Routing Layout </t>
  </si>
  <si>
    <t>523213-01-RFAS-EL-0110</t>
  </si>
  <si>
    <t>Tong-Yin</t>
  </si>
  <si>
    <t>ENG Review. Pending RFI-EL-0001,RFI-EL-0016</t>
  </si>
  <si>
    <t>523213-01-SDW-EL-2203</t>
  </si>
  <si>
    <t xml:space="preserve">Level 2 - Mvdc Cable Routing Layout  </t>
  </si>
  <si>
    <t>523213-01-RFAS-EL-0111</t>
  </si>
  <si>
    <t>523213-01-SDW-EL-2204</t>
  </si>
  <si>
    <t xml:space="preserve">Level 2 - SUPS Batt Cable Routing Layout </t>
  </si>
  <si>
    <t>523213-01-RFAS-EL-0112</t>
  </si>
  <si>
    <t>523213-01-SDW-EL-2205</t>
  </si>
  <si>
    <t xml:space="preserve">Level 2 - SUPS Control Cable Routing Layout </t>
  </si>
  <si>
    <t>523213-01-RFAS-EL-0113</t>
  </si>
  <si>
    <t>523213-01-SDW-EL-2210</t>
  </si>
  <si>
    <t>Level 2 - Busduct Routing Layout Overall</t>
  </si>
  <si>
    <t>523213-01-RFAS-EL-0114</t>
  </si>
  <si>
    <t>BD</t>
  </si>
  <si>
    <t>Aon-May</t>
  </si>
  <si>
    <t>ENG Review</t>
  </si>
  <si>
    <t>523213-01-SDW-EL-2211</t>
  </si>
  <si>
    <t xml:space="preserve">Level 2 - LV  Busduct Routing Layout </t>
  </si>
  <si>
    <t>523213-01-RFAS-EL-0115</t>
  </si>
  <si>
    <t>523213-01-SDW-EL-2212</t>
  </si>
  <si>
    <t>Level 2 - LV  Busduct Isometric</t>
  </si>
  <si>
    <t>523213-01-RFAS-EL-0116</t>
  </si>
  <si>
    <t>523213-01-SDW-EL-2213</t>
  </si>
  <si>
    <t xml:space="preserve">Level 2 - Swing &amp; Load Bank Routing Layout  </t>
  </si>
  <si>
    <t>523213-01-RFAS-EL-0117</t>
  </si>
  <si>
    <t>523213-01-SDW-EL-2214</t>
  </si>
  <si>
    <t>Level 2 - Swing &amp; Load Bank Busduct Isometric</t>
  </si>
  <si>
    <t>523213-01-RFAS-EL-0118</t>
  </si>
  <si>
    <t>523213-01-SDW-EL-2215</t>
  </si>
  <si>
    <t xml:space="preserve">Level 2 - IT Busduct Routing Layout </t>
  </si>
  <si>
    <t>523213-01-RFAS-EL-0119</t>
  </si>
  <si>
    <t>523213-01-SDW-EL-2216</t>
  </si>
  <si>
    <t>Level 2 - IT Busduct Isometric</t>
  </si>
  <si>
    <t>523213-01-RFAS-EL-0120</t>
  </si>
  <si>
    <t>523213-01-SDW-EL-2300</t>
  </si>
  <si>
    <t>Level 3 - Electrical Routing Layout</t>
  </si>
  <si>
    <t>523213-01-RFAS-EL-0121</t>
  </si>
  <si>
    <t>523213-01-SDW-EL-2400</t>
  </si>
  <si>
    <t>Level 4 - Electrical Routing Layout</t>
  </si>
  <si>
    <t>523213-01-RFAS-EL-0122</t>
  </si>
  <si>
    <t>523213-01-SDW-EL-2500</t>
  </si>
  <si>
    <t>Level 5 - Electrical Routing Layout</t>
  </si>
  <si>
    <t>523213-01-RFAS-EL-0123</t>
  </si>
  <si>
    <t>523213-01-SDW-EL-2601</t>
  </si>
  <si>
    <t xml:space="preserve">Level 6 - MV Cable Routing Layout </t>
  </si>
  <si>
    <t>523213-01-RFAS-EL-0124</t>
  </si>
  <si>
    <t>523213-01-SDW-EL-2602</t>
  </si>
  <si>
    <t xml:space="preserve">Level 6 - LV  Cable Routing Layout </t>
  </si>
  <si>
    <t>523213-01-RFAS-EL-0125</t>
  </si>
  <si>
    <t>523213-01-SDW-EL-2603</t>
  </si>
  <si>
    <t xml:space="preserve">Level 6 - Aux Power Routing Layout </t>
  </si>
  <si>
    <t>523213-01-RFAS-EL-0126</t>
  </si>
  <si>
    <t>523213-01-SDW-EL-2604</t>
  </si>
  <si>
    <t xml:space="preserve">Level 6 - MVDC Cable Routing Layout  </t>
  </si>
  <si>
    <t>523213-01-RFAS-EL-0127</t>
  </si>
  <si>
    <t>523213-01-SDW-EL-2605</t>
  </si>
  <si>
    <t xml:space="preserve">Level 6 - SUPS Batt Cable Routing Layout </t>
  </si>
  <si>
    <t>523213-01-RFAS-EL-0128</t>
  </si>
  <si>
    <t>523213-01-SDW-EL-2606</t>
  </si>
  <si>
    <t xml:space="preserve">Level 6 - SUPS Control Cable Routing Layout </t>
  </si>
  <si>
    <t>523213-01-RFAS-EL-0129</t>
  </si>
  <si>
    <t>523213-01-SDW-EL-2610</t>
  </si>
  <si>
    <t>Level 6 - Busduct Routing Layout Overall</t>
  </si>
  <si>
    <t>523213-01-RFAS-EL-0130</t>
  </si>
  <si>
    <t>523213-01-SDW-EL-2611</t>
  </si>
  <si>
    <t xml:space="preserve">Level 6 - LV  Busduct Routing Layout </t>
  </si>
  <si>
    <t>523213-01-RFAS-EL-0131</t>
  </si>
  <si>
    <t>523213-01-SDW-EL-2612</t>
  </si>
  <si>
    <t>Level 6 - LV  Busduct Isometric</t>
  </si>
  <si>
    <t>523213-01-RFAS-EL-0132</t>
  </si>
  <si>
    <t>523213-01-SDW-EL-2613</t>
  </si>
  <si>
    <t xml:space="preserve">Level 6 - Swing &amp; Load Bang Busduct Routing Layout  </t>
  </si>
  <si>
    <t>523213-01-RFAS-EL-0133</t>
  </si>
  <si>
    <t>523213-01-SDW-EL-2614</t>
  </si>
  <si>
    <t>Level 6 - Swing &amp; Load Bang Busduct Isometric</t>
  </si>
  <si>
    <t>523213-01-RFAS-EL-0134</t>
  </si>
  <si>
    <t>523213-01-SDW-EL-2700</t>
  </si>
  <si>
    <t xml:space="preserve">Level Roof - LV  Cable Routing Layout </t>
  </si>
  <si>
    <t>523213-01-RFAS-EL-0135</t>
  </si>
  <si>
    <t>523213-01-SDW-EL-3100</t>
  </si>
  <si>
    <t xml:space="preserve">Level 1 - Cable Basket Routinh Layout </t>
  </si>
  <si>
    <t>523213-01-RFAS-EL-0136</t>
  </si>
  <si>
    <t>COM</t>
  </si>
  <si>
    <t>523213-01-SDW-EL-3101</t>
  </si>
  <si>
    <t xml:space="preserve">Level 1 - Fiber Guide Routing Layout </t>
  </si>
  <si>
    <t>523213-01-RFAS-EL-0137</t>
  </si>
  <si>
    <t>Cancel</t>
  </si>
  <si>
    <t>523213-01-SDW-EL-3106</t>
  </si>
  <si>
    <t xml:space="preserve">Level 1 - ECMS Routing Layout </t>
  </si>
  <si>
    <t>523213-01-RFAS-EL-0138</t>
  </si>
  <si>
    <t>523213-01-SDW-EL-3107</t>
  </si>
  <si>
    <t xml:space="preserve">Level 1 - Bms Routing Layout </t>
  </si>
  <si>
    <t>523213-01-RFAS-EL-0139</t>
  </si>
  <si>
    <t>523213-01-SDW-EL-3108</t>
  </si>
  <si>
    <t xml:space="preserve">Level 1 - Pms&amp;Ems  Routing Layout </t>
  </si>
  <si>
    <t>523213-01-RFAS-EL-0140</t>
  </si>
  <si>
    <t>523213-01-SDW-EL-3109</t>
  </si>
  <si>
    <t xml:space="preserve">Level 1 - Fuel Control Routing Layout </t>
  </si>
  <si>
    <t>523213-01-RFAS-EL-0141</t>
  </si>
  <si>
    <t>523213-01-SDW-EL-3200</t>
  </si>
  <si>
    <t xml:space="preserve">Level 2 - Cable Basket Routing Layout </t>
  </si>
  <si>
    <t>523213-01-RFAS-EL-0142</t>
  </si>
  <si>
    <t>523213-01-SDW-EL-3201</t>
  </si>
  <si>
    <t xml:space="preserve">Level 2 - Fiber Guide Routing Layout </t>
  </si>
  <si>
    <t>523213-01-RFAS-EL-0143</t>
  </si>
  <si>
    <t>523213-01-SDW-EL-3206</t>
  </si>
  <si>
    <t xml:space="preserve">Level 2 - ECMS Routing Layout </t>
  </si>
  <si>
    <t>523213-01-RFAS-EL-0144</t>
  </si>
  <si>
    <t>523213-01-SDW-EL-3207</t>
  </si>
  <si>
    <t xml:space="preserve">Level 2 - BMS Routing Layout </t>
  </si>
  <si>
    <t>523213-01-RFAS-EL-0145</t>
  </si>
  <si>
    <t>523213-01-SDW-EL-3208</t>
  </si>
  <si>
    <t xml:space="preserve">Level 2 - PMS &amp; EMS Routing Layout </t>
  </si>
  <si>
    <t>523213-01-RFAS-EL-0146</t>
  </si>
  <si>
    <t>523213-01-SDW-EL-3209</t>
  </si>
  <si>
    <t xml:space="preserve">Level 2 - Fuel Control Routing Layout </t>
  </si>
  <si>
    <t>523213-01-RFAS-EL-0147</t>
  </si>
  <si>
    <t>523213-01-SDW-EL-3300</t>
  </si>
  <si>
    <t>Level 3 - Communications Routing Layout</t>
  </si>
  <si>
    <t>523213-01-RFAS-EL-0148</t>
  </si>
  <si>
    <t>523213-01-SDW-EL-3400</t>
  </si>
  <si>
    <t>Level 4 - Communications Routing Layout</t>
  </si>
  <si>
    <t>523213-01-RFAS-EL-0149</t>
  </si>
  <si>
    <t>523213-01-SDW-EL-3500</t>
  </si>
  <si>
    <t>Level 5 - Communications Routing Layout</t>
  </si>
  <si>
    <t>523213-01-RFAS-EL-0150</t>
  </si>
  <si>
    <t>523213-01-SDW-EL-3604</t>
  </si>
  <si>
    <t xml:space="preserve">Level 6 - ECMS Routing Layout </t>
  </si>
  <si>
    <t>523213-01-RFAS-EL-0151</t>
  </si>
  <si>
    <t>523213-01-SDW-EL-3605</t>
  </si>
  <si>
    <t xml:space="preserve">Level 6 - Bms Routing Layout </t>
  </si>
  <si>
    <t>523213-01-RFAS-EL-0152</t>
  </si>
  <si>
    <t>523213-01-SDW-EL-3606</t>
  </si>
  <si>
    <t xml:space="preserve">Level 6 - PMS &amp; EMS Routing Layout </t>
  </si>
  <si>
    <t>523213-01-RFAS-EL-0153</t>
  </si>
  <si>
    <t>523213-01-SDW-EL-3607</t>
  </si>
  <si>
    <t xml:space="preserve">Level 6 - Fuel Control Routing Layout </t>
  </si>
  <si>
    <t>523213-01-RFAS-EL-0154</t>
  </si>
  <si>
    <t>523213-01-SDW-EL-3700</t>
  </si>
  <si>
    <t>Level Roof - Communications Routing Layout</t>
  </si>
  <si>
    <t>523213-01-RFAS-EL-0155</t>
  </si>
  <si>
    <t>523213-01-SDW-EL-4100</t>
  </si>
  <si>
    <t>Level 1 - General Lighting System Layout</t>
  </si>
  <si>
    <t>523213-01-RFAS-EL-0156</t>
  </si>
  <si>
    <t>LTG</t>
  </si>
  <si>
    <t>523213-01-SDW-EL-4101</t>
  </si>
  <si>
    <t>Level 1 - Emergency Light And Exit Sign Systems Layout</t>
  </si>
  <si>
    <t>523213-01-RFAS-EL-0157</t>
  </si>
  <si>
    <t>LTG-EMER</t>
  </si>
  <si>
    <t>523213-01-SDW-EL-4102</t>
  </si>
  <si>
    <t>Level 1 - Lighting Control Layout</t>
  </si>
  <si>
    <t>523213-01-RFAS-EL-0158</t>
  </si>
  <si>
    <t>523213-01-SDW-EL-4200</t>
  </si>
  <si>
    <t>Level 2 - General Lighting System Layout</t>
  </si>
  <si>
    <t>523213-01-RFAS-EL-0159</t>
  </si>
  <si>
    <t>523213-01-SDW-EL-4201</t>
  </si>
  <si>
    <t>Level 2 - Emergency Light And Exit Sign Systems Layout</t>
  </si>
  <si>
    <t>523213-01-RFAS-EL-0160</t>
  </si>
  <si>
    <t>523213-01-SDW-EL-4202</t>
  </si>
  <si>
    <t>Level 2 - Lighting Control Layout</t>
  </si>
  <si>
    <t>523213-01-RFAS-EL-0161</t>
  </si>
  <si>
    <t>523213-01-SDW-EL-4300</t>
  </si>
  <si>
    <t>Level 3 - General Lighting System Layout</t>
  </si>
  <si>
    <t>523213-01-RFAS-EL-0162</t>
  </si>
  <si>
    <t>523213-01-SDW-EL-4301</t>
  </si>
  <si>
    <t>Level 3 - Emergency Light And Exit Sign Systems Layout</t>
  </si>
  <si>
    <t>523213-01-RFAS-EL-0163</t>
  </si>
  <si>
    <t>523213-01-SDW-EL-4400</t>
  </si>
  <si>
    <t>Level 4 - General Lighting System Layout</t>
  </si>
  <si>
    <t>523213-01-RFAS-EL-0164</t>
  </si>
  <si>
    <t>523213-01-SDW-EL-4401</t>
  </si>
  <si>
    <t>Level 4 - Emergency Light And Exit Sign Systems Layout</t>
  </si>
  <si>
    <t>523213-01-RFAS-EL-0165</t>
  </si>
  <si>
    <t>523213-01-SDW-EL-4500</t>
  </si>
  <si>
    <t>Level 5 - General Lighting System Layout</t>
  </si>
  <si>
    <t>523213-01-RFAS-EL-0166</t>
  </si>
  <si>
    <t>523213-01-SDW-EL-4501</t>
  </si>
  <si>
    <t>Level 5 - Emergency Light And Exit Sign Systems Layout</t>
  </si>
  <si>
    <t>523213-01-RFAS-EL-0167</t>
  </si>
  <si>
    <t>523213-01-SDW-EL-4600</t>
  </si>
  <si>
    <t>Level 6 - General Lighting System Layout</t>
  </si>
  <si>
    <t>523213-01-RFAS-EL-0168</t>
  </si>
  <si>
    <t>523213-01-SDW-EL-4601</t>
  </si>
  <si>
    <t>Level 6 - Emergency Light And Exit Sign Systems Layout</t>
  </si>
  <si>
    <t>523213-01-RFAS-EL-0169</t>
  </si>
  <si>
    <t>523213-01-SDW-EL-4602</t>
  </si>
  <si>
    <t>Level 6 - Lighting Control Layout</t>
  </si>
  <si>
    <t>523213-01-RFAS-EL-0170</t>
  </si>
  <si>
    <t>523213-01-SDW-EL-4700</t>
  </si>
  <si>
    <t>Level  Roof - General Lighting System Layout</t>
  </si>
  <si>
    <t>523213-01-RFAS-EL-0171</t>
  </si>
  <si>
    <t>523213-01-SDW-EL-4701</t>
  </si>
  <si>
    <t>Level Roof - Emergency Light And Exit Sign Systems Layout</t>
  </si>
  <si>
    <t>523213-01-RFAS-EL-0172</t>
  </si>
  <si>
    <t>523213-01-SDW-EL-5100</t>
  </si>
  <si>
    <t xml:space="preserve">Level 1 - Power And Receptacle Outlet System Layout </t>
  </si>
  <si>
    <t>523213-01-RFAS-EL-0173</t>
  </si>
  <si>
    <t>PWR-REC</t>
  </si>
  <si>
    <t>523213-01-SDW-EL-5101</t>
  </si>
  <si>
    <t xml:space="preserve">Level 1 - Power Supply Mech System Layout, </t>
  </si>
  <si>
    <t>523213-01-RFAS-EL-0174</t>
  </si>
  <si>
    <t>PWR</t>
  </si>
  <si>
    <t>523213-01-SDW-EL-5102</t>
  </si>
  <si>
    <t>Level 1 - Power Supply Mcp System Layout</t>
  </si>
  <si>
    <t>523213-01-RFAS-EL-0175</t>
  </si>
  <si>
    <t>523213-01-SDW-EL-5103</t>
  </si>
  <si>
    <t xml:space="preserve">Level 1 - Data Outlet System Layout </t>
  </si>
  <si>
    <t>523213-01-RFAS-EL-0176</t>
  </si>
  <si>
    <t>523213-01-SDW-EL-5104</t>
  </si>
  <si>
    <t xml:space="preserve">Level 1 - Ceeform System Layout </t>
  </si>
  <si>
    <t>523213-01-RFAS-EL-0177</t>
  </si>
  <si>
    <t>523213-01-SDW-EL-5200</t>
  </si>
  <si>
    <t xml:space="preserve">Level 2 - Power And Receptacle Outlet System Layout </t>
  </si>
  <si>
    <t>523213-01-RFAS-EL-0178</t>
  </si>
  <si>
    <t>523213-01-SDW-EL-5201</t>
  </si>
  <si>
    <t>Level 2 - Power Supply Mech System Layout</t>
  </si>
  <si>
    <t>523213-01-RFAS-EL-0179</t>
  </si>
  <si>
    <t>Tone</t>
  </si>
  <si>
    <t>523213-01-SDW-EL-5202</t>
  </si>
  <si>
    <t>Level 2 - Power Supply Mcp System Layout</t>
  </si>
  <si>
    <t>523213-01-RFAS-EL-0180</t>
  </si>
  <si>
    <t>523213-01-SDW-EL-5203</t>
  </si>
  <si>
    <t xml:space="preserve">Level 2 - Data Outlet System Layout </t>
  </si>
  <si>
    <t>523213-01-RFAS-EL-0181</t>
  </si>
  <si>
    <t>523213-01-SDW-EL-5204</t>
  </si>
  <si>
    <t xml:space="preserve">Level 2 - Ceeform System Layout </t>
  </si>
  <si>
    <t>523213-01-RFAS-EL-0182</t>
  </si>
  <si>
    <t>523213-01-SDW-EL-5300</t>
  </si>
  <si>
    <t>Level 3 - Power ,Voice And Data Outlet System Layout</t>
  </si>
  <si>
    <t>523213-01-RFAS-EL-0183</t>
  </si>
  <si>
    <t>523213-01-SDW-EL-5400</t>
  </si>
  <si>
    <t>Level 4 - Power ,Voice And Data Outlet System Layout</t>
  </si>
  <si>
    <t>523213-01-RFAS-EL-0184</t>
  </si>
  <si>
    <t>523213-01-SDW-EL-5500</t>
  </si>
  <si>
    <t>Level 5 - Power ,Voice And Data Outlet System Layout</t>
  </si>
  <si>
    <t>523213-01-RFAS-EL-0185</t>
  </si>
  <si>
    <t>523213-01-SDW-EL-5600</t>
  </si>
  <si>
    <t xml:space="preserve">Level 6 - Power And Receptacle Outlet System Layout </t>
  </si>
  <si>
    <t>523213-01-RFAS-EL-0186</t>
  </si>
  <si>
    <t>523213-01-SDW-EL-5601</t>
  </si>
  <si>
    <t>Level 6 - Power Supply Mech System Layout</t>
  </si>
  <si>
    <t>523213-01-RFAS-EL-0187</t>
  </si>
  <si>
    <t>523213-01-SDW-EL-5602</t>
  </si>
  <si>
    <t>Level 6 - Power Supply Mcp System Layout</t>
  </si>
  <si>
    <t>523213-01-RFAS-EL-0188</t>
  </si>
  <si>
    <t>523213-01-SDW-EL-5603</t>
  </si>
  <si>
    <t xml:space="preserve">Level 6 - Data Outlet System Layout </t>
  </si>
  <si>
    <t>523213-01-RFAS-EL-0189</t>
  </si>
  <si>
    <t>523213-01-SDW-EL-5700</t>
  </si>
  <si>
    <t>Level Roof - Power ,Voice And Data Outlet System Layout</t>
  </si>
  <si>
    <t>523213-01-RFAS-EL-0190</t>
  </si>
  <si>
    <t>523213-01-SDW-EL-6100</t>
  </si>
  <si>
    <t xml:space="preserve">Level 1 - Fire Alarm System Layout </t>
  </si>
  <si>
    <t>523213-01-RFAS-EL-0191</t>
  </si>
  <si>
    <t>MAX</t>
  </si>
  <si>
    <t>523213-01-SDW-EL-6101</t>
  </si>
  <si>
    <t xml:space="preserve">Level 1 - Public Address System Layout </t>
  </si>
  <si>
    <t>523213-01-RFAS-EL-0192</t>
  </si>
  <si>
    <t>523213-01-SDW-EL-6102</t>
  </si>
  <si>
    <t>Level 1 - Aspirated Smoke Detection Layout</t>
  </si>
  <si>
    <t>523213-01-RFAS-EL-0193</t>
  </si>
  <si>
    <t>MAY</t>
  </si>
  <si>
    <t>523213-01-SDW-EL-6200</t>
  </si>
  <si>
    <t xml:space="preserve">Level 2 - Fire Alarm System Layout </t>
  </si>
  <si>
    <t>523213-01-RFAS-EL-0194</t>
  </si>
  <si>
    <t>523213-01-SDW-EL-6201</t>
  </si>
  <si>
    <t xml:space="preserve">Level 2 - Public Address System Layout </t>
  </si>
  <si>
    <t>523213-01-RFAS-EL-0195</t>
  </si>
  <si>
    <t>523213-01-SDW-EL-6202</t>
  </si>
  <si>
    <t>Level 2 - Aspirated Smoke Detection Layout</t>
  </si>
  <si>
    <t>523213-01-RFAS-EL-0196</t>
  </si>
  <si>
    <t>523213-01-SDW-EL-6300</t>
  </si>
  <si>
    <t xml:space="preserve">Level 3 - Fire Alarm System Layout </t>
  </si>
  <si>
    <t>523213-01-RFAS-EL-0197</t>
  </si>
  <si>
    <t>523213-01-SDW-EL-6301</t>
  </si>
  <si>
    <t xml:space="preserve">Level 3 - Public Address System Layout </t>
  </si>
  <si>
    <t>523213-01-RFAS-EL-0198</t>
  </si>
  <si>
    <t>523213-01-SDW-EL-6302</t>
  </si>
  <si>
    <t>Level 3 - Aspirated Smoke Detection Layout</t>
  </si>
  <si>
    <t>523213-01-RFAS-EL-0199</t>
  </si>
  <si>
    <t>523213-01-SDW-EL-6400</t>
  </si>
  <si>
    <t xml:space="preserve">Level 4 - Fire Alarm System Layout </t>
  </si>
  <si>
    <t>523213-01-RFAS-EL-0200</t>
  </si>
  <si>
    <t>523213-01-SDW-EL-6401</t>
  </si>
  <si>
    <t xml:space="preserve">Level 4 - Public Address System Layout </t>
  </si>
  <si>
    <t>523213-01-RFAS-EL-0201</t>
  </si>
  <si>
    <t>523213-01-SDW-EL-6500</t>
  </si>
  <si>
    <t xml:space="preserve">Level 5 - Fire Alarm System Layout </t>
  </si>
  <si>
    <t>523213-01-RFAS-EL-0202</t>
  </si>
  <si>
    <t>523213-01-SDW-EL-6501</t>
  </si>
  <si>
    <t xml:space="preserve">Level 5 - Public Address System Layout </t>
  </si>
  <si>
    <t>523213-01-RFAS-EL-0203</t>
  </si>
  <si>
    <t>523213-01-SDW-EL-6600</t>
  </si>
  <si>
    <t xml:space="preserve">Level 6 - Fire Alarm System Layout </t>
  </si>
  <si>
    <t>523213-01-RFAS-EL-0204</t>
  </si>
  <si>
    <t>523213-01-SDW-EL-6601</t>
  </si>
  <si>
    <t xml:space="preserve">Level 6 - Public Address System Layout </t>
  </si>
  <si>
    <t>523213-01-RFAS-EL-0205</t>
  </si>
  <si>
    <t>523213-01-SDW-EL-6602</t>
  </si>
  <si>
    <t>Level 6 - Aspirated Smoke Detection Layout</t>
  </si>
  <si>
    <t>523213-01-RFAS-EL-0206</t>
  </si>
  <si>
    <t>523213-01-SDW-EL-6700</t>
  </si>
  <si>
    <t xml:space="preserve">Level Roof - Fire Alarm System Layout </t>
  </si>
  <si>
    <t>523213-01-RFAS-EL-0207</t>
  </si>
  <si>
    <t>523213-01-SDW-EL-6701</t>
  </si>
  <si>
    <t xml:space="preserve">Level Roof - Public Address System Layout </t>
  </si>
  <si>
    <t>523213-01-RFAS-EL-0208</t>
  </si>
  <si>
    <t>523213-01-SDW-EL-7100</t>
  </si>
  <si>
    <t>Level 1 - Security CCTV System Layout</t>
  </si>
  <si>
    <t>523213-01-RFAS-EL-0209</t>
  </si>
  <si>
    <t>523213-01-SDW-EL-7101</t>
  </si>
  <si>
    <t>Level 1 - Security Access Control System Layout</t>
  </si>
  <si>
    <t>523213-01-RFAS-EL-0210</t>
  </si>
  <si>
    <t>523213-01-SDW-EL-7200</t>
  </si>
  <si>
    <t>Level 2 - Security CCTV System Layout</t>
  </si>
  <si>
    <t>523213-01-RFAS-EL-0211</t>
  </si>
  <si>
    <t>523213-01-SDW-EL-7201</t>
  </si>
  <si>
    <t>Level 2 - Security Access Control System Layout</t>
  </si>
  <si>
    <t>523213-01-RFAS-EL-0212</t>
  </si>
  <si>
    <t>523213-01-SDW-EL-7300</t>
  </si>
  <si>
    <t>Level 3 - Security CCTV System Layout</t>
  </si>
  <si>
    <t>523213-01-RFAS-EL-0213</t>
  </si>
  <si>
    <t>523213-01-SDW-EL-7301</t>
  </si>
  <si>
    <t>Level 3 - Security Access Control System Layout</t>
  </si>
  <si>
    <t>523213-01-RFAS-EL-0214</t>
  </si>
  <si>
    <t>523213-01-SDW-EL-7400</t>
  </si>
  <si>
    <t>Level 4 - Security CCTV System Layout</t>
  </si>
  <si>
    <t>523213-01-RFAS-EL-0215</t>
  </si>
  <si>
    <t>523213-01-SDW-EL-7401</t>
  </si>
  <si>
    <t>Level 4 - Security Access Control System Layout</t>
  </si>
  <si>
    <t>523213-01-RFAS-EL-0216</t>
  </si>
  <si>
    <t>523213-01-SDW-EL-7500</t>
  </si>
  <si>
    <t>Level 5 - Security CCTV System Layout</t>
  </si>
  <si>
    <t>523213-01-RFAS-EL-0217</t>
  </si>
  <si>
    <t>523213-01-SDW-EL-7501</t>
  </si>
  <si>
    <t>Level 5 - Security Access Control System Layout</t>
  </si>
  <si>
    <t>523213-01-RFAS-EL-0218</t>
  </si>
  <si>
    <t>523213-01-SDW-EL-7600</t>
  </si>
  <si>
    <t>Level 6 - Security CCTV System Layout</t>
  </si>
  <si>
    <t>523213-01-RFAS-EL-0219</t>
  </si>
  <si>
    <t>523213-01-SDW-EL-7601</t>
  </si>
  <si>
    <t>Level 6 - Security Access Control System Layout</t>
  </si>
  <si>
    <t>523213-01-RFAS-EL-0220</t>
  </si>
  <si>
    <t>523213-01-SDW-EL-7700</t>
  </si>
  <si>
    <t>Level Roof - Security CCTV System Layout</t>
  </si>
  <si>
    <t>523213-01-RFAS-EL-0221</t>
  </si>
  <si>
    <t>523213-01-SDW-EL-7701</t>
  </si>
  <si>
    <t>Level Roof - Security Access Control System Layout</t>
  </si>
  <si>
    <t>523213-01-RFAS-EL-0222</t>
  </si>
  <si>
    <t>523213-01-SDW-EL-8100</t>
  </si>
  <si>
    <t>Level 1 - Earthing And Lightning Protection System Layout</t>
  </si>
  <si>
    <t>523213-01-RFAS-EL-0223</t>
  </si>
  <si>
    <t>523213-01-SDW-EL-8200</t>
  </si>
  <si>
    <t>Level 2 - Earthing And Lightning Protection System Layout</t>
  </si>
  <si>
    <t>523213-01-RFAS-EL-0224</t>
  </si>
  <si>
    <t>523213-01-SDW-EL-8300</t>
  </si>
  <si>
    <t>Level 3 - Earthing And Lightning Protection System Layout</t>
  </si>
  <si>
    <t>523213-01-RFAS-EL-0225</t>
  </si>
  <si>
    <t>523213-01-SDW-EL-8400</t>
  </si>
  <si>
    <t>Level 4 - Earthing And Lightning Protection System Layout</t>
  </si>
  <si>
    <t>523213-01-RFAS-EL-0226</t>
  </si>
  <si>
    <t>523213-01-SDW-EL-8500</t>
  </si>
  <si>
    <t>Level 5 - Earthing And Lightning Protection System Layout</t>
  </si>
  <si>
    <t>523213-01-RFAS-EL-0227</t>
  </si>
  <si>
    <t>523213-01-SDW-EL-8600</t>
  </si>
  <si>
    <t>Level 6 - Earthing And Lightning Protection System Layout</t>
  </si>
  <si>
    <t>523213-01-RFAS-EL-0228</t>
  </si>
  <si>
    <t>523213-01-SDW-EL-8700</t>
  </si>
  <si>
    <t>Level Roof - Earthing And Lightning Protection System Layout</t>
  </si>
  <si>
    <t>523213-01-RFAS-EL-0229</t>
  </si>
  <si>
    <t>523213-01-SDW-EL-8701</t>
  </si>
  <si>
    <t>Level Top Roof - Earthing And Lightning Protection System Layout</t>
  </si>
  <si>
    <t>523213-01-RFAS-EL-0230</t>
  </si>
  <si>
    <t>523213-01-SDW-EL-8800</t>
  </si>
  <si>
    <t>Level 1 Equipment Setting out</t>
  </si>
  <si>
    <t>523213-01-RFAS-EL-0231</t>
  </si>
  <si>
    <t>ARM</t>
  </si>
  <si>
    <t>523213-01-SDW-EL-8801</t>
  </si>
  <si>
    <t>Level 2 Equipment Setting out</t>
  </si>
  <si>
    <t>523213-01-RFAS-EL-0232</t>
  </si>
  <si>
    <t>PING</t>
  </si>
  <si>
    <t>523213-01-SDW-EL-8802</t>
  </si>
  <si>
    <t>Level 3 Equipment Setting out</t>
  </si>
  <si>
    <t>523213-01-RFAS-EL-0233</t>
  </si>
  <si>
    <t>523213-01-SDW-EL-8803</t>
  </si>
  <si>
    <t>Level 4 Equipment Setting out</t>
  </si>
  <si>
    <t>523213-01-RFAS-EL-0234</t>
  </si>
  <si>
    <t>523213-01-SDW-EL-8804</t>
  </si>
  <si>
    <t>Level 5 Equipment Setting out</t>
  </si>
  <si>
    <t>523213-01-RFAS-EL-0235</t>
  </si>
  <si>
    <t>523213-01-SDW-EL-8805</t>
  </si>
  <si>
    <t>Level 6 Equipment Setting out</t>
  </si>
  <si>
    <t>523213-01-RFAS-EL-0236</t>
  </si>
  <si>
    <t>523213-01-SDW-EL-8806</t>
  </si>
  <si>
    <t>Level Roof Equipment Setting out</t>
  </si>
  <si>
    <t>523213-01-RFAS-EL-0237</t>
  </si>
  <si>
    <t>523213-01-SDW-EL-9800</t>
  </si>
  <si>
    <t>Typical Details For Access Control System Sheet 1</t>
  </si>
  <si>
    <t>523213-01-RFAS-EL-0238</t>
  </si>
  <si>
    <t>523213-01-SDW-EL-9801</t>
  </si>
  <si>
    <t>Typical Details For Access Control System Sheet 2</t>
  </si>
  <si>
    <t>523213-01-RFAS-EL-0239</t>
  </si>
  <si>
    <t>523213-01-SDW-EL-9802</t>
  </si>
  <si>
    <t>Access Control System Schematic</t>
  </si>
  <si>
    <t>523213-01-RFAS-EL-0240</t>
  </si>
  <si>
    <t>523213-01-SDW-EL-9803</t>
  </si>
  <si>
    <t>Typical Details Sheet 1</t>
  </si>
  <si>
    <t>523213-01-RFAS-EL-0241</t>
  </si>
  <si>
    <t>EL-Section</t>
  </si>
  <si>
    <t>This Drawing Section detail. We will submit this detail in Shop drawing by Each system.</t>
  </si>
  <si>
    <t>523213-01-SDW-EL-9804</t>
  </si>
  <si>
    <t>Typical Details Sheet 2</t>
  </si>
  <si>
    <t>523213-01-RFAS-EL-0242</t>
  </si>
  <si>
    <t>523213-01-SDW-EL-9805</t>
  </si>
  <si>
    <t>Typical Details Sheet 3</t>
  </si>
  <si>
    <t>523213-01-RFAS-EL-0243</t>
  </si>
  <si>
    <t>523213-01-SDW-EL-9806</t>
  </si>
  <si>
    <t>Typical Details Sheet 4</t>
  </si>
  <si>
    <t>523213-01-RFAS-EL-0244</t>
  </si>
  <si>
    <t>523213-01-SDW-EL-9807</t>
  </si>
  <si>
    <t>Typical Details Sheet 5</t>
  </si>
  <si>
    <t>523213-01-RFAS-EL-0245</t>
  </si>
  <si>
    <t>Typical</t>
  </si>
  <si>
    <t>523213-01-SDW-EL-9808</t>
  </si>
  <si>
    <t>Typical Details Sheet 6</t>
  </si>
  <si>
    <t>523213-01-RFAS-EL-0246</t>
  </si>
  <si>
    <t>523213-01-SDW-EL-9809</t>
  </si>
  <si>
    <t>Typical Details Sheet 7</t>
  </si>
  <si>
    <t>523213-01-RFAS-EL-0247</t>
  </si>
  <si>
    <t>523213-01-SDW-EL-9810</t>
  </si>
  <si>
    <t>Typical Details Sheet 8</t>
  </si>
  <si>
    <t>523213-01-RFAS-EL-0248</t>
  </si>
  <si>
    <t>523213-01-SDW-EL-1011</t>
  </si>
  <si>
    <t>For LLE GEN</t>
  </si>
  <si>
    <t>523213-01-RFAS-EL-0249</t>
  </si>
  <si>
    <t>LLE-GEN</t>
  </si>
  <si>
    <t>523213-01-SDW-EL-1012</t>
  </si>
  <si>
    <t>523213-01-RFAS-EL-0250</t>
  </si>
  <si>
    <t>523213-01-SDW-EL-1013</t>
  </si>
  <si>
    <t xml:space="preserve">63A DB Aux Panel </t>
  </si>
  <si>
    <t>523213-01-RFAS-EL-0251</t>
  </si>
  <si>
    <t>523213-01-SDW-EL-1014</t>
  </si>
  <si>
    <t xml:space="preserve">4000A SLD GA Control </t>
  </si>
  <si>
    <t>523213-01-RFAS-EL-0252</t>
  </si>
  <si>
    <t>523213-01-SDW-EL-1015</t>
  </si>
  <si>
    <t>523213-01-RFAS-EL-0253</t>
  </si>
  <si>
    <t>523213-01-SDW-EL-1016</t>
  </si>
  <si>
    <t>523213-01-RFAS-EL-0254</t>
  </si>
  <si>
    <t>523213-01-SDW-EL-1017</t>
  </si>
  <si>
    <t>Junction Box</t>
  </si>
  <si>
    <t>523213-01-RFAS-EL-0255</t>
  </si>
  <si>
    <t>523213-01-SDW-ME-0001</t>
  </si>
  <si>
    <t>Mechanical Drawing Index</t>
  </si>
  <si>
    <t>523213-01-RFAS-ME-0001</t>
  </si>
  <si>
    <t>523213-01-SDW-ME-0010</t>
  </si>
  <si>
    <t>Mechanical Legend &amp; Abbreviation</t>
  </si>
  <si>
    <t>523213-01-RFAS-ME-0002</t>
  </si>
  <si>
    <t>523213-01-SDW-ME-0020</t>
  </si>
  <si>
    <t xml:space="preserve">ACMV Air Side Schematic </t>
  </si>
  <si>
    <t>523213-01-RFAS-ME-0003</t>
  </si>
  <si>
    <t>523213-01-SDW-ME-0030</t>
  </si>
  <si>
    <t>Stair And Fireman Lift Lobby Pressurization Schematic</t>
  </si>
  <si>
    <t>523213-01-RFAS-ME-0004</t>
  </si>
  <si>
    <t>523213-01-SDW-ME-0040</t>
  </si>
  <si>
    <t>ACMV Piping System Schematic - Risers - Sheet 1</t>
  </si>
  <si>
    <t>523213-01-RFAS-ME-0005</t>
  </si>
  <si>
    <t>Eng Review</t>
  </si>
  <si>
    <t>523213-01-SDW-ME-0041</t>
  </si>
  <si>
    <t>ACMV Piping System Schematic - Risers - Sheet 2</t>
  </si>
  <si>
    <t>523213-01-SDW-ME-0050</t>
  </si>
  <si>
    <t>ACMV Piping System Schematic - Chiller Plant</t>
  </si>
  <si>
    <t>523213-01-RFAS-ME-0006</t>
  </si>
  <si>
    <t>523213-01-SDW-ME-0060</t>
  </si>
  <si>
    <t xml:space="preserve">Equipment Schedule </t>
  </si>
  <si>
    <t>523213-01-RFAS-ME-0007</t>
  </si>
  <si>
    <t>Check with RFI No.523213-01-RFI-ME-0011</t>
  </si>
  <si>
    <t>523213-01-SDW-ME-1100</t>
  </si>
  <si>
    <t>Level 1 - Ducting Layout Plan</t>
  </si>
  <si>
    <t>523213-01-RFAS-ME-0008</t>
  </si>
  <si>
    <t>Check with RFI No.523213-01-RFI-ME-0013, ME-0005</t>
  </si>
  <si>
    <t>523213-01-SDW-ME-1200</t>
  </si>
  <si>
    <t>Level 2 - Ducting Layout Plan</t>
  </si>
  <si>
    <t>523213-01-RFAS-ME-0009</t>
  </si>
  <si>
    <t>523213-01-SDW-ME-1600</t>
  </si>
  <si>
    <t>Level 6 - Ducting Layout Plan</t>
  </si>
  <si>
    <t>523213-01-RFAS-ME-0010</t>
  </si>
  <si>
    <t>523213-01-SDW-ME-1700</t>
  </si>
  <si>
    <t>Level Roof - Ducting Layout Plan</t>
  </si>
  <si>
    <t>523213-01-RFAS-ME-0011</t>
  </si>
  <si>
    <t>523213-01-SDW-ME-2100</t>
  </si>
  <si>
    <t>Level 1 - ACMV Pipe Routing Layout Plan</t>
  </si>
  <si>
    <t>523213-01-RFAS-ME-0012</t>
  </si>
  <si>
    <t>Check with RFI No.523213-01-RFI-ME-0014, ME-0005</t>
  </si>
  <si>
    <t>523213-01-SDW-ME-2110</t>
  </si>
  <si>
    <t>Level 1 - Condensate Drain PIpe Routing Layout Plan</t>
  </si>
  <si>
    <t>523213-01-RFAS-ME-0013</t>
  </si>
  <si>
    <t>523213-01-SDW-ME-2200</t>
  </si>
  <si>
    <t>Level 2 - ACMV Pipe Routing Layout Plan</t>
  </si>
  <si>
    <t>523213-01-RFAS-ME-0014</t>
  </si>
  <si>
    <t>Check with RFI No.523213-01-RFI-ME-0014</t>
  </si>
  <si>
    <t>523213-01-SDW-ME-2210</t>
  </si>
  <si>
    <t>Level 2 - Condensate Drain Pipe Routing Layout Plan</t>
  </si>
  <si>
    <t>523213-01-RFAS-ME-0015</t>
  </si>
  <si>
    <t>523213-01-SDW-ME-2220</t>
  </si>
  <si>
    <t>Level 2 - Liquid Cooling Pipe Routing Layout Plan</t>
  </si>
  <si>
    <t>523213-01-RFAS-ME-0016</t>
  </si>
  <si>
    <t>523213-01-SDW-ME-2600</t>
  </si>
  <si>
    <t>Level 6 - ACMV Pipe Routing Layout Plan</t>
  </si>
  <si>
    <t>523213-01-RFAS-ME-0017</t>
  </si>
  <si>
    <t>523213-01-SDW-ME-2610</t>
  </si>
  <si>
    <t>Level 6 - Condensate Drain Pipe Routing Layout Plan</t>
  </si>
  <si>
    <t>523213-01-RFAS-ME-0018</t>
  </si>
  <si>
    <t>523213-01-SDW-ME-2620</t>
  </si>
  <si>
    <t>Level 6 - Liquid Cooling Pipe Routing Layout Plan</t>
  </si>
  <si>
    <t>523213-01-RFAS-ME-0019</t>
  </si>
  <si>
    <t>523213-01-SDW-ME-2700</t>
  </si>
  <si>
    <t>Level Roof - ACMV Pipe Routing Layout Plan</t>
  </si>
  <si>
    <t>523213-01-RFAS-ME-0020</t>
  </si>
  <si>
    <t>523213-01-SDW-ME-2710</t>
  </si>
  <si>
    <t>Level Roof - Liquid Cooling Pipe Routing Layout Plan</t>
  </si>
  <si>
    <t>523213-01-RFAS-ME-0021</t>
  </si>
  <si>
    <t>523213-01-SDW-ME-3100</t>
  </si>
  <si>
    <t>Level 1 - Gas Leak Detection Layout Plan</t>
  </si>
  <si>
    <t>523213-01-RFAS-ME-0022</t>
  </si>
  <si>
    <t>523213-01-SDW-ME-3110</t>
  </si>
  <si>
    <t>Level 1 - Water And Fuel Leak Detection Layout Plan</t>
  </si>
  <si>
    <t>523213-01-RFAS-ME-0023</t>
  </si>
  <si>
    <t>523213-01-SDW-ME-3111</t>
  </si>
  <si>
    <t>Level 1 - Space Temperature And Humidity Sensor Layout Plan</t>
  </si>
  <si>
    <t>523213-01-RFAS-ME-0024</t>
  </si>
  <si>
    <t>523213-01-SDW-ME-3200</t>
  </si>
  <si>
    <t>Level 2 - Gas Leak Detection Layout Plan</t>
  </si>
  <si>
    <t>523213-01-RFAS-ME-0025</t>
  </si>
  <si>
    <t>523213-01-SDW-ME-3210</t>
  </si>
  <si>
    <t>Level 2 - Water And Fuel Leak Detection Layout Plan</t>
  </si>
  <si>
    <t>523213-01-RFAS-ME-0026</t>
  </si>
  <si>
    <t>523213-01-SDW-ME-3220</t>
  </si>
  <si>
    <t>Level 2 - Space Temperature And Humidity Sensor Layout Plan</t>
  </si>
  <si>
    <t>523213-01-RFAS-ME-0027</t>
  </si>
  <si>
    <t>523213-01-SDW-ME-3230</t>
  </si>
  <si>
    <t>Level 2 - Fan Wall Sensor Layout And Details</t>
  </si>
  <si>
    <t>523213-01-RFAS-ME-0028</t>
  </si>
  <si>
    <t>523213-01-SDW-ME-3600</t>
  </si>
  <si>
    <t>Level 6 - Fuel Leak Detection Layout Plan</t>
  </si>
  <si>
    <t>523213-01-RFAS-ME-0029</t>
  </si>
  <si>
    <t>523213-01-SDW-ME-4100</t>
  </si>
  <si>
    <t>Level 1 - Cms Cable Routing Layout Plan</t>
  </si>
  <si>
    <t>523213-01-RFAS-ME-0030</t>
  </si>
  <si>
    <t>523213-01-SDW-ME-4200</t>
  </si>
  <si>
    <t>Level 2 - Cms Cable Routing Layout Plan</t>
  </si>
  <si>
    <t>523213-01-RFAS-ME-0031</t>
  </si>
  <si>
    <t>523213-01-SDW-ME-4600</t>
  </si>
  <si>
    <t>Level 6 - Cms Cable Routing Layout Plan</t>
  </si>
  <si>
    <t>523213-01-RFAS-ME-0032</t>
  </si>
  <si>
    <t>523213-01-SDW-ME-5000</t>
  </si>
  <si>
    <t>523213-01-RFAS-ME-0033</t>
  </si>
  <si>
    <t>523213-01-SDW-ME-6000</t>
  </si>
  <si>
    <t>Mechanical Service Electrical Single Line Diagram Sheet-1</t>
  </si>
  <si>
    <t>523213-01-RFAS-ME-0034</t>
  </si>
  <si>
    <t>Check with RFI No.523213-01-RFI-ME-0010</t>
  </si>
  <si>
    <t>523213-01-SDW-ME-6001</t>
  </si>
  <si>
    <t>Mechanical Service Electrical Single Line Diagram Sheet-2</t>
  </si>
  <si>
    <t>523213-01-RFAS-ME-0035</t>
  </si>
  <si>
    <t>523213-01-SDW-ME-6002</t>
  </si>
  <si>
    <t>Mechanical Service Electrical Single Line Diagram Sheet-3</t>
  </si>
  <si>
    <t>523213-01-RFAS-ME-0036</t>
  </si>
  <si>
    <t>523213-01-SDW-ME-6003</t>
  </si>
  <si>
    <t>Mechanical Service Electrical Single Line Diagram Sheet-4</t>
  </si>
  <si>
    <t>523213-01-RFAS-ME-0037</t>
  </si>
  <si>
    <t>523213-01-SDW-ME-6004</t>
  </si>
  <si>
    <t>Mechanical Service Electrical Single Line Diagram Sheet-5</t>
  </si>
  <si>
    <t>523213-01-RFAS-ME-0038</t>
  </si>
  <si>
    <t>523213-01-SDW-ME-6005</t>
  </si>
  <si>
    <t>Mechanical Service Electrical Single Line Diagram Sheet-6</t>
  </si>
  <si>
    <t>523213-01-RFAS-ME-0039</t>
  </si>
  <si>
    <t>523213-01-SDW-ME-6006</t>
  </si>
  <si>
    <t>Mechanical Service Electrical Single Line Diagram Sheet-7</t>
  </si>
  <si>
    <t>523213-01-RFAS-ME-0040</t>
  </si>
  <si>
    <t>523213-01-SDW-ME-6007</t>
  </si>
  <si>
    <t>Mechanical Service Electrical Single Line Diagram Sheet-8</t>
  </si>
  <si>
    <t>523213-01-RFAS-ME-0041</t>
  </si>
  <si>
    <t>523213-01-SDW-ME-6008</t>
  </si>
  <si>
    <t>Mechanical Service Electrical Single Line Diagram Sheet-9</t>
  </si>
  <si>
    <t>523213-01-RFAS-ME-0042</t>
  </si>
  <si>
    <t>523213-01-SDW-ME-6009</t>
  </si>
  <si>
    <t>Mechanical Service Electrical Single Line Diagram Sheet-10</t>
  </si>
  <si>
    <t>523213-01-RFAS-ME-0043</t>
  </si>
  <si>
    <t>523213-01-SDW-ME-6010</t>
  </si>
  <si>
    <t>Mechanical Service Electrical Single Line Diagram Sheet-11</t>
  </si>
  <si>
    <t>523213-01-RFAS-ME-0044</t>
  </si>
  <si>
    <t>523213-01-SDW-ME-6011</t>
  </si>
  <si>
    <t>Mechanical Service Electrical Single Line Diagram Sheet-12</t>
  </si>
  <si>
    <t>523213-01-RFAS-ME-0045</t>
  </si>
  <si>
    <t>523213-01-SDW-ME-6012</t>
  </si>
  <si>
    <t>Mechanical Service Electrical Single Line Diagram Sheet-13</t>
  </si>
  <si>
    <t>523213-01-RFAS-ME-0046</t>
  </si>
  <si>
    <t>523213-01-SDW-ME-6013</t>
  </si>
  <si>
    <t>Mechanical Service Electrical Single Line Diagram Sheet-14</t>
  </si>
  <si>
    <t>523213-01-RFAS-ME-0047</t>
  </si>
  <si>
    <t>523213-01-SDW-ME-6014</t>
  </si>
  <si>
    <t>Mechanical Service Electrical Single Line Diagram Sheet-15</t>
  </si>
  <si>
    <t>523213-01-RFAS-ME-0048</t>
  </si>
  <si>
    <t>523213-01-SDW-ME-6015</t>
  </si>
  <si>
    <t>Mechanical Service Electrical Single Line Diagram Sheet-16</t>
  </si>
  <si>
    <t>523213-01-RFAS-ME-0049</t>
  </si>
  <si>
    <t>523213-01-SDW-ME-6016</t>
  </si>
  <si>
    <t>Mechanical Service Electrical Single Line Diagram Sheet-17</t>
  </si>
  <si>
    <t>523213-01-RFAS-ME-0050</t>
  </si>
  <si>
    <t>523213-01-SDW-ME-6017</t>
  </si>
  <si>
    <t>Mechanical Service Electrical Single Line Diagram Sheet-18</t>
  </si>
  <si>
    <t>523213-01-RFAS-ME-0051</t>
  </si>
  <si>
    <t>523213-01-SDW-HY-0001</t>
  </si>
  <si>
    <t>Hydraulic Drawing Index</t>
  </si>
  <si>
    <t>523213-01-RFAS-HY-0001</t>
  </si>
  <si>
    <t>523213-01-SDW-HY-0100</t>
  </si>
  <si>
    <t>Hydraulic Legend &amp; Abbreviation</t>
  </si>
  <si>
    <t>523213-01-RFAS-HY-0002</t>
  </si>
  <si>
    <t>523213-01-SDW-HY-0150</t>
  </si>
  <si>
    <t>Make Up Water Schematic Diagram</t>
  </si>
  <si>
    <t>523213-01-RFAS-HY-0003</t>
  </si>
  <si>
    <t>523213-01-SDW-HY-0200</t>
  </si>
  <si>
    <t>Domestic Water Schematic Diagram</t>
  </si>
  <si>
    <t>523213-01-RFAS-HY-0004</t>
  </si>
  <si>
    <t>523213-01-SDW-HY-0250</t>
  </si>
  <si>
    <t>Waste water System Schematic Diagram</t>
  </si>
  <si>
    <t>523213-01-RFAS-HY-0005</t>
  </si>
  <si>
    <t>523213-01-SDW-HY-0300</t>
  </si>
  <si>
    <t>Storm Water Drainage Schematic Diagram</t>
  </si>
  <si>
    <t>523213-01-RFAS-HY-0006</t>
  </si>
  <si>
    <t>523213-01-SDW-HY-0350</t>
  </si>
  <si>
    <t>Fuel Supply Schematic Diagram</t>
  </si>
  <si>
    <t>523213-01-RFAS-HY-0007</t>
  </si>
  <si>
    <t>523213-01-SDW-HY-0400</t>
  </si>
  <si>
    <t>Equipment Schedule</t>
  </si>
  <si>
    <t>523213-01-RFAS-HY-0008</t>
  </si>
  <si>
    <t>523213-01-SDW-HY-0450</t>
  </si>
  <si>
    <t>Electrical Single Line Diagram</t>
  </si>
  <si>
    <t>523213-01-RFAS-HY-0009</t>
  </si>
  <si>
    <t>523213-01-SDW-HY-1000</t>
  </si>
  <si>
    <t>Site Plan - Water Supply System Layout</t>
  </si>
  <si>
    <t>523213-01-RFAS-HY-0010</t>
  </si>
  <si>
    <t>523213-01-SDW-HY-1100</t>
  </si>
  <si>
    <t>Level 1 - Water Supply System Layout Plan</t>
  </si>
  <si>
    <t>523213-01-RFAS-HY-0011</t>
  </si>
  <si>
    <t>523213-01-SDW-HY-1200</t>
  </si>
  <si>
    <t>Level 2 - Water Supply System Layout Plan</t>
  </si>
  <si>
    <t>523213-01-RFAS-HY-0012</t>
  </si>
  <si>
    <t>Pending sanitary ware Inlet-Outlet position.</t>
  </si>
  <si>
    <t>523213-01-SDW-HY-1600</t>
  </si>
  <si>
    <t>Level 6 - Water Supply System Layout Plan</t>
  </si>
  <si>
    <t>523213-01-RFAS-HY-0013</t>
  </si>
  <si>
    <t>523213-01-SDW-HY-1700</t>
  </si>
  <si>
    <t>Level Roof - Water Supply System Layout Plan</t>
  </si>
  <si>
    <t>523213-01-RFAS-HY-0014</t>
  </si>
  <si>
    <t>523213-01-SDW-HY-2000</t>
  </si>
  <si>
    <t>Site Plan - Wastewater And Stromwater System Layout  Plan</t>
  </si>
  <si>
    <t>523213-01-RFAS-HY-0015</t>
  </si>
  <si>
    <t>523213-01-SDW-HY-2100</t>
  </si>
  <si>
    <t>Level 1 - Wastewater And Stormwater System Layout</t>
  </si>
  <si>
    <t>523213-01-RFAS-HY-0016</t>
  </si>
  <si>
    <t>523213-01-SDW-HY-2200</t>
  </si>
  <si>
    <t>Level 2 - Wastewater And Stormwater System Layout</t>
  </si>
  <si>
    <t>523213-01-RFAS-HY-0017</t>
  </si>
  <si>
    <t>TTI</t>
  </si>
  <si>
    <t>TTI Scope</t>
  </si>
  <si>
    <t>523213-01-SDW-HY-2600</t>
  </si>
  <si>
    <t>Level 6 - Wastewater And Stormwater System Layout</t>
  </si>
  <si>
    <t>523213-01-RFAS-HY-0018</t>
  </si>
  <si>
    <t>523213-01-SDW-HY-2700</t>
  </si>
  <si>
    <t>Level Roof - Wastewater And Stormwater System Layout</t>
  </si>
  <si>
    <t>523213-01-RFAS-HY-0019</t>
  </si>
  <si>
    <t>523213-01-SDW-HY-3000</t>
  </si>
  <si>
    <t>Pump Room Details - Sheet 1</t>
  </si>
  <si>
    <t>523213-01-RFAS-HY-0020</t>
  </si>
  <si>
    <t>523213-01-SDW-HY-3010</t>
  </si>
  <si>
    <t>Pump Room Details - Sheet 2</t>
  </si>
  <si>
    <t>523213-01-RFAS-HY-0021</t>
  </si>
  <si>
    <t>523213-01-SDW-HY-3020</t>
  </si>
  <si>
    <t>Pump Room Details - Sheet 3</t>
  </si>
  <si>
    <t>523213-01-RFAS-HY-0022</t>
  </si>
  <si>
    <t>523213-01-SDW-HY-3100</t>
  </si>
  <si>
    <t>Fuel Pump Room Details - Sheet 1</t>
  </si>
  <si>
    <t>523213-01-RFAS-HY-0023</t>
  </si>
  <si>
    <t>523213-01-SDW-HY-3110</t>
  </si>
  <si>
    <t>Fuel Pump Room Details - Sheet 2</t>
  </si>
  <si>
    <t>523213-01-RFAS-HY-0024</t>
  </si>
  <si>
    <t>523213-01-SDW-HY-3200</t>
  </si>
  <si>
    <t>Softener Detail</t>
  </si>
  <si>
    <t>523213-01-RFAS-HY-0025</t>
  </si>
  <si>
    <t>523213-01-SDW-HY-3300</t>
  </si>
  <si>
    <t>Pump Room &amp; Water Tank - Level 6 Detail</t>
  </si>
  <si>
    <t>523213-01-RFAS-HY-0026</t>
  </si>
  <si>
    <t>523213-01-SDW-HY-4200</t>
  </si>
  <si>
    <t>Level 2 - Toilet Details</t>
  </si>
  <si>
    <t>523213-01-RFAS-HY-0027</t>
  </si>
  <si>
    <t>523213-01-SDW-HY-5000</t>
  </si>
  <si>
    <t>Scope Demarcation - Sheet 1</t>
  </si>
  <si>
    <t>523213-01-RFAS-HY-0028</t>
  </si>
  <si>
    <t>523213-01-SDW-HY-5001</t>
  </si>
  <si>
    <t>Scope Demarcation - Sheet 2</t>
  </si>
  <si>
    <t>523213-01-RFAS-HY-0029</t>
  </si>
  <si>
    <t>523213-01-SDW-HY-5002</t>
  </si>
  <si>
    <t>523213-01-RFAS-HY-0030</t>
  </si>
  <si>
    <t>523213-01-SDW-HY-5003</t>
  </si>
  <si>
    <t>523213-01-RFAS-HY-0031</t>
  </si>
  <si>
    <t>523213-01-SDW-HY-5004</t>
  </si>
  <si>
    <t>523213-01-RFAS-HY-0032</t>
  </si>
  <si>
    <t/>
  </si>
  <si>
    <t>523213-01-SDW-FI-0001</t>
  </si>
  <si>
    <t>Fire Protection Drawing Index</t>
  </si>
  <si>
    <t>523213-01-RFAS-FI-0001</t>
  </si>
  <si>
    <t>523213-01-SDW-FI-0002</t>
  </si>
  <si>
    <t>Fire Protection Legend &amp; Abbreviation</t>
  </si>
  <si>
    <t>523213-01-RFAS-FI-0002</t>
  </si>
  <si>
    <t>523213-01-SDW-FI-0010</t>
  </si>
  <si>
    <t>Fire Protection System Schematic Diagram</t>
  </si>
  <si>
    <t>523213-01-RFAS-FI-0003</t>
  </si>
  <si>
    <t>523213-01-SDW-FI-0020</t>
  </si>
  <si>
    <t>Schematic Diagram For Fire Pump</t>
  </si>
  <si>
    <t>523213-01-RFAS-FI-0004</t>
  </si>
  <si>
    <t>523213-01-SDW-FI-0030</t>
  </si>
  <si>
    <t>Nitrogen Suppression Schematic Diagram</t>
  </si>
  <si>
    <t>523213-01-RFAS-FI-0005</t>
  </si>
  <si>
    <t>Pending RFI</t>
  </si>
  <si>
    <t>523213-01-SDW-FI-0040</t>
  </si>
  <si>
    <t>Nitrogen Suppression Flow Chart Diagram</t>
  </si>
  <si>
    <t>523213-01-RFAS-FI-0006</t>
  </si>
  <si>
    <t>523213-01-SDW-FI-0050</t>
  </si>
  <si>
    <t>Table For Nitrogen Gas Suppression</t>
  </si>
  <si>
    <t>523213-01-RFAS-FI-0007</t>
  </si>
  <si>
    <t>523213-01-SDW-FI-0060</t>
  </si>
  <si>
    <t>Pre-Action System Diagram</t>
  </si>
  <si>
    <t>523213-01-RFAS-FI-0008</t>
  </si>
  <si>
    <t>523213-01-SDW-FI-0070</t>
  </si>
  <si>
    <t>523213-01-RFAS-FI-0009</t>
  </si>
  <si>
    <t>523213-01-SDW-FI-0080</t>
  </si>
  <si>
    <t>523213-01-RFAS-FI-0010</t>
  </si>
  <si>
    <t>523213-01-SDW-FI-1100</t>
  </si>
  <si>
    <t>Fire Protection Matrix For Level 1</t>
  </si>
  <si>
    <t>523213-01-RFAS-FI-0011</t>
  </si>
  <si>
    <t>523213-01-SDW-FI-1200</t>
  </si>
  <si>
    <t>Fire Protection Matrix For Level 2</t>
  </si>
  <si>
    <t>523213-01-RFAS-FI-0012</t>
  </si>
  <si>
    <t>523213-01-SDW-FI-1600</t>
  </si>
  <si>
    <t>Fire Protection Matrix For Level 6</t>
  </si>
  <si>
    <t>523213-01-RFAS-FI-0013</t>
  </si>
  <si>
    <t>523213-01-SDW-FI-1700</t>
  </si>
  <si>
    <t>Fire Protection Matrix For Level Roof</t>
  </si>
  <si>
    <t>523213-01-RFAS-FI-0014</t>
  </si>
  <si>
    <t>523213-01-SDW-FI-2100</t>
  </si>
  <si>
    <t>Level 1 - Fire Sprinkler System Layout Plan</t>
  </si>
  <si>
    <t>523213-01-RFAS-FI-0015</t>
  </si>
  <si>
    <t>Pending RFI-FI-0004, FI-0007</t>
  </si>
  <si>
    <t>523213-01-SDW-FI-2200</t>
  </si>
  <si>
    <t>Level 2 - Fire Sprinkler System Layout Plan</t>
  </si>
  <si>
    <t>523213-01-RFAS-FI-0016</t>
  </si>
  <si>
    <t>Pending RFI-FI-0007</t>
  </si>
  <si>
    <t>523213-01-SDW-FI-2600</t>
  </si>
  <si>
    <t>Level 6 - Fire Sprinkler System Layout Plan</t>
  </si>
  <si>
    <t>523213-01-RFAS-FI-0017</t>
  </si>
  <si>
    <t>523213-01-SDW-FI-2700</t>
  </si>
  <si>
    <t>Level Roof - Fire Sprinkler System Layout Plan</t>
  </si>
  <si>
    <t>523213-01-RFAS-FI-0018</t>
  </si>
  <si>
    <t>523213-01-SDW-FI-3100</t>
  </si>
  <si>
    <t>Level 1 - Nitrogen Fire Suppression Ststem Layout Plan</t>
  </si>
  <si>
    <t>523213-01-RFAS-FI-0019</t>
  </si>
  <si>
    <t>Pending RFI-FI-0004, 0008</t>
  </si>
  <si>
    <t>523213-01-SDW-FI-3150</t>
  </si>
  <si>
    <t>Level 1 - Nitrogen Fire Suppression Ststem Wiring Layout Plan</t>
  </si>
  <si>
    <t>523213-01-RFAS-FI-0020</t>
  </si>
  <si>
    <t>523213-01-SDW-FI-3200</t>
  </si>
  <si>
    <t>Level 2 - Nitrogen Fire Suppression Ststem Layout Plan</t>
  </si>
  <si>
    <t>523213-01-RFAS-FI-0021</t>
  </si>
  <si>
    <t>523213-01-SDW-FI-3250</t>
  </si>
  <si>
    <t>Level 2 - Nitrogen Fire Suppression Ststem Wiring Layout Plan</t>
  </si>
  <si>
    <t>523213-01-RFAS-FI-0022</t>
  </si>
  <si>
    <t>523213-01-SDW-FI-3600</t>
  </si>
  <si>
    <t>Level 6 - Nitrogen Fire Suppression Ststem Layout Plan</t>
  </si>
  <si>
    <t>523213-01-RFAS-FI-0023</t>
  </si>
  <si>
    <t>523213-01-SDW-FI-3650</t>
  </si>
  <si>
    <t>Level 6 - Nitrogen Fire Suppression Ststem Wiring Layout Plan</t>
  </si>
  <si>
    <t>523213-01-RFAS-FI-0024</t>
  </si>
  <si>
    <t>523213-01-SDW-FI-4100</t>
  </si>
  <si>
    <t>Level 1 - Fire Hose Cabinet And Fire Extinguisher Layout Plan</t>
  </si>
  <si>
    <t>523213-01-RFAS-FI-0025</t>
  </si>
  <si>
    <t>523213-01-SDW-FI-4200</t>
  </si>
  <si>
    <t>Level 2 - Fire Hose Cabinet And Fire Extinguisher Layout Plan</t>
  </si>
  <si>
    <t>523213-01-RFAS-FI-0026</t>
  </si>
  <si>
    <t>523213-01-SDW-FI-4600</t>
  </si>
  <si>
    <t>Level 6 - Fire Hose Cabinet And Fire Extinguisher Layout Plan</t>
  </si>
  <si>
    <t>523213-01-RFAS-FI-0027</t>
  </si>
  <si>
    <t>523213-01-SDW-FI-4700</t>
  </si>
  <si>
    <t>Level Roof - Fire Hose Cabinet And Fire Extinguisher Layout Plan</t>
  </si>
  <si>
    <t>523213-01-RFAS-FI-0028</t>
  </si>
  <si>
    <t>523213-01-SDW-FI-5001</t>
  </si>
  <si>
    <t>Pump Room Detail Sheet 1</t>
  </si>
  <si>
    <t>523213-01-RFAS-FI-0029</t>
  </si>
  <si>
    <t>523213-01-SDW-FI-5002</t>
  </si>
  <si>
    <t>Pump Room Detail Sheet 2</t>
  </si>
  <si>
    <t>523213-01-RFAS-FI-0030</t>
  </si>
  <si>
    <t>523213-01-SDW-FI-5003</t>
  </si>
  <si>
    <t>Fire Service Room Detail Sheet 1</t>
  </si>
  <si>
    <t>523213-01-RFAS-FI-0031</t>
  </si>
  <si>
    <t>523213-01-SDW-FI-5004</t>
  </si>
  <si>
    <t>Fire Service Room Detail Sheet 2</t>
  </si>
  <si>
    <t>523213-01-RFAS-FI-0032</t>
  </si>
  <si>
    <t>523213-01-SDW-FI-5005</t>
  </si>
  <si>
    <t>Fire Service Room Detail Sheet 3</t>
  </si>
  <si>
    <t>523213-01-RFAS-FI-0033</t>
  </si>
  <si>
    <t>523213-01-SDW-FI-5006</t>
  </si>
  <si>
    <t>Fire Scope Demarcation</t>
  </si>
  <si>
    <t>523213-01-RFAS-FI-0034</t>
  </si>
  <si>
    <t>523213-01-SDW-FI-6001</t>
  </si>
  <si>
    <t>523213-01-RFAS-FI-0035</t>
  </si>
  <si>
    <t>523213-01-SDW-FI-6002</t>
  </si>
  <si>
    <t>523213-01-RFAS-FI-0036</t>
  </si>
  <si>
    <t>523213-01-SDW-FI-6003</t>
  </si>
  <si>
    <t>523213-01-RFAS-FI-0037</t>
  </si>
  <si>
    <t>523213-01-SDW-FI-6004</t>
  </si>
  <si>
    <t>523213-01-RFAS-FI-0038</t>
  </si>
  <si>
    <t>523213-01-SDW-FI-6005</t>
  </si>
  <si>
    <t>523213-01-RFAS-FI-0039</t>
  </si>
  <si>
    <t>523213-01-SDW-FI-6006</t>
  </si>
  <si>
    <t>523213-01-RFAS-FI-0040</t>
  </si>
  <si>
    <t>Shop Drawing No.</t>
  </si>
  <si>
    <t>RFAS No.</t>
  </si>
  <si>
    <t>Actual Submission Date</t>
  </si>
  <si>
    <t>Combine Service</t>
  </si>
  <si>
    <t>528207-04-SDW-CSD-1100</t>
  </si>
  <si>
    <t>Level 1 - Combine Wall Layout Plan Index</t>
  </si>
  <si>
    <t>523213-01-RFAS-CSD-0001</t>
  </si>
  <si>
    <t>528207-04-SDW-CSD-1200</t>
  </si>
  <si>
    <t>Level 2 - Combine Wall Genset 1-2</t>
  </si>
  <si>
    <t>523213-01-RFAS-CSD-0002</t>
  </si>
  <si>
    <t>528207-04-SDW-CSD-1201</t>
  </si>
  <si>
    <t xml:space="preserve">Level 2 - Combine Wall Lv Switch Room A </t>
  </si>
  <si>
    <t>523213-01-RFAS-CSD-0003</t>
  </si>
  <si>
    <t>528207-04-SDW-CSD-1202</t>
  </si>
  <si>
    <t>Level 2 - Combine Wall Lv Switch Room B</t>
  </si>
  <si>
    <t>523213-01-RFAS-CSD-0004</t>
  </si>
  <si>
    <t>528207-04-SDW-CSD-1203</t>
  </si>
  <si>
    <t>Level 2 - Combine Wall Genset 3-4</t>
  </si>
  <si>
    <t>523213-01-RFAS-CSD-0005</t>
  </si>
  <si>
    <t>528207-04-SDW-CSD-1204</t>
  </si>
  <si>
    <t>Level 2 - Combine Wall Goods Lift Lobby , Stair ST-2</t>
  </si>
  <si>
    <t>523213-01-RFAS-CSD-0006</t>
  </si>
  <si>
    <t>528207-04-SDW-CSD-1205</t>
  </si>
  <si>
    <t>Level 2 - Combine Wall MDF A , ELV A , Fire Service , Battery A1</t>
  </si>
  <si>
    <t>523213-01-RFAS-CSD-0007</t>
  </si>
  <si>
    <t>528207-04-SDW-CSD-1206</t>
  </si>
  <si>
    <t>Level 2 - Combine Wall MDF B , ELV B  , Battery B1 , Spare Room</t>
  </si>
  <si>
    <t>523213-01-RFAS-CSD-0008</t>
  </si>
  <si>
    <t>528207-04-SDW-CSD-1207</t>
  </si>
  <si>
    <t>Level 2 - Combine Wall Fireman Lift , Toilet , Janitor , Stair 1</t>
  </si>
  <si>
    <t>523213-01-RFAS-CSD-0009</t>
  </si>
  <si>
    <t>528207-04-SDW-CSD-1208</t>
  </si>
  <si>
    <t>Level 2 - Combine Wall Data Hall A , Fan Wall A</t>
  </si>
  <si>
    <t>523213-01-RFAS-CSD-0010</t>
  </si>
  <si>
    <t>528207-04-SDW-CSD-1209</t>
  </si>
  <si>
    <t>Level 2 - Combine Wall Spare Space , Battery Room A2 &amp; B2</t>
  </si>
  <si>
    <t>523213-01-RFAS-CSD-0011</t>
  </si>
  <si>
    <t>528207-04-SDW-CSD-1210</t>
  </si>
  <si>
    <t>Level 2 - Combine Wall Data Hall C , Fan Wall C</t>
  </si>
  <si>
    <t>523213-01-RFAS-CSD-0012</t>
  </si>
  <si>
    <t>528207-04-SDW-CSD-1211</t>
  </si>
  <si>
    <t>Level 2 - Combine Wall Air Lock 2.1 , Comm Riser C1 , Stair ST-3</t>
  </si>
  <si>
    <t>523213-01-RFAS-CSD-0013</t>
  </si>
  <si>
    <t>528207-04-SDW-CSD-1212</t>
  </si>
  <si>
    <t>Level 2 - Combine Wall Air Lock 2.2 , Comm Riser C1 , Stair ST-4</t>
  </si>
  <si>
    <t>523213-01-RFAS-CSD-0014</t>
  </si>
  <si>
    <t>528207-04-SDW-CSD-1300</t>
  </si>
  <si>
    <t>Level 3 - Combine Wall Layout Plan</t>
  </si>
  <si>
    <t>523213-01-RFAS-CSD-0015</t>
  </si>
  <si>
    <t>528207-04-SDW-CSD-1400</t>
  </si>
  <si>
    <t>Level 4 - Combine Wall Layout Plan</t>
  </si>
  <si>
    <t>523213-01-RFAS-CSD-0016</t>
  </si>
  <si>
    <t>528207-04-SDW-CSD-1500</t>
  </si>
  <si>
    <t>Level 5 - Combine Wall Layout Plan</t>
  </si>
  <si>
    <t>523213-01-RFAS-CSD-0017</t>
  </si>
  <si>
    <t>528207-04-SDW-CSD-1600</t>
  </si>
  <si>
    <t>Level 6 - Combine Wall Layout Plan</t>
  </si>
  <si>
    <t>523213-01-RFAS-CSD-0018</t>
  </si>
  <si>
    <t>528207-04-SDW-CSD-1700</t>
  </si>
  <si>
    <t>Level Roof - Combine Wall Layout Plan</t>
  </si>
  <si>
    <t>523213-01-RFAS-CSD-0019</t>
  </si>
  <si>
    <t>528207-04-SDW-CSD-2100</t>
  </si>
  <si>
    <t>Level 1 - Combine Ceiling Layout Plan</t>
  </si>
  <si>
    <t>523213-01-RFAS-CSD-0020</t>
  </si>
  <si>
    <t>528207-04-SDW-CSD-2200</t>
  </si>
  <si>
    <t>Level 2 - Combine Ceiling Layout Plan</t>
  </si>
  <si>
    <t>523213-01-RFAS-CSD-0021</t>
  </si>
  <si>
    <t>528207-04-SDW-CSD-2201</t>
  </si>
  <si>
    <t>523213-01-RFAS-CSD-0022</t>
  </si>
  <si>
    <t>528207-04-SDW-CSD-2300</t>
  </si>
  <si>
    <t>Level 3 - Combine Ceiling Layout Plan</t>
  </si>
  <si>
    <t>528207-04-SDW-CSD-2400</t>
  </si>
  <si>
    <t>Level 4 - Combine Ceiling Layout Plan</t>
  </si>
  <si>
    <t>523213-01-RFAS-CSD-0023</t>
  </si>
  <si>
    <t>528207-04-SDW-CSD-2500</t>
  </si>
  <si>
    <t>Level 5 - Combine Ceiling Layout Plan</t>
  </si>
  <si>
    <t>523213-01-RFAS-CSD-0024</t>
  </si>
  <si>
    <t>528207-04-SDW-CSD-2600</t>
  </si>
  <si>
    <t>Level 6 - Combine Ceiling Layout Plan</t>
  </si>
  <si>
    <t>523213-01-RFAS-CSD-0025</t>
  </si>
  <si>
    <t>528207-04-SDW-CSD-2700</t>
  </si>
  <si>
    <t>Level Roof - Combine Ceiling Layout Plan</t>
  </si>
  <si>
    <t>523213-01-RFAS-CSD-0026</t>
  </si>
  <si>
    <t>Material Approval Summary</t>
  </si>
  <si>
    <t>Planned Equipment Material Approval</t>
  </si>
  <si>
    <t xml:space="preserve">Priority </t>
  </si>
  <si>
    <t>Complete with note</t>
  </si>
  <si>
    <t>Complete</t>
  </si>
  <si>
    <t>% Progress</t>
  </si>
  <si>
    <t>Overall Completion</t>
  </si>
  <si>
    <t>High</t>
  </si>
  <si>
    <t>Medium</t>
  </si>
  <si>
    <t>Low</t>
  </si>
  <si>
    <t>Total</t>
  </si>
  <si>
    <t>Doc Ref No.</t>
  </si>
  <si>
    <t>Plan Date</t>
  </si>
  <si>
    <t>Action By</t>
  </si>
  <si>
    <t>Delays Date</t>
  </si>
  <si>
    <t>Priority</t>
  </si>
  <si>
    <t>ARCHITECTURAL</t>
  </si>
  <si>
    <t>*Put only this</t>
  </si>
  <si>
    <t>dd/mm/yy</t>
  </si>
  <si>
    <t>ELECTRICAL</t>
  </si>
  <si>
    <t xml:space="preserve"> </t>
  </si>
  <si>
    <t>FIRE PROTECTION</t>
  </si>
  <si>
    <t>523213-01-RFAS-FI-0041</t>
  </si>
  <si>
    <t>523213-01-RFAS-FI-0042</t>
  </si>
  <si>
    <t>523213-01-RFAS-FI-0043</t>
  </si>
  <si>
    <t>523213-01-RFAS-FI-0044</t>
  </si>
  <si>
    <t>523213-01-RFAS-FI-0045</t>
  </si>
  <si>
    <t>523213-01-RFAS-FI-0046</t>
  </si>
  <si>
    <t>523213-01-RFAS-FI-0047</t>
  </si>
  <si>
    <t>523213-01-RFAS-FI-0048</t>
  </si>
  <si>
    <t>523213-01-RFAS-FI-0049</t>
  </si>
  <si>
    <t>523213-01-RFAS-FI-0050</t>
  </si>
  <si>
    <t>523213-01-RFAS-FI-0051</t>
  </si>
  <si>
    <t>523213-01-RFAS-FI-0052</t>
  </si>
  <si>
    <t>HYDRAULIC</t>
  </si>
  <si>
    <t>523213-01-RFAS-HY-0033</t>
  </si>
  <si>
    <t>523213-01-RFAS-HY-0034</t>
  </si>
  <si>
    <t>523213-01-RFAS-HY-0035</t>
  </si>
  <si>
    <t>523213-01-RFAS-HY-0036</t>
  </si>
  <si>
    <t>MECHANICAL</t>
  </si>
  <si>
    <t>STRUCTURAL</t>
  </si>
  <si>
    <t>CSD (Combine Shop Drawing)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</si>
</sst>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yy\ "/>
    <numFmt numFmtId="165" formatCode="dd\-mmm\-yy"/>
    <numFmt numFmtId="166" formatCode="###0;###0"/>
    <numFmt numFmtId="167" formatCode="[$-409]d\-mmm\-yy;@"/>
    <numFmt numFmtId="168" formatCode="[$-409]dd\-mmm\-yy;@"/>
    <numFmt numFmtId="169" formatCode="[$-14809]d\ mmm\ yyyy;@"/>
    <numFmt numFmtId="170" formatCode="[$-1010409]d\ mmm\ yy;@"/>
  </numFmts>
  <fonts count="72">
    <font>
      <sz val="11"/>
      <color theme="1"/>
      <name val="Tahoma"/>
      <family val="2"/>
      <scheme val="minor"/>
    </font>
    <font>
      <sz val="11"/>
      <color theme="1"/>
      <name val="Tahoma"/>
      <scheme val="minor"/>
    </font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000000"/>
      <name val="Calibri"/>
      <family val="2"/>
    </font>
    <font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sz val="8"/>
      <name val="Tahoma"/>
      <family val="2"/>
      <scheme val="minor"/>
    </font>
    <font>
      <b/>
      <u/>
      <sz val="11"/>
      <color theme="1"/>
      <name val="Tahoma"/>
      <family val="2"/>
      <scheme val="minor"/>
    </font>
    <font>
      <i/>
      <sz val="11"/>
      <color theme="1"/>
      <name val="Tahoma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0" tint="-0.499984740745262"/>
      <name val="Tahoma"/>
      <family val="2"/>
      <scheme val="minor"/>
    </font>
    <font>
      <b/>
      <sz val="11"/>
      <name val="Tahoma"/>
      <family val="2"/>
      <scheme val="minor"/>
    </font>
    <font>
      <sz val="10"/>
      <color rgb="FF000000"/>
      <name val="Calibri"/>
      <family val="2"/>
    </font>
    <font>
      <sz val="11"/>
      <color rgb="FFFF0000"/>
      <name val="Tahoma"/>
      <family val="2"/>
      <scheme val="minor"/>
    </font>
    <font>
      <b/>
      <sz val="11"/>
      <color rgb="FF000000"/>
      <name val="Tahoma"/>
      <family val="2"/>
      <scheme val="minor"/>
    </font>
    <font>
      <strike/>
      <u/>
      <sz val="11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u val="double"/>
      <sz val="12"/>
      <color theme="1"/>
      <name val="Tahoma"/>
      <family val="2"/>
      <scheme val="minor"/>
    </font>
    <font>
      <b/>
      <sz val="12"/>
      <color rgb="FF9D7C2D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8"/>
      <color theme="1"/>
      <name val="Tahoma"/>
      <family val="2"/>
      <scheme val="minor"/>
    </font>
    <font>
      <b/>
      <u/>
      <sz val="20"/>
      <color theme="1"/>
      <name val="Tahoma"/>
      <family val="2"/>
      <scheme val="minor"/>
    </font>
    <font>
      <sz val="11"/>
      <color rgb="FF242424"/>
      <name val="Aptos Narrow"/>
      <family val="2"/>
    </font>
    <font>
      <sz val="11"/>
      <color theme="0" tint="-0.34998626667073579"/>
      <name val="Tahoma"/>
      <family val="2"/>
      <scheme val="minor"/>
    </font>
    <font>
      <sz val="11"/>
      <color rgb="FF242424"/>
      <name val="Tahoma"/>
      <family val="2"/>
      <scheme val="minor"/>
    </font>
    <font>
      <i/>
      <sz val="11"/>
      <color rgb="FF000000"/>
      <name val="Tahoma"/>
      <family val="2"/>
      <scheme val="minor"/>
    </font>
    <font>
      <b/>
      <sz val="11"/>
      <color theme="1"/>
      <name val="Tahoma"/>
      <family val="2"/>
      <scheme val="major"/>
    </font>
    <font>
      <sz val="11"/>
      <color theme="1"/>
      <name val="Tahoma"/>
      <family val="2"/>
      <scheme val="major"/>
    </font>
    <font>
      <sz val="11"/>
      <color rgb="FF000000"/>
      <name val="Tahoma"/>
      <family val="2"/>
      <scheme val="major"/>
    </font>
    <font>
      <sz val="11"/>
      <color theme="1"/>
      <name val="Calibri"/>
    </font>
    <font>
      <sz val="11"/>
      <color rgb="FFFF0000"/>
      <name val="Calibri"/>
      <family val="2"/>
    </font>
    <font>
      <sz val="10"/>
      <color theme="1"/>
      <name val="Tahoma"/>
    </font>
    <font>
      <sz val="10"/>
      <color rgb="FF000000"/>
      <name val="Tahoma"/>
    </font>
    <font>
      <b/>
      <sz val="10"/>
      <color theme="1"/>
      <name val="Tahoma"/>
    </font>
    <font>
      <sz val="10"/>
      <name val="Tahoma"/>
    </font>
    <font>
      <strike/>
      <sz val="10"/>
      <color rgb="FF000000"/>
      <name val="Tahoma"/>
    </font>
    <font>
      <sz val="11"/>
      <color rgb="FFFF0000"/>
      <name val="Tahoma"/>
      <scheme val="minor"/>
    </font>
    <font>
      <b/>
      <sz val="11"/>
      <color theme="1"/>
      <name val="Tahoma"/>
      <scheme val="minor"/>
    </font>
    <font>
      <sz val="11"/>
      <name val="Tahoma"/>
      <scheme val="minor"/>
    </font>
    <font>
      <b/>
      <sz val="11"/>
      <name val="Tahoma"/>
      <scheme val="minor"/>
    </font>
    <font>
      <sz val="11"/>
      <color rgb="FF000000"/>
      <name val="Tahoma"/>
      <scheme val="minor"/>
    </font>
    <font>
      <sz val="12"/>
      <name val="Tahoma"/>
      <scheme val="minor"/>
    </font>
    <font>
      <b/>
      <sz val="12"/>
      <name val="Tahoma"/>
      <scheme val="minor"/>
    </font>
    <font>
      <b/>
      <sz val="12"/>
      <color theme="1"/>
      <name val="Tahoma"/>
      <scheme val="minor"/>
    </font>
    <font>
      <sz val="12"/>
      <color theme="1"/>
      <name val="Tahoma"/>
      <scheme val="minor"/>
    </font>
    <font>
      <sz val="12"/>
      <color rgb="FF000000"/>
      <name val="Tahoma"/>
      <scheme val="minor"/>
    </font>
    <font>
      <sz val="12"/>
      <color rgb="FFFF0000"/>
      <name val="Tahoma"/>
      <scheme val="minor"/>
    </font>
    <font>
      <sz val="12"/>
      <color rgb="FF242424"/>
      <name val="Tahoma"/>
      <scheme val="minor"/>
    </font>
    <font>
      <b/>
      <sz val="11"/>
      <color rgb="FF00B0F0"/>
      <name val="Tahoma"/>
      <family val="2"/>
      <scheme val="minor"/>
    </font>
    <font>
      <sz val="11"/>
      <name val="Calibri"/>
    </font>
    <font>
      <sz val="11"/>
      <color rgb="FFFF0000"/>
      <name val="Calibri"/>
    </font>
    <font>
      <sz val="11"/>
      <color rgb="FF242424"/>
      <name val="Aptos Narrow"/>
      <charset val="1"/>
    </font>
    <font>
      <sz val="12"/>
      <color rgb="FF000000"/>
      <name val="Tahoma"/>
      <family val="2"/>
      <scheme val="minor"/>
    </font>
    <font>
      <sz val="11"/>
      <color rgb="FF000000"/>
      <name val="Calibri"/>
    </font>
    <font>
      <sz val="11"/>
      <color rgb="FF242424"/>
      <name val="Tahoma"/>
      <scheme val="major"/>
    </font>
    <font>
      <sz val="10"/>
      <color theme="1"/>
      <name val="Tahoma"/>
      <family val="2"/>
    </font>
    <font>
      <b/>
      <sz val="11"/>
      <color theme="1"/>
      <name val="Tahoma"/>
      <scheme val="major"/>
    </font>
    <font>
      <sz val="11"/>
      <color theme="1"/>
      <name val="Tahoma"/>
      <scheme val="major"/>
    </font>
    <font>
      <b/>
      <sz val="9"/>
      <color rgb="FF000000"/>
      <name val="Tahoma"/>
      <family val="2"/>
      <scheme val="minor"/>
    </font>
    <font>
      <sz val="9"/>
      <color theme="1"/>
      <name val="Tahoma"/>
    </font>
    <font>
      <sz val="12"/>
      <color rgb="FFFF0000"/>
      <name val="Tahoma"/>
      <family val="2"/>
      <scheme val="minor"/>
    </font>
    <font>
      <sz val="11"/>
      <color theme="0" tint="-0.34998626667073579"/>
      <name val="Tahoma"/>
      <scheme val="minor"/>
    </font>
    <font>
      <sz val="11"/>
      <color theme="0" tint="-0.34998626667073579"/>
      <name val="Calibri"/>
      <family val="2"/>
    </font>
    <font>
      <sz val="12"/>
      <color theme="1"/>
      <name val="Tahoma"/>
    </font>
    <font>
      <sz val="12"/>
      <color rgb="FF242424"/>
      <name val="Tahoma"/>
    </font>
    <font>
      <sz val="12"/>
      <color rgb="FF000000"/>
      <name val="Tahoma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4BAB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D7C2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8" tint="0.59999389629810485"/>
        <bgColor indexed="64"/>
      </patternFill>
    </fill>
  </fills>
  <borders count="1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/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ashed">
        <color indexed="64"/>
      </top>
      <bottom style="dashed">
        <color indexed="64"/>
      </bottom>
      <diagonal/>
    </border>
    <border>
      <left style="dott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/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ash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5" fillId="0" borderId="0"/>
    <xf numFmtId="9" fontId="9" fillId="0" borderId="0" applyFont="0" applyFill="0" applyBorder="0" applyAlignment="0" applyProtection="0"/>
  </cellStyleXfs>
  <cellXfs count="1035">
    <xf numFmtId="0" fontId="0" fillId="0" borderId="0" xfId="0"/>
    <xf numFmtId="0" fontId="0" fillId="0" borderId="0" xfId="0" applyAlignment="1">
      <alignment horizontal="center" vertical="top"/>
    </xf>
    <xf numFmtId="165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center"/>
    </xf>
    <xf numFmtId="165" fontId="0" fillId="0" borderId="13" xfId="0" applyNumberForma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64" fontId="7" fillId="2" borderId="16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 vertical="top"/>
    </xf>
    <xf numFmtId="0" fontId="12" fillId="0" borderId="0" xfId="0" applyFont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4" borderId="32" xfId="0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4" borderId="35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13" fillId="0" borderId="0" xfId="0" applyFont="1"/>
    <xf numFmtId="0" fontId="13" fillId="0" borderId="39" xfId="0" applyFont="1" applyBorder="1" applyAlignment="1">
      <alignment horizontal="left" vertical="center"/>
    </xf>
    <xf numFmtId="0" fontId="13" fillId="0" borderId="40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14" fontId="6" fillId="0" borderId="0" xfId="0" applyNumberFormat="1" applyFont="1" applyAlignment="1">
      <alignment vertical="center"/>
    </xf>
    <xf numFmtId="0" fontId="0" fillId="4" borderId="23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 wrapText="1"/>
    </xf>
    <xf numFmtId="164" fontId="17" fillId="2" borderId="16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top"/>
    </xf>
    <xf numFmtId="14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14" fontId="6" fillId="0" borderId="0" xfId="0" applyNumberFormat="1" applyFont="1" applyAlignment="1">
      <alignment horizontal="left" vertical="center"/>
    </xf>
    <xf numFmtId="14" fontId="17" fillId="0" borderId="0" xfId="0" applyNumberFormat="1" applyFont="1" applyAlignment="1">
      <alignment horizontal="right" vertical="center"/>
    </xf>
    <xf numFmtId="165" fontId="7" fillId="8" borderId="13" xfId="0" applyNumberFormat="1" applyFont="1" applyFill="1" applyBorder="1" applyAlignment="1">
      <alignment horizontal="center" vertical="top"/>
    </xf>
    <xf numFmtId="165" fontId="7" fillId="7" borderId="13" xfId="0" applyNumberFormat="1" applyFont="1" applyFill="1" applyBorder="1" applyAlignment="1">
      <alignment horizontal="center" vertical="top"/>
    </xf>
    <xf numFmtId="165" fontId="7" fillId="9" borderId="13" xfId="0" applyNumberFormat="1" applyFont="1" applyFill="1" applyBorder="1" applyAlignment="1">
      <alignment horizontal="center" vertical="top"/>
    </xf>
    <xf numFmtId="0" fontId="0" fillId="4" borderId="27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0" xfId="0" applyFont="1" applyAlignment="1">
      <alignment horizontal="center" vertical="top"/>
    </xf>
    <xf numFmtId="165" fontId="0" fillId="0" borderId="0" xfId="0" applyNumberFormat="1" applyAlignment="1">
      <alignment horizontal="left" vertical="top"/>
    </xf>
    <xf numFmtId="14" fontId="17" fillId="0" borderId="0" xfId="0" applyNumberFormat="1" applyFont="1" applyAlignment="1">
      <alignment horizontal="right" vertical="top"/>
    </xf>
    <xf numFmtId="0" fontId="7" fillId="2" borderId="50" xfId="0" applyFont="1" applyFill="1" applyBorder="1" applyAlignment="1">
      <alignment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164" fontId="7" fillId="2" borderId="42" xfId="0" applyNumberFormat="1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9" fontId="0" fillId="0" borderId="1" xfId="4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vertical="center" wrapText="1"/>
    </xf>
    <xf numFmtId="0" fontId="7" fillId="2" borderId="55" xfId="0" applyFont="1" applyFill="1" applyBorder="1" applyAlignment="1">
      <alignment horizontal="center" vertical="center" wrapText="1"/>
    </xf>
    <xf numFmtId="164" fontId="7" fillId="2" borderId="55" xfId="0" applyNumberFormat="1" applyFont="1" applyFill="1" applyBorder="1" applyAlignment="1">
      <alignment horizontal="center" vertical="center" wrapText="1"/>
    </xf>
    <xf numFmtId="164" fontId="17" fillId="2" borderId="55" xfId="0" applyNumberFormat="1" applyFont="1" applyFill="1" applyBorder="1" applyAlignment="1">
      <alignment vertical="center" wrapText="1"/>
    </xf>
    <xf numFmtId="0" fontId="17" fillId="2" borderId="50" xfId="0" applyFont="1" applyFill="1" applyBorder="1" applyAlignment="1">
      <alignment vertical="center" wrapText="1"/>
    </xf>
    <xf numFmtId="0" fontId="7" fillId="2" borderId="60" xfId="0" applyFont="1" applyFill="1" applyBorder="1" applyAlignment="1">
      <alignment horizontal="center" vertical="top"/>
    </xf>
    <xf numFmtId="165" fontId="7" fillId="2" borderId="56" xfId="0" applyNumberFormat="1" applyFont="1" applyFill="1" applyBorder="1" applyAlignment="1">
      <alignment horizontal="center" vertical="top"/>
    </xf>
    <xf numFmtId="165" fontId="7" fillId="2" borderId="57" xfId="0" applyNumberFormat="1" applyFont="1" applyFill="1" applyBorder="1" applyAlignment="1">
      <alignment horizontal="center" vertical="top"/>
    </xf>
    <xf numFmtId="165" fontId="7" fillId="2" borderId="58" xfId="0" applyNumberFormat="1" applyFont="1" applyFill="1" applyBorder="1" applyAlignment="1">
      <alignment horizontal="center" vertical="top"/>
    </xf>
    <xf numFmtId="165" fontId="7" fillId="2" borderId="59" xfId="0" applyNumberFormat="1" applyFont="1" applyFill="1" applyBorder="1" applyAlignment="1">
      <alignment horizontal="center" vertical="top"/>
    </xf>
    <xf numFmtId="0" fontId="10" fillId="6" borderId="53" xfId="0" applyFont="1" applyFill="1" applyBorder="1" applyAlignment="1">
      <alignment horizontal="center" vertical="center"/>
    </xf>
    <xf numFmtId="165" fontId="10" fillId="6" borderId="53" xfId="0" applyNumberFormat="1" applyFont="1" applyFill="1" applyBorder="1" applyAlignment="1">
      <alignment horizontal="center" vertical="center"/>
    </xf>
    <xf numFmtId="0" fontId="10" fillId="11" borderId="53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top"/>
    </xf>
    <xf numFmtId="15" fontId="8" fillId="0" borderId="53" xfId="0" applyNumberFormat="1" applyFont="1" applyBorder="1" applyAlignment="1">
      <alignment horizontal="center" vertical="center"/>
    </xf>
    <xf numFmtId="165" fontId="10" fillId="0" borderId="53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center"/>
    </xf>
    <xf numFmtId="165" fontId="10" fillId="0" borderId="53" xfId="0" applyNumberFormat="1" applyFont="1" applyBorder="1" applyAlignment="1">
      <alignment horizontal="center" vertical="top"/>
    </xf>
    <xf numFmtId="0" fontId="6" fillId="0" borderId="53" xfId="0" applyFont="1" applyBorder="1" applyAlignment="1">
      <alignment horizontal="center" vertical="center"/>
    </xf>
    <xf numFmtId="165" fontId="0" fillId="0" borderId="53" xfId="0" applyNumberFormat="1" applyBorder="1" applyAlignment="1">
      <alignment horizontal="center" vertical="center"/>
    </xf>
    <xf numFmtId="15" fontId="15" fillId="0" borderId="53" xfId="0" applyNumberFormat="1" applyFont="1" applyBorder="1" applyAlignment="1">
      <alignment horizontal="center" vertical="center"/>
    </xf>
    <xf numFmtId="168" fontId="15" fillId="0" borderId="53" xfId="0" applyNumberFormat="1" applyFont="1" applyBorder="1" applyAlignment="1">
      <alignment horizontal="center" vertical="center"/>
    </xf>
    <xf numFmtId="165" fontId="0" fillId="0" borderId="53" xfId="0" applyNumberFormat="1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15" fontId="14" fillId="0" borderId="53" xfId="0" applyNumberFormat="1" applyFont="1" applyBorder="1" applyAlignment="1">
      <alignment horizontal="center" vertical="center"/>
    </xf>
    <xf numFmtId="0" fontId="14" fillId="0" borderId="53" xfId="0" applyFont="1" applyBorder="1" applyAlignment="1">
      <alignment horizontal="left" vertical="center"/>
    </xf>
    <xf numFmtId="0" fontId="10" fillId="0" borderId="53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67" fontId="15" fillId="0" borderId="53" xfId="0" applyNumberFormat="1" applyFont="1" applyBorder="1" applyAlignment="1">
      <alignment horizontal="center" vertical="center"/>
    </xf>
    <xf numFmtId="165" fontId="0" fillId="0" borderId="53" xfId="0" applyNumberFormat="1" applyBorder="1" applyAlignment="1">
      <alignment vertical="center"/>
    </xf>
    <xf numFmtId="0" fontId="0" fillId="0" borderId="53" xfId="0" applyBorder="1" applyAlignment="1">
      <alignment vertical="center"/>
    </xf>
    <xf numFmtId="0" fontId="14" fillId="0" borderId="53" xfId="0" applyFont="1" applyBorder="1" applyAlignment="1">
      <alignment horizontal="center" vertical="center"/>
    </xf>
    <xf numFmtId="0" fontId="17" fillId="2" borderId="55" xfId="0" applyFont="1" applyFill="1" applyBorder="1" applyAlignment="1">
      <alignment vertical="center" wrapText="1"/>
    </xf>
    <xf numFmtId="168" fontId="14" fillId="0" borderId="53" xfId="0" applyNumberFormat="1" applyFont="1" applyBorder="1" applyAlignment="1">
      <alignment horizontal="center" vertical="center"/>
    </xf>
    <xf numFmtId="166" fontId="8" fillId="0" borderId="53" xfId="0" applyNumberFormat="1" applyFont="1" applyBorder="1" applyAlignment="1">
      <alignment horizontal="center" vertical="center" wrapText="1"/>
    </xf>
    <xf numFmtId="168" fontId="8" fillId="0" borderId="53" xfId="0" applyNumberFormat="1" applyFont="1" applyBorder="1" applyAlignment="1">
      <alignment horizontal="center" vertical="center"/>
    </xf>
    <xf numFmtId="165" fontId="6" fillId="0" borderId="53" xfId="0" applyNumberFormat="1" applyFont="1" applyBorder="1" applyAlignment="1">
      <alignment horizontal="center" vertical="center"/>
    </xf>
    <xf numFmtId="0" fontId="6" fillId="12" borderId="53" xfId="0" applyFont="1" applyFill="1" applyBorder="1" applyAlignment="1">
      <alignment horizontal="center" vertical="center"/>
    </xf>
    <xf numFmtId="15" fontId="15" fillId="0" borderId="53" xfId="0" applyNumberFormat="1" applyFont="1" applyBorder="1" applyAlignment="1">
      <alignment vertical="center"/>
    </xf>
    <xf numFmtId="168" fontId="15" fillId="0" borderId="53" xfId="0" applyNumberFormat="1" applyFont="1" applyBorder="1" applyAlignment="1">
      <alignment vertical="center"/>
    </xf>
    <xf numFmtId="0" fontId="7" fillId="2" borderId="54" xfId="0" applyFont="1" applyFill="1" applyBorder="1" applyAlignment="1">
      <alignment vertical="center" wrapText="1"/>
    </xf>
    <xf numFmtId="164" fontId="7" fillId="2" borderId="55" xfId="0" applyNumberFormat="1" applyFont="1" applyFill="1" applyBorder="1" applyAlignment="1">
      <alignment vertical="center" wrapText="1"/>
    </xf>
    <xf numFmtId="0" fontId="7" fillId="2" borderId="50" xfId="0" applyFont="1" applyFill="1" applyBorder="1" applyAlignment="1">
      <alignment horizontal="left" vertical="top" wrapText="1"/>
    </xf>
    <xf numFmtId="0" fontId="15" fillId="0" borderId="53" xfId="0" applyFont="1" applyBorder="1" applyAlignment="1">
      <alignment horizontal="left" vertical="top" wrapText="1"/>
    </xf>
    <xf numFmtId="165" fontId="21" fillId="0" borderId="53" xfId="0" applyNumberFormat="1" applyFont="1" applyBorder="1" applyAlignment="1">
      <alignment horizontal="center" vertical="top"/>
    </xf>
    <xf numFmtId="165" fontId="7" fillId="9" borderId="13" xfId="0" applyNumberFormat="1" applyFont="1" applyFill="1" applyBorder="1" applyAlignment="1">
      <alignment horizontal="center" vertical="center"/>
    </xf>
    <xf numFmtId="165" fontId="7" fillId="8" borderId="13" xfId="0" applyNumberFormat="1" applyFont="1" applyFill="1" applyBorder="1" applyAlignment="1">
      <alignment horizontal="center" vertical="center"/>
    </xf>
    <xf numFmtId="165" fontId="7" fillId="7" borderId="13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0" fillId="7" borderId="0" xfId="0" applyFill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3" fillId="10" borderId="40" xfId="0" applyFont="1" applyFill="1" applyBorder="1" applyAlignment="1">
      <alignment horizontal="center"/>
    </xf>
    <xf numFmtId="10" fontId="0" fillId="4" borderId="63" xfId="0" applyNumberFormat="1" applyFill="1" applyBorder="1" applyAlignment="1">
      <alignment horizontal="center" vertical="center"/>
    </xf>
    <xf numFmtId="0" fontId="0" fillId="16" borderId="67" xfId="0" applyFill="1" applyBorder="1" applyAlignment="1">
      <alignment horizontal="center" vertical="center" wrapText="1"/>
    </xf>
    <xf numFmtId="0" fontId="0" fillId="7" borderId="64" xfId="0" applyFill="1" applyBorder="1" applyAlignment="1">
      <alignment horizontal="center" vertical="center" wrapText="1"/>
    </xf>
    <xf numFmtId="0" fontId="0" fillId="14" borderId="70" xfId="0" applyFill="1" applyBorder="1" applyAlignment="1">
      <alignment horizontal="center" vertical="center" wrapText="1"/>
    </xf>
    <xf numFmtId="0" fontId="13" fillId="16" borderId="40" xfId="0" applyFont="1" applyFill="1" applyBorder="1" applyAlignment="1">
      <alignment horizontal="center"/>
    </xf>
    <xf numFmtId="0" fontId="13" fillId="7" borderId="40" xfId="0" applyFont="1" applyFill="1" applyBorder="1" applyAlignment="1">
      <alignment horizontal="center"/>
    </xf>
    <xf numFmtId="0" fontId="13" fillId="14" borderId="40" xfId="0" applyFont="1" applyFill="1" applyBorder="1" applyAlignment="1">
      <alignment horizontal="center"/>
    </xf>
    <xf numFmtId="0" fontId="7" fillId="2" borderId="5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17" borderId="67" xfId="0" applyFill="1" applyBorder="1" applyAlignment="1">
      <alignment horizontal="center" vertical="center" wrapText="1"/>
    </xf>
    <xf numFmtId="0" fontId="0" fillId="18" borderId="5" xfId="0" applyFill="1" applyBorder="1" applyAlignment="1">
      <alignment horizontal="center" vertical="center"/>
    </xf>
    <xf numFmtId="0" fontId="13" fillId="18" borderId="71" xfId="0" applyFont="1" applyFill="1" applyBorder="1" applyAlignment="1">
      <alignment horizontal="center"/>
    </xf>
    <xf numFmtId="0" fontId="22" fillId="0" borderId="0" xfId="0" applyFont="1"/>
    <xf numFmtId="10" fontId="23" fillId="0" borderId="0" xfId="0" applyNumberFormat="1" applyFont="1"/>
    <xf numFmtId="0" fontId="0" fillId="16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10" fontId="0" fillId="4" borderId="71" xfId="0" applyNumberFormat="1" applyFill="1" applyBorder="1" applyAlignment="1">
      <alignment horizontal="center" vertical="center"/>
    </xf>
    <xf numFmtId="10" fontId="0" fillId="18" borderId="5" xfId="0" applyNumberFormat="1" applyFill="1" applyBorder="1" applyAlignment="1">
      <alignment horizontal="center" vertical="center"/>
    </xf>
    <xf numFmtId="10" fontId="0" fillId="18" borderId="49" xfId="0" applyNumberFormat="1" applyFill="1" applyBorder="1" applyAlignment="1">
      <alignment horizontal="center" vertical="center"/>
    </xf>
    <xf numFmtId="10" fontId="0" fillId="10" borderId="62" xfId="0" applyNumberFormat="1" applyFill="1" applyBorder="1" applyAlignment="1">
      <alignment horizontal="center" vertical="center"/>
    </xf>
    <xf numFmtId="10" fontId="0" fillId="10" borderId="63" xfId="0" applyNumberFormat="1" applyFill="1" applyBorder="1" applyAlignment="1">
      <alignment horizontal="center" vertical="center"/>
    </xf>
    <xf numFmtId="10" fontId="0" fillId="10" borderId="6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3" fillId="4" borderId="40" xfId="0" applyFont="1" applyFill="1" applyBorder="1" applyAlignment="1">
      <alignment horizontal="center"/>
    </xf>
    <xf numFmtId="0" fontId="10" fillId="0" borderId="72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73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69" fontId="0" fillId="0" borderId="0" xfId="0" applyNumberFormat="1" applyAlignment="1">
      <alignment horizontal="center" vertical="center" wrapText="1"/>
    </xf>
    <xf numFmtId="0" fontId="27" fillId="0" borderId="0" xfId="0" applyFont="1"/>
    <xf numFmtId="165" fontId="0" fillId="0" borderId="78" xfId="0" applyNumberForma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64" fontId="7" fillId="2" borderId="41" xfId="0" applyNumberFormat="1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164" fontId="17" fillId="2" borderId="41" xfId="0" applyNumberFormat="1" applyFont="1" applyFill="1" applyBorder="1" applyAlignment="1">
      <alignment horizontal="center" vertical="center" wrapText="1"/>
    </xf>
    <xf numFmtId="0" fontId="7" fillId="2" borderId="42" xfId="0" applyFont="1" applyFill="1" applyBorder="1" applyAlignment="1">
      <alignment vertical="center" wrapText="1"/>
    </xf>
    <xf numFmtId="0" fontId="17" fillId="2" borderId="42" xfId="0" applyFont="1" applyFill="1" applyBorder="1" applyAlignment="1">
      <alignment horizontal="center" vertical="center" wrapText="1"/>
    </xf>
    <xf numFmtId="164" fontId="17" fillId="2" borderId="42" xfId="0" applyNumberFormat="1" applyFont="1" applyFill="1" applyBorder="1" applyAlignment="1">
      <alignment vertical="center" wrapText="1"/>
    </xf>
    <xf numFmtId="0" fontId="17" fillId="2" borderId="42" xfId="0" applyFont="1" applyFill="1" applyBorder="1" applyAlignment="1">
      <alignment vertical="center" wrapText="1"/>
    </xf>
    <xf numFmtId="165" fontId="7" fillId="2" borderId="78" xfId="0" applyNumberFormat="1" applyFont="1" applyFill="1" applyBorder="1" applyAlignment="1">
      <alignment horizontal="center" vertical="center"/>
    </xf>
    <xf numFmtId="0" fontId="7" fillId="2" borderId="78" xfId="0" applyFont="1" applyFill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3" borderId="79" xfId="0" applyFill="1" applyBorder="1" applyAlignment="1">
      <alignment horizontal="center" vertical="center"/>
    </xf>
    <xf numFmtId="0" fontId="0" fillId="4" borderId="80" xfId="0" applyFill="1" applyBorder="1" applyAlignment="1">
      <alignment horizontal="center" vertical="center"/>
    </xf>
    <xf numFmtId="0" fontId="0" fillId="4" borderId="79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4" borderId="83" xfId="0" applyFill="1" applyBorder="1" applyAlignment="1">
      <alignment horizontal="center" vertical="center"/>
    </xf>
    <xf numFmtId="0" fontId="0" fillId="3" borderId="84" xfId="0" applyFill="1" applyBorder="1" applyAlignment="1">
      <alignment horizontal="center" vertical="center"/>
    </xf>
    <xf numFmtId="0" fontId="0" fillId="3" borderId="85" xfId="0" applyFill="1" applyBorder="1" applyAlignment="1">
      <alignment horizontal="center" vertical="center"/>
    </xf>
    <xf numFmtId="0" fontId="0" fillId="4" borderId="86" xfId="0" applyFill="1" applyBorder="1" applyAlignment="1">
      <alignment horizontal="center" vertical="center"/>
    </xf>
    <xf numFmtId="0" fontId="0" fillId="4" borderId="87" xfId="0" applyFill="1" applyBorder="1" applyAlignment="1">
      <alignment horizontal="center" vertical="center"/>
    </xf>
    <xf numFmtId="0" fontId="0" fillId="4" borderId="88" xfId="0" applyFill="1" applyBorder="1" applyAlignment="1">
      <alignment horizontal="center" vertical="center"/>
    </xf>
    <xf numFmtId="0" fontId="0" fillId="4" borderId="89" xfId="0" applyFill="1" applyBorder="1" applyAlignment="1">
      <alignment horizontal="center" vertical="center"/>
    </xf>
    <xf numFmtId="0" fontId="0" fillId="4" borderId="90" xfId="0" applyFill="1" applyBorder="1" applyAlignment="1">
      <alignment horizontal="center" vertical="center"/>
    </xf>
    <xf numFmtId="0" fontId="0" fillId="3" borderId="91" xfId="0" applyFill="1" applyBorder="1" applyAlignment="1">
      <alignment horizontal="center" vertical="center"/>
    </xf>
    <xf numFmtId="0" fontId="0" fillId="3" borderId="92" xfId="0" applyFill="1" applyBorder="1" applyAlignment="1">
      <alignment horizontal="center" vertical="center"/>
    </xf>
    <xf numFmtId="15" fontId="0" fillId="0" borderId="0" xfId="0" applyNumberFormat="1" applyAlignment="1">
      <alignment horizontal="center"/>
    </xf>
    <xf numFmtId="165" fontId="10" fillId="0" borderId="94" xfId="0" applyNumberFormat="1" applyFont="1" applyBorder="1" applyAlignment="1">
      <alignment horizontal="center" vertical="top"/>
    </xf>
    <xf numFmtId="168" fontId="0" fillId="0" borderId="0" xfId="0" applyNumberFormat="1"/>
    <xf numFmtId="0" fontId="10" fillId="0" borderId="93" xfId="0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168" fontId="20" fillId="22" borderId="0" xfId="0" applyNumberFormat="1" applyFont="1" applyFill="1" applyAlignment="1">
      <alignment horizontal="center" vertical="center"/>
    </xf>
    <xf numFmtId="0" fontId="20" fillId="24" borderId="0" xfId="0" applyFont="1" applyFill="1" applyAlignment="1">
      <alignment horizontal="center" vertical="center"/>
    </xf>
    <xf numFmtId="168" fontId="20" fillId="25" borderId="72" xfId="0" applyNumberFormat="1" applyFont="1" applyFill="1" applyBorder="1" applyAlignment="1">
      <alignment horizontal="center" vertical="center"/>
    </xf>
    <xf numFmtId="0" fontId="20" fillId="25" borderId="72" xfId="0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/>
    </xf>
    <xf numFmtId="0" fontId="6" fillId="0" borderId="72" xfId="0" applyFont="1" applyBorder="1" applyAlignment="1">
      <alignment horizontal="left" vertical="center"/>
    </xf>
    <xf numFmtId="16" fontId="10" fillId="11" borderId="72" xfId="0" applyNumberFormat="1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168" fontId="10" fillId="0" borderId="72" xfId="0" applyNumberFormat="1" applyFont="1" applyBorder="1" applyAlignment="1">
      <alignment horizontal="center" vertical="center"/>
    </xf>
    <xf numFmtId="15" fontId="10" fillId="11" borderId="72" xfId="0" applyNumberFormat="1" applyFont="1" applyFill="1" applyBorder="1" applyAlignment="1">
      <alignment horizontal="center" vertical="center"/>
    </xf>
    <xf numFmtId="15" fontId="10" fillId="0" borderId="72" xfId="0" applyNumberFormat="1" applyFont="1" applyBorder="1" applyAlignment="1">
      <alignment horizontal="center" vertical="center"/>
    </xf>
    <xf numFmtId="15" fontId="10" fillId="0" borderId="53" xfId="0" applyNumberFormat="1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 wrapText="1"/>
    </xf>
    <xf numFmtId="0" fontId="10" fillId="0" borderId="72" xfId="0" applyFont="1" applyBorder="1" applyAlignment="1">
      <alignment vertical="center"/>
    </xf>
    <xf numFmtId="0" fontId="10" fillId="0" borderId="72" xfId="0" quotePrefix="1" applyFont="1" applyBorder="1" applyAlignment="1">
      <alignment horizontal="center" vertical="center"/>
    </xf>
    <xf numFmtId="167" fontId="20" fillId="23" borderId="0" xfId="0" applyNumberFormat="1" applyFont="1" applyFill="1" applyAlignment="1">
      <alignment horizontal="center" vertical="center"/>
    </xf>
    <xf numFmtId="167" fontId="20" fillId="25" borderId="72" xfId="0" applyNumberFormat="1" applyFont="1" applyFill="1" applyBorder="1" applyAlignment="1">
      <alignment horizontal="center" vertical="center"/>
    </xf>
    <xf numFmtId="167" fontId="10" fillId="0" borderId="72" xfId="0" applyNumberFormat="1" applyFont="1" applyBorder="1" applyAlignment="1">
      <alignment horizontal="center" vertical="center"/>
    </xf>
    <xf numFmtId="167" fontId="10" fillId="0" borderId="53" xfId="0" applyNumberFormat="1" applyFont="1" applyBorder="1" applyAlignment="1">
      <alignment horizontal="center" vertical="center"/>
    </xf>
    <xf numFmtId="167" fontId="0" fillId="0" borderId="0" xfId="0" applyNumberFormat="1"/>
    <xf numFmtId="167" fontId="6" fillId="0" borderId="0" xfId="0" applyNumberFormat="1" applyFont="1" applyAlignment="1">
      <alignment horizontal="center" vertical="center"/>
    </xf>
    <xf numFmtId="15" fontId="0" fillId="0" borderId="13" xfId="0" applyNumberFormat="1" applyBorder="1" applyAlignment="1">
      <alignment horizontal="center" vertical="top"/>
    </xf>
    <xf numFmtId="15" fontId="7" fillId="2" borderId="59" xfId="0" applyNumberFormat="1" applyFont="1" applyFill="1" applyBorder="1" applyAlignment="1">
      <alignment horizontal="center" vertical="top"/>
    </xf>
    <xf numFmtId="15" fontId="0" fillId="0" borderId="0" xfId="0" applyNumberFormat="1" applyAlignment="1">
      <alignment horizontal="center" vertical="top"/>
    </xf>
    <xf numFmtId="167" fontId="10" fillId="0" borderId="0" xfId="0" applyNumberFormat="1" applyFont="1" applyAlignment="1">
      <alignment horizontal="center" vertical="center"/>
    </xf>
    <xf numFmtId="167" fontId="10" fillId="11" borderId="72" xfId="0" applyNumberFormat="1" applyFont="1" applyFill="1" applyBorder="1" applyAlignment="1">
      <alignment horizontal="center" vertical="center"/>
    </xf>
    <xf numFmtId="0" fontId="28" fillId="0" borderId="0" xfId="0" applyFont="1"/>
    <xf numFmtId="0" fontId="10" fillId="0" borderId="96" xfId="0" applyFont="1" applyBorder="1" applyAlignment="1">
      <alignment horizontal="center"/>
    </xf>
    <xf numFmtId="15" fontId="8" fillId="0" borderId="94" xfId="0" applyNumberFormat="1" applyFont="1" applyBorder="1" applyAlignment="1">
      <alignment horizontal="center" vertical="center"/>
    </xf>
    <xf numFmtId="15" fontId="15" fillId="0" borderId="94" xfId="0" applyNumberFormat="1" applyFont="1" applyBorder="1" applyAlignment="1">
      <alignment horizontal="center" vertical="center"/>
    </xf>
    <xf numFmtId="168" fontId="10" fillId="5" borderId="44" xfId="0" applyNumberFormat="1" applyFont="1" applyFill="1" applyBorder="1" applyAlignment="1">
      <alignment horizontal="center" vertical="center"/>
    </xf>
    <xf numFmtId="168" fontId="0" fillId="5" borderId="44" xfId="0" applyNumberFormat="1" applyFill="1" applyBorder="1" applyAlignment="1">
      <alignment horizontal="center" vertical="center"/>
    </xf>
    <xf numFmtId="15" fontId="14" fillId="0" borderId="94" xfId="0" applyNumberFormat="1" applyFont="1" applyBorder="1" applyAlignment="1">
      <alignment horizontal="center" vertical="center"/>
    </xf>
    <xf numFmtId="15" fontId="8" fillId="5" borderId="94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left" vertical="center" wrapText="1"/>
    </xf>
    <xf numFmtId="0" fontId="0" fillId="0" borderId="98" xfId="0" applyBorder="1" applyAlignment="1">
      <alignment horizontal="center" vertical="center"/>
    </xf>
    <xf numFmtId="165" fontId="6" fillId="5" borderId="44" xfId="0" applyNumberFormat="1" applyFont="1" applyFill="1" applyBorder="1" applyAlignment="1">
      <alignment horizontal="center" vertical="center"/>
    </xf>
    <xf numFmtId="0" fontId="10" fillId="0" borderId="99" xfId="3" applyFont="1" applyBorder="1" applyAlignment="1">
      <alignment horizontal="left" vertical="center" wrapText="1"/>
    </xf>
    <xf numFmtId="0" fontId="0" fillId="0" borderId="101" xfId="0" applyBorder="1" applyAlignment="1">
      <alignment horizontal="center" vertical="center"/>
    </xf>
    <xf numFmtId="0" fontId="0" fillId="0" borderId="102" xfId="0" applyBorder="1" applyAlignment="1">
      <alignment horizontal="center" vertical="center" wrapText="1"/>
    </xf>
    <xf numFmtId="0" fontId="0" fillId="0" borderId="103" xfId="0" applyBorder="1" applyAlignment="1">
      <alignment horizontal="center" vertical="center" wrapText="1"/>
    </xf>
    <xf numFmtId="14" fontId="10" fillId="0" borderId="72" xfId="0" applyNumberFormat="1" applyFont="1" applyBorder="1" applyAlignment="1">
      <alignment horizontal="center" vertical="center"/>
    </xf>
    <xf numFmtId="0" fontId="0" fillId="0" borderId="97" xfId="0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/>
    </xf>
    <xf numFmtId="169" fontId="0" fillId="0" borderId="104" xfId="0" applyNumberForma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 wrapText="1"/>
    </xf>
    <xf numFmtId="15" fontId="15" fillId="0" borderId="0" xfId="0" applyNumberFormat="1" applyFont="1" applyAlignment="1">
      <alignment horizontal="center"/>
    </xf>
    <xf numFmtId="165" fontId="0" fillId="0" borderId="0" xfId="0" quotePrefix="1" applyNumberFormat="1" applyAlignment="1">
      <alignment horizontal="center" vertical="center"/>
    </xf>
    <xf numFmtId="0" fontId="0" fillId="0" borderId="105" xfId="0" applyBorder="1" applyAlignment="1">
      <alignment horizontal="center" vertical="center" wrapText="1"/>
    </xf>
    <xf numFmtId="165" fontId="21" fillId="0" borderId="0" xfId="0" applyNumberFormat="1" applyFont="1" applyAlignment="1">
      <alignment horizontal="center" vertical="top"/>
    </xf>
    <xf numFmtId="0" fontId="26" fillId="21" borderId="58" xfId="0" applyFont="1" applyFill="1" applyBorder="1" applyAlignment="1">
      <alignment horizontal="center" vertical="center" wrapText="1"/>
    </xf>
    <xf numFmtId="15" fontId="14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/>
    <xf numFmtId="167" fontId="3" fillId="0" borderId="0" xfId="0" applyNumberFormat="1" applyFont="1"/>
    <xf numFmtId="168" fontId="3" fillId="0" borderId="0" xfId="0" applyNumberFormat="1" applyFont="1"/>
    <xf numFmtId="0" fontId="8" fillId="0" borderId="0" xfId="0" applyFont="1" applyAlignment="1">
      <alignment horizontal="center" vertical="center" wrapText="1"/>
    </xf>
    <xf numFmtId="15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15" fontId="8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165" fontId="10" fillId="5" borderId="53" xfId="0" applyNumberFormat="1" applyFont="1" applyFill="1" applyBorder="1" applyAlignment="1">
      <alignment horizontal="center" vertical="center"/>
    </xf>
    <xf numFmtId="0" fontId="10" fillId="5" borderId="53" xfId="0" applyFont="1" applyFill="1" applyBorder="1" applyAlignment="1">
      <alignment horizontal="center" vertical="center"/>
    </xf>
    <xf numFmtId="165" fontId="6" fillId="5" borderId="53" xfId="0" applyNumberFormat="1" applyFont="1" applyFill="1" applyBorder="1" applyAlignment="1">
      <alignment horizontal="center" vertical="center"/>
    </xf>
    <xf numFmtId="0" fontId="6" fillId="5" borderId="53" xfId="0" applyFont="1" applyFill="1" applyBorder="1" applyAlignment="1">
      <alignment horizontal="center" vertical="center"/>
    </xf>
    <xf numFmtId="168" fontId="0" fillId="5" borderId="75" xfId="0" applyNumberFormat="1" applyFill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68" fontId="0" fillId="5" borderId="57" xfId="0" applyNumberFormat="1" applyFill="1" applyBorder="1" applyAlignment="1">
      <alignment horizontal="center" vertical="center"/>
    </xf>
    <xf numFmtId="168" fontId="0" fillId="5" borderId="43" xfId="0" applyNumberForma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0" fillId="0" borderId="99" xfId="0" applyFont="1" applyBorder="1" applyAlignment="1">
      <alignment horizontal="left" vertical="center"/>
    </xf>
    <xf numFmtId="0" fontId="6" fillId="0" borderId="99" xfId="3" applyFont="1" applyBorder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5" borderId="53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0" fillId="3" borderId="99" xfId="0" applyFont="1" applyFill="1" applyBorder="1" applyAlignment="1">
      <alignment horizontal="left" vertical="center"/>
    </xf>
    <xf numFmtId="0" fontId="16" fillId="0" borderId="99" xfId="0" applyFont="1" applyBorder="1" applyAlignment="1">
      <alignment horizontal="left" vertical="center"/>
    </xf>
    <xf numFmtId="0" fontId="16" fillId="0" borderId="98" xfId="0" applyFont="1" applyBorder="1" applyAlignment="1">
      <alignment horizontal="center" vertical="center"/>
    </xf>
    <xf numFmtId="169" fontId="0" fillId="0" borderId="109" xfId="0" applyNumberFormat="1" applyBorder="1" applyAlignment="1">
      <alignment horizontal="center" vertical="center" wrapText="1"/>
    </xf>
    <xf numFmtId="0" fontId="0" fillId="0" borderId="112" xfId="0" applyBorder="1" applyAlignment="1">
      <alignment horizontal="center" vertical="center"/>
    </xf>
    <xf numFmtId="0" fontId="10" fillId="0" borderId="112" xfId="0" applyFont="1" applyBorder="1" applyAlignment="1">
      <alignment horizontal="center" vertical="center"/>
    </xf>
    <xf numFmtId="0" fontId="6" fillId="0" borderId="112" xfId="0" applyFont="1" applyBorder="1" applyAlignment="1">
      <alignment horizontal="center" vertical="center"/>
    </xf>
    <xf numFmtId="0" fontId="0" fillId="0" borderId="112" xfId="0" applyBorder="1" applyAlignment="1">
      <alignment vertical="center"/>
    </xf>
    <xf numFmtId="0" fontId="0" fillId="0" borderId="113" xfId="0" applyBorder="1" applyAlignment="1">
      <alignment horizontal="center" vertical="center"/>
    </xf>
    <xf numFmtId="15" fontId="15" fillId="0" borderId="101" xfId="0" applyNumberFormat="1" applyFont="1" applyBorder="1" applyAlignment="1">
      <alignment horizontal="center" vertical="center"/>
    </xf>
    <xf numFmtId="168" fontId="0" fillId="5" borderId="114" xfId="0" applyNumberFormat="1" applyFill="1" applyBorder="1" applyAlignment="1">
      <alignment horizontal="center" vertical="center"/>
    </xf>
    <xf numFmtId="168" fontId="0" fillId="5" borderId="108" xfId="0" applyNumberFormat="1" applyFill="1" applyBorder="1" applyAlignment="1">
      <alignment horizontal="center" vertical="center"/>
    </xf>
    <xf numFmtId="168" fontId="29" fillId="3" borderId="44" xfId="0" applyNumberFormat="1" applyFont="1" applyFill="1" applyBorder="1" applyAlignment="1">
      <alignment horizontal="center" vertical="center"/>
    </xf>
    <xf numFmtId="168" fontId="16" fillId="5" borderId="44" xfId="0" applyNumberFormat="1" applyFont="1" applyFill="1" applyBorder="1" applyAlignment="1">
      <alignment horizontal="center" vertical="center"/>
    </xf>
    <xf numFmtId="168" fontId="10" fillId="3" borderId="44" xfId="0" applyNumberFormat="1" applyFont="1" applyFill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6" fillId="0" borderId="119" xfId="0" applyFont="1" applyBorder="1" applyAlignment="1">
      <alignment horizontal="center" vertical="center"/>
    </xf>
    <xf numFmtId="0" fontId="10" fillId="6" borderId="119" xfId="0" applyFont="1" applyFill="1" applyBorder="1" applyAlignment="1">
      <alignment horizontal="center" vertical="center"/>
    </xf>
    <xf numFmtId="165" fontId="6" fillId="0" borderId="119" xfId="0" applyNumberFormat="1" applyFont="1" applyBorder="1" applyAlignment="1">
      <alignment horizontal="center" vertical="center"/>
    </xf>
    <xf numFmtId="0" fontId="7" fillId="0" borderId="119" xfId="0" applyFont="1" applyBorder="1" applyAlignment="1">
      <alignment horizontal="center" vertical="center"/>
    </xf>
    <xf numFmtId="15" fontId="0" fillId="0" borderId="99" xfId="0" applyNumberFormat="1" applyBorder="1" applyAlignment="1">
      <alignment horizontal="center" vertical="center" wrapText="1"/>
    </xf>
    <xf numFmtId="0" fontId="0" fillId="0" borderId="120" xfId="0" applyBorder="1" applyAlignment="1">
      <alignment horizontal="center" vertical="center" wrapText="1"/>
    </xf>
    <xf numFmtId="0" fontId="20" fillId="25" borderId="41" xfId="0" applyFont="1" applyFill="1" applyBorder="1" applyAlignment="1">
      <alignment horizontal="center" vertical="center" wrapText="1"/>
    </xf>
    <xf numFmtId="0" fontId="20" fillId="25" borderId="72" xfId="0" applyFont="1" applyFill="1" applyBorder="1" applyAlignment="1">
      <alignment horizontal="center" vertical="center" wrapText="1"/>
    </xf>
    <xf numFmtId="166" fontId="10" fillId="0" borderId="53" xfId="0" applyNumberFormat="1" applyFont="1" applyBorder="1" applyAlignment="1">
      <alignment horizontal="center" vertical="center" wrapText="1"/>
    </xf>
    <xf numFmtId="0" fontId="10" fillId="0" borderId="53" xfId="0" applyFont="1" applyBorder="1" applyAlignment="1">
      <alignment horizontal="left" vertical="top" wrapText="1"/>
    </xf>
    <xf numFmtId="15" fontId="10" fillId="0" borderId="53" xfId="0" applyNumberFormat="1" applyFont="1" applyBorder="1" applyAlignment="1">
      <alignment horizontal="center"/>
    </xf>
    <xf numFmtId="167" fontId="10" fillId="0" borderId="53" xfId="0" applyNumberFormat="1" applyFont="1" applyBorder="1" applyAlignment="1">
      <alignment horizontal="center"/>
    </xf>
    <xf numFmtId="0" fontId="0" fillId="5" borderId="53" xfId="0" applyFill="1" applyBorder="1" applyAlignment="1">
      <alignment horizontal="center" vertical="center" wrapText="1"/>
    </xf>
    <xf numFmtId="0" fontId="10" fillId="5" borderId="53" xfId="0" applyFont="1" applyFill="1" applyBorder="1" applyAlignment="1">
      <alignment horizontal="center" vertical="center" wrapText="1"/>
    </xf>
    <xf numFmtId="0" fontId="0" fillId="0" borderId="99" xfId="0" applyBorder="1" applyAlignment="1">
      <alignment horizontal="left" vertical="center"/>
    </xf>
    <xf numFmtId="0" fontId="10" fillId="0" borderId="53" xfId="0" applyFont="1" applyBorder="1" applyAlignment="1">
      <alignment horizontal="left" vertical="center" wrapText="1"/>
    </xf>
    <xf numFmtId="15" fontId="0" fillId="0" borderId="53" xfId="0" applyNumberFormat="1" applyBorder="1" applyAlignment="1">
      <alignment horizontal="center" vertical="center"/>
    </xf>
    <xf numFmtId="0" fontId="0" fillId="0" borderId="53" xfId="0" applyBorder="1" applyAlignment="1">
      <alignment horizontal="left" vertical="top" wrapText="1"/>
    </xf>
    <xf numFmtId="15" fontId="0" fillId="0" borderId="53" xfId="0" applyNumberFormat="1" applyBorder="1" applyAlignment="1">
      <alignment horizontal="center"/>
    </xf>
    <xf numFmtId="0" fontId="10" fillId="0" borderId="78" xfId="0" applyFont="1" applyBorder="1" applyAlignment="1">
      <alignment horizontal="center"/>
    </xf>
    <xf numFmtId="15" fontId="10" fillId="0" borderId="95" xfId="0" applyNumberFormat="1" applyFont="1" applyBorder="1" applyAlignment="1">
      <alignment horizontal="center"/>
    </xf>
    <xf numFmtId="15" fontId="10" fillId="0" borderId="95" xfId="0" applyNumberFormat="1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/>
    </xf>
    <xf numFmtId="15" fontId="6" fillId="0" borderId="53" xfId="0" applyNumberFormat="1" applyFont="1" applyBorder="1" applyAlignment="1">
      <alignment horizontal="center" vertical="center"/>
    </xf>
    <xf numFmtId="0" fontId="10" fillId="0" borderId="72" xfId="0" applyFont="1" applyBorder="1" applyAlignment="1">
      <alignment horizontal="center"/>
    </xf>
    <xf numFmtId="0" fontId="10" fillId="3" borderId="53" xfId="0" applyFont="1" applyFill="1" applyBorder="1" applyAlignment="1">
      <alignment horizontal="center" vertical="center" wrapText="1"/>
    </xf>
    <xf numFmtId="0" fontId="0" fillId="3" borderId="98" xfId="0" applyFill="1" applyBorder="1" applyAlignment="1">
      <alignment horizontal="center" vertical="center"/>
    </xf>
    <xf numFmtId="0" fontId="0" fillId="3" borderId="101" xfId="0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10" fillId="0" borderId="78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165" fontId="0" fillId="0" borderId="94" xfId="0" applyNumberFormat="1" applyBorder="1" applyAlignment="1">
      <alignment horizontal="center" vertical="top"/>
    </xf>
    <xf numFmtId="0" fontId="10" fillId="0" borderId="93" xfId="0" applyFont="1" applyBorder="1" applyAlignment="1">
      <alignment horizontal="center" vertical="center"/>
    </xf>
    <xf numFmtId="15" fontId="0" fillId="0" borderId="53" xfId="0" applyNumberFormat="1" applyBorder="1" applyAlignment="1">
      <alignment horizontal="center" vertical="top"/>
    </xf>
    <xf numFmtId="15" fontId="0" fillId="0" borderId="78" xfId="0" applyNumberFormat="1" applyBorder="1" applyAlignment="1">
      <alignment horizontal="center" vertical="center"/>
    </xf>
    <xf numFmtId="15" fontId="0" fillId="0" borderId="95" xfId="0" applyNumberFormat="1" applyBorder="1" applyAlignment="1">
      <alignment horizontal="center" vertical="center"/>
    </xf>
    <xf numFmtId="165" fontId="0" fillId="0" borderId="53" xfId="0" quotePrefix="1" applyNumberFormat="1" applyBorder="1" applyAlignment="1">
      <alignment horizontal="center" vertical="top"/>
    </xf>
    <xf numFmtId="15" fontId="0" fillId="0" borderId="53" xfId="0" quotePrefix="1" applyNumberFormat="1" applyBorder="1" applyAlignment="1">
      <alignment horizontal="center" vertical="center"/>
    </xf>
    <xf numFmtId="0" fontId="0" fillId="5" borderId="99" xfId="0" applyFill="1" applyBorder="1" applyAlignment="1">
      <alignment horizontal="left" vertical="center"/>
    </xf>
    <xf numFmtId="15" fontId="10" fillId="5" borderId="53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0" fillId="0" borderId="53" xfId="0" applyBorder="1" applyAlignment="1">
      <alignment horizontal="left" vertical="center"/>
    </xf>
    <xf numFmtId="168" fontId="0" fillId="5" borderId="53" xfId="0" applyNumberFormat="1" applyFill="1" applyBorder="1" applyAlignment="1">
      <alignment horizontal="center" vertical="center"/>
    </xf>
    <xf numFmtId="15" fontId="10" fillId="6" borderId="53" xfId="0" applyNumberFormat="1" applyFont="1" applyFill="1" applyBorder="1" applyAlignment="1">
      <alignment horizontal="center" vertical="center"/>
    </xf>
    <xf numFmtId="166" fontId="0" fillId="0" borderId="53" xfId="0" applyNumberFormat="1" applyBorder="1" applyAlignment="1">
      <alignment horizontal="center" vertical="center" wrapText="1"/>
    </xf>
    <xf numFmtId="0" fontId="10" fillId="6" borderId="53" xfId="0" applyFont="1" applyFill="1" applyBorder="1" applyAlignment="1">
      <alignment horizontal="left" vertical="center" wrapText="1"/>
    </xf>
    <xf numFmtId="0" fontId="0" fillId="6" borderId="53" xfId="0" applyFill="1" applyBorder="1" applyAlignment="1">
      <alignment horizontal="center" vertical="center"/>
    </xf>
    <xf numFmtId="15" fontId="0" fillId="6" borderId="53" xfId="0" applyNumberFormat="1" applyFill="1" applyBorder="1" applyAlignment="1">
      <alignment horizontal="center" vertical="center"/>
    </xf>
    <xf numFmtId="15" fontId="6" fillId="6" borderId="53" xfId="0" applyNumberFormat="1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left" vertical="center" wrapText="1"/>
    </xf>
    <xf numFmtId="165" fontId="0" fillId="6" borderId="53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5" fontId="0" fillId="5" borderId="53" xfId="0" applyNumberFormat="1" applyFill="1" applyBorder="1" applyAlignment="1">
      <alignment horizontal="center" vertical="center"/>
    </xf>
    <xf numFmtId="165" fontId="0" fillId="5" borderId="53" xfId="0" applyNumberFormat="1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0" borderId="53" xfId="0" applyFont="1" applyBorder="1" applyAlignment="1">
      <alignment horizontal="left" vertical="center" wrapText="1"/>
    </xf>
    <xf numFmtId="168" fontId="0" fillId="0" borderId="53" xfId="0" applyNumberFormat="1" applyBorder="1" applyAlignment="1">
      <alignment horizontal="center" vertical="center"/>
    </xf>
    <xf numFmtId="0" fontId="6" fillId="0" borderId="53" xfId="0" applyFont="1" applyBorder="1" applyAlignment="1">
      <alignment horizontal="left" vertical="center"/>
    </xf>
    <xf numFmtId="15" fontId="31" fillId="0" borderId="53" xfId="0" applyNumberFormat="1" applyFont="1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168" fontId="0" fillId="0" borderId="74" xfId="0" applyNumberFormat="1" applyBorder="1" applyAlignment="1">
      <alignment horizontal="center" vertical="center"/>
    </xf>
    <xf numFmtId="15" fontId="31" fillId="0" borderId="119" xfId="0" applyNumberFormat="1" applyFont="1" applyBorder="1" applyAlignment="1">
      <alignment horizontal="center" vertical="center"/>
    </xf>
    <xf numFmtId="166" fontId="0" fillId="0" borderId="119" xfId="0" applyNumberFormat="1" applyBorder="1" applyAlignment="1">
      <alignment horizontal="center" vertical="center" wrapText="1"/>
    </xf>
    <xf numFmtId="165" fontId="0" fillId="0" borderId="119" xfId="0" applyNumberForma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10" fillId="6" borderId="53" xfId="0" applyFont="1" applyFill="1" applyBorder="1" applyAlignment="1">
      <alignment horizontal="center" vertical="center" wrapText="1"/>
    </xf>
    <xf numFmtId="0" fontId="10" fillId="6" borderId="119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30" fillId="0" borderId="0" xfId="0" applyFont="1" applyAlignment="1">
      <alignment vertical="center"/>
    </xf>
    <xf numFmtId="166" fontId="0" fillId="0" borderId="0" xfId="0" applyNumberForma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5" fontId="7" fillId="2" borderId="56" xfId="0" applyNumberFormat="1" applyFont="1" applyFill="1" applyBorder="1" applyAlignment="1">
      <alignment horizontal="center" vertical="center"/>
    </xf>
    <xf numFmtId="165" fontId="7" fillId="2" borderId="57" xfId="0" applyNumberFormat="1" applyFont="1" applyFill="1" applyBorder="1" applyAlignment="1">
      <alignment horizontal="center" vertical="center"/>
    </xf>
    <xf numFmtId="165" fontId="7" fillId="2" borderId="58" xfId="0" applyNumberFormat="1" applyFont="1" applyFill="1" applyBorder="1" applyAlignment="1">
      <alignment horizontal="center" vertical="center"/>
    </xf>
    <xf numFmtId="165" fontId="7" fillId="2" borderId="59" xfId="0" applyNumberFormat="1" applyFont="1" applyFill="1" applyBorder="1" applyAlignment="1">
      <alignment horizontal="center" vertical="center"/>
    </xf>
    <xf numFmtId="0" fontId="7" fillId="2" borderId="60" xfId="0" applyFont="1" applyFill="1" applyBorder="1" applyAlignment="1">
      <alignment horizontal="center" vertical="center"/>
    </xf>
    <xf numFmtId="0" fontId="10" fillId="0" borderId="53" xfId="0" applyFont="1" applyBorder="1" applyAlignment="1">
      <alignment vertical="center" wrapText="1"/>
    </xf>
    <xf numFmtId="0" fontId="33" fillId="0" borderId="0" xfId="0" applyFont="1" applyAlignment="1">
      <alignment vertical="center"/>
    </xf>
    <xf numFmtId="0" fontId="33" fillId="0" borderId="0" xfId="0" applyFont="1"/>
    <xf numFmtId="0" fontId="32" fillId="2" borderId="42" xfId="0" applyFont="1" applyFill="1" applyBorder="1" applyAlignment="1">
      <alignment horizontal="center" vertical="center" wrapText="1"/>
    </xf>
    <xf numFmtId="0" fontId="32" fillId="7" borderId="42" xfId="0" applyFont="1" applyFill="1" applyBorder="1" applyAlignment="1">
      <alignment horizontal="center" vertical="center" wrapText="1"/>
    </xf>
    <xf numFmtId="164" fontId="32" fillId="2" borderId="126" xfId="0" applyNumberFormat="1" applyFont="1" applyFill="1" applyBorder="1" applyAlignment="1">
      <alignment horizontal="center" vertical="center" wrapText="1"/>
    </xf>
    <xf numFmtId="164" fontId="32" fillId="2" borderId="125" xfId="0" applyNumberFormat="1" applyFont="1" applyFill="1" applyBorder="1" applyAlignment="1">
      <alignment horizontal="center" vertical="center" wrapText="1"/>
    </xf>
    <xf numFmtId="164" fontId="32" fillId="2" borderId="0" xfId="0" applyNumberFormat="1" applyFont="1" applyFill="1" applyAlignment="1">
      <alignment horizontal="center" vertical="center" wrapText="1"/>
    </xf>
    <xf numFmtId="0" fontId="32" fillId="10" borderId="1" xfId="0" applyFont="1" applyFill="1" applyBorder="1" applyAlignment="1">
      <alignment horizontal="left" vertical="center"/>
    </xf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vertical="center" wrapText="1"/>
    </xf>
    <xf numFmtId="0" fontId="33" fillId="7" borderId="1" xfId="0" applyFont="1" applyFill="1" applyBorder="1" applyAlignment="1">
      <alignment horizontal="center" vertical="center"/>
    </xf>
    <xf numFmtId="168" fontId="33" fillId="10" borderId="1" xfId="0" applyNumberFormat="1" applyFont="1" applyFill="1" applyBorder="1" applyAlignment="1">
      <alignment horizontal="center" vertical="center"/>
    </xf>
    <xf numFmtId="168" fontId="33" fillId="10" borderId="6" xfId="0" applyNumberFormat="1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0" xfId="0" applyFont="1"/>
    <xf numFmtId="0" fontId="33" fillId="0" borderId="55" xfId="0" applyFont="1" applyBorder="1" applyAlignment="1">
      <alignment horizontal="center" vertical="center"/>
    </xf>
    <xf numFmtId="0" fontId="32" fillId="10" borderId="124" xfId="0" applyFont="1" applyFill="1" applyBorder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122" xfId="0" applyFont="1" applyBorder="1" applyAlignment="1">
      <alignment horizontal="center" vertical="center"/>
    </xf>
    <xf numFmtId="0" fontId="32" fillId="0" borderId="0" xfId="0" applyFont="1"/>
    <xf numFmtId="0" fontId="0" fillId="0" borderId="111" xfId="0" applyBorder="1" applyAlignment="1">
      <alignment horizontal="left" vertical="center"/>
    </xf>
    <xf numFmtId="0" fontId="10" fillId="0" borderId="118" xfId="0" applyFont="1" applyBorder="1" applyAlignment="1">
      <alignment horizontal="left" vertical="center"/>
    </xf>
    <xf numFmtId="0" fontId="10" fillId="0" borderId="75" xfId="0" applyFont="1" applyBorder="1" applyAlignment="1">
      <alignment horizontal="left" vertical="center"/>
    </xf>
    <xf numFmtId="0" fontId="30" fillId="0" borderId="53" xfId="0" applyFont="1" applyBorder="1" applyAlignment="1">
      <alignment vertical="center"/>
    </xf>
    <xf numFmtId="0" fontId="0" fillId="0" borderId="129" xfId="0" applyBorder="1" applyAlignment="1">
      <alignment horizontal="center" vertical="center" wrapText="1"/>
    </xf>
    <xf numFmtId="0" fontId="0" fillId="0" borderId="132" xfId="0" applyBorder="1" applyAlignment="1">
      <alignment horizontal="center" vertical="center" wrapText="1"/>
    </xf>
    <xf numFmtId="0" fontId="0" fillId="0" borderId="51" xfId="0" applyBorder="1" applyAlignment="1">
      <alignment horizontal="left" vertical="center"/>
    </xf>
    <xf numFmtId="0" fontId="0" fillId="0" borderId="13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78" xfId="0" applyBorder="1" applyAlignment="1">
      <alignment horizontal="left" vertical="center"/>
    </xf>
    <xf numFmtId="0" fontId="15" fillId="0" borderId="95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6" fillId="0" borderId="44" xfId="0" applyFont="1" applyBorder="1" applyAlignment="1">
      <alignment horizontal="left" vertical="center"/>
    </xf>
    <xf numFmtId="0" fontId="0" fillId="0" borderId="134" xfId="0" applyBorder="1" applyAlignment="1">
      <alignment horizontal="left" vertical="center"/>
    </xf>
    <xf numFmtId="0" fontId="0" fillId="0" borderId="135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35" fillId="0" borderId="95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left" vertical="center"/>
    </xf>
    <xf numFmtId="0" fontId="10" fillId="0" borderId="137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 wrapText="1"/>
    </xf>
    <xf numFmtId="0" fontId="8" fillId="0" borderId="53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164" fontId="0" fillId="0" borderId="99" xfId="0" applyNumberFormat="1" applyBorder="1" applyAlignment="1">
      <alignment horizontal="center" vertical="center"/>
    </xf>
    <xf numFmtId="164" fontId="0" fillId="0" borderId="110" xfId="0" applyNumberForma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6" fillId="0" borderId="99" xfId="0" applyFont="1" applyBorder="1" applyAlignment="1">
      <alignment horizontal="center" vertical="center"/>
    </xf>
    <xf numFmtId="165" fontId="0" fillId="0" borderId="99" xfId="0" applyNumberFormat="1" applyBorder="1" applyAlignment="1">
      <alignment horizontal="center" vertical="center"/>
    </xf>
    <xf numFmtId="165" fontId="0" fillId="0" borderId="115" xfId="0" applyNumberFormat="1" applyBorder="1" applyAlignment="1">
      <alignment horizontal="center" vertical="center"/>
    </xf>
    <xf numFmtId="165" fontId="0" fillId="0" borderId="101" xfId="0" applyNumberForma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65" fontId="0" fillId="0" borderId="98" xfId="0" applyNumberFormat="1" applyBorder="1" applyAlignment="1">
      <alignment horizontal="center" vertical="center"/>
    </xf>
    <xf numFmtId="165" fontId="0" fillId="0" borderId="44" xfId="0" applyNumberForma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19" fillId="0" borderId="53" xfId="0" applyFont="1" applyBorder="1" applyAlignment="1">
      <alignment vertical="center" wrapText="1"/>
    </xf>
    <xf numFmtId="0" fontId="36" fillId="0" borderId="53" xfId="0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vertical="center" wrapText="1"/>
    </xf>
    <xf numFmtId="0" fontId="38" fillId="0" borderId="0" xfId="0" applyFont="1" applyAlignment="1">
      <alignment horizontal="center" vertical="center"/>
    </xf>
    <xf numFmtId="0" fontId="37" fillId="0" borderId="0" xfId="0" applyFont="1"/>
    <xf numFmtId="0" fontId="39" fillId="2" borderId="128" xfId="0" applyFont="1" applyFill="1" applyBorder="1" applyAlignment="1">
      <alignment horizontal="center" vertical="center" wrapText="1"/>
    </xf>
    <xf numFmtId="0" fontId="39" fillId="7" borderId="128" xfId="0" applyFont="1" applyFill="1" applyBorder="1" applyAlignment="1">
      <alignment horizontal="center" vertical="center" wrapText="1"/>
    </xf>
    <xf numFmtId="164" fontId="39" fillId="2" borderId="127" xfId="0" applyNumberFormat="1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vertical="center"/>
    </xf>
    <xf numFmtId="0" fontId="38" fillId="0" borderId="1" xfId="0" applyFont="1" applyBorder="1" applyAlignment="1">
      <alignment vertical="center" wrapText="1"/>
    </xf>
    <xf numFmtId="168" fontId="37" fillId="7" borderId="1" xfId="0" applyNumberFormat="1" applyFont="1" applyFill="1" applyBorder="1" applyAlignment="1">
      <alignment horizontal="center" vertical="center"/>
    </xf>
    <xf numFmtId="168" fontId="40" fillId="0" borderId="1" xfId="0" applyNumberFormat="1" applyFont="1" applyBorder="1" applyAlignment="1">
      <alignment horizontal="center" vertical="center"/>
    </xf>
    <xf numFmtId="168" fontId="37" fillId="0" borderId="1" xfId="0" applyNumberFormat="1" applyFont="1" applyBorder="1" applyAlignment="1">
      <alignment horizontal="center" vertical="center"/>
    </xf>
    <xf numFmtId="0" fontId="38" fillId="11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68" fontId="38" fillId="7" borderId="1" xfId="0" applyNumberFormat="1" applyFont="1" applyFill="1" applyBorder="1" applyAlignment="1">
      <alignment horizontal="center" vertical="center"/>
    </xf>
    <xf numFmtId="168" fontId="38" fillId="7" borderId="44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36" fillId="0" borderId="53" xfId="0" applyFont="1" applyBorder="1" applyAlignment="1">
      <alignment horizontal="left" vertical="center"/>
    </xf>
    <xf numFmtId="168" fontId="40" fillId="7" borderId="1" xfId="0" applyNumberFormat="1" applyFont="1" applyFill="1" applyBorder="1" applyAlignment="1">
      <alignment horizontal="center" vertical="center"/>
    </xf>
    <xf numFmtId="165" fontId="40" fillId="7" borderId="1" xfId="0" applyNumberFormat="1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wrapText="1"/>
    </xf>
    <xf numFmtId="0" fontId="37" fillId="0" borderId="1" xfId="0" applyFont="1" applyBorder="1" applyAlignment="1">
      <alignment vertical="center" wrapText="1"/>
    </xf>
    <xf numFmtId="168" fontId="38" fillId="0" borderId="1" xfId="0" applyNumberFormat="1" applyFont="1" applyBorder="1" applyAlignment="1">
      <alignment horizontal="center" vertical="center"/>
    </xf>
    <xf numFmtId="0" fontId="37" fillId="10" borderId="1" xfId="0" applyFont="1" applyFill="1" applyBorder="1" applyAlignment="1">
      <alignment vertical="center"/>
    </xf>
    <xf numFmtId="0" fontId="37" fillId="10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vertical="center" wrapText="1"/>
    </xf>
    <xf numFmtId="0" fontId="37" fillId="7" borderId="1" xfId="0" applyFont="1" applyFill="1" applyBorder="1" applyAlignment="1">
      <alignment horizontal="center" vertical="center"/>
    </xf>
    <xf numFmtId="168" fontId="37" fillId="10" borderId="1" xfId="0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7" fillId="5" borderId="1" xfId="0" applyFont="1" applyFill="1" applyBorder="1" applyAlignment="1">
      <alignment vertical="center"/>
    </xf>
    <xf numFmtId="0" fontId="37" fillId="5" borderId="97" xfId="0" applyFont="1" applyFill="1" applyBorder="1" applyAlignment="1">
      <alignment vertical="center"/>
    </xf>
    <xf numFmtId="0" fontId="37" fillId="0" borderId="97" xfId="0" applyFont="1" applyBorder="1" applyAlignment="1">
      <alignment horizontal="center" vertical="center"/>
    </xf>
    <xf numFmtId="0" fontId="37" fillId="0" borderId="97" xfId="0" applyFont="1" applyBorder="1" applyAlignment="1">
      <alignment vertical="center" wrapText="1"/>
    </xf>
    <xf numFmtId="168" fontId="38" fillId="7" borderId="55" xfId="0" applyNumberFormat="1" applyFont="1" applyFill="1" applyBorder="1" applyAlignment="1">
      <alignment horizontal="center" vertical="center"/>
    </xf>
    <xf numFmtId="0" fontId="37" fillId="10" borderId="124" xfId="0" applyFont="1" applyFill="1" applyBorder="1" applyAlignment="1">
      <alignment vertical="center"/>
    </xf>
    <xf numFmtId="0" fontId="37" fillId="10" borderId="124" xfId="0" applyFont="1" applyFill="1" applyBorder="1" applyAlignment="1">
      <alignment horizontal="center" vertical="center"/>
    </xf>
    <xf numFmtId="0" fontId="37" fillId="10" borderId="124" xfId="0" applyFont="1" applyFill="1" applyBorder="1" applyAlignment="1">
      <alignment vertical="center" wrapText="1"/>
    </xf>
    <xf numFmtId="0" fontId="37" fillId="7" borderId="124" xfId="0" applyFont="1" applyFill="1" applyBorder="1" applyAlignment="1">
      <alignment horizontal="center" vertical="center"/>
    </xf>
    <xf numFmtId="168" fontId="37" fillId="10" borderId="124" xfId="0" applyNumberFormat="1" applyFont="1" applyFill="1" applyBorder="1" applyAlignment="1">
      <alignment horizontal="center" vertical="center"/>
    </xf>
    <xf numFmtId="0" fontId="37" fillId="0" borderId="6" xfId="0" applyFont="1" applyBorder="1" applyAlignment="1">
      <alignment vertical="center"/>
    </xf>
    <xf numFmtId="0" fontId="37" fillId="0" borderId="6" xfId="0" applyFont="1" applyBorder="1" applyAlignment="1">
      <alignment horizontal="center" vertical="center"/>
    </xf>
    <xf numFmtId="168" fontId="37" fillId="7" borderId="6" xfId="0" applyNumberFormat="1" applyFont="1" applyFill="1" applyBorder="1" applyAlignment="1">
      <alignment horizontal="center" vertical="center"/>
    </xf>
    <xf numFmtId="168" fontId="37" fillId="0" borderId="6" xfId="0" applyNumberFormat="1" applyFont="1" applyBorder="1" applyAlignment="1">
      <alignment horizontal="center" vertical="center"/>
    </xf>
    <xf numFmtId="168" fontId="37" fillId="7" borderId="1" xfId="0" quotePrefix="1" applyNumberFormat="1" applyFont="1" applyFill="1" applyBorder="1" applyAlignment="1">
      <alignment horizontal="center" vertical="center"/>
    </xf>
    <xf numFmtId="0" fontId="37" fillId="0" borderId="6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 wrapText="1"/>
    </xf>
    <xf numFmtId="168" fontId="41" fillId="0" borderId="1" xfId="0" applyNumberFormat="1" applyFont="1" applyBorder="1" applyAlignment="1">
      <alignment horizontal="center" vertical="center"/>
    </xf>
    <xf numFmtId="0" fontId="37" fillId="5" borderId="123" xfId="0" applyFont="1" applyFill="1" applyBorder="1" applyAlignment="1">
      <alignment vertical="center"/>
    </xf>
    <xf numFmtId="0" fontId="38" fillId="0" borderId="43" xfId="0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/>
    </xf>
    <xf numFmtId="0" fontId="38" fillId="0" borderId="43" xfId="0" applyFont="1" applyBorder="1" applyAlignment="1">
      <alignment horizontal="left" vertical="center" wrapText="1"/>
    </xf>
    <xf numFmtId="168" fontId="38" fillId="7" borderId="121" xfId="0" applyNumberFormat="1" applyFont="1" applyFill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43" fillId="2" borderId="15" xfId="0" applyFont="1" applyFill="1" applyBorder="1" applyAlignment="1">
      <alignment horizontal="center" vertical="center" wrapText="1"/>
    </xf>
    <xf numFmtId="0" fontId="43" fillId="2" borderId="16" xfId="0" applyFont="1" applyFill="1" applyBorder="1" applyAlignment="1">
      <alignment horizontal="center" vertical="center" wrapText="1"/>
    </xf>
    <xf numFmtId="164" fontId="43" fillId="2" borderId="16" xfId="0" applyNumberFormat="1" applyFont="1" applyFill="1" applyBorder="1" applyAlignment="1">
      <alignment horizontal="center" vertical="center" wrapText="1"/>
    </xf>
    <xf numFmtId="0" fontId="43" fillId="2" borderId="1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3" fillId="2" borderId="54" xfId="0" applyFont="1" applyFill="1" applyBorder="1" applyAlignment="1">
      <alignment vertical="center" wrapText="1"/>
    </xf>
    <xf numFmtId="0" fontId="43" fillId="2" borderId="55" xfId="0" applyFont="1" applyFill="1" applyBorder="1" applyAlignment="1">
      <alignment vertical="center" wrapText="1"/>
    </xf>
    <xf numFmtId="0" fontId="43" fillId="2" borderId="55" xfId="0" applyFont="1" applyFill="1" applyBorder="1" applyAlignment="1">
      <alignment horizontal="center" vertical="center" wrapText="1"/>
    </xf>
    <xf numFmtId="164" fontId="43" fillId="2" borderId="55" xfId="0" applyNumberFormat="1" applyFont="1" applyFill="1" applyBorder="1" applyAlignment="1">
      <alignment vertical="center" wrapText="1"/>
    </xf>
    <xf numFmtId="15" fontId="46" fillId="0" borderId="53" xfId="0" applyNumberFormat="1" applyFont="1" applyBorder="1" applyAlignment="1">
      <alignment horizontal="center" vertical="center"/>
    </xf>
    <xf numFmtId="166" fontId="46" fillId="0" borderId="53" xfId="0" applyNumberFormat="1" applyFont="1" applyBorder="1" applyAlignment="1">
      <alignment horizontal="center" vertical="center" wrapText="1"/>
    </xf>
    <xf numFmtId="0" fontId="44" fillId="0" borderId="53" xfId="0" applyFont="1" applyBorder="1" applyAlignment="1">
      <alignment horizontal="center" vertical="center"/>
    </xf>
    <xf numFmtId="167" fontId="46" fillId="0" borderId="53" xfId="0" applyNumberFormat="1" applyFont="1" applyBorder="1" applyAlignment="1">
      <alignment horizontal="center" vertical="center"/>
    </xf>
    <xf numFmtId="0" fontId="46" fillId="0" borderId="53" xfId="0" applyFont="1" applyBorder="1" applyAlignment="1">
      <alignment horizontal="center" vertical="center"/>
    </xf>
    <xf numFmtId="165" fontId="46" fillId="0" borderId="53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165" fontId="44" fillId="0" borderId="53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4" fontId="47" fillId="0" borderId="13" xfId="0" applyNumberFormat="1" applyFont="1" applyBorder="1" applyAlignment="1">
      <alignment vertical="center"/>
    </xf>
    <xf numFmtId="14" fontId="47" fillId="0" borderId="13" xfId="0" applyNumberFormat="1" applyFont="1" applyBorder="1" applyAlignment="1">
      <alignment horizontal="center" vertical="center"/>
    </xf>
    <xf numFmtId="14" fontId="48" fillId="0" borderId="0" xfId="0" applyNumberFormat="1" applyFont="1" applyAlignment="1">
      <alignment horizontal="right" vertical="top"/>
    </xf>
    <xf numFmtId="165" fontId="49" fillId="9" borderId="13" xfId="0" applyNumberFormat="1" applyFont="1" applyFill="1" applyBorder="1" applyAlignment="1">
      <alignment horizontal="center" vertical="top"/>
    </xf>
    <xf numFmtId="165" fontId="49" fillId="8" borderId="13" xfId="0" applyNumberFormat="1" applyFont="1" applyFill="1" applyBorder="1" applyAlignment="1">
      <alignment horizontal="center" vertical="top"/>
    </xf>
    <xf numFmtId="165" fontId="49" fillId="7" borderId="13" xfId="0" applyNumberFormat="1" applyFont="1" applyFill="1" applyBorder="1" applyAlignment="1">
      <alignment horizontal="center" vertical="top"/>
    </xf>
    <xf numFmtId="168" fontId="50" fillId="0" borderId="13" xfId="0" applyNumberFormat="1" applyFont="1" applyBorder="1" applyAlignment="1">
      <alignment horizontal="center" vertical="top"/>
    </xf>
    <xf numFmtId="0" fontId="50" fillId="0" borderId="13" xfId="0" applyFont="1" applyBorder="1" applyAlignment="1">
      <alignment horizontal="center" vertical="top"/>
    </xf>
    <xf numFmtId="165" fontId="50" fillId="0" borderId="13" xfId="0" applyNumberFormat="1" applyFont="1" applyBorder="1" applyAlignment="1">
      <alignment horizontal="center" vertical="top"/>
    </xf>
    <xf numFmtId="0" fontId="50" fillId="0" borderId="0" xfId="0" applyFont="1" applyAlignment="1">
      <alignment horizontal="center" vertical="top"/>
    </xf>
    <xf numFmtId="0" fontId="49" fillId="2" borderId="15" xfId="0" applyFont="1" applyFill="1" applyBorder="1" applyAlignment="1">
      <alignment horizontal="center" vertical="center" wrapText="1"/>
    </xf>
    <xf numFmtId="0" fontId="49" fillId="2" borderId="16" xfId="0" applyFont="1" applyFill="1" applyBorder="1" applyAlignment="1">
      <alignment horizontal="center" vertical="center" wrapText="1"/>
    </xf>
    <xf numFmtId="164" fontId="49" fillId="2" borderId="16" xfId="0" applyNumberFormat="1" applyFont="1" applyFill="1" applyBorder="1" applyAlignment="1">
      <alignment horizontal="center" vertical="center" wrapText="1"/>
    </xf>
    <xf numFmtId="0" fontId="49" fillId="2" borderId="17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49" fillId="2" borderId="54" xfId="0" applyFont="1" applyFill="1" applyBorder="1" applyAlignment="1">
      <alignment vertical="center" wrapText="1"/>
    </xf>
    <xf numFmtId="0" fontId="49" fillId="2" borderId="55" xfId="0" applyFont="1" applyFill="1" applyBorder="1" applyAlignment="1">
      <alignment vertical="center" wrapText="1"/>
    </xf>
    <xf numFmtId="0" fontId="49" fillId="2" borderId="55" xfId="0" applyFont="1" applyFill="1" applyBorder="1" applyAlignment="1">
      <alignment horizontal="center" vertical="center" wrapText="1"/>
    </xf>
    <xf numFmtId="164" fontId="49" fillId="2" borderId="55" xfId="0" applyNumberFormat="1" applyFont="1" applyFill="1" applyBorder="1" applyAlignment="1">
      <alignment vertical="center" wrapText="1"/>
    </xf>
    <xf numFmtId="0" fontId="49" fillId="2" borderId="50" xfId="0" applyFont="1" applyFill="1" applyBorder="1" applyAlignment="1">
      <alignment horizontal="left" vertical="top" wrapText="1"/>
    </xf>
    <xf numFmtId="165" fontId="49" fillId="2" borderId="56" xfId="0" applyNumberFormat="1" applyFont="1" applyFill="1" applyBorder="1" applyAlignment="1">
      <alignment horizontal="center" vertical="top"/>
    </xf>
    <xf numFmtId="165" fontId="49" fillId="2" borderId="57" xfId="0" applyNumberFormat="1" applyFont="1" applyFill="1" applyBorder="1" applyAlignment="1">
      <alignment horizontal="center" vertical="top"/>
    </xf>
    <xf numFmtId="165" fontId="49" fillId="2" borderId="58" xfId="0" applyNumberFormat="1" applyFont="1" applyFill="1" applyBorder="1" applyAlignment="1">
      <alignment horizontal="center" vertical="top"/>
    </xf>
    <xf numFmtId="168" fontId="49" fillId="2" borderId="59" xfId="0" applyNumberFormat="1" applyFont="1" applyFill="1" applyBorder="1" applyAlignment="1">
      <alignment horizontal="center" vertical="top"/>
    </xf>
    <xf numFmtId="0" fontId="49" fillId="2" borderId="60" xfId="0" applyFont="1" applyFill="1" applyBorder="1" applyAlignment="1">
      <alignment horizontal="center" vertical="top"/>
    </xf>
    <xf numFmtId="165" fontId="49" fillId="2" borderId="59" xfId="0" applyNumberFormat="1" applyFont="1" applyFill="1" applyBorder="1" applyAlignment="1">
      <alignment horizontal="center" vertical="top"/>
    </xf>
    <xf numFmtId="0" fontId="51" fillId="0" borderId="53" xfId="0" applyFont="1" applyBorder="1" applyAlignment="1">
      <alignment horizontal="center" vertical="center" wrapText="1"/>
    </xf>
    <xf numFmtId="0" fontId="51" fillId="0" borderId="95" xfId="0" applyFont="1" applyBorder="1" applyAlignment="1">
      <alignment horizontal="center" vertical="center" wrapText="1"/>
    </xf>
    <xf numFmtId="0" fontId="50" fillId="0" borderId="101" xfId="0" applyFont="1" applyBorder="1" applyAlignment="1">
      <alignment horizontal="center" vertical="center"/>
    </xf>
    <xf numFmtId="168" fontId="50" fillId="5" borderId="44" xfId="0" applyNumberFormat="1" applyFont="1" applyFill="1" applyBorder="1" applyAlignment="1">
      <alignment horizontal="center" vertical="center"/>
    </xf>
    <xf numFmtId="15" fontId="51" fillId="0" borderId="53" xfId="0" applyNumberFormat="1" applyFont="1" applyBorder="1" applyAlignment="1">
      <alignment horizontal="center" vertical="center"/>
    </xf>
    <xf numFmtId="166" fontId="51" fillId="0" borderId="53" xfId="0" applyNumberFormat="1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/>
    </xf>
    <xf numFmtId="167" fontId="51" fillId="0" borderId="53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left" vertical="center"/>
    </xf>
    <xf numFmtId="168" fontId="51" fillId="0" borderId="53" xfId="0" applyNumberFormat="1" applyFont="1" applyBorder="1" applyAlignment="1">
      <alignment horizontal="center" vertical="center"/>
    </xf>
    <xf numFmtId="0" fontId="51" fillId="0" borderId="53" xfId="0" applyFont="1" applyBorder="1" applyAlignment="1">
      <alignment horizontal="center" vertical="center"/>
    </xf>
    <xf numFmtId="165" fontId="51" fillId="0" borderId="53" xfId="0" applyNumberFormat="1" applyFont="1" applyBorder="1" applyAlignment="1">
      <alignment horizontal="center" vertical="center"/>
    </xf>
    <xf numFmtId="165" fontId="50" fillId="0" borderId="53" xfId="0" applyNumberFormat="1" applyFont="1" applyBorder="1" applyAlignment="1">
      <alignment horizontal="center" vertical="center"/>
    </xf>
    <xf numFmtId="0" fontId="50" fillId="0" borderId="53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1" fillId="0" borderId="53" xfId="0" applyFont="1" applyBorder="1" applyAlignment="1">
      <alignment horizontal="left" vertical="top" wrapText="1"/>
    </xf>
    <xf numFmtId="0" fontId="52" fillId="0" borderId="53" xfId="0" applyFont="1" applyBorder="1" applyAlignment="1">
      <alignment horizontal="left" vertical="top" wrapText="1"/>
    </xf>
    <xf numFmtId="165" fontId="50" fillId="0" borderId="53" xfId="0" applyNumberFormat="1" applyFont="1" applyBorder="1" applyAlignment="1">
      <alignment horizontal="center" vertical="top"/>
    </xf>
    <xf numFmtId="165" fontId="47" fillId="0" borderId="53" xfId="0" applyNumberFormat="1" applyFont="1" applyBorder="1" applyAlignment="1">
      <alignment horizontal="center" vertical="center"/>
    </xf>
    <xf numFmtId="0" fontId="50" fillId="0" borderId="53" xfId="0" applyFont="1" applyBorder="1" applyAlignment="1">
      <alignment horizontal="center" vertical="top"/>
    </xf>
    <xf numFmtId="0" fontId="50" fillId="0" borderId="98" xfId="0" applyFont="1" applyBorder="1" applyAlignment="1">
      <alignment horizontal="left" vertical="center"/>
    </xf>
    <xf numFmtId="165" fontId="50" fillId="0" borderId="53" xfId="0" applyNumberFormat="1" applyFont="1" applyBorder="1" applyAlignment="1">
      <alignment vertical="center"/>
    </xf>
    <xf numFmtId="0" fontId="50" fillId="0" borderId="53" xfId="0" applyFont="1" applyBorder="1" applyAlignment="1">
      <alignment vertical="center"/>
    </xf>
    <xf numFmtId="0" fontId="53" fillId="0" borderId="0" xfId="0" applyFont="1"/>
    <xf numFmtId="164" fontId="50" fillId="0" borderId="0" xfId="0" applyNumberFormat="1" applyFont="1" applyAlignment="1">
      <alignment horizontal="center" vertical="top"/>
    </xf>
    <xf numFmtId="165" fontId="50" fillId="0" borderId="0" xfId="0" applyNumberFormat="1" applyFont="1" applyAlignment="1">
      <alignment horizontal="center" vertical="top"/>
    </xf>
    <xf numFmtId="0" fontId="50" fillId="0" borderId="0" xfId="0" applyFont="1" applyAlignment="1">
      <alignment horizontal="center" vertical="top" wrapText="1"/>
    </xf>
    <xf numFmtId="0" fontId="50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top"/>
    </xf>
    <xf numFmtId="0" fontId="50" fillId="0" borderId="0" xfId="0" applyFont="1" applyAlignment="1">
      <alignment horizontal="left" vertical="top"/>
    </xf>
    <xf numFmtId="168" fontId="50" fillId="0" borderId="0" xfId="0" applyNumberFormat="1" applyFont="1" applyAlignment="1">
      <alignment horizontal="center" vertical="top"/>
    </xf>
    <xf numFmtId="0" fontId="47" fillId="0" borderId="0" xfId="0" applyFont="1" applyAlignment="1">
      <alignment horizontal="center" vertical="top"/>
    </xf>
    <xf numFmtId="165" fontId="50" fillId="0" borderId="0" xfId="0" applyNumberFormat="1" applyFont="1" applyAlignment="1">
      <alignment horizontal="left" vertical="top"/>
    </xf>
    <xf numFmtId="165" fontId="50" fillId="0" borderId="0" xfId="0" applyNumberFormat="1" applyFont="1" applyAlignment="1">
      <alignment horizontal="center" vertical="center"/>
    </xf>
    <xf numFmtId="14" fontId="44" fillId="0" borderId="0" xfId="0" applyNumberFormat="1" applyFont="1" applyAlignment="1">
      <alignment vertical="center"/>
    </xf>
    <xf numFmtId="14" fontId="45" fillId="0" borderId="0" xfId="0" applyNumberFormat="1" applyFont="1" applyAlignment="1">
      <alignment horizontal="right" vertical="center"/>
    </xf>
    <xf numFmtId="165" fontId="43" fillId="9" borderId="13" xfId="0" applyNumberFormat="1" applyFont="1" applyFill="1" applyBorder="1" applyAlignment="1">
      <alignment horizontal="center" vertical="center"/>
    </xf>
    <xf numFmtId="165" fontId="43" fillId="8" borderId="13" xfId="0" applyNumberFormat="1" applyFont="1" applyFill="1" applyBorder="1" applyAlignment="1">
      <alignment horizontal="center" vertical="center"/>
    </xf>
    <xf numFmtId="165" fontId="43" fillId="7" borderId="13" xfId="0" applyNumberFormat="1" applyFont="1" applyFill="1" applyBorder="1" applyAlignment="1">
      <alignment horizontal="center" vertical="center"/>
    </xf>
    <xf numFmtId="0" fontId="43" fillId="2" borderId="50" xfId="0" applyFont="1" applyFill="1" applyBorder="1" applyAlignment="1">
      <alignment vertical="center" wrapText="1"/>
    </xf>
    <xf numFmtId="165" fontId="43" fillId="2" borderId="56" xfId="0" applyNumberFormat="1" applyFont="1" applyFill="1" applyBorder="1" applyAlignment="1">
      <alignment horizontal="center" vertical="center"/>
    </xf>
    <xf numFmtId="165" fontId="43" fillId="2" borderId="57" xfId="0" applyNumberFormat="1" applyFont="1" applyFill="1" applyBorder="1" applyAlignment="1">
      <alignment horizontal="center" vertical="center"/>
    </xf>
    <xf numFmtId="165" fontId="43" fillId="2" borderId="58" xfId="0" applyNumberFormat="1" applyFont="1" applyFill="1" applyBorder="1" applyAlignment="1">
      <alignment horizontal="center" vertical="center"/>
    </xf>
    <xf numFmtId="165" fontId="43" fillId="2" borderId="59" xfId="0" applyNumberFormat="1" applyFont="1" applyFill="1" applyBorder="1" applyAlignment="1">
      <alignment horizontal="center" vertical="center"/>
    </xf>
    <xf numFmtId="0" fontId="43" fillId="2" borderId="60" xfId="0" applyFont="1" applyFill="1" applyBorder="1" applyAlignment="1">
      <alignment horizontal="center" vertical="center"/>
    </xf>
    <xf numFmtId="0" fontId="46" fillId="5" borderId="53" xfId="0" applyFont="1" applyFill="1" applyBorder="1" applyAlignment="1">
      <alignment horizontal="center" vertical="center" wrapText="1"/>
    </xf>
    <xf numFmtId="0" fontId="46" fillId="0" borderId="53" xfId="0" applyFont="1" applyBorder="1" applyAlignment="1">
      <alignment horizontal="left" vertical="center" wrapText="1"/>
    </xf>
    <xf numFmtId="0" fontId="46" fillId="0" borderId="53" xfId="0" applyFont="1" applyBorder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7" fillId="0" borderId="121" xfId="0" applyFont="1" applyBorder="1" applyAlignment="1">
      <alignment horizontal="center" vertical="center"/>
    </xf>
    <xf numFmtId="0" fontId="38" fillId="0" borderId="121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14" fontId="47" fillId="0" borderId="0" xfId="0" applyNumberFormat="1" applyFont="1" applyAlignment="1">
      <alignment horizontal="left" vertical="center"/>
    </xf>
    <xf numFmtId="0" fontId="49" fillId="2" borderId="55" xfId="0" applyFont="1" applyFill="1" applyBorder="1" applyAlignment="1">
      <alignment horizontal="left" vertical="center" wrapText="1"/>
    </xf>
    <xf numFmtId="0" fontId="50" fillId="0" borderId="99" xfId="0" applyFont="1" applyBorder="1" applyAlignment="1">
      <alignment horizontal="center" vertical="center"/>
    </xf>
    <xf numFmtId="0" fontId="50" fillId="0" borderId="0" xfId="0" applyFont="1" applyAlignment="1">
      <alignment horizontal="left" vertical="center" wrapText="1"/>
    </xf>
    <xf numFmtId="0" fontId="51" fillId="0" borderId="93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9" fillId="2" borderId="128" xfId="0" applyFont="1" applyFill="1" applyBorder="1" applyAlignment="1">
      <alignment horizontal="left" vertical="center" wrapText="1"/>
    </xf>
    <xf numFmtId="0" fontId="37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/>
    </xf>
    <xf numFmtId="169" fontId="54" fillId="0" borderId="104" xfId="0" applyNumberFormat="1" applyFont="1" applyBorder="1" applyAlignment="1">
      <alignment horizontal="center" vertical="center" wrapText="1"/>
    </xf>
    <xf numFmtId="0" fontId="54" fillId="0" borderId="6" xfId="0" applyFont="1" applyBorder="1" applyAlignment="1">
      <alignment horizontal="center" vertical="center" wrapText="1"/>
    </xf>
    <xf numFmtId="0" fontId="54" fillId="0" borderId="7" xfId="0" applyFont="1" applyBorder="1" applyAlignment="1">
      <alignment horizontal="center" vertical="center" wrapText="1"/>
    </xf>
    <xf numFmtId="15" fontId="35" fillId="0" borderId="53" xfId="0" applyNumberFormat="1" applyFont="1" applyBorder="1" applyAlignment="1">
      <alignment horizontal="center" vertical="center"/>
    </xf>
    <xf numFmtId="15" fontId="55" fillId="0" borderId="53" xfId="0" applyNumberFormat="1" applyFont="1" applyBorder="1" applyAlignment="1">
      <alignment horizontal="center" vertical="center"/>
    </xf>
    <xf numFmtId="0" fontId="56" fillId="0" borderId="53" xfId="0" applyFont="1" applyBorder="1" applyAlignment="1">
      <alignment horizontal="left" vertical="center"/>
    </xf>
    <xf numFmtId="15" fontId="51" fillId="0" borderId="51" xfId="0" applyNumberFormat="1" applyFont="1" applyBorder="1" applyAlignment="1">
      <alignment horizontal="center" vertical="center"/>
    </xf>
    <xf numFmtId="165" fontId="50" fillId="0" borderId="51" xfId="0" applyNumberFormat="1" applyFont="1" applyBorder="1" applyAlignment="1">
      <alignment horizontal="center" vertical="top"/>
    </xf>
    <xf numFmtId="0" fontId="51" fillId="0" borderId="78" xfId="0" applyFont="1" applyBorder="1" applyAlignment="1">
      <alignment horizontal="center" vertical="center" wrapText="1"/>
    </xf>
    <xf numFmtId="0" fontId="50" fillId="0" borderId="138" xfId="0" applyFont="1" applyBorder="1" applyAlignment="1">
      <alignment horizontal="center" vertical="center"/>
    </xf>
    <xf numFmtId="15" fontId="51" fillId="0" borderId="78" xfId="0" applyNumberFormat="1" applyFont="1" applyBorder="1" applyAlignment="1">
      <alignment horizontal="center" vertical="center"/>
    </xf>
    <xf numFmtId="166" fontId="51" fillId="0" borderId="78" xfId="0" applyNumberFormat="1" applyFont="1" applyBorder="1" applyAlignment="1">
      <alignment horizontal="center" vertical="center" wrapText="1"/>
    </xf>
    <xf numFmtId="0" fontId="47" fillId="0" borderId="78" xfId="0" applyFont="1" applyBorder="1" applyAlignment="1">
      <alignment horizontal="center" vertical="center"/>
    </xf>
    <xf numFmtId="167" fontId="51" fillId="0" borderId="78" xfId="0" applyNumberFormat="1" applyFont="1" applyBorder="1" applyAlignment="1">
      <alignment horizontal="center" vertical="center"/>
    </xf>
    <xf numFmtId="0" fontId="51" fillId="0" borderId="78" xfId="0" applyFont="1" applyBorder="1" applyAlignment="1">
      <alignment horizontal="center" vertical="center"/>
    </xf>
    <xf numFmtId="165" fontId="51" fillId="0" borderId="78" xfId="0" applyNumberFormat="1" applyFont="1" applyBorder="1" applyAlignment="1">
      <alignment horizontal="center" vertical="center"/>
    </xf>
    <xf numFmtId="165" fontId="50" fillId="0" borderId="78" xfId="0" applyNumberFormat="1" applyFont="1" applyBorder="1" applyAlignment="1">
      <alignment horizontal="center" vertical="top"/>
    </xf>
    <xf numFmtId="0" fontId="50" fillId="0" borderId="78" xfId="0" applyFont="1" applyBorder="1" applyAlignment="1">
      <alignment horizontal="center" vertical="top"/>
    </xf>
    <xf numFmtId="0" fontId="51" fillId="0" borderId="139" xfId="0" applyFont="1" applyBorder="1" applyAlignment="1">
      <alignment horizontal="center" vertical="center" wrapText="1"/>
    </xf>
    <xf numFmtId="0" fontId="19" fillId="0" borderId="53" xfId="0" applyFont="1" applyBorder="1" applyAlignment="1">
      <alignment vertical="center"/>
    </xf>
    <xf numFmtId="15" fontId="19" fillId="5" borderId="94" xfId="0" applyNumberFormat="1" applyFont="1" applyFill="1" applyBorder="1" applyAlignment="1">
      <alignment horizontal="center" vertical="center"/>
    </xf>
    <xf numFmtId="168" fontId="19" fillId="5" borderId="44" xfId="0" applyNumberFormat="1" applyFont="1" applyFill="1" applyBorder="1" applyAlignment="1">
      <alignment horizontal="center" vertical="center"/>
    </xf>
    <xf numFmtId="168" fontId="52" fillId="5" borderId="44" xfId="0" applyNumberFormat="1" applyFont="1" applyFill="1" applyBorder="1" applyAlignment="1">
      <alignment horizontal="center" vertical="center"/>
    </xf>
    <xf numFmtId="0" fontId="19" fillId="0" borderId="53" xfId="0" applyFont="1" applyBorder="1" applyAlignment="1">
      <alignment horizontal="left" vertical="top" wrapText="1"/>
    </xf>
    <xf numFmtId="0" fontId="0" fillId="0" borderId="53" xfId="0" applyBorder="1" applyAlignment="1">
      <alignment horizontal="center" vertical="center" wrapText="1"/>
    </xf>
    <xf numFmtId="0" fontId="50" fillId="0" borderId="93" xfId="0" applyFont="1" applyBorder="1" applyAlignment="1">
      <alignment horizontal="center" vertical="center"/>
    </xf>
    <xf numFmtId="0" fontId="42" fillId="0" borderId="53" xfId="0" applyFont="1" applyBorder="1" applyAlignment="1">
      <alignment vertical="center" wrapText="1"/>
    </xf>
    <xf numFmtId="169" fontId="6" fillId="0" borderId="104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9" fillId="0" borderId="130" xfId="0" applyFont="1" applyBorder="1" applyAlignment="1">
      <alignment horizontal="center" vertical="center" wrapText="1"/>
    </xf>
    <xf numFmtId="0" fontId="59" fillId="0" borderId="131" xfId="0" applyFont="1" applyBorder="1" applyAlignment="1">
      <alignment horizontal="center" vertical="center" wrapText="1"/>
    </xf>
    <xf numFmtId="0" fontId="60" fillId="0" borderId="120" xfId="0" applyFont="1" applyBorder="1" applyAlignment="1">
      <alignment horizontal="center" vertical="center"/>
    </xf>
    <xf numFmtId="0" fontId="59" fillId="0" borderId="7" xfId="0" applyFont="1" applyBorder="1" applyAlignment="1">
      <alignment horizontal="center" vertical="center" wrapText="1"/>
    </xf>
    <xf numFmtId="0" fontId="59" fillId="0" borderId="97" xfId="0" applyFont="1" applyBorder="1" applyAlignment="1">
      <alignment horizontal="center" vertical="center" wrapText="1"/>
    </xf>
    <xf numFmtId="0" fontId="59" fillId="0" borderId="6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15" fontId="8" fillId="11" borderId="44" xfId="0" applyNumberFormat="1" applyFont="1" applyFill="1" applyBorder="1" applyAlignment="1">
      <alignment horizontal="center"/>
    </xf>
    <xf numFmtId="15" fontId="8" fillId="11" borderId="75" xfId="0" applyNumberFormat="1" applyFont="1" applyFill="1" applyBorder="1" applyAlignment="1">
      <alignment horizontal="center"/>
    </xf>
    <xf numFmtId="0" fontId="19" fillId="0" borderId="72" xfId="0" applyFont="1" applyBorder="1" applyAlignment="1">
      <alignment horizontal="left" vertical="center"/>
    </xf>
    <xf numFmtId="0" fontId="37" fillId="0" borderId="9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164" fontId="17" fillId="2" borderId="140" xfId="0" applyNumberFormat="1" applyFont="1" applyFill="1" applyBorder="1" applyAlignment="1">
      <alignment horizontal="center" vertical="center" wrapText="1"/>
    </xf>
    <xf numFmtId="164" fontId="17" fillId="2" borderId="141" xfId="0" applyNumberFormat="1" applyFont="1" applyFill="1" applyBorder="1" applyAlignment="1">
      <alignment vertical="center" wrapText="1"/>
    </xf>
    <xf numFmtId="164" fontId="7" fillId="2" borderId="140" xfId="0" applyNumberFormat="1" applyFont="1" applyFill="1" applyBorder="1" applyAlignment="1">
      <alignment horizontal="center" vertical="center" wrapText="1"/>
    </xf>
    <xf numFmtId="164" fontId="7" fillId="2" borderId="141" xfId="0" applyNumberFormat="1" applyFont="1" applyFill="1" applyBorder="1" applyAlignment="1">
      <alignment vertical="center" wrapText="1"/>
    </xf>
    <xf numFmtId="15" fontId="10" fillId="0" borderId="75" xfId="0" applyNumberFormat="1" applyFont="1" applyBorder="1" applyAlignment="1">
      <alignment horizontal="center" vertical="center"/>
    </xf>
    <xf numFmtId="14" fontId="47" fillId="0" borderId="0" xfId="0" applyNumberFormat="1" applyFont="1" applyAlignment="1">
      <alignment vertical="center"/>
    </xf>
    <xf numFmtId="164" fontId="49" fillId="2" borderId="140" xfId="0" applyNumberFormat="1" applyFont="1" applyFill="1" applyBorder="1" applyAlignment="1">
      <alignment horizontal="center" vertical="center" wrapText="1"/>
    </xf>
    <xf numFmtId="164" fontId="49" fillId="2" borderId="141" xfId="0" applyNumberFormat="1" applyFont="1" applyFill="1" applyBorder="1" applyAlignment="1">
      <alignment vertical="center" wrapText="1"/>
    </xf>
    <xf numFmtId="167" fontId="51" fillId="0" borderId="75" xfId="0" applyNumberFormat="1" applyFont="1" applyBorder="1" applyAlignment="1">
      <alignment horizontal="center" vertical="center"/>
    </xf>
    <xf numFmtId="164" fontId="43" fillId="2" borderId="140" xfId="0" applyNumberFormat="1" applyFont="1" applyFill="1" applyBorder="1" applyAlignment="1">
      <alignment horizontal="center" vertical="center" wrapText="1"/>
    </xf>
    <xf numFmtId="164" fontId="43" fillId="2" borderId="141" xfId="0" applyNumberFormat="1" applyFont="1" applyFill="1" applyBorder="1" applyAlignment="1">
      <alignment vertical="center" wrapText="1"/>
    </xf>
    <xf numFmtId="15" fontId="46" fillId="0" borderId="75" xfId="0" applyNumberFormat="1" applyFont="1" applyBorder="1" applyAlignment="1">
      <alignment horizontal="center" vertical="center"/>
    </xf>
    <xf numFmtId="167" fontId="58" fillId="0" borderId="75" xfId="0" applyNumberFormat="1" applyFont="1" applyBorder="1" applyAlignment="1">
      <alignment horizontal="center" vertical="center"/>
    </xf>
    <xf numFmtId="168" fontId="10" fillId="5" borderId="43" xfId="0" applyNumberFormat="1" applyFont="1" applyFill="1" applyBorder="1" applyAlignment="1">
      <alignment horizontal="center" vertical="center"/>
    </xf>
    <xf numFmtId="0" fontId="58" fillId="0" borderId="93" xfId="0" applyFont="1" applyBorder="1" applyAlignment="1">
      <alignment horizontal="center" vertical="center"/>
    </xf>
    <xf numFmtId="0" fontId="0" fillId="0" borderId="51" xfId="0" applyBorder="1" applyAlignment="1">
      <alignment horizontal="left" vertical="center" wrapText="1"/>
    </xf>
    <xf numFmtId="0" fontId="51" fillId="0" borderId="142" xfId="0" applyFont="1" applyBorder="1" applyAlignment="1">
      <alignment horizontal="center" vertical="center"/>
    </xf>
    <xf numFmtId="0" fontId="10" fillId="0" borderId="111" xfId="0" applyFont="1" applyBorder="1" applyAlignment="1">
      <alignment horizontal="left" vertical="center"/>
    </xf>
    <xf numFmtId="0" fontId="15" fillId="0" borderId="143" xfId="0" applyFont="1" applyBorder="1" applyAlignment="1">
      <alignment horizontal="center" vertical="center" wrapText="1"/>
    </xf>
    <xf numFmtId="0" fontId="10" fillId="0" borderId="144" xfId="0" applyFont="1" applyBorder="1" applyAlignment="1">
      <alignment horizontal="center" vertical="center"/>
    </xf>
    <xf numFmtId="15" fontId="0" fillId="0" borderId="51" xfId="0" applyNumberFormat="1" applyBorder="1" applyAlignment="1">
      <alignment horizontal="center" vertical="center" wrapText="1"/>
    </xf>
    <xf numFmtId="164" fontId="0" fillId="0" borderId="51" xfId="0" applyNumberFormat="1" applyBorder="1" applyAlignment="1">
      <alignment horizontal="center" vertical="center"/>
    </xf>
    <xf numFmtId="166" fontId="8" fillId="0" borderId="51" xfId="0" applyNumberFormat="1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/>
    </xf>
    <xf numFmtId="164" fontId="6" fillId="0" borderId="51" xfId="0" applyNumberFormat="1" applyFont="1" applyBorder="1" applyAlignment="1">
      <alignment horizontal="center" vertical="center"/>
    </xf>
    <xf numFmtId="15" fontId="55" fillId="0" borderId="51" xfId="0" applyNumberFormat="1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165" fontId="0" fillId="0" borderId="51" xfId="0" applyNumberForma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15" fontId="0" fillId="0" borderId="111" xfId="0" applyNumberFormat="1" applyBorder="1" applyAlignment="1">
      <alignment horizontal="center" vertical="center" wrapText="1"/>
    </xf>
    <xf numFmtId="164" fontId="0" fillId="0" borderId="111" xfId="0" applyNumberFormat="1" applyBorder="1" applyAlignment="1">
      <alignment horizontal="center" vertical="center"/>
    </xf>
    <xf numFmtId="164" fontId="0" fillId="0" borderId="145" xfId="0" applyNumberFormat="1" applyBorder="1" applyAlignment="1">
      <alignment horizontal="center" vertical="center"/>
    </xf>
    <xf numFmtId="166" fontId="8" fillId="0" borderId="78" xfId="0" applyNumberFormat="1" applyFont="1" applyBorder="1" applyAlignment="1">
      <alignment horizontal="center" vertical="center" wrapText="1"/>
    </xf>
    <xf numFmtId="0" fontId="14" fillId="0" borderId="78" xfId="0" applyFont="1" applyBorder="1" applyAlignment="1">
      <alignment horizontal="center" vertical="center"/>
    </xf>
    <xf numFmtId="164" fontId="6" fillId="0" borderId="59" xfId="0" applyNumberFormat="1" applyFont="1" applyBorder="1" applyAlignment="1">
      <alignment horizontal="center" vertical="center"/>
    </xf>
    <xf numFmtId="15" fontId="55" fillId="0" borderId="78" xfId="0" applyNumberFormat="1" applyFont="1" applyBorder="1" applyAlignment="1">
      <alignment horizontal="center" vertical="center"/>
    </xf>
    <xf numFmtId="0" fontId="6" fillId="0" borderId="111" xfId="0" applyFont="1" applyBorder="1" applyAlignment="1">
      <alignment horizontal="center" vertical="center"/>
    </xf>
    <xf numFmtId="165" fontId="0" fillId="0" borderId="111" xfId="0" applyNumberFormat="1" applyBorder="1" applyAlignment="1">
      <alignment horizontal="center" vertical="center"/>
    </xf>
    <xf numFmtId="165" fontId="0" fillId="0" borderId="94" xfId="0" applyNumberFormat="1" applyBorder="1" applyAlignment="1">
      <alignment horizontal="center" vertical="center"/>
    </xf>
    <xf numFmtId="165" fontId="21" fillId="0" borderId="53" xfId="0" applyNumberFormat="1" applyFont="1" applyBorder="1" applyAlignment="1">
      <alignment horizontal="center" vertical="center"/>
    </xf>
    <xf numFmtId="168" fontId="0" fillId="0" borderId="44" xfId="0" applyNumberFormat="1" applyBorder="1" applyAlignment="1">
      <alignment horizontal="center" vertical="center"/>
    </xf>
    <xf numFmtId="165" fontId="0" fillId="0" borderId="112" xfId="0" applyNumberFormat="1" applyBorder="1" applyAlignment="1">
      <alignment horizontal="center" vertical="center"/>
    </xf>
    <xf numFmtId="165" fontId="0" fillId="0" borderId="112" xfId="0" applyNumberFormat="1" applyBorder="1" applyAlignment="1">
      <alignment horizontal="center" vertical="top"/>
    </xf>
    <xf numFmtId="15" fontId="51" fillId="0" borderId="149" xfId="0" applyNumberFormat="1" applyFont="1" applyBorder="1" applyAlignment="1">
      <alignment horizontal="center" vertical="center"/>
    </xf>
    <xf numFmtId="167" fontId="58" fillId="0" borderId="101" xfId="0" applyNumberFormat="1" applyFont="1" applyBorder="1" applyAlignment="1">
      <alignment horizontal="center" vertical="center"/>
    </xf>
    <xf numFmtId="168" fontId="50" fillId="5" borderId="75" xfId="0" applyNumberFormat="1" applyFont="1" applyFill="1" applyBorder="1" applyAlignment="1">
      <alignment horizontal="center" vertical="center"/>
    </xf>
    <xf numFmtId="168" fontId="50" fillId="5" borderId="52" xfId="0" applyNumberFormat="1" applyFont="1" applyFill="1" applyBorder="1" applyAlignment="1">
      <alignment horizontal="center" vertical="center"/>
    </xf>
    <xf numFmtId="168" fontId="50" fillId="5" borderId="137" xfId="0" applyNumberFormat="1" applyFont="1" applyFill="1" applyBorder="1" applyAlignment="1">
      <alignment horizontal="center" vertical="center"/>
    </xf>
    <xf numFmtId="0" fontId="51" fillId="0" borderId="94" xfId="0" applyFont="1" applyBorder="1" applyAlignment="1">
      <alignment horizontal="left" vertical="top" wrapText="1"/>
    </xf>
    <xf numFmtId="0" fontId="52" fillId="0" borderId="94" xfId="0" applyFont="1" applyBorder="1" applyAlignment="1">
      <alignment horizontal="left" vertical="top" wrapText="1"/>
    </xf>
    <xf numFmtId="167" fontId="58" fillId="0" borderId="52" xfId="0" applyNumberFormat="1" applyFont="1" applyBorder="1" applyAlignment="1">
      <alignment horizontal="center" vertical="center"/>
    </xf>
    <xf numFmtId="15" fontId="51" fillId="0" borderId="93" xfId="0" applyNumberFormat="1" applyFont="1" applyBorder="1" applyAlignment="1">
      <alignment horizontal="center" vertical="center"/>
    </xf>
    <xf numFmtId="164" fontId="50" fillId="0" borderId="93" xfId="0" applyNumberFormat="1" applyFont="1" applyBorder="1" applyAlignment="1">
      <alignment horizontal="center" vertical="top"/>
    </xf>
    <xf numFmtId="15" fontId="51" fillId="0" borderId="150" xfId="0" applyNumberFormat="1" applyFont="1" applyBorder="1" applyAlignment="1">
      <alignment horizontal="center" vertical="center"/>
    </xf>
    <xf numFmtId="0" fontId="47" fillId="0" borderId="93" xfId="0" applyFont="1" applyBorder="1" applyAlignment="1">
      <alignment horizontal="center" vertical="center"/>
    </xf>
    <xf numFmtId="166" fontId="51" fillId="0" borderId="144" xfId="0" applyNumberFormat="1" applyFont="1" applyBorder="1" applyAlignment="1">
      <alignment horizontal="center" vertical="center" wrapText="1"/>
    </xf>
    <xf numFmtId="167" fontId="51" fillId="0" borderId="93" xfId="0" applyNumberFormat="1" applyFont="1" applyBorder="1" applyAlignment="1">
      <alignment horizontal="center" vertical="center"/>
    </xf>
    <xf numFmtId="0" fontId="47" fillId="0" borderId="144" xfId="0" applyFont="1" applyBorder="1" applyAlignment="1">
      <alignment horizontal="center" vertical="center"/>
    </xf>
    <xf numFmtId="15" fontId="51" fillId="0" borderId="151" xfId="0" applyNumberFormat="1" applyFont="1" applyBorder="1" applyAlignment="1">
      <alignment horizontal="center" vertical="center"/>
    </xf>
    <xf numFmtId="15" fontId="51" fillId="0" borderId="152" xfId="0" applyNumberFormat="1" applyFont="1" applyBorder="1" applyAlignment="1">
      <alignment horizontal="center" vertical="center"/>
    </xf>
    <xf numFmtId="166" fontId="51" fillId="0" borderId="152" xfId="0" applyNumberFormat="1" applyFont="1" applyBorder="1" applyAlignment="1">
      <alignment horizontal="center" vertical="center" wrapText="1"/>
    </xf>
    <xf numFmtId="0" fontId="47" fillId="0" borderId="152" xfId="0" applyFont="1" applyBorder="1" applyAlignment="1">
      <alignment horizontal="center" vertical="center"/>
    </xf>
    <xf numFmtId="167" fontId="51" fillId="0" borderId="152" xfId="0" applyNumberFormat="1" applyFont="1" applyBorder="1" applyAlignment="1">
      <alignment horizontal="center" vertical="center"/>
    </xf>
    <xf numFmtId="167" fontId="58" fillId="0" borderId="153" xfId="0" applyNumberFormat="1" applyFont="1" applyBorder="1" applyAlignment="1">
      <alignment horizontal="center" vertical="center"/>
    </xf>
    <xf numFmtId="15" fontId="51" fillId="0" borderId="154" xfId="0" applyNumberFormat="1" applyFont="1" applyBorder="1" applyAlignment="1">
      <alignment horizontal="center" vertical="center"/>
    </xf>
    <xf numFmtId="15" fontId="51" fillId="0" borderId="119" xfId="0" applyNumberFormat="1" applyFont="1" applyBorder="1" applyAlignment="1">
      <alignment horizontal="center" vertical="center"/>
    </xf>
    <xf numFmtId="166" fontId="51" fillId="0" borderId="119" xfId="0" applyNumberFormat="1" applyFont="1" applyBorder="1" applyAlignment="1">
      <alignment horizontal="center" vertical="center" wrapText="1"/>
    </xf>
    <xf numFmtId="0" fontId="47" fillId="0" borderId="119" xfId="0" applyFont="1" applyBorder="1" applyAlignment="1">
      <alignment horizontal="center" vertical="center"/>
    </xf>
    <xf numFmtId="167" fontId="51" fillId="0" borderId="119" xfId="0" applyNumberFormat="1" applyFont="1" applyBorder="1" applyAlignment="1">
      <alignment horizontal="center" vertical="center"/>
    </xf>
    <xf numFmtId="167" fontId="58" fillId="0" borderId="155" xfId="0" applyNumberFormat="1" applyFont="1" applyBorder="1" applyAlignment="1">
      <alignment horizontal="center" vertical="center"/>
    </xf>
    <xf numFmtId="15" fontId="51" fillId="0" borderId="65" xfId="0" applyNumberFormat="1" applyFont="1" applyBorder="1" applyAlignment="1">
      <alignment horizontal="center" vertical="center"/>
    </xf>
    <xf numFmtId="15" fontId="51" fillId="0" borderId="63" xfId="0" applyNumberFormat="1" applyFont="1" applyBorder="1" applyAlignment="1">
      <alignment horizontal="center" vertical="center"/>
    </xf>
    <xf numFmtId="166" fontId="51" fillId="0" borderId="116" xfId="0" applyNumberFormat="1" applyFont="1" applyBorder="1" applyAlignment="1">
      <alignment horizontal="center" vertical="center" wrapText="1"/>
    </xf>
    <xf numFmtId="167" fontId="58" fillId="0" borderId="108" xfId="0" applyNumberFormat="1" applyFont="1" applyBorder="1" applyAlignment="1">
      <alignment horizontal="center" vertical="center"/>
    </xf>
    <xf numFmtId="0" fontId="47" fillId="0" borderId="156" xfId="0" applyFont="1" applyBorder="1" applyAlignment="1">
      <alignment horizontal="center" vertical="center"/>
    </xf>
    <xf numFmtId="167" fontId="51" fillId="0" borderId="156" xfId="0" applyNumberFormat="1" applyFont="1" applyBorder="1" applyAlignment="1">
      <alignment horizontal="center" vertical="center"/>
    </xf>
    <xf numFmtId="0" fontId="47" fillId="0" borderId="157" xfId="0" applyFont="1" applyBorder="1" applyAlignment="1">
      <alignment horizontal="center" vertical="center"/>
    </xf>
    <xf numFmtId="0" fontId="47" fillId="0" borderId="74" xfId="0" applyFont="1" applyBorder="1" applyAlignment="1">
      <alignment horizontal="center" vertical="center"/>
    </xf>
    <xf numFmtId="167" fontId="51" fillId="0" borderId="157" xfId="0" applyNumberFormat="1" applyFont="1" applyBorder="1" applyAlignment="1">
      <alignment horizontal="center" vertical="center"/>
    </xf>
    <xf numFmtId="164" fontId="50" fillId="0" borderId="150" xfId="0" applyNumberFormat="1" applyFont="1" applyBorder="1" applyAlignment="1">
      <alignment horizontal="center" vertical="top"/>
    </xf>
    <xf numFmtId="0" fontId="50" fillId="0" borderId="144" xfId="0" applyFont="1" applyBorder="1" applyAlignment="1">
      <alignment horizontal="center" vertical="top"/>
    </xf>
    <xf numFmtId="0" fontId="50" fillId="0" borderId="93" xfId="0" applyFont="1" applyBorder="1" applyAlignment="1">
      <alignment horizontal="center" vertical="top"/>
    </xf>
    <xf numFmtId="0" fontId="50" fillId="0" borderId="155" xfId="0" applyFont="1" applyBorder="1" applyAlignment="1">
      <alignment horizontal="center" vertical="center"/>
    </xf>
    <xf numFmtId="165" fontId="50" fillId="0" borderId="119" xfId="0" applyNumberFormat="1" applyFont="1" applyBorder="1" applyAlignment="1">
      <alignment horizontal="center" vertical="top"/>
    </xf>
    <xf numFmtId="0" fontId="50" fillId="0" borderId="119" xfId="0" applyFont="1" applyBorder="1" applyAlignment="1">
      <alignment horizontal="center" vertical="top"/>
    </xf>
    <xf numFmtId="0" fontId="63" fillId="10" borderId="141" xfId="0" applyFont="1" applyFill="1" applyBorder="1" applyAlignment="1">
      <alignment horizontal="center" vertical="center"/>
    </xf>
    <xf numFmtId="15" fontId="33" fillId="0" borderId="137" xfId="0" applyNumberFormat="1" applyFont="1" applyBorder="1" applyAlignment="1">
      <alignment horizontal="center" vertical="center"/>
    </xf>
    <xf numFmtId="15" fontId="63" fillId="0" borderId="137" xfId="0" applyNumberFormat="1" applyFont="1" applyBorder="1" applyAlignment="1">
      <alignment horizontal="center" vertical="center"/>
    </xf>
    <xf numFmtId="0" fontId="33" fillId="0" borderId="137" xfId="0" applyFont="1" applyBorder="1" applyAlignment="1">
      <alignment vertical="center"/>
    </xf>
    <xf numFmtId="0" fontId="63" fillId="0" borderId="137" xfId="0" applyFont="1" applyBorder="1" applyAlignment="1">
      <alignment vertical="center"/>
    </xf>
    <xf numFmtId="168" fontId="37" fillId="10" borderId="9" xfId="0" applyNumberFormat="1" applyFont="1" applyFill="1" applyBorder="1" applyAlignment="1">
      <alignment horizontal="center" vertical="center"/>
    </xf>
    <xf numFmtId="0" fontId="63" fillId="0" borderId="137" xfId="0" applyFont="1" applyBorder="1" applyAlignment="1">
      <alignment horizontal="center" vertical="center"/>
    </xf>
    <xf numFmtId="0" fontId="63" fillId="10" borderId="158" xfId="0" applyFont="1" applyFill="1" applyBorder="1" applyAlignment="1">
      <alignment horizontal="center" vertical="center"/>
    </xf>
    <xf numFmtId="15" fontId="33" fillId="0" borderId="158" xfId="0" applyNumberFormat="1" applyFont="1" applyBorder="1" applyAlignment="1">
      <alignment horizontal="center" vertical="center"/>
    </xf>
    <xf numFmtId="15" fontId="63" fillId="0" borderId="158" xfId="0" applyNumberFormat="1" applyFont="1" applyBorder="1" applyAlignment="1">
      <alignment horizontal="center" vertical="center"/>
    </xf>
    <xf numFmtId="0" fontId="33" fillId="0" borderId="158" xfId="0" applyFont="1" applyBorder="1" applyAlignment="1">
      <alignment horizontal="center" vertical="center"/>
    </xf>
    <xf numFmtId="0" fontId="63" fillId="0" borderId="158" xfId="0" applyFont="1" applyBorder="1" applyAlignment="1">
      <alignment horizontal="center" vertical="center"/>
    </xf>
    <xf numFmtId="168" fontId="37" fillId="10" borderId="15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168" fontId="37" fillId="0" borderId="124" xfId="0" applyNumberFormat="1" applyFont="1" applyBorder="1" applyAlignment="1">
      <alignment horizontal="center" vertical="center"/>
    </xf>
    <xf numFmtId="170" fontId="65" fillId="0" borderId="159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46" xfId="0" applyFont="1" applyFill="1" applyBorder="1" applyAlignment="1">
      <alignment horizontal="center" vertical="center" wrapText="1"/>
    </xf>
    <xf numFmtId="165" fontId="7" fillId="2" borderId="113" xfId="0" applyNumberFormat="1" applyFont="1" applyFill="1" applyBorder="1" applyAlignment="1">
      <alignment horizontal="center" vertical="top"/>
    </xf>
    <xf numFmtId="168" fontId="22" fillId="5" borderId="44" xfId="0" applyNumberFormat="1" applyFont="1" applyFill="1" applyBorder="1" applyAlignment="1">
      <alignment horizontal="center" vertical="center"/>
    </xf>
    <xf numFmtId="165" fontId="7" fillId="26" borderId="56" xfId="0" applyNumberFormat="1" applyFont="1" applyFill="1" applyBorder="1" applyAlignment="1">
      <alignment horizontal="center" vertical="top"/>
    </xf>
    <xf numFmtId="165" fontId="7" fillId="26" borderId="57" xfId="0" applyNumberFormat="1" applyFont="1" applyFill="1" applyBorder="1" applyAlignment="1">
      <alignment horizontal="center" vertical="top"/>
    </xf>
    <xf numFmtId="165" fontId="7" fillId="26" borderId="58" xfId="0" applyNumberFormat="1" applyFont="1" applyFill="1" applyBorder="1" applyAlignment="1">
      <alignment horizontal="center" vertical="top"/>
    </xf>
    <xf numFmtId="165" fontId="7" fillId="26" borderId="59" xfId="0" applyNumberFormat="1" applyFont="1" applyFill="1" applyBorder="1" applyAlignment="1">
      <alignment horizontal="center" vertical="top"/>
    </xf>
    <xf numFmtId="0" fontId="7" fillId="26" borderId="60" xfId="0" applyFont="1" applyFill="1" applyBorder="1" applyAlignment="1">
      <alignment horizontal="center" vertical="top"/>
    </xf>
    <xf numFmtId="165" fontId="49" fillId="26" borderId="56" xfId="0" applyNumberFormat="1" applyFont="1" applyFill="1" applyBorder="1" applyAlignment="1">
      <alignment horizontal="center" vertical="top"/>
    </xf>
    <xf numFmtId="165" fontId="49" fillId="26" borderId="57" xfId="0" applyNumberFormat="1" applyFont="1" applyFill="1" applyBorder="1" applyAlignment="1">
      <alignment horizontal="center" vertical="top"/>
    </xf>
    <xf numFmtId="165" fontId="49" fillId="26" borderId="58" xfId="0" applyNumberFormat="1" applyFont="1" applyFill="1" applyBorder="1" applyAlignment="1">
      <alignment horizontal="center" vertical="top"/>
    </xf>
    <xf numFmtId="165" fontId="49" fillId="26" borderId="59" xfId="0" applyNumberFormat="1" applyFont="1" applyFill="1" applyBorder="1" applyAlignment="1">
      <alignment horizontal="center" vertical="top"/>
    </xf>
    <xf numFmtId="0" fontId="49" fillId="26" borderId="60" xfId="0" applyFont="1" applyFill="1" applyBorder="1" applyAlignment="1">
      <alignment horizontal="center" vertical="top"/>
    </xf>
    <xf numFmtId="165" fontId="43" fillId="26" borderId="56" xfId="0" applyNumberFormat="1" applyFont="1" applyFill="1" applyBorder="1" applyAlignment="1">
      <alignment horizontal="center" vertical="center"/>
    </xf>
    <xf numFmtId="165" fontId="43" fillId="26" borderId="57" xfId="0" applyNumberFormat="1" applyFont="1" applyFill="1" applyBorder="1" applyAlignment="1">
      <alignment horizontal="center" vertical="center"/>
    </xf>
    <xf numFmtId="165" fontId="43" fillId="26" borderId="58" xfId="0" applyNumberFormat="1" applyFont="1" applyFill="1" applyBorder="1" applyAlignment="1">
      <alignment horizontal="center" vertical="center"/>
    </xf>
    <xf numFmtId="165" fontId="43" fillId="26" borderId="59" xfId="0" applyNumberFormat="1" applyFont="1" applyFill="1" applyBorder="1" applyAlignment="1">
      <alignment horizontal="center" vertical="center"/>
    </xf>
    <xf numFmtId="0" fontId="43" fillId="26" borderId="60" xfId="0" applyFont="1" applyFill="1" applyBorder="1" applyAlignment="1">
      <alignment horizontal="center" vertical="center"/>
    </xf>
    <xf numFmtId="165" fontId="7" fillId="26" borderId="56" xfId="0" applyNumberFormat="1" applyFont="1" applyFill="1" applyBorder="1" applyAlignment="1">
      <alignment horizontal="center" vertical="center"/>
    </xf>
    <xf numFmtId="165" fontId="7" fillId="26" borderId="57" xfId="0" applyNumberFormat="1" applyFont="1" applyFill="1" applyBorder="1" applyAlignment="1">
      <alignment horizontal="center" vertical="center"/>
    </xf>
    <xf numFmtId="165" fontId="7" fillId="26" borderId="58" xfId="0" applyNumberFormat="1" applyFont="1" applyFill="1" applyBorder="1" applyAlignment="1">
      <alignment horizontal="center" vertical="center"/>
    </xf>
    <xf numFmtId="165" fontId="7" fillId="26" borderId="59" xfId="0" applyNumberFormat="1" applyFont="1" applyFill="1" applyBorder="1" applyAlignment="1">
      <alignment horizontal="center" vertical="center"/>
    </xf>
    <xf numFmtId="0" fontId="7" fillId="26" borderId="60" xfId="0" applyFont="1" applyFill="1" applyBorder="1" applyAlignment="1">
      <alignment horizontal="center" vertical="center"/>
    </xf>
    <xf numFmtId="167" fontId="20" fillId="26" borderId="72" xfId="0" applyNumberFormat="1" applyFont="1" applyFill="1" applyBorder="1" applyAlignment="1">
      <alignment horizontal="center" vertical="center"/>
    </xf>
    <xf numFmtId="0" fontId="20" fillId="26" borderId="72" xfId="0" applyFont="1" applyFill="1" applyBorder="1" applyAlignment="1">
      <alignment horizontal="center" vertical="center"/>
    </xf>
    <xf numFmtId="168" fontId="10" fillId="5" borderId="57" xfId="0" applyNumberFormat="1" applyFont="1" applyFill="1" applyBorder="1" applyAlignment="1">
      <alignment horizontal="center" vertical="center"/>
    </xf>
    <xf numFmtId="168" fontId="10" fillId="0" borderId="44" xfId="0" applyNumberFormat="1" applyFont="1" applyBorder="1" applyAlignment="1">
      <alignment horizontal="center" vertical="center"/>
    </xf>
    <xf numFmtId="15" fontId="52" fillId="0" borderId="53" xfId="0" applyNumberFormat="1" applyFont="1" applyBorder="1" applyAlignment="1">
      <alignment horizontal="center" vertical="center"/>
    </xf>
    <xf numFmtId="15" fontId="66" fillId="0" borderId="53" xfId="0" applyNumberFormat="1" applyFont="1" applyBorder="1" applyAlignment="1">
      <alignment horizontal="center" vertical="center"/>
    </xf>
    <xf numFmtId="15" fontId="36" fillId="11" borderId="44" xfId="0" applyNumberFormat="1" applyFont="1" applyFill="1" applyBorder="1" applyAlignment="1">
      <alignment horizontal="center"/>
    </xf>
    <xf numFmtId="15" fontId="36" fillId="11" borderId="75" xfId="0" applyNumberFormat="1" applyFont="1" applyFill="1" applyBorder="1" applyAlignment="1">
      <alignment horizontal="center"/>
    </xf>
    <xf numFmtId="168" fontId="19" fillId="0" borderId="44" xfId="0" applyNumberFormat="1" applyFont="1" applyBorder="1" applyAlignment="1">
      <alignment horizontal="center" vertical="center"/>
    </xf>
    <xf numFmtId="0" fontId="57" fillId="0" borderId="0" xfId="0" applyFont="1"/>
    <xf numFmtId="0" fontId="52" fillId="0" borderId="53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165" fontId="10" fillId="0" borderId="94" xfId="0" applyNumberFormat="1" applyFont="1" applyBorder="1" applyAlignment="1">
      <alignment horizontal="center" vertical="center"/>
    </xf>
    <xf numFmtId="0" fontId="19" fillId="0" borderId="98" xfId="0" applyFont="1" applyBorder="1" applyAlignment="1">
      <alignment horizontal="center" vertical="center"/>
    </xf>
    <xf numFmtId="0" fontId="19" fillId="0" borderId="99" xfId="0" applyFont="1" applyBorder="1" applyAlignment="1">
      <alignment horizontal="left" vertical="center"/>
    </xf>
    <xf numFmtId="0" fontId="52" fillId="0" borderId="93" xfId="0" applyFont="1" applyBorder="1" applyAlignment="1">
      <alignment horizontal="center" vertical="center"/>
    </xf>
    <xf numFmtId="0" fontId="19" fillId="0" borderId="101" xfId="0" applyFont="1" applyBorder="1" applyAlignment="1">
      <alignment horizontal="center" vertical="center"/>
    </xf>
    <xf numFmtId="15" fontId="19" fillId="0" borderId="53" xfId="0" applyNumberFormat="1" applyFont="1" applyBorder="1" applyAlignment="1">
      <alignment horizontal="center"/>
    </xf>
    <xf numFmtId="15" fontId="19" fillId="0" borderId="53" xfId="0" applyNumberFormat="1" applyFont="1" applyBorder="1" applyAlignment="1">
      <alignment horizontal="center" vertical="center"/>
    </xf>
    <xf numFmtId="0" fontId="19" fillId="0" borderId="53" xfId="0" applyFont="1" applyBorder="1" applyAlignment="1">
      <alignment horizontal="center"/>
    </xf>
    <xf numFmtId="0" fontId="19" fillId="0" borderId="53" xfId="0" applyFont="1" applyBorder="1" applyAlignment="1">
      <alignment horizontal="center" vertical="center"/>
    </xf>
    <xf numFmtId="167" fontId="19" fillId="0" borderId="53" xfId="0" applyNumberFormat="1" applyFont="1" applyBorder="1" applyAlignment="1">
      <alignment horizontal="center"/>
    </xf>
    <xf numFmtId="0" fontId="66" fillId="0" borderId="93" xfId="0" applyFont="1" applyBorder="1" applyAlignment="1">
      <alignment horizontal="center" vertical="center"/>
    </xf>
    <xf numFmtId="15" fontId="36" fillId="0" borderId="53" xfId="0" applyNumberFormat="1" applyFont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53" xfId="0" applyFont="1" applyBorder="1" applyAlignment="1">
      <alignment horizontal="center" vertical="center"/>
    </xf>
    <xf numFmtId="15" fontId="36" fillId="0" borderId="53" xfId="0" applyNumberFormat="1" applyFont="1" applyBorder="1" applyAlignment="1">
      <alignment horizontal="center" vertical="center"/>
    </xf>
    <xf numFmtId="15" fontId="19" fillId="0" borderId="99" xfId="0" applyNumberFormat="1" applyFont="1" applyBorder="1" applyAlignment="1">
      <alignment horizontal="center" vertical="center" wrapText="1"/>
    </xf>
    <xf numFmtId="0" fontId="19" fillId="0" borderId="78" xfId="0" applyFont="1" applyBorder="1" applyAlignment="1">
      <alignment vertical="center" wrapText="1"/>
    </xf>
    <xf numFmtId="0" fontId="19" fillId="0" borderId="42" xfId="0" applyFont="1" applyBorder="1" applyAlignment="1">
      <alignment vertical="center" wrapText="1"/>
    </xf>
    <xf numFmtId="0" fontId="19" fillId="0" borderId="72" xfId="0" applyFont="1" applyBorder="1" applyAlignment="1">
      <alignment vertical="center" wrapText="1"/>
    </xf>
    <xf numFmtId="168" fontId="51" fillId="5" borderId="44" xfId="0" applyNumberFormat="1" applyFont="1" applyFill="1" applyBorder="1" applyAlignment="1">
      <alignment horizontal="center" vertical="center"/>
    </xf>
    <xf numFmtId="15" fontId="0" fillId="0" borderId="0" xfId="0" applyNumberForma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5" fontId="55" fillId="0" borderId="0" xfId="0" applyNumberFormat="1" applyFont="1" applyAlignment="1">
      <alignment horizontal="center" vertical="center"/>
    </xf>
    <xf numFmtId="0" fontId="63" fillId="0" borderId="1" xfId="0" applyFont="1" applyBorder="1" applyAlignment="1">
      <alignment horizontal="center" vertical="center"/>
    </xf>
    <xf numFmtId="0" fontId="35" fillId="5" borderId="53" xfId="0" applyFont="1" applyFill="1" applyBorder="1" applyAlignment="1">
      <alignment horizontal="center" vertical="center" wrapText="1"/>
    </xf>
    <xf numFmtId="0" fontId="67" fillId="5" borderId="53" xfId="0" applyFont="1" applyFill="1" applyBorder="1" applyAlignment="1">
      <alignment horizontal="center" vertical="center" wrapText="1"/>
    </xf>
    <xf numFmtId="0" fontId="67" fillId="0" borderId="9" xfId="0" applyFont="1" applyBorder="1" applyAlignment="1">
      <alignment horizontal="center" vertical="center"/>
    </xf>
    <xf numFmtId="0" fontId="67" fillId="0" borderId="99" xfId="0" applyFont="1" applyBorder="1" applyAlignment="1">
      <alignment horizontal="left" vertical="center"/>
    </xf>
    <xf numFmtId="0" fontId="67" fillId="0" borderId="98" xfId="0" applyFont="1" applyBorder="1" applyAlignment="1">
      <alignment horizontal="center" vertical="center"/>
    </xf>
    <xf numFmtId="15" fontId="68" fillId="11" borderId="75" xfId="0" applyNumberFormat="1" applyFont="1" applyFill="1" applyBorder="1" applyAlignment="1">
      <alignment horizontal="center"/>
    </xf>
    <xf numFmtId="15" fontId="67" fillId="0" borderId="53" xfId="0" applyNumberFormat="1" applyFont="1" applyBorder="1" applyAlignment="1">
      <alignment horizontal="center" vertical="center"/>
    </xf>
    <xf numFmtId="166" fontId="67" fillId="0" borderId="53" xfId="0" applyNumberFormat="1" applyFont="1" applyBorder="1" applyAlignment="1">
      <alignment horizontal="center" vertical="center" wrapText="1"/>
    </xf>
    <xf numFmtId="0" fontId="67" fillId="0" borderId="53" xfId="0" applyFont="1" applyBorder="1" applyAlignment="1">
      <alignment horizontal="center" vertical="center"/>
    </xf>
    <xf numFmtId="15" fontId="29" fillId="0" borderId="75" xfId="0" applyNumberFormat="1" applyFont="1" applyBorder="1" applyAlignment="1">
      <alignment horizontal="center" vertical="center"/>
    </xf>
    <xf numFmtId="15" fontId="15" fillId="11" borderId="44" xfId="0" applyNumberFormat="1" applyFont="1" applyFill="1" applyBorder="1" applyAlignment="1">
      <alignment horizontal="center"/>
    </xf>
    <xf numFmtId="0" fontId="69" fillId="0" borderId="53" xfId="0" applyFont="1" applyBorder="1" applyAlignment="1">
      <alignment horizontal="center" vertical="center"/>
    </xf>
    <xf numFmtId="0" fontId="69" fillId="0" borderId="78" xfId="0" applyFont="1" applyBorder="1" applyAlignment="1">
      <alignment horizontal="center" vertical="center"/>
    </xf>
    <xf numFmtId="0" fontId="69" fillId="0" borderId="51" xfId="0" applyFont="1" applyBorder="1" applyAlignment="1">
      <alignment horizontal="center" vertical="center"/>
    </xf>
    <xf numFmtId="0" fontId="70" fillId="0" borderId="51" xfId="0" applyFont="1" applyBorder="1" applyAlignment="1">
      <alignment horizontal="center" vertical="center"/>
    </xf>
    <xf numFmtId="0" fontId="69" fillId="0" borderId="101" xfId="0" applyFont="1" applyBorder="1" applyAlignment="1">
      <alignment horizontal="left" vertical="center"/>
    </xf>
    <xf numFmtId="0" fontId="71" fillId="0" borderId="51" xfId="0" applyFont="1" applyBorder="1" applyAlignment="1">
      <alignment horizontal="center"/>
    </xf>
    <xf numFmtId="0" fontId="71" fillId="0" borderId="51" xfId="0" applyFont="1" applyBorder="1" applyAlignment="1">
      <alignment horizontal="center" vertical="center"/>
    </xf>
    <xf numFmtId="0" fontId="69" fillId="0" borderId="138" xfId="0" applyFont="1" applyBorder="1" applyAlignment="1">
      <alignment horizontal="left" vertical="center"/>
    </xf>
    <xf numFmtId="0" fontId="69" fillId="0" borderId="135" xfId="0" applyFont="1" applyBorder="1" applyAlignment="1">
      <alignment horizontal="left" vertical="center"/>
    </xf>
    <xf numFmtId="0" fontId="69" fillId="0" borderId="0" xfId="0" applyFont="1" applyAlignment="1">
      <alignment horizontal="center" vertical="top"/>
    </xf>
    <xf numFmtId="0" fontId="69" fillId="0" borderId="0" xfId="0" applyFont="1" applyAlignment="1">
      <alignment horizontal="center" vertical="top" wrapText="1"/>
    </xf>
    <xf numFmtId="0" fontId="0" fillId="0" borderId="75" xfId="0" applyBorder="1" applyAlignment="1">
      <alignment vertical="center"/>
    </xf>
    <xf numFmtId="0" fontId="0" fillId="0" borderId="53" xfId="0" applyBorder="1" applyAlignment="1">
      <alignment horizontal="left" vertical="center" wrapText="1"/>
    </xf>
    <xf numFmtId="165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9" xfId="0" applyFont="1" applyBorder="1" applyAlignment="1">
      <alignment horizontal="left" vertical="center"/>
    </xf>
    <xf numFmtId="0" fontId="1" fillId="0" borderId="98" xfId="0" applyFont="1" applyBorder="1" applyAlignment="1">
      <alignment horizontal="center" vertical="center"/>
    </xf>
    <xf numFmtId="168" fontId="1" fillId="5" borderId="4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5" fontId="1" fillId="0" borderId="53" xfId="0" applyNumberFormat="1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118" xfId="0" applyFont="1" applyBorder="1" applyAlignment="1">
      <alignment horizontal="left" vertical="center"/>
    </xf>
    <xf numFmtId="0" fontId="1" fillId="0" borderId="10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3" borderId="22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5" fillId="20" borderId="76" xfId="0" applyFont="1" applyFill="1" applyBorder="1" applyAlignment="1">
      <alignment horizontal="center" vertical="center" wrapText="1"/>
    </xf>
    <xf numFmtId="0" fontId="25" fillId="20" borderId="56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25" fillId="20" borderId="58" xfId="0" applyFont="1" applyFill="1" applyBorder="1" applyAlignment="1">
      <alignment horizontal="center" vertical="center" wrapText="1"/>
    </xf>
    <xf numFmtId="0" fontId="25" fillId="20" borderId="77" xfId="0" applyFont="1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19" borderId="58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 wrapText="1"/>
    </xf>
    <xf numFmtId="0" fontId="0" fillId="13" borderId="77" xfId="0" applyFill="1" applyBorder="1" applyAlignment="1">
      <alignment horizontal="center" vertical="center" wrapText="1"/>
    </xf>
    <xf numFmtId="0" fontId="0" fillId="13" borderId="60" xfId="0" applyFill="1" applyBorder="1" applyAlignment="1">
      <alignment horizontal="center" vertical="center" wrapText="1"/>
    </xf>
    <xf numFmtId="0" fontId="7" fillId="26" borderId="8" xfId="0" applyFont="1" applyFill="1" applyBorder="1" applyAlignment="1">
      <alignment horizontal="center" vertical="center"/>
    </xf>
    <xf numFmtId="0" fontId="7" fillId="26" borderId="23" xfId="0" applyFont="1" applyFill="1" applyBorder="1" applyAlignment="1">
      <alignment horizontal="center" vertical="center"/>
    </xf>
    <xf numFmtId="0" fontId="7" fillId="26" borderId="2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6" borderId="14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73" xfId="0" applyFont="1" applyFill="1" applyBorder="1" applyAlignment="1">
      <alignment horizontal="center" vertical="center"/>
    </xf>
    <xf numFmtId="0" fontId="7" fillId="26" borderId="22" xfId="0" applyFont="1" applyFill="1" applyBorder="1" applyAlignment="1">
      <alignment horizontal="center" vertical="center"/>
    </xf>
    <xf numFmtId="0" fontId="7" fillId="26" borderId="8" xfId="0" applyFont="1" applyFill="1" applyBorder="1" applyAlignment="1">
      <alignment horizontal="center" vertical="center" wrapText="1"/>
    </xf>
    <xf numFmtId="0" fontId="7" fillId="26" borderId="23" xfId="0" applyFont="1" applyFill="1" applyBorder="1" applyAlignment="1">
      <alignment horizontal="center" vertical="center" wrapText="1"/>
    </xf>
    <xf numFmtId="0" fontId="7" fillId="26" borderId="14" xfId="0" applyFont="1" applyFill="1" applyBorder="1" applyAlignment="1">
      <alignment horizontal="center" vertical="center" wrapText="1"/>
    </xf>
    <xf numFmtId="15" fontId="10" fillId="0" borderId="113" xfId="0" applyNumberFormat="1" applyFont="1" applyBorder="1" applyAlignment="1">
      <alignment horizontal="center" vertical="center"/>
    </xf>
    <xf numFmtId="15" fontId="10" fillId="0" borderId="147" xfId="0" applyNumberFormat="1" applyFont="1" applyBorder="1" applyAlignment="1">
      <alignment horizontal="center" vertical="center"/>
    </xf>
    <xf numFmtId="15" fontId="10" fillId="0" borderId="148" xfId="0" applyNumberFormat="1" applyFont="1" applyBorder="1" applyAlignment="1">
      <alignment horizontal="center" vertical="center"/>
    </xf>
    <xf numFmtId="0" fontId="51" fillId="0" borderId="136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8" fontId="0" fillId="5" borderId="106" xfId="0" applyNumberFormat="1" applyFill="1" applyBorder="1" applyAlignment="1">
      <alignment horizontal="center" vertical="center"/>
    </xf>
    <xf numFmtId="168" fontId="0" fillId="5" borderId="116" xfId="0" applyNumberFormat="1" applyFill="1" applyBorder="1" applyAlignment="1">
      <alignment horizontal="center" vertical="center"/>
    </xf>
    <xf numFmtId="168" fontId="0" fillId="5" borderId="117" xfId="0" applyNumberFormat="1" applyFill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15" fontId="10" fillId="0" borderId="78" xfId="0" applyNumberFormat="1" applyFont="1" applyBorder="1" applyAlignment="1">
      <alignment horizontal="center" vertical="center"/>
    </xf>
    <xf numFmtId="15" fontId="10" fillId="0" borderId="42" xfId="0" applyNumberFormat="1" applyFont="1" applyBorder="1" applyAlignment="1">
      <alignment horizontal="center" vertical="center"/>
    </xf>
    <xf numFmtId="15" fontId="10" fillId="0" borderId="72" xfId="0" applyNumberFormat="1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78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 wrapText="1"/>
    </xf>
    <xf numFmtId="15" fontId="10" fillId="0" borderId="78" xfId="0" applyNumberFormat="1" applyFont="1" applyBorder="1" applyAlignment="1">
      <alignment horizontal="center"/>
    </xf>
    <xf numFmtId="15" fontId="10" fillId="0" borderId="42" xfId="0" applyNumberFormat="1" applyFont="1" applyBorder="1" applyAlignment="1">
      <alignment horizontal="center"/>
    </xf>
    <xf numFmtId="15" fontId="10" fillId="0" borderId="72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50" fillId="0" borderId="100" xfId="0" applyFont="1" applyBorder="1" applyAlignment="1">
      <alignment horizontal="center" vertical="center"/>
    </xf>
    <xf numFmtId="0" fontId="50" fillId="0" borderId="107" xfId="0" applyFont="1" applyBorder="1" applyAlignment="1">
      <alignment horizontal="center" vertical="center"/>
    </xf>
    <xf numFmtId="0" fontId="49" fillId="26" borderId="2" xfId="0" applyFont="1" applyFill="1" applyBorder="1" applyAlignment="1">
      <alignment horizontal="center" vertical="center"/>
    </xf>
    <xf numFmtId="0" fontId="49" fillId="26" borderId="14" xfId="0" applyFont="1" applyFill="1" applyBorder="1" applyAlignment="1">
      <alignment horizontal="center" vertical="center"/>
    </xf>
    <xf numFmtId="0" fontId="49" fillId="26" borderId="3" xfId="0" applyFont="1" applyFill="1" applyBorder="1" applyAlignment="1">
      <alignment horizontal="center" vertical="center"/>
    </xf>
    <xf numFmtId="0" fontId="49" fillId="26" borderId="8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center" vertical="center"/>
    </xf>
    <xf numFmtId="0" fontId="49" fillId="2" borderId="14" xfId="0" applyFont="1" applyFill="1" applyBorder="1" applyAlignment="1">
      <alignment horizontal="center" vertical="center"/>
    </xf>
    <xf numFmtId="0" fontId="49" fillId="2" borderId="2" xfId="0" applyFont="1" applyFill="1" applyBorder="1" applyAlignment="1">
      <alignment horizontal="center" vertical="center"/>
    </xf>
    <xf numFmtId="0" fontId="49" fillId="2" borderId="3" xfId="0" applyFont="1" applyFill="1" applyBorder="1" applyAlignment="1">
      <alignment horizontal="center" vertical="center"/>
    </xf>
    <xf numFmtId="0" fontId="49" fillId="2" borderId="8" xfId="0" applyFont="1" applyFill="1" applyBorder="1" applyAlignment="1">
      <alignment horizontal="center" vertical="center"/>
    </xf>
    <xf numFmtId="0" fontId="49" fillId="2" borderId="4" xfId="0" applyFont="1" applyFill="1" applyBorder="1" applyAlignment="1">
      <alignment horizontal="center" vertical="center"/>
    </xf>
    <xf numFmtId="0" fontId="43" fillId="26" borderId="2" xfId="0" applyFont="1" applyFill="1" applyBorder="1" applyAlignment="1">
      <alignment horizontal="center" vertical="center"/>
    </xf>
    <xf numFmtId="0" fontId="43" fillId="26" borderId="14" xfId="0" applyFont="1" applyFill="1" applyBorder="1" applyAlignment="1">
      <alignment horizontal="center" vertical="center"/>
    </xf>
    <xf numFmtId="0" fontId="43" fillId="26" borderId="3" xfId="0" applyFont="1" applyFill="1" applyBorder="1" applyAlignment="1">
      <alignment horizontal="center" vertical="center"/>
    </xf>
    <xf numFmtId="0" fontId="43" fillId="26" borderId="8" xfId="0" applyFont="1" applyFill="1" applyBorder="1" applyAlignment="1">
      <alignment horizontal="center" vertical="center"/>
    </xf>
    <xf numFmtId="0" fontId="43" fillId="26" borderId="4" xfId="0" applyFont="1" applyFill="1" applyBorder="1" applyAlignment="1">
      <alignment horizontal="center" vertical="center"/>
    </xf>
    <xf numFmtId="0" fontId="43" fillId="2" borderId="14" xfId="0" applyFont="1" applyFill="1" applyBorder="1" applyAlignment="1">
      <alignment horizontal="center" vertical="center"/>
    </xf>
    <xf numFmtId="0" fontId="43" fillId="2" borderId="43" xfId="0" applyFont="1" applyFill="1" applyBorder="1" applyAlignment="1">
      <alignment horizontal="center" vertical="center"/>
    </xf>
    <xf numFmtId="0" fontId="43" fillId="2" borderId="6" xfId="0" applyFont="1" applyFill="1" applyBorder="1" applyAlignment="1">
      <alignment horizontal="center" vertical="center"/>
    </xf>
    <xf numFmtId="0" fontId="43" fillId="2" borderId="10" xfId="0" applyFont="1" applyFill="1" applyBorder="1" applyAlignment="1">
      <alignment horizontal="center" vertical="center"/>
    </xf>
    <xf numFmtId="0" fontId="43" fillId="2" borderId="11" xfId="0" applyFont="1" applyFill="1" applyBorder="1" applyAlignment="1">
      <alignment horizontal="center" vertical="center"/>
    </xf>
    <xf numFmtId="0" fontId="43" fillId="26" borderId="12" xfId="0" applyFont="1" applyFill="1" applyBorder="1" applyAlignment="1">
      <alignment horizontal="center" vertical="center"/>
    </xf>
    <xf numFmtId="0" fontId="43" fillId="26" borderId="43" xfId="0" applyFont="1" applyFill="1" applyBorder="1" applyAlignment="1">
      <alignment horizontal="center" vertical="center"/>
    </xf>
    <xf numFmtId="0" fontId="43" fillId="26" borderId="6" xfId="0" applyFont="1" applyFill="1" applyBorder="1" applyAlignment="1">
      <alignment horizontal="center" vertical="center"/>
    </xf>
    <xf numFmtId="0" fontId="43" fillId="26" borderId="10" xfId="0" applyFont="1" applyFill="1" applyBorder="1" applyAlignment="1">
      <alignment horizontal="center" vertical="center"/>
    </xf>
    <xf numFmtId="0" fontId="43" fillId="26" borderId="7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2" borderId="7" xfId="0" applyFont="1" applyFill="1" applyBorder="1" applyAlignment="1">
      <alignment horizontal="center" vertical="center"/>
    </xf>
    <xf numFmtId="0" fontId="43" fillId="2" borderId="2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43" fillId="2" borderId="8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0" fontId="7" fillId="26" borderId="2" xfId="0" applyFont="1" applyFill="1" applyBorder="1" applyAlignment="1">
      <alignment horizontal="center" vertical="center"/>
    </xf>
    <xf numFmtId="0" fontId="7" fillId="26" borderId="3" xfId="0" applyFont="1" applyFill="1" applyBorder="1" applyAlignment="1">
      <alignment horizontal="center" vertical="center"/>
    </xf>
    <xf numFmtId="0" fontId="7" fillId="26" borderId="4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6" borderId="12" xfId="0" applyFont="1" applyFill="1" applyBorder="1" applyAlignment="1">
      <alignment horizontal="center" vertical="center"/>
    </xf>
    <xf numFmtId="0" fontId="7" fillId="26" borderId="43" xfId="0" applyFont="1" applyFill="1" applyBorder="1" applyAlignment="1">
      <alignment horizontal="center" vertical="center"/>
    </xf>
    <xf numFmtId="0" fontId="7" fillId="26" borderId="6" xfId="0" applyFont="1" applyFill="1" applyBorder="1" applyAlignment="1">
      <alignment horizontal="center" vertical="center"/>
    </xf>
    <xf numFmtId="0" fontId="7" fillId="26" borderId="10" xfId="0" applyFont="1" applyFill="1" applyBorder="1" applyAlignment="1">
      <alignment horizontal="center" vertical="center"/>
    </xf>
    <xf numFmtId="0" fontId="7" fillId="26" borderId="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20" fillId="25" borderId="41" xfId="0" applyFont="1" applyFill="1" applyBorder="1" applyAlignment="1">
      <alignment horizontal="center" vertical="center" wrapText="1"/>
    </xf>
    <xf numFmtId="0" fontId="20" fillId="25" borderId="72" xfId="0" applyFont="1" applyFill="1" applyBorder="1" applyAlignment="1">
      <alignment horizontal="center" vertical="center" wrapText="1"/>
    </xf>
    <xf numFmtId="0" fontId="20" fillId="25" borderId="73" xfId="0" applyFont="1" applyFill="1" applyBorder="1" applyAlignment="1">
      <alignment horizontal="center" vertical="center"/>
    </xf>
    <xf numFmtId="0" fontId="20" fillId="26" borderId="73" xfId="0" applyFont="1" applyFill="1" applyBorder="1" applyAlignment="1">
      <alignment horizontal="center" vertical="center"/>
    </xf>
    <xf numFmtId="167" fontId="20" fillId="25" borderId="41" xfId="0" applyNumberFormat="1" applyFont="1" applyFill="1" applyBorder="1" applyAlignment="1">
      <alignment horizontal="center" vertical="center" wrapText="1"/>
    </xf>
    <xf numFmtId="167" fontId="20" fillId="25" borderId="72" xfId="0" applyNumberFormat="1" applyFont="1" applyFill="1" applyBorder="1" applyAlignment="1">
      <alignment horizontal="center" vertical="center" wrapText="1"/>
    </xf>
    <xf numFmtId="0" fontId="0" fillId="4" borderId="66" xfId="0" applyFill="1" applyBorder="1" applyAlignment="1">
      <alignment horizontal="center" vertical="center" wrapText="1"/>
    </xf>
    <xf numFmtId="0" fontId="0" fillId="4" borderId="65" xfId="0" applyFill="1" applyBorder="1" applyAlignment="1">
      <alignment horizontal="center" vertical="center" wrapText="1"/>
    </xf>
    <xf numFmtId="0" fontId="0" fillId="4" borderId="67" xfId="0" applyFill="1" applyBorder="1" applyAlignment="1">
      <alignment horizontal="center" vertical="center" wrapText="1"/>
    </xf>
    <xf numFmtId="0" fontId="0" fillId="4" borderId="62" xfId="0" applyFill="1" applyBorder="1" applyAlignment="1">
      <alignment horizontal="center" vertical="center" wrapText="1"/>
    </xf>
    <xf numFmtId="0" fontId="0" fillId="4" borderId="63" xfId="0" applyFill="1" applyBorder="1" applyAlignment="1">
      <alignment horizontal="center" vertical="center" wrapText="1"/>
    </xf>
    <xf numFmtId="0" fontId="0" fillId="4" borderId="64" xfId="0" applyFill="1" applyBorder="1" applyAlignment="1">
      <alignment horizontal="center" vertical="center" wrapText="1"/>
    </xf>
    <xf numFmtId="0" fontId="0" fillId="10" borderId="62" xfId="0" applyFill="1" applyBorder="1" applyAlignment="1">
      <alignment horizontal="center" vertical="center" wrapText="1"/>
    </xf>
    <xf numFmtId="0" fontId="0" fillId="10" borderId="63" xfId="0" applyFill="1" applyBorder="1" applyAlignment="1">
      <alignment horizontal="center" vertical="center" wrapText="1"/>
    </xf>
    <xf numFmtId="0" fontId="0" fillId="18" borderId="66" xfId="0" applyFill="1" applyBorder="1" applyAlignment="1">
      <alignment horizontal="center" vertical="center" wrapText="1"/>
    </xf>
    <xf numFmtId="0" fontId="0" fillId="18" borderId="68" xfId="0" applyFill="1" applyBorder="1" applyAlignment="1">
      <alignment horizontal="center" vertical="center" wrapText="1"/>
    </xf>
    <xf numFmtId="0" fontId="0" fillId="18" borderId="69" xfId="0" applyFill="1" applyBorder="1" applyAlignment="1">
      <alignment horizontal="center" vertical="center" wrapText="1"/>
    </xf>
    <xf numFmtId="0" fontId="0" fillId="18" borderId="67" xfId="0" applyFill="1" applyBorder="1" applyAlignment="1">
      <alignment horizontal="center" vertical="center" wrapText="1"/>
    </xf>
    <xf numFmtId="0" fontId="0" fillId="18" borderId="48" xfId="0" applyFill="1" applyBorder="1" applyAlignment="1">
      <alignment horizontal="center" vertical="center" wrapText="1"/>
    </xf>
    <xf numFmtId="0" fontId="0" fillId="18" borderId="70" xfId="0" applyFill="1" applyBorder="1" applyAlignment="1">
      <alignment horizontal="center" vertical="center" wrapText="1"/>
    </xf>
    <xf numFmtId="0" fontId="0" fillId="10" borderId="66" xfId="0" applyFill="1" applyBorder="1" applyAlignment="1">
      <alignment horizontal="center" vertical="center" wrapText="1"/>
    </xf>
    <xf numFmtId="0" fontId="0" fillId="10" borderId="68" xfId="0" applyFill="1" applyBorder="1" applyAlignment="1">
      <alignment horizontal="center" vertical="center" wrapText="1"/>
    </xf>
    <xf numFmtId="0" fontId="0" fillId="10" borderId="69" xfId="0" applyFill="1" applyBorder="1" applyAlignment="1">
      <alignment horizontal="center" vertical="center" wrapText="1"/>
    </xf>
    <xf numFmtId="0" fontId="0" fillId="10" borderId="67" xfId="0" applyFill="1" applyBorder="1" applyAlignment="1">
      <alignment horizontal="center" vertical="center" wrapText="1"/>
    </xf>
    <xf numFmtId="0" fontId="0" fillId="10" borderId="48" xfId="0" applyFill="1" applyBorder="1" applyAlignment="1">
      <alignment horizontal="center" vertical="center" wrapText="1"/>
    </xf>
    <xf numFmtId="0" fontId="0" fillId="10" borderId="70" xfId="0" applyFill="1" applyBorder="1" applyAlignment="1">
      <alignment horizontal="center" vertical="center" wrapText="1"/>
    </xf>
    <xf numFmtId="0" fontId="0" fillId="10" borderId="65" xfId="0" applyFill="1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8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8" borderId="62" xfId="0" applyFill="1" applyBorder="1" applyAlignment="1">
      <alignment horizontal="center" vertical="center" wrapText="1"/>
    </xf>
    <xf numFmtId="0" fontId="0" fillId="18" borderId="63" xfId="0" applyFill="1" applyBorder="1" applyAlignment="1">
      <alignment horizontal="center" vertical="center" wrapText="1"/>
    </xf>
    <xf numFmtId="0" fontId="0" fillId="18" borderId="64" xfId="0" applyFill="1" applyBorder="1" applyAlignment="1">
      <alignment horizontal="center" vertical="center" wrapText="1"/>
    </xf>
    <xf numFmtId="0" fontId="64" fillId="25" borderId="41" xfId="0" applyFont="1" applyFill="1" applyBorder="1" applyAlignment="1">
      <alignment horizontal="center" vertical="center" wrapText="1"/>
    </xf>
    <xf numFmtId="0" fontId="64" fillId="25" borderId="42" xfId="0" applyFont="1" applyFill="1" applyBorder="1" applyAlignment="1">
      <alignment horizontal="center" vertical="center" wrapText="1"/>
    </xf>
    <xf numFmtId="15" fontId="63" fillId="0" borderId="158" xfId="0" applyNumberFormat="1" applyFont="1" applyBorder="1" applyAlignment="1">
      <alignment horizontal="center" vertical="center"/>
    </xf>
    <xf numFmtId="0" fontId="62" fillId="2" borderId="71" xfId="0" applyFont="1" applyFill="1" applyBorder="1" applyAlignment="1">
      <alignment horizontal="center" vertical="center" wrapText="1"/>
    </xf>
    <xf numFmtId="164" fontId="39" fillId="2" borderId="71" xfId="0" applyNumberFormat="1" applyFont="1" applyFill="1" applyBorder="1" applyAlignment="1">
      <alignment horizontal="center" vertical="center" wrapText="1"/>
    </xf>
    <xf numFmtId="164" fontId="32" fillId="2" borderId="49" xfId="0" applyNumberFormat="1" applyFont="1" applyFill="1" applyBorder="1" applyAlignment="1">
      <alignment horizontal="center" vertical="center" wrapText="1"/>
    </xf>
    <xf numFmtId="164" fontId="32" fillId="2" borderId="71" xfId="0" applyNumberFormat="1" applyFont="1" applyFill="1" applyBorder="1" applyAlignment="1">
      <alignment horizontal="center" vertical="center" wrapText="1"/>
    </xf>
    <xf numFmtId="0" fontId="32" fillId="0" borderId="71" xfId="0" applyFont="1" applyBorder="1" applyAlignment="1">
      <alignment horizontal="center" vertical="center" wrapText="1"/>
    </xf>
    <xf numFmtId="0" fontId="32" fillId="2" borderId="71" xfId="0" applyFont="1" applyFill="1" applyBorder="1" applyAlignment="1">
      <alignment horizontal="center" vertical="center" wrapText="1"/>
    </xf>
    <xf numFmtId="0" fontId="38" fillId="11" borderId="121" xfId="0" applyFont="1" applyFill="1" applyBorder="1" applyAlignment="1">
      <alignment horizontal="center" vertical="center"/>
    </xf>
    <xf numFmtId="0" fontId="38" fillId="11" borderId="55" xfId="0" applyFont="1" applyFill="1" applyBorder="1" applyAlignment="1">
      <alignment horizontal="center" vertical="center"/>
    </xf>
    <xf numFmtId="0" fontId="38" fillId="11" borderId="6" xfId="0" applyFont="1" applyFill="1" applyBorder="1" applyAlignment="1">
      <alignment horizontal="center" vertical="center"/>
    </xf>
    <xf numFmtId="0" fontId="38" fillId="0" borderId="121" xfId="0" applyFont="1" applyBorder="1" applyAlignment="1">
      <alignment horizontal="center" vertical="center"/>
    </xf>
    <xf numFmtId="0" fontId="38" fillId="0" borderId="55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121" xfId="0" applyFont="1" applyBorder="1" applyAlignment="1">
      <alignment horizontal="left" vertical="center"/>
    </xf>
    <xf numFmtId="0" fontId="34" fillId="0" borderId="121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168" fontId="37" fillId="0" borderId="121" xfId="0" applyNumberFormat="1" applyFont="1" applyBorder="1" applyAlignment="1">
      <alignment horizontal="center" vertical="center"/>
    </xf>
    <xf numFmtId="168" fontId="37" fillId="0" borderId="55" xfId="0" applyNumberFormat="1" applyFont="1" applyBorder="1" applyAlignment="1">
      <alignment horizontal="center" vertical="center"/>
    </xf>
    <xf numFmtId="168" fontId="37" fillId="0" borderId="6" xfId="0" applyNumberFormat="1" applyFont="1" applyBorder="1" applyAlignment="1">
      <alignment horizontal="center" vertical="center"/>
    </xf>
    <xf numFmtId="0" fontId="37" fillId="0" borderId="121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168" fontId="38" fillId="7" borderId="121" xfId="0" applyNumberFormat="1" applyFont="1" applyFill="1" applyBorder="1" applyAlignment="1">
      <alignment horizontal="center" vertical="center"/>
    </xf>
    <xf numFmtId="168" fontId="38" fillId="7" borderId="55" xfId="0" applyNumberFormat="1" applyFont="1" applyFill="1" applyBorder="1" applyAlignment="1">
      <alignment horizontal="center" vertical="center"/>
    </xf>
    <xf numFmtId="168" fontId="38" fillId="7" borderId="6" xfId="0" applyNumberFormat="1" applyFont="1" applyFill="1" applyBorder="1" applyAlignment="1">
      <alignment horizontal="center" vertical="center"/>
    </xf>
    <xf numFmtId="15" fontId="56" fillId="0" borderId="53" xfId="0" applyNumberFormat="1" applyFont="1" applyBorder="1" applyAlignment="1">
      <alignment horizontal="center" vertical="center"/>
    </xf>
  </cellXfs>
  <cellStyles count="5">
    <cellStyle name="Normal" xfId="0" builtinId="0"/>
    <cellStyle name="Normal 2" xfId="2" xr:uid="{00000000-0005-0000-0000-000004000000}"/>
    <cellStyle name="Normal 3" xfId="1" xr:uid="{00000000-0005-0000-0000-000005000000}"/>
    <cellStyle name="Normal_Vender List" xfId="3" xr:uid="{1C843705-A969-4619-8A9D-3CA61C2C33F3}"/>
    <cellStyle name="Percent" xfId="4" builtinId="5"/>
  </cellStyles>
  <dxfs count="66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0000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rgb="FFFFFF00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rgb="FFFF00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 patternType="solid"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 tint="0.59999389629810485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 patternType="solid">
          <bgColor theme="8" tint="0.599993896298104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bgColor theme="6" tint="0.39997558519241921"/>
        </patternFill>
      </fill>
    </dxf>
  </dxfs>
  <tableStyles count="0" defaultTableStyle="TableStyleMedium9" defaultPivotStyle="PivotStyleLight16"/>
  <colors>
    <mruColors>
      <color rgb="FFFF99FF"/>
      <color rgb="FFD92121"/>
      <color rgb="FFE4BA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 &amp; ST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Overview!$D$120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Overview!$D$123</c:f>
              <c:numCache>
                <c:formatCode>General</c:formatCode>
                <c:ptCount val="1"/>
                <c:pt idx="0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Overview!$E$123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Overview!$F$123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Overview!$H$123</c:f>
              <c:numCache>
                <c:formatCode>General</c:formatCode>
                <c:ptCount val="1"/>
                <c:pt idx="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Overview!$I$123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Overview!$K$123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2-4276-BA95-16B1B79EA794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Overview!$M$123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2-4276-BA95-16B1B79EA794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Overview!$N$123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22-4276-BA95-16B1B79EA7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 &amp; ST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Overview!$E$130</c:f>
              <c:numCache>
                <c:formatCode>0%</c:formatCode>
                <c:ptCount val="1"/>
                <c:pt idx="0">
                  <c:v>0.24509803921568626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Overview!$F$130</c:f>
              <c:numCache>
                <c:formatCode>0%</c:formatCode>
                <c:ptCount val="1"/>
                <c:pt idx="0">
                  <c:v>0.13725490196078433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Overview!$G$130</c:f>
              <c:numCache>
                <c:formatCode>0%</c:formatCode>
                <c:ptCount val="1"/>
                <c:pt idx="0">
                  <c:v>9.8039215686274508E-3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Overview!$H$130</c:f>
              <c:numCache>
                <c:formatCode>0%</c:formatCode>
                <c:ptCount val="1"/>
                <c:pt idx="0">
                  <c:v>0.75490196078431371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Overview!$I$130</c:f>
              <c:numCache>
                <c:formatCode>0%</c:formatCode>
                <c:ptCount val="1"/>
                <c:pt idx="0">
                  <c:v>0.25490196078431371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Overview!$J$130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Overview!$K$130</c:f>
              <c:numCache>
                <c:formatCode>0%</c:formatCode>
                <c:ptCount val="1"/>
                <c:pt idx="0">
                  <c:v>0.23529411764705882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Overview!$L$130</c:f>
              <c:numCache>
                <c:formatCode>0%</c:formatCode>
                <c:ptCount val="1"/>
                <c:pt idx="0">
                  <c:v>1.9607843137254902E-2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A-4658-9F37-776B7A297E1A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Overview!$M$130</c:f>
              <c:numCache>
                <c:formatCode>0%</c:formatCode>
                <c:ptCount val="1"/>
                <c:pt idx="0">
                  <c:v>0.14705882352941177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A-4658-9F37-776B7A297E1A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Overview!$N$130</c:f>
              <c:numCache>
                <c:formatCode>0%</c:formatCode>
                <c:ptCount val="1"/>
                <c:pt idx="0">
                  <c:v>8.8235294117647065E-2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3A-4658-9F37-776B7A297E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Overview!$D$120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Overview!$D$130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6D-4922-8594-1E8627AA1C23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Mechanical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Overview!$D$120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Overview!$D$124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Overview!$H$124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B-4D9A-9F52-E3039A5FD914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DB-4D9A-9F52-E3039A5FD914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DB-4D9A-9F52-E3039A5FD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Mechanical </a:t>
            </a:r>
            <a:r>
              <a:rPr lang="en-US"/>
              <a:t>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Overview!$E$131</c:f>
              <c:numCache>
                <c:formatCode>0%</c:formatCode>
                <c:ptCount val="1"/>
                <c:pt idx="0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Overview!$G$131</c:f>
              <c:numCache>
                <c:formatCode>0%</c:formatCode>
                <c:ptCount val="1"/>
                <c:pt idx="0">
                  <c:v>1.9230769230769232E-2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Overview!$H$131</c:f>
              <c:numCache>
                <c:formatCode>0%</c:formatCode>
                <c:ptCount val="1"/>
                <c:pt idx="0">
                  <c:v>0.92307692307692313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Overview!$I$131</c:f>
              <c:numCache>
                <c:formatCode>0%</c:formatCode>
                <c:ptCount val="1"/>
                <c:pt idx="0">
                  <c:v>9.6153846153846159E-2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Overview!$L$131</c:f>
              <c:numCache>
                <c:formatCode>0%</c:formatCode>
                <c:ptCount val="1"/>
                <c:pt idx="0">
                  <c:v>7.6923076923076927E-2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C-42DB-9618-FD53197FAA11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C-42DB-9618-FD53197FAA11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Overview!$N$131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BC-42DB-9618-FD53197FAA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Overview!$D$120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Overview!$D$131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6D-4922-8594-1E8627AA1C23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Overview!$D$120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Overview!$D$125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Overview!$E$125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Overview!$H$125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11-4DF4-9DDF-D9045110D1FA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11-4DF4-9DDF-D9045110D1FA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11-4DF4-9DDF-D9045110D1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Overview!$E$132</c:f>
              <c:numCache>
                <c:formatCode>0%</c:formatCode>
                <c:ptCount val="1"/>
                <c:pt idx="0">
                  <c:v>0.27500000000000002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Overview!$H$132</c:f>
              <c:numCache>
                <c:formatCode>0%</c:formatCode>
                <c:ptCount val="1"/>
                <c:pt idx="0">
                  <c:v>0.72499999999999998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Overview!$I$132</c:f>
              <c:numCache>
                <c:formatCode>0%</c:formatCode>
                <c:ptCount val="1"/>
                <c:pt idx="0">
                  <c:v>0.17499999999999999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Overview!$J$132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Overview!$L$132</c:f>
              <c:numCache>
                <c:formatCode>0%</c:formatCode>
                <c:ptCount val="1"/>
                <c:pt idx="0">
                  <c:v>0.17499999999999999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A-41D6-ADAF-5DC9848FC816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1A-41D6-ADAF-5DC9848FC816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Overview!$N$132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1A-41D6-ADAF-5DC9848FC8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Overview!$D$120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Overview!$D$132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6D-4922-8594-1E8627AA1C23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Hydraulics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Overview!$D$120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Overview!$D$126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Overview!$E$126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Overview!$H$126</c:f>
              <c:numCache>
                <c:formatCode>General</c:formatCode>
                <c:ptCount val="1"/>
                <c:pt idx="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Overview!$I$126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Overview!$L$126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7-4CC8-A6DA-B9E518F0E454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7-4CC8-A6DA-B9E518F0E454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7-4CC8-A6DA-B9E518F0E4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Hydraulics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Overview!$D$120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Overview!$D$133</c:f>
              <c:numCache>
                <c:formatCode>General</c:formatCode>
                <c:ptCount val="1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Overview!$E$133</c:f>
              <c:numCache>
                <c:formatCode>0%</c:formatCode>
                <c:ptCount val="1"/>
                <c:pt idx="0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Overview!$H$133</c:f>
              <c:numCache>
                <c:formatCode>0%</c:formatCode>
                <c:ptCount val="1"/>
                <c:pt idx="0">
                  <c:v>0.67741935483870963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Overview!$I$133</c:f>
              <c:numCache>
                <c:formatCode>0%</c:formatCode>
                <c:ptCount val="1"/>
                <c:pt idx="0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Overview!$L$133</c:f>
              <c:numCache>
                <c:formatCode>0%</c:formatCode>
                <c:ptCount val="1"/>
                <c:pt idx="0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A-4866-9AFB-8464BEB84B0B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FA-4866-9AFB-8464BEB84B0B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FA-4866-9AFB-8464BEB84B0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Electrical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629344058622368E-2"/>
          <c:y val="0.15215748222633335"/>
          <c:w val="0.91386390936922579"/>
          <c:h val="0.626444052947688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Overview!$D$120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Overview!$D$127</c:f>
              <c:numCache>
                <c:formatCode>General</c:formatCode>
                <c:ptCount val="1"/>
                <c:pt idx="0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Overview!$H$127</c:f>
              <c:numCache>
                <c:formatCode>General</c:formatCode>
                <c:ptCount val="1"/>
                <c:pt idx="0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Overview!$I$127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B-4432-8577-7164E52C004C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B-4432-8577-7164E52C004C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7B-4432-8577-7164E52C00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Overview!$D$120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Overview!$D$129</c:f>
              <c:numCache>
                <c:formatCode>General</c:formatCode>
                <c:ptCount val="1"/>
                <c:pt idx="0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6D-4922-8594-1E8627AA1C23}"/>
            </c:ext>
          </c:extLst>
        </c:ser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Overview!$E$129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Overview!$F$129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Overview!$H$129</c:f>
              <c:numCache>
                <c:formatCode>General</c:formatCode>
                <c:ptCount val="1"/>
                <c:pt idx="0">
                  <c:v>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Overview!$I$129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Overview!$K$129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C-4D7E-8127-9BB6CA1450DE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7-4AC6-B0B1-C17698C756CA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Overview!$M$129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27-4AC6-B0B1-C17698C756CA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27-4AC6-B0B1-C17698C756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Overview!$E$136</c:f>
              <c:numCache>
                <c:formatCode>0%</c:formatCode>
                <c:ptCount val="1"/>
                <c:pt idx="0">
                  <c:v>0.12549019607843137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6D-4922-8594-1E8627AA1C23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Overview!$F$136</c:f>
              <c:numCache>
                <c:formatCode>0%</c:formatCode>
                <c:ptCount val="1"/>
                <c:pt idx="0">
                  <c:v>2.7450980392156862E-2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6D-4922-8594-1E8627AA1C23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Overview!$G$136</c:f>
              <c:numCache>
                <c:formatCode>0%</c:formatCode>
                <c:ptCount val="1"/>
                <c:pt idx="0">
                  <c:v>3.9215686274509803E-3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6D-4922-8594-1E8627AA1C23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Overview!$H$136</c:f>
              <c:numCache>
                <c:formatCode>0%</c:formatCode>
                <c:ptCount val="1"/>
                <c:pt idx="0">
                  <c:v>0.73921568627450984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6D-4922-8594-1E8627AA1C23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Overview!$I$136</c:f>
              <c:numCache>
                <c:formatCode>0%</c:formatCode>
                <c:ptCount val="1"/>
                <c:pt idx="0">
                  <c:v>0.17843137254901961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F6D-4922-8594-1E8627AA1C23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6D-4922-8594-1E8627AA1C23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Overview!$K$136</c:f>
              <c:numCache>
                <c:formatCode>0%</c:formatCode>
                <c:ptCount val="1"/>
                <c:pt idx="0">
                  <c:v>4.9019607843137254E-2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F6D-4922-8594-1E8627AA1C23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E-4693-A564-6F5C6CBCF363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Overview!$M$136</c:f>
              <c:numCache>
                <c:formatCode>0%</c:formatCode>
                <c:ptCount val="1"/>
                <c:pt idx="0">
                  <c:v>2.9411764705882353E-2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1E-4693-A564-6F5C6CBCF363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Overview!$N$136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1E-4693-A564-6F5C6CBCF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Overview!$D$120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Overview!$D$136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F6D-4922-8594-1E8627AA1C23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Electrical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E6A-4E73-989C-CEDF6D0FBD8B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E6A-4E73-989C-CEDF6D0FBD8B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E6A-4E73-989C-CEDF6D0FBD8B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Overview!$H$134</c:f>
              <c:numCache>
                <c:formatCode>0%</c:formatCode>
                <c:ptCount val="1"/>
                <c:pt idx="0">
                  <c:v>0.72868217054263562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E6A-4E73-989C-CEDF6D0FBD8B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Overview!$I$134</c:f>
              <c:numCache>
                <c:formatCode>0%</c:formatCode>
                <c:ptCount val="1"/>
                <c:pt idx="0">
                  <c:v>0.16279069767441862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E6A-4E73-989C-CEDF6D0FBD8B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E6A-4E73-989C-CEDF6D0FBD8B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Overview!$K$134</c:f>
              <c:numCache>
                <c:formatCode>0%</c:formatCode>
                <c:ptCount val="1"/>
                <c:pt idx="0">
                  <c:v>3.875968992248062E-3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E6A-4E73-989C-CEDF6D0FBD8B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3-4A93-952C-8FCA8C8D51A9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3-4A93-952C-8FCA8C8D51A9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F3-4A93-952C-8FCA8C8D51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Overview!$D$120</c15:sqref>
                        </c15:formulaRef>
                      </c:ext>
                    </c:extLst>
                    <c:strCache>
                      <c:ptCount val="1"/>
                      <c:pt idx="0">
                        <c:v>Submission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Overview!$D$134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6-DE6A-4E73-989C-CEDF6D0FBD8B}"/>
                  </c:ext>
                </c:extLst>
              </c15:ser>
            </c15:filteredBarSeries>
          </c:ext>
        </c:extLst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</a:t>
            </a:r>
            <a:r>
              <a:rPr lang="en-US" baseline="0"/>
              <a:t> Service Drawings</a:t>
            </a:r>
            <a:r>
              <a:rPr lang="en-US"/>
              <a:t> (QTY)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Overview!$D$120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Overview!$D$128</c:f>
              <c:numCache>
                <c:formatCode>General</c:formatCode>
                <c:ptCount val="1"/>
                <c:pt idx="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D-4100-83C0-1B86858C4436}"/>
            </c:ext>
          </c:extLst>
        </c:ser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Overview!$E$128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ED-4100-83C0-1B86858C4436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ED-4100-83C0-1B86858C4436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ED-4100-83C0-1B86858C4436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Overview!$H$128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ED-4100-83C0-1B86858C4436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ED-4100-83C0-1B86858C4436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Overview!$J$128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ED-4100-83C0-1B86858C4436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ED-4100-83C0-1B86858C4436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ED-4100-83C0-1B86858C4436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ED-4100-83C0-1B86858C4436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2ED-4100-83C0-1B86858C44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Combined</a:t>
            </a:r>
            <a:r>
              <a:rPr lang="en-US" baseline="0"/>
              <a:t> Service Drawings</a:t>
            </a:r>
            <a:r>
              <a:rPr lang="en-US"/>
              <a:t>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Overview!$D$120</c:f>
              <c:strCache>
                <c:ptCount val="1"/>
                <c:pt idx="0">
                  <c:v>Submission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Overview!$D$135</c:f>
              <c:numCache>
                <c:formatCode>General</c:formatCode>
                <c:ptCount val="1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B995-46BE-805E-DA437C021B38}"/>
            </c:ext>
          </c:extLst>
        </c:ser>
        <c:ser>
          <c:idx val="1"/>
          <c:order val="1"/>
          <c:tx>
            <c:strRef>
              <c:f>Overview!$E$120</c:f>
              <c:strCache>
                <c:ptCount val="1"/>
                <c:pt idx="0">
                  <c:v>Submitted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Overview!$E$135</c:f>
              <c:numCache>
                <c:formatCode>0%</c:formatCode>
                <c:ptCount val="1"/>
                <c:pt idx="0">
                  <c:v>0.48148148148148145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5-46BE-805E-DA437C021B38}"/>
            </c:ext>
          </c:extLst>
        </c:ser>
        <c:ser>
          <c:idx val="2"/>
          <c:order val="2"/>
          <c:tx>
            <c:strRef>
              <c:f>Overview!$F$120</c:f>
              <c:strCache>
                <c:ptCount val="1"/>
                <c:pt idx="0">
                  <c:v>Approved by 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Overview!$F$135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95-46BE-805E-DA437C021B38}"/>
            </c:ext>
          </c:extLst>
        </c:ser>
        <c:ser>
          <c:idx val="3"/>
          <c:order val="3"/>
          <c:tx>
            <c:strRef>
              <c:f>Overview!$G$120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Overview!$G$135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95-46BE-805E-DA437C021B38}"/>
            </c:ext>
          </c:extLst>
        </c:ser>
        <c:ser>
          <c:idx val="4"/>
          <c:order val="4"/>
          <c:tx>
            <c:strRef>
              <c:f>Overview!$H$120</c:f>
              <c:strCache>
                <c:ptCount val="1"/>
                <c:pt idx="0">
                  <c:v>Pending submission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Overview!$H$135</c:f>
              <c:numCache>
                <c:formatCode>0%</c:formatCode>
                <c:ptCount val="1"/>
                <c:pt idx="0">
                  <c:v>0.51851851851851849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95-46BE-805E-DA437C021B38}"/>
            </c:ext>
          </c:extLst>
        </c:ser>
        <c:ser>
          <c:idx val="5"/>
          <c:order val="5"/>
          <c:tx>
            <c:strRef>
              <c:f>Overview!$I$120</c:f>
              <c:strCache>
                <c:ptCount val="1"/>
                <c:pt idx="0">
                  <c:v>CTA Approved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Overview!$I$135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95-46BE-805E-DA437C021B38}"/>
            </c:ext>
          </c:extLst>
        </c:ser>
        <c:ser>
          <c:idx val="6"/>
          <c:order val="6"/>
          <c:tx>
            <c:strRef>
              <c:f>Overview!$J$120</c:f>
              <c:strCache>
                <c:ptCount val="1"/>
                <c:pt idx="0">
                  <c:v>CTA Outstanding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Overview!$J$135</c:f>
              <c:numCache>
                <c:formatCode>0%</c:formatCode>
                <c:ptCount val="1"/>
                <c:pt idx="0">
                  <c:v>0.48148148148148145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95-46BE-805E-DA437C021B38}"/>
            </c:ext>
          </c:extLst>
        </c:ser>
        <c:ser>
          <c:idx val="7"/>
          <c:order val="7"/>
          <c:tx>
            <c:strRef>
              <c:f>Overview!$K$120</c:f>
              <c:strCache>
                <c:ptCount val="1"/>
                <c:pt idx="0">
                  <c:v>AUR Approved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Overview!$K$135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95-46BE-805E-DA437C021B38}"/>
            </c:ext>
          </c:extLst>
        </c:ser>
        <c:ser>
          <c:idx val="8"/>
          <c:order val="8"/>
          <c:tx>
            <c:strRef>
              <c:f>Overview!$L$120</c:f>
              <c:strCache>
                <c:ptCount val="1"/>
                <c:pt idx="0">
                  <c:v>AUR Outstanding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Overview!$L$135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95-46BE-805E-DA437C021B38}"/>
            </c:ext>
          </c:extLst>
        </c:ser>
        <c:ser>
          <c:idx val="9"/>
          <c:order val="9"/>
          <c:tx>
            <c:strRef>
              <c:f>Overview!$M$120</c:f>
              <c:strCache>
                <c:ptCount val="1"/>
                <c:pt idx="0">
                  <c:v>STT Approved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Overview!$M$135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95-46BE-805E-DA437C021B38}"/>
            </c:ext>
          </c:extLst>
        </c:ser>
        <c:ser>
          <c:idx val="10"/>
          <c:order val="10"/>
          <c:tx>
            <c:strRef>
              <c:f>Overview!$N$120</c:f>
              <c:strCache>
                <c:ptCount val="1"/>
                <c:pt idx="0">
                  <c:v>STT outstanding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Overview!$N$135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95-46BE-805E-DA437C021B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97"/>
        <c:axId val="581302960"/>
        <c:axId val="581303680"/>
        <c:extLst/>
      </c:barChart>
      <c:catAx>
        <c:axId val="5813029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303680"/>
        <c:crosses val="autoZero"/>
        <c:auto val="1"/>
        <c:lblAlgn val="ctr"/>
        <c:lblOffset val="100"/>
        <c:noMultiLvlLbl val="0"/>
      </c:catAx>
      <c:valAx>
        <c:axId val="5813036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0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Shop Drawing - Architectural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5.3100021904645696E-2"/>
          <c:w val="0.89991710781635625"/>
          <c:h val="0.688973398356829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Summary!$F$25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bg2">
                  <a:lumMod val="90000"/>
                </a:schemeClr>
              </a:fgClr>
              <a:bgClr>
                <a:srgbClr val="000000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Summary!$F$26:$F$36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C-4D9F-8F07-15BC5F7740FD}"/>
            </c:ext>
          </c:extLst>
        </c:ser>
        <c:ser>
          <c:idx val="7"/>
          <c:order val="2"/>
          <c:tx>
            <c:strRef>
              <c:f>Summary!$G$25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wdDnDiag">
                <a:fgClr>
                  <a:srgbClr val="92D050"/>
                </a:fgClr>
                <a:bgClr>
                  <a:schemeClr val="bg2">
                    <a:lumMod val="90000"/>
                  </a:schemeClr>
                </a:bgClr>
              </a:patt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BEC-4D9F-8F07-15BC5F7740FD}"/>
              </c:ext>
            </c:extLst>
          </c:dPt>
          <c:val>
            <c:numRef>
              <c:f>Summary!$G$26:$G$36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EC-4D9F-8F07-15BC5F7740FD}"/>
            </c:ext>
          </c:extLst>
        </c:ser>
        <c:ser>
          <c:idx val="8"/>
          <c:order val="3"/>
          <c:tx>
            <c:strRef>
              <c:f>Summary!$H$25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Summary!$H$26:$H$36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EC-4D9F-8F07-15BC5F7740FD}"/>
            </c:ext>
          </c:extLst>
        </c:ser>
        <c:ser>
          <c:idx val="2"/>
          <c:order val="4"/>
          <c:tx>
            <c:strRef>
              <c:f>Summary!$I$24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Summary!$I$26:$I$36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BEC-4D9F-8F07-15BC5F7740FD}"/>
            </c:ext>
          </c:extLst>
        </c:ser>
        <c:ser>
          <c:idx val="3"/>
          <c:order val="5"/>
          <c:tx>
            <c:strRef>
              <c:f>Summary!$J$24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Summary!$J$26:$J$36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12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EC-4D9F-8F07-15BC5F7740FD}"/>
            </c:ext>
          </c:extLst>
        </c:ser>
        <c:ser>
          <c:idx val="4"/>
          <c:order val="6"/>
          <c:tx>
            <c:strRef>
              <c:f>Summary!$K$24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Summary!$K$26:$K$36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BEC-4D9F-8F07-15BC5F774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Summary!$B$8:$B$18</c15:sqref>
                        </c15:formulaRef>
                      </c:ext>
                    </c:extLst>
                    <c:numCache>
                      <c:formatCode>[$-14809]d\ mmm\ yyyy;@</c:formatCode>
                      <c:ptCount val="11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Summary!$E$26:$E$36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</c:v>
                      </c:pt>
                      <c:pt idx="2">
                        <c:v>3</c:v>
                      </c:pt>
                      <c:pt idx="3">
                        <c:v>14</c:v>
                      </c:pt>
                      <c:pt idx="4">
                        <c:v>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1BEC-4D9F-8F07-15BC5F7740F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strRef>
              <c:f>Summary!$C$23</c:f>
              <c:strCache>
                <c:ptCount val="1"/>
                <c:pt idx="0">
                  <c:v>Total Expected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Summary!$C$26:$C$36</c:f>
              <c:numCache>
                <c:formatCode>General</c:formatCode>
                <c:ptCount val="11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83</c:v>
                </c:pt>
                <c:pt idx="4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BEC-4D9F-8F07-15BC5F7740FD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Summary!$D$26:$D$36</c:f>
              <c:numCache>
                <c:formatCode>General</c:formatCode>
                <c:ptCount val="11"/>
                <c:pt idx="0">
                  <c:v>9</c:v>
                </c:pt>
                <c:pt idx="1">
                  <c:v>12</c:v>
                </c:pt>
                <c:pt idx="2">
                  <c:v>17</c:v>
                </c:pt>
                <c:pt idx="3">
                  <c:v>21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BEC-4D9F-8F07-15BC5F774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sz="1200" b="1">
                <a:solidFill>
                  <a:sysClr val="windowText" lastClr="000000"/>
                </a:solidFill>
              </a:rPr>
              <a:t>Shop Drawing - Structural</a:t>
            </a:r>
          </a:p>
        </c:rich>
      </c:tx>
      <c:layout>
        <c:manualLayout>
          <c:xMode val="edge"/>
          <c:yMode val="edge"/>
          <c:x val="0.33486180233136276"/>
          <c:y val="5.008678925392830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5.3100021904645696E-2"/>
          <c:w val="0.89991710781635625"/>
          <c:h val="0.688973398356829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Summary!$F$25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Summary!$F$8:$F$18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D-43D0-B4DF-7C29A289F858}"/>
            </c:ext>
          </c:extLst>
        </c:ser>
        <c:ser>
          <c:idx val="7"/>
          <c:order val="2"/>
          <c:tx>
            <c:strRef>
              <c:f>Summary!$G$25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Summary!$G$8:$G$18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D-43D0-B4DF-7C29A289F858}"/>
            </c:ext>
          </c:extLst>
        </c:ser>
        <c:ser>
          <c:idx val="8"/>
          <c:order val="3"/>
          <c:tx>
            <c:strRef>
              <c:f>Summary!$H$25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Summary!$H$8:$H$18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D-43D0-B4DF-7C29A289F858}"/>
            </c:ext>
          </c:extLst>
        </c:ser>
        <c:ser>
          <c:idx val="2"/>
          <c:order val="4"/>
          <c:tx>
            <c:strRef>
              <c:f>Summary!$I$24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Summary!$I$8:$I$18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FD-43D0-B4DF-7C29A289F858}"/>
            </c:ext>
          </c:extLst>
        </c:ser>
        <c:ser>
          <c:idx val="3"/>
          <c:order val="5"/>
          <c:tx>
            <c:strRef>
              <c:f>Summary!$J$24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Summary!$J$8:$J$18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FD-43D0-B4DF-7C29A289F858}"/>
            </c:ext>
          </c:extLst>
        </c:ser>
        <c:ser>
          <c:idx val="4"/>
          <c:order val="6"/>
          <c:tx>
            <c:strRef>
              <c:f>Summary!$K$24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Summary!$K$8:$K$18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FD-43D0-B4DF-7C29A289F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Summary!$B$8:$B$18</c15:sqref>
                        </c15:formulaRef>
                      </c:ext>
                    </c:extLst>
                    <c:numCache>
                      <c:formatCode>[$-14809]d\ mmm\ yyyy;@</c:formatCode>
                      <c:ptCount val="11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Summary!$E$8:$E$18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5DFD-43D0-B4DF-7C29A289F85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strRef>
              <c:f>Summary!$C$23</c:f>
              <c:strCache>
                <c:ptCount val="1"/>
                <c:pt idx="0">
                  <c:v>Total Expected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Summary!$C$8:$C$18</c:f>
              <c:numCache>
                <c:formatCode>General</c:formatCode>
                <c:ptCount val="11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FD-43D0-B4DF-7C29A289F858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Summary!$D$8:$D$18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FD-43D0-B4DF-7C29A289F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FF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Shop Drawing - Electrical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5.3100021904645696E-2"/>
          <c:w val="0.89991710781635625"/>
          <c:h val="0.688973398356829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Summary!$F$43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Summary!$F$44:$F$54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E-42B5-9E90-2F6E2E5F6D00}"/>
            </c:ext>
          </c:extLst>
        </c:ser>
        <c:ser>
          <c:idx val="7"/>
          <c:order val="2"/>
          <c:tx>
            <c:strRef>
              <c:f>Summary!$G$43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Summary!$G$44:$G$54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E-42B5-9E90-2F6E2E5F6D00}"/>
            </c:ext>
          </c:extLst>
        </c:ser>
        <c:ser>
          <c:idx val="8"/>
          <c:order val="3"/>
          <c:tx>
            <c:strRef>
              <c:f>Summary!$H$43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Summary!$H$44:$H$54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17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E-42B5-9E90-2F6E2E5F6D00}"/>
            </c:ext>
          </c:extLst>
        </c:ser>
        <c:ser>
          <c:idx val="2"/>
          <c:order val="4"/>
          <c:tx>
            <c:v>A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Summary!$I$44:$I$54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8E-42B5-9E90-2F6E2E5F6D00}"/>
            </c:ext>
          </c:extLst>
        </c:ser>
        <c:ser>
          <c:idx val="3"/>
          <c:order val="5"/>
          <c:tx>
            <c:v>B</c:v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Summary!$J$44:$J$54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8E-42B5-9E90-2F6E2E5F6D00}"/>
            </c:ext>
          </c:extLst>
        </c:ser>
        <c:ser>
          <c:idx val="4"/>
          <c:order val="6"/>
          <c:tx>
            <c:v>C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Summary!$K$44:$K$54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68E-42B5-9E90-2F6E2E5F6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Summary!$B$8:$B$18</c15:sqref>
                        </c15:formulaRef>
                      </c:ext>
                    </c:extLst>
                    <c:numCache>
                      <c:formatCode>[$-14809]d\ mmm\ yyyy;@</c:formatCode>
                      <c:ptCount val="11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Summary!$E$44:$E$54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30</c:v>
                      </c:pt>
                      <c:pt idx="4">
                        <c:v>36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A68E-42B5-9E90-2F6E2E5F6D0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v>Total Expected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Summary!$C$44:$C$54</c:f>
              <c:numCache>
                <c:formatCode>General</c:formatCode>
                <c:ptCount val="11"/>
                <c:pt idx="0">
                  <c:v>255</c:v>
                </c:pt>
                <c:pt idx="1">
                  <c:v>255</c:v>
                </c:pt>
                <c:pt idx="2">
                  <c:v>255</c:v>
                </c:pt>
                <c:pt idx="3">
                  <c:v>255</c:v>
                </c:pt>
                <c:pt idx="4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8E-42B5-9E90-2F6E2E5F6D00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Summary!$D$44:$D$54</c:f>
              <c:numCache>
                <c:formatCode>General</c:formatCode>
                <c:ptCount val="11"/>
                <c:pt idx="0">
                  <c:v>13</c:v>
                </c:pt>
                <c:pt idx="1">
                  <c:v>13</c:v>
                </c:pt>
                <c:pt idx="2">
                  <c:v>37</c:v>
                </c:pt>
                <c:pt idx="3">
                  <c:v>53</c:v>
                </c:pt>
                <c:pt idx="4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8E-42B5-9E90-2F6E2E5F6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Shop Drawing - Mechanical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5.3100021904645696E-2"/>
          <c:w val="0.89991710781635625"/>
          <c:h val="0.688973398356829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Summary!$F$43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Summary!$F$63:$F$73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C-4560-8942-F54C06AEEBA6}"/>
            </c:ext>
          </c:extLst>
        </c:ser>
        <c:ser>
          <c:idx val="7"/>
          <c:order val="2"/>
          <c:tx>
            <c:strRef>
              <c:f>Summary!$G$43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Summary!$G$63:$G$73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4C-4560-8942-F54C06AEEBA6}"/>
            </c:ext>
          </c:extLst>
        </c:ser>
        <c:ser>
          <c:idx val="8"/>
          <c:order val="3"/>
          <c:tx>
            <c:strRef>
              <c:f>Summary!$H$43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Summary!$H$63:$H$73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4C-4560-8942-F54C06AEEBA6}"/>
            </c:ext>
          </c:extLst>
        </c:ser>
        <c:ser>
          <c:idx val="2"/>
          <c:order val="4"/>
          <c:tx>
            <c:v>A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Summary!$I$63:$I$73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4C-4560-8942-F54C06AEEBA6}"/>
            </c:ext>
          </c:extLst>
        </c:ser>
        <c:ser>
          <c:idx val="3"/>
          <c:order val="5"/>
          <c:tx>
            <c:v>B</c:v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Summary!$J$63:$J$73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4C-4560-8942-F54C06AEEBA6}"/>
            </c:ext>
          </c:extLst>
        </c:ser>
        <c:ser>
          <c:idx val="4"/>
          <c:order val="6"/>
          <c:tx>
            <c:v>C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Summary!$K$63:$K$73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D4C-4560-8942-F54C06AEE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Summary!$B$8:$B$18</c15:sqref>
                        </c15:formulaRef>
                      </c:ext>
                    </c:extLst>
                    <c:numCache>
                      <c:formatCode>[$-14809]d\ mmm\ yyyy;@</c:formatCode>
                      <c:ptCount val="11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Summary!$E$63:$E$73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0D4C-4560-8942-F54C06AEEBA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v>Total Expected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Summary!$C$63:$C$73</c:f>
              <c:numCache>
                <c:formatCode>General</c:formatCode>
                <c:ptCount val="11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D4C-4560-8942-F54C06AEEBA6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Summary!$D$63:$D$73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D4C-4560-8942-F54C06AEE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7030A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Shop Drawing - Fire Protection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5.3100021904645696E-2"/>
          <c:w val="0.89991710781635625"/>
          <c:h val="0.688973398356829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Summary!$F$43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rgbClr val="00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Summary!$F$81:$F$91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A0-44B2-9D20-15B746C70A55}"/>
            </c:ext>
          </c:extLst>
        </c:ser>
        <c:ser>
          <c:idx val="7"/>
          <c:order val="2"/>
          <c:tx>
            <c:strRef>
              <c:f>Summary!$G$43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Summary!$G$81:$G$91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A0-44B2-9D20-15B746C70A55}"/>
            </c:ext>
          </c:extLst>
        </c:ser>
        <c:ser>
          <c:idx val="8"/>
          <c:order val="3"/>
          <c:tx>
            <c:strRef>
              <c:f>Summary!$H$43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Summary!$H$81:$H$91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A0-44B2-9D20-15B746C70A55}"/>
            </c:ext>
          </c:extLst>
        </c:ser>
        <c:ser>
          <c:idx val="2"/>
          <c:order val="4"/>
          <c:tx>
            <c:v>A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Summary!$I$81:$I$91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A0-44B2-9D20-15B746C70A55}"/>
            </c:ext>
          </c:extLst>
        </c:ser>
        <c:ser>
          <c:idx val="3"/>
          <c:order val="5"/>
          <c:tx>
            <c:v>B</c:v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Summary!$J$81:$J$91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A0-44B2-9D20-15B746C70A55}"/>
            </c:ext>
          </c:extLst>
        </c:ser>
        <c:ser>
          <c:idx val="4"/>
          <c:order val="6"/>
          <c:tx>
            <c:v>C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Summary!$K$81:$K$91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A0-44B2-9D20-15B746C70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Summary!$B$8:$B$18</c15:sqref>
                        </c15:formulaRef>
                      </c:ext>
                    </c:extLst>
                    <c:numCache>
                      <c:formatCode>[$-14809]d\ mmm\ yyyy;@</c:formatCode>
                      <c:ptCount val="11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Summary!$E$81:$E$91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1</c:v>
                      </c:pt>
                      <c:pt idx="2">
                        <c:v>5</c:v>
                      </c:pt>
                      <c:pt idx="3">
                        <c:v>7</c:v>
                      </c:pt>
                      <c:pt idx="4">
                        <c:v>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2EA0-44B2-9D20-15B746C70A5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v>Total Expected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Summary!$C$81:$C$91</c:f>
              <c:numCache>
                <c:formatCode>General</c:formatCode>
                <c:ptCount val="11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0-44B2-9D20-15B746C70A55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Summary!$D$81:$D$91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10</c:v>
                </c:pt>
                <c:pt idx="3">
                  <c:v>10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0-44B2-9D20-15B746C70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Shop Drawing - Hydraulics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5.3100021904645696E-2"/>
          <c:w val="0.89991710781635625"/>
          <c:h val="0.688973398356829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Summary!$F$43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Summary!$F$99:$F$109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8-4F84-B561-AF49C232E1AD}"/>
            </c:ext>
          </c:extLst>
        </c:ser>
        <c:ser>
          <c:idx val="7"/>
          <c:order val="2"/>
          <c:tx>
            <c:strRef>
              <c:f>Summary!$G$43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Summary!$G$99:$G$109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F8-4F84-B561-AF49C232E1AD}"/>
            </c:ext>
          </c:extLst>
        </c:ser>
        <c:ser>
          <c:idx val="8"/>
          <c:order val="3"/>
          <c:tx>
            <c:strRef>
              <c:f>Summary!$H$43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FF000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Summary!$H$99:$H$109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F8-4F84-B561-AF49C232E1AD}"/>
            </c:ext>
          </c:extLst>
        </c:ser>
        <c:ser>
          <c:idx val="2"/>
          <c:order val="4"/>
          <c:tx>
            <c:v>A</c:v>
          </c:tx>
          <c:spPr>
            <a:solidFill>
              <a:srgbClr val="00B05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Summary!$I$99:$I$109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F8-4F84-B561-AF49C232E1AD}"/>
            </c:ext>
          </c:extLst>
        </c:ser>
        <c:ser>
          <c:idx val="3"/>
          <c:order val="5"/>
          <c:tx>
            <c:v>B</c:v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Summary!$J$99:$J$109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F8-4F84-B561-AF49C232E1AD}"/>
            </c:ext>
          </c:extLst>
        </c:ser>
        <c:ser>
          <c:idx val="4"/>
          <c:order val="6"/>
          <c:tx>
            <c:v>C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Summary!$K$99:$K$109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F8-4F84-B561-AF49C232E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Summary!$B$8:$B$18</c15:sqref>
                        </c15:formulaRef>
                      </c:ext>
                    </c:extLst>
                    <c:numCache>
                      <c:formatCode>[$-14809]d\ mmm\ yyyy;@</c:formatCode>
                      <c:ptCount val="11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Summary!$E$99:$E$109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11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C4F8-4F84-B561-AF49C232E1A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v>Total Expected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Summary!$C$99:$C$109</c:f>
              <c:numCache>
                <c:formatCode>General</c:formatCode>
                <c:ptCount val="11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F8-4F84-B561-AF49C232E1AD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Summary!$D$99:$D$109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8</c:v>
                </c:pt>
                <c:pt idx="3">
                  <c:v>8</c:v>
                </c:pt>
                <c:pt idx="4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F8-4F84-B561-AF49C232E1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8788893908184936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F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Shop Drawing - Combined Service Drawing</a:t>
            </a:r>
          </a:p>
        </c:rich>
      </c:tx>
      <c:layout>
        <c:manualLayout>
          <c:xMode val="edge"/>
          <c:yMode val="edge"/>
          <c:x val="0.33490538795301533"/>
          <c:y val="8.34924353264568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58421639942109E-2"/>
          <c:y val="5.3100021904645696E-2"/>
          <c:w val="0.89991710781635625"/>
          <c:h val="0.68897339835682936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Summary!$F$43</c:f>
              <c:strCache>
                <c:ptCount val="1"/>
                <c:pt idx="0">
                  <c:v>CTA</c:v>
                </c:pt>
              </c:strCache>
            </c:strRef>
          </c:tx>
          <c:spPr>
            <a:pattFill prst="wdDnDiag">
              <a:fgClr>
                <a:schemeClr val="tx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Summary!$F$119:$F$129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0-4748-9E17-9359012583C3}"/>
            </c:ext>
          </c:extLst>
        </c:ser>
        <c:ser>
          <c:idx val="7"/>
          <c:order val="2"/>
          <c:tx>
            <c:strRef>
              <c:f>Summary!$G$43</c:f>
              <c:strCache>
                <c:ptCount val="1"/>
                <c:pt idx="0">
                  <c:v>AUR</c:v>
                </c:pt>
              </c:strCache>
            </c:strRef>
          </c:tx>
          <c:spPr>
            <a:pattFill prst="wdDnDiag">
              <a:fgClr>
                <a:srgbClr val="92D050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Summary!$G$119:$G$129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80-4748-9E17-9359012583C3}"/>
            </c:ext>
          </c:extLst>
        </c:ser>
        <c:ser>
          <c:idx val="8"/>
          <c:order val="3"/>
          <c:tx>
            <c:strRef>
              <c:f>Summary!$H$43</c:f>
              <c:strCache>
                <c:ptCount val="1"/>
                <c:pt idx="0">
                  <c:v>STT</c:v>
                </c:pt>
              </c:strCache>
            </c:strRef>
          </c:tx>
          <c:spPr>
            <a:pattFill prst="wdDnDiag">
              <a:fgClr>
                <a:srgbClr val="D92121"/>
              </a:fgClr>
              <a:bgClr>
                <a:schemeClr val="bg2">
                  <a:lumMod val="90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Summary!$H$119:$H$129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0-4748-9E17-9359012583C3}"/>
            </c:ext>
          </c:extLst>
        </c:ser>
        <c:ser>
          <c:idx val="2"/>
          <c:order val="4"/>
          <c:tx>
            <c:v>A</c:v>
          </c:tx>
          <c:spPr>
            <a:solidFill>
              <a:srgbClr val="00B050"/>
            </a:solidFill>
            <a:ln>
              <a:solidFill>
                <a:schemeClr val="tx1">
                  <a:alpha val="99000"/>
                </a:schemeClr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Summary!$I$119:$I$129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80-4748-9E17-9359012583C3}"/>
            </c:ext>
          </c:extLst>
        </c:ser>
        <c:ser>
          <c:idx val="3"/>
          <c:order val="5"/>
          <c:tx>
            <c:v>B</c:v>
          </c:tx>
          <c:spPr>
            <a:solidFill>
              <a:srgbClr val="FFC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Summary!$J$119:$J$129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80-4748-9E17-9359012583C3}"/>
            </c:ext>
          </c:extLst>
        </c:ser>
        <c:ser>
          <c:idx val="4"/>
          <c:order val="6"/>
          <c:tx>
            <c:v>C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Summary!$B$8:$B$18</c:f>
              <c:numCache>
                <c:formatCode>[$-14809]d\ mmm\ yyyy;@</c:formatCode>
                <c:ptCount val="11"/>
                <c:pt idx="0">
                  <c:v>46027</c:v>
                </c:pt>
                <c:pt idx="1">
                  <c:v>46034</c:v>
                </c:pt>
                <c:pt idx="2">
                  <c:v>46041</c:v>
                </c:pt>
                <c:pt idx="3">
                  <c:v>46048</c:v>
                </c:pt>
                <c:pt idx="4">
                  <c:v>46055</c:v>
                </c:pt>
              </c:numCache>
            </c:numRef>
          </c:cat>
          <c:val>
            <c:numRef>
              <c:f>Summary!$K$119:$K$129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280-4748-9E17-935901258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956639"/>
        <c:axId val="2007745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Summary!$E$23</c15:sqref>
                        </c15:formulaRef>
                      </c:ext>
                    </c:extLst>
                    <c:strCache>
                      <c:ptCount val="1"/>
                      <c:pt idx="0">
                        <c:v>Actual Submitted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Summary!$B$8:$B$18</c15:sqref>
                        </c15:formulaRef>
                      </c:ext>
                    </c:extLst>
                    <c:numCache>
                      <c:formatCode>[$-14809]d\ mmm\ yyyy;@</c:formatCode>
                      <c:ptCount val="11"/>
                      <c:pt idx="0">
                        <c:v>46027</c:v>
                      </c:pt>
                      <c:pt idx="1">
                        <c:v>46034</c:v>
                      </c:pt>
                      <c:pt idx="2">
                        <c:v>46041</c:v>
                      </c:pt>
                      <c:pt idx="3">
                        <c:v>46048</c:v>
                      </c:pt>
                      <c:pt idx="4">
                        <c:v>46055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Summary!$E$119:$E$129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6</c:v>
                      </c:pt>
                      <c:pt idx="4">
                        <c:v>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280-4748-9E17-9359012583C3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5"/>
          <c:order val="7"/>
          <c:tx>
            <c:v>Total Expected</c:v>
          </c:tx>
          <c:spPr>
            <a:ln w="19050" cap="rnd">
              <a:solidFill>
                <a:schemeClr val="tx1">
                  <a:alpha val="98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Summary!$C$119:$C$129</c:f>
              <c:numCache>
                <c:formatCode>General</c:formatCode>
                <c:ptCount val="11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80-4748-9E17-9359012583C3}"/>
            </c:ext>
          </c:extLst>
        </c:ser>
        <c:ser>
          <c:idx val="6"/>
          <c:order val="8"/>
          <c:tx>
            <c:strRef>
              <c:f>Summary!$D$23</c:f>
              <c:strCache>
                <c:ptCount val="1"/>
                <c:pt idx="0">
                  <c:v>Planned Submission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45681</c:v>
              </c:pt>
              <c:pt idx="1">
                <c:v>45688</c:v>
              </c:pt>
              <c:pt idx="2">
                <c:v>45695</c:v>
              </c:pt>
              <c:pt idx="3">
                <c:v>45702</c:v>
              </c:pt>
              <c:pt idx="4">
                <c:v>45709</c:v>
              </c:pt>
              <c:pt idx="5">
                <c:v>45716</c:v>
              </c:pt>
              <c:pt idx="6">
                <c:v>45723</c:v>
              </c:pt>
              <c:pt idx="7">
                <c:v>45730</c:v>
              </c:pt>
              <c:pt idx="8">
                <c:v>45737</c:v>
              </c:pt>
              <c:pt idx="9">
                <c:v>45744</c:v>
              </c:pt>
              <c:pt idx="10">
                <c:v>45751</c:v>
              </c:pt>
              <c:pt idx="11">
                <c:v>45758</c:v>
              </c:pt>
            </c:strLit>
          </c:cat>
          <c:val>
            <c:numRef>
              <c:f>Summary!$D$119:$D$129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280-4748-9E17-935901258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0956639"/>
        <c:axId val="20077455"/>
      </c:lineChart>
      <c:catAx>
        <c:axId val="1290956639"/>
        <c:scaling>
          <c:orientation val="minMax"/>
        </c:scaling>
        <c:delete val="0"/>
        <c:axPos val="b"/>
        <c:numFmt formatCode="[$-14809]d\ mmm\ yy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7455"/>
        <c:crosses val="autoZero"/>
        <c:auto val="0"/>
        <c:lblAlgn val="ctr"/>
        <c:lblOffset val="100"/>
        <c:noMultiLvlLbl val="0"/>
      </c:catAx>
      <c:valAx>
        <c:axId val="200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95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4672322962417266E-2"/>
          <c:y val="0.8554891805819459"/>
          <c:w val="0.922993309976331"/>
          <c:h val="0.12234488793114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140944</xdr:colOff>
      <xdr:row>14</xdr:row>
      <xdr:rowOff>552</xdr:rowOff>
    </xdr:from>
    <xdr:to>
      <xdr:col>6</xdr:col>
      <xdr:colOff>666335</xdr:colOff>
      <xdr:row>29</xdr:row>
      <xdr:rowOff>147291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EB91B-BEBE-4ED9-36D5-4FA2228B6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748474</xdr:colOff>
      <xdr:row>14</xdr:row>
      <xdr:rowOff>30646</xdr:rowOff>
    </xdr:from>
    <xdr:to>
      <xdr:col>14</xdr:col>
      <xdr:colOff>495299</xdr:colOff>
      <xdr:row>29</xdr:row>
      <xdr:rowOff>177385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CAE4A3-7F6A-715E-701B-62CB167A8BA4}"/>
            </a:ext>
            <a:ext uri="{147F2762-F138-4A5C-976F-8EAC2B608ADB}">
              <a16:predDERef xmlns:a16="http://schemas.microsoft.com/office/drawing/2014/main" pred="{6D1EB91B-BEBE-4ED9-36D5-4FA2228B6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66262</xdr:colOff>
      <xdr:row>31</xdr:row>
      <xdr:rowOff>166205</xdr:rowOff>
    </xdr:from>
    <xdr:to>
      <xdr:col>6</xdr:col>
      <xdr:colOff>591653</xdr:colOff>
      <xdr:row>47</xdr:row>
      <xdr:rowOff>130727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23B048-46A2-8983-E7E6-CF9095A30E7D}"/>
            </a:ext>
            <a:ext uri="{147F2762-F138-4A5C-976F-8EAC2B608ADB}">
              <a16:predDERef xmlns:a16="http://schemas.microsoft.com/office/drawing/2014/main" pred="{65CAE4A3-7F6A-715E-701B-62CB167A8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16567</xdr:colOff>
      <xdr:row>31</xdr:row>
      <xdr:rowOff>177249</xdr:rowOff>
    </xdr:from>
    <xdr:to>
      <xdr:col>14</xdr:col>
      <xdr:colOff>601592</xdr:colOff>
      <xdr:row>47</xdr:row>
      <xdr:rowOff>141771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94E5858B-D906-CD4C-DCA2-25B2BD079C50}"/>
            </a:ext>
            <a:ext uri="{147F2762-F138-4A5C-976F-8EAC2B608ADB}">
              <a16:predDERef xmlns:a16="http://schemas.microsoft.com/office/drawing/2014/main" pred="{CB23B048-46A2-8983-E7E6-CF9095A30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79790</xdr:colOff>
      <xdr:row>48</xdr:row>
      <xdr:rowOff>175040</xdr:rowOff>
    </xdr:from>
    <xdr:to>
      <xdr:col>6</xdr:col>
      <xdr:colOff>605181</xdr:colOff>
      <xdr:row>64</xdr:row>
      <xdr:rowOff>140804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D341FD-6DD2-8235-3DAA-3B48B39C22C6}"/>
            </a:ext>
            <a:ext uri="{147F2762-F138-4A5C-976F-8EAC2B608ADB}">
              <a16:predDERef xmlns:a16="http://schemas.microsoft.com/office/drawing/2014/main" pred="{94E5858B-D906-CD4C-DCA2-25B2BD079C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30095</xdr:colOff>
      <xdr:row>48</xdr:row>
      <xdr:rowOff>176559</xdr:rowOff>
    </xdr:from>
    <xdr:to>
      <xdr:col>14</xdr:col>
      <xdr:colOff>615120</xdr:colOff>
      <xdr:row>64</xdr:row>
      <xdr:rowOff>142323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95708B-17E0-80D7-9524-3C94F2AEE56F}"/>
            </a:ext>
            <a:ext uri="{147F2762-F138-4A5C-976F-8EAC2B608ADB}">
              <a16:predDERef xmlns:a16="http://schemas.microsoft.com/office/drawing/2014/main" pred="{D6D341FD-6DD2-8235-3DAA-3B48B39C2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248230</xdr:colOff>
      <xdr:row>32</xdr:row>
      <xdr:rowOff>72079</xdr:rowOff>
    </xdr:from>
    <xdr:to>
      <xdr:col>23</xdr:col>
      <xdr:colOff>390890</xdr:colOff>
      <xdr:row>48</xdr:row>
      <xdr:rowOff>38255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849AA0-8C77-6DF7-D4ED-976E55BE3865}"/>
            </a:ext>
            <a:ext uri="{147F2762-F138-4A5C-976F-8EAC2B608ADB}">
              <a16:predDERef xmlns:a16="http://schemas.microsoft.com/office/drawing/2014/main" pred="{8595708B-17E0-80D7-9524-3C94F2AEE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334483</xdr:colOff>
      <xdr:row>32</xdr:row>
      <xdr:rowOff>54960</xdr:rowOff>
    </xdr:from>
    <xdr:to>
      <xdr:col>34</xdr:col>
      <xdr:colOff>390525</xdr:colOff>
      <xdr:row>48</xdr:row>
      <xdr:rowOff>10333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C189AA-D45B-E09F-08C7-410367712112}"/>
            </a:ext>
            <a:ext uri="{147F2762-F138-4A5C-976F-8EAC2B608ADB}">
              <a16:predDERef xmlns:a16="http://schemas.microsoft.com/office/drawing/2014/main" pred="{C8849AA0-8C77-6DF7-D4ED-976E55BE3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371643</xdr:colOff>
      <xdr:row>14</xdr:row>
      <xdr:rowOff>43504</xdr:rowOff>
    </xdr:from>
    <xdr:to>
      <xdr:col>24</xdr:col>
      <xdr:colOff>20734</xdr:colOff>
      <xdr:row>31</xdr:row>
      <xdr:rowOff>8814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F300AB-AADC-A388-1FA8-ABBB9A2CBA48}"/>
            </a:ext>
            <a:ext uri="{147F2762-F138-4A5C-976F-8EAC2B608ADB}">
              <a16:predDERef xmlns:a16="http://schemas.microsoft.com/office/drawing/2014/main" pred="{5EC189AA-D45B-E09F-08C7-410367712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46391</xdr:colOff>
      <xdr:row>66</xdr:row>
      <xdr:rowOff>27506</xdr:rowOff>
    </xdr:from>
    <xdr:to>
      <xdr:col>6</xdr:col>
      <xdr:colOff>514632</xdr:colOff>
      <xdr:row>81</xdr:row>
      <xdr:rowOff>183316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B55693B-D92C-951A-6179-7588853078AB}"/>
            </a:ext>
            <a:ext uri="{147F2762-F138-4A5C-976F-8EAC2B608ADB}">
              <a16:predDERef xmlns:a16="http://schemas.microsoft.com/office/drawing/2014/main" pred="{00F300AB-AADC-A388-1FA8-ABBB9A2CB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41724</xdr:colOff>
      <xdr:row>66</xdr:row>
      <xdr:rowOff>49806</xdr:rowOff>
    </xdr:from>
    <xdr:to>
      <xdr:col>14</xdr:col>
      <xdr:colOff>666750</xdr:colOff>
      <xdr:row>82</xdr:row>
      <xdr:rowOff>5591</xdr:rowOff>
    </xdr:to>
    <xdr:graphicFrame macro="">
      <xdr:nvGraphicFramePr>
        <xdr:cNvPr id="20" name="Chart 13">
          <a:extLst>
            <a:ext uri="{FF2B5EF4-FFF2-40B4-BE49-F238E27FC236}">
              <a16:creationId xmlns:a16="http://schemas.microsoft.com/office/drawing/2014/main" id="{94197D62-A65C-BB8F-2D7A-E62430D8DC19}"/>
            </a:ext>
            <a:ext uri="{147F2762-F138-4A5C-976F-8EAC2B608ADB}">
              <a16:predDERef xmlns:a16="http://schemas.microsoft.com/office/drawing/2014/main" pred="{3B55693B-D92C-951A-6179-758885307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332509</xdr:colOff>
      <xdr:row>14</xdr:row>
      <xdr:rowOff>19050</xdr:rowOff>
    </xdr:from>
    <xdr:to>
      <xdr:col>34</xdr:col>
      <xdr:colOff>331812</xdr:colOff>
      <xdr:row>30</xdr:row>
      <xdr:rowOff>91787</xdr:rowOff>
    </xdr:to>
    <xdr:graphicFrame macro="">
      <xdr:nvGraphicFramePr>
        <xdr:cNvPr id="26" name="Chart 5">
          <a:extLst>
            <a:ext uri="{FF2B5EF4-FFF2-40B4-BE49-F238E27FC236}">
              <a16:creationId xmlns:a16="http://schemas.microsoft.com/office/drawing/2014/main" id="{612BA271-8034-4618-AE44-2B43E1751ECD}"/>
            </a:ext>
            <a:ext uri="{147F2762-F138-4A5C-976F-8EAC2B608ADB}">
              <a16:predDERef xmlns:a16="http://schemas.microsoft.com/office/drawing/2014/main" pred="{94197D62-A65C-BB8F-2D7A-E62430D8D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236800</xdr:colOff>
      <xdr:row>49</xdr:row>
      <xdr:rowOff>28264</xdr:rowOff>
    </xdr:from>
    <xdr:to>
      <xdr:col>23</xdr:col>
      <xdr:colOff>379460</xdr:colOff>
      <xdr:row>64</xdr:row>
      <xdr:rowOff>184940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B317A8-5D5F-4FE9-B940-B5FC98A39462}"/>
            </a:ext>
            <a:ext uri="{147F2762-F138-4A5C-976F-8EAC2B608ADB}">
              <a16:predDERef xmlns:a16="http://schemas.microsoft.com/office/drawing/2014/main" pred="{612BA271-8034-4618-AE44-2B43E1751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304800</xdr:colOff>
      <xdr:row>49</xdr:row>
      <xdr:rowOff>57150</xdr:rowOff>
    </xdr:from>
    <xdr:to>
      <xdr:col>34</xdr:col>
      <xdr:colOff>447675</xdr:colOff>
      <xdr:row>65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105E28-AF0C-4FB1-A304-6551121E1972}"/>
            </a:ext>
            <a:ext uri="{147F2762-F138-4A5C-976F-8EAC2B608ADB}">
              <a16:predDERef xmlns:a16="http://schemas.microsoft.com/office/drawing/2014/main" pred="{60B317A8-5D5F-4FE9-B940-B5FC98A39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647700</xdr:colOff>
      <xdr:row>20</xdr:row>
      <xdr:rowOff>180975</xdr:rowOff>
    </xdr:from>
    <xdr:to>
      <xdr:col>19</xdr:col>
      <xdr:colOff>695325</xdr:colOff>
      <xdr:row>35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0F112-9BB1-4543-88E6-737FD4DC8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699409</xdr:colOff>
      <xdr:row>3</xdr:row>
      <xdr:rowOff>1361</xdr:rowOff>
    </xdr:from>
    <xdr:to>
      <xdr:col>19</xdr:col>
      <xdr:colOff>710293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2B8D42-5EED-4AEB-A4B6-FEC1303097C1}"/>
            </a:ext>
            <a:ext uri="{147F2762-F138-4A5C-976F-8EAC2B608ADB}">
              <a16:predDERef xmlns:a16="http://schemas.microsoft.com/office/drawing/2014/main" pred="{03F0F112-9BB1-4543-88E6-737FD4DC8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628650</xdr:colOff>
      <xdr:row>39</xdr:row>
      <xdr:rowOff>47625</xdr:rowOff>
    </xdr:from>
    <xdr:to>
      <xdr:col>19</xdr:col>
      <xdr:colOff>695325</xdr:colOff>
      <xdr:row>53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8F1583-9591-4EBE-AC94-5FB027E6A736}"/>
            </a:ext>
            <a:ext uri="{147F2762-F138-4A5C-976F-8EAC2B608ADB}">
              <a16:predDERef xmlns:a16="http://schemas.microsoft.com/office/drawing/2014/main" pred="{AC2B8D42-5EED-4AEB-A4B6-FEC1303097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695325</xdr:colOff>
      <xdr:row>58</xdr:row>
      <xdr:rowOff>28575</xdr:rowOff>
    </xdr:from>
    <xdr:to>
      <xdr:col>19</xdr:col>
      <xdr:colOff>693964</xdr:colOff>
      <xdr:row>72</xdr:row>
      <xdr:rowOff>127570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957D54-FF05-4775-8650-280375D9FDAC}"/>
            </a:ext>
            <a:ext uri="{147F2762-F138-4A5C-976F-8EAC2B608ADB}">
              <a16:predDERef xmlns:a16="http://schemas.microsoft.com/office/drawing/2014/main" pred="{658F1583-9591-4EBE-AC94-5FB027E6A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723900</xdr:colOff>
      <xdr:row>76</xdr:row>
      <xdr:rowOff>0</xdr:rowOff>
    </xdr:from>
    <xdr:to>
      <xdr:col>19</xdr:col>
      <xdr:colOff>704850</xdr:colOff>
      <xdr:row>90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CC8A18-31D7-48EC-8CB4-FA534E8D6155}"/>
            </a:ext>
            <a:ext uri="{147F2762-F138-4A5C-976F-8EAC2B608ADB}">
              <a16:predDERef xmlns:a16="http://schemas.microsoft.com/office/drawing/2014/main" pred="{21957D54-FF05-4775-8650-280375D9F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866775</xdr:colOff>
      <xdr:row>94</xdr:row>
      <xdr:rowOff>38100</xdr:rowOff>
    </xdr:from>
    <xdr:to>
      <xdr:col>19</xdr:col>
      <xdr:colOff>657225</xdr:colOff>
      <xdr:row>108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C09258-51DD-4779-970F-8A8C855C3970}"/>
            </a:ext>
            <a:ext uri="{147F2762-F138-4A5C-976F-8EAC2B608ADB}">
              <a16:predDERef xmlns:a16="http://schemas.microsoft.com/office/drawing/2014/main" pred="{A0CC8A18-31D7-48EC-8CB4-FA534E8D6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790575</xdr:colOff>
      <xdr:row>114</xdr:row>
      <xdr:rowOff>104775</xdr:rowOff>
    </xdr:from>
    <xdr:to>
      <xdr:col>19</xdr:col>
      <xdr:colOff>714375</xdr:colOff>
      <xdr:row>129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BEFAF9-2667-4C5A-8EA2-D4C7DEAD9114}"/>
            </a:ext>
            <a:ext uri="{147F2762-F138-4A5C-976F-8EAC2B608ADB}">
              <a16:predDERef xmlns:a16="http://schemas.microsoft.com/office/drawing/2014/main" pred="{D0C09258-51DD-4779-970F-8A8C855C3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rawut%20Wiangin\Downloads\TRPH%209+2MW%20-%20Shop%20Drawing%20Submission_R0.xlsx" TargetMode="External"/><Relationship Id="rId1" Type="http://schemas.openxmlformats.org/officeDocument/2006/relationships/externalLinkPath" Target="https://gaagrp.sharepoint.com/sites/GAAGroup/STT%20Terra%20Project/02%20STT%20BKK2%20North/04.%20Engineering/01.%20Drawings/01.%20Shop%20Drawings%20(RFAS)/TRPH%209+2MW%20-%20Shop%20Drawing%20Submission_R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This Week &amp; Next Week_Plan"/>
      <sheetName val="Summary"/>
      <sheetName val="AR"/>
      <sheetName val="ST"/>
      <sheetName val="CSD"/>
      <sheetName val="FI"/>
      <sheetName val="EL"/>
      <sheetName val="HY"/>
      <sheetName val="Internal Progress"/>
      <sheetName val="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">
          <cell r="E4" t="str">
            <v>528207_04_RFAS_EL_0001</v>
          </cell>
        </row>
        <row r="5">
          <cell r="E5" t="str">
            <v>528207_04_RFAS_EL_0002</v>
          </cell>
          <cell r="Q5">
            <v>45691</v>
          </cell>
          <cell r="V5">
            <v>45874</v>
          </cell>
        </row>
        <row r="6">
          <cell r="E6" t="str">
            <v>528207_04_RFAS_EL_0003</v>
          </cell>
          <cell r="Q6">
            <v>45705</v>
          </cell>
          <cell r="V6">
            <v>45713</v>
          </cell>
          <cell r="AA6">
            <v>45846</v>
          </cell>
        </row>
        <row r="7">
          <cell r="E7" t="str">
            <v>528207_04_RFAS_EL_0004</v>
          </cell>
          <cell r="Q7">
            <v>45710</v>
          </cell>
          <cell r="V7">
            <v>45874</v>
          </cell>
        </row>
        <row r="8">
          <cell r="E8" t="str">
            <v>528207_04_RFAS_EL_0005</v>
          </cell>
          <cell r="Q8">
            <v>45727</v>
          </cell>
          <cell r="V8">
            <v>45786</v>
          </cell>
        </row>
        <row r="9">
          <cell r="E9" t="str">
            <v>528207_04_RFAS_EL_0006</v>
          </cell>
          <cell r="Q9">
            <v>45691</v>
          </cell>
          <cell r="V9">
            <v>45830</v>
          </cell>
        </row>
        <row r="10">
          <cell r="E10" t="str">
            <v>528207_04_RFAS_EL_0007</v>
          </cell>
          <cell r="V10">
            <v>45754</v>
          </cell>
          <cell r="AA10">
            <v>45786</v>
          </cell>
        </row>
        <row r="11">
          <cell r="E11" t="str">
            <v>528207_04_RFAS_EL_0008</v>
          </cell>
          <cell r="Q11">
            <v>45774</v>
          </cell>
        </row>
        <row r="12">
          <cell r="E12" t="str">
            <v>528207_04_RFAS_EL_0009</v>
          </cell>
          <cell r="Q12">
            <v>45721</v>
          </cell>
          <cell r="V12">
            <v>45874</v>
          </cell>
        </row>
        <row r="13">
          <cell r="E13" t="str">
            <v>528207_04_RFAS_EL_0010</v>
          </cell>
          <cell r="Q13">
            <v>45710</v>
          </cell>
          <cell r="V13">
            <v>45774</v>
          </cell>
        </row>
        <row r="14">
          <cell r="E14" t="str">
            <v>528207_04_RFAS_EL_0011</v>
          </cell>
          <cell r="Q14">
            <v>45710</v>
          </cell>
          <cell r="V14">
            <v>45754</v>
          </cell>
        </row>
        <row r="15">
          <cell r="E15" t="str">
            <v>528207_04_RFAS_EL_0012</v>
          </cell>
          <cell r="Q15">
            <v>45710</v>
          </cell>
          <cell r="V15">
            <v>45754</v>
          </cell>
        </row>
        <row r="16">
          <cell r="E16" t="str">
            <v>528207_04_RFAS_EL_0013</v>
          </cell>
          <cell r="Q16">
            <v>45682</v>
          </cell>
        </row>
        <row r="17">
          <cell r="E17" t="str">
            <v>528207_04_RFAS_EL_0014</v>
          </cell>
          <cell r="Q17">
            <v>45684</v>
          </cell>
          <cell r="V17">
            <v>45754</v>
          </cell>
        </row>
        <row r="18">
          <cell r="E18" t="str">
            <v>528207_04_RFAS_EL_0015</v>
          </cell>
          <cell r="Q18">
            <v>45682</v>
          </cell>
          <cell r="V18">
            <v>45754</v>
          </cell>
        </row>
        <row r="19">
          <cell r="E19" t="str">
            <v>528207_04_RFAS_EL_0016</v>
          </cell>
          <cell r="Q19">
            <v>45682</v>
          </cell>
          <cell r="V19">
            <v>45754</v>
          </cell>
        </row>
        <row r="20">
          <cell r="E20" t="str">
            <v>528207_04_RFAS_EL_0017</v>
          </cell>
          <cell r="Q20">
            <v>45682</v>
          </cell>
          <cell r="V20">
            <v>45754</v>
          </cell>
        </row>
        <row r="21">
          <cell r="E21" t="str">
            <v>528207_04_RFAS_EL_0018</v>
          </cell>
          <cell r="Q21">
            <v>45768</v>
          </cell>
          <cell r="AA21">
            <v>45830</v>
          </cell>
        </row>
        <row r="22">
          <cell r="E22" t="str">
            <v>528207_04_RFAS_EL_0019</v>
          </cell>
          <cell r="Q22">
            <v>45727</v>
          </cell>
        </row>
        <row r="23">
          <cell r="E23" t="str">
            <v>528207_04_RFAS_EL_0020</v>
          </cell>
          <cell r="Q23">
            <v>45682</v>
          </cell>
          <cell r="V23">
            <v>45768</v>
          </cell>
        </row>
        <row r="24">
          <cell r="E24" t="str">
            <v>528207_04_RFAS_EL_0021</v>
          </cell>
          <cell r="Q24">
            <v>45682</v>
          </cell>
          <cell r="V24">
            <v>45768</v>
          </cell>
        </row>
        <row r="25">
          <cell r="E25" t="str">
            <v>528207_04_RFAS_EL_0022</v>
          </cell>
          <cell r="Q25">
            <v>45682</v>
          </cell>
          <cell r="V25">
            <v>45768</v>
          </cell>
        </row>
        <row r="26">
          <cell r="E26" t="str">
            <v>528207_04_RFAS_EL_0023</v>
          </cell>
          <cell r="Q26">
            <v>45682</v>
          </cell>
          <cell r="V26">
            <v>45768</v>
          </cell>
        </row>
        <row r="27">
          <cell r="E27" t="str">
            <v>528207_04_RFAS_EL_0024</v>
          </cell>
          <cell r="Q27">
            <v>45697</v>
          </cell>
        </row>
        <row r="28">
          <cell r="E28" t="str">
            <v>528207_04_RFAS_EL_0025</v>
          </cell>
          <cell r="Q28">
            <v>45697</v>
          </cell>
        </row>
        <row r="29">
          <cell r="E29" t="str">
            <v>528207_04_RFAS_EL_0026</v>
          </cell>
          <cell r="Q29">
            <v>45697</v>
          </cell>
          <cell r="V29">
            <v>45873</v>
          </cell>
        </row>
        <row r="30">
          <cell r="E30" t="str">
            <v>528207_04_RFAS_EL_0027</v>
          </cell>
          <cell r="Q30">
            <v>45697</v>
          </cell>
          <cell r="V30">
            <v>45873</v>
          </cell>
        </row>
        <row r="31">
          <cell r="E31" t="str">
            <v>528207_04_RFAS_EL_0028</v>
          </cell>
          <cell r="Q31" t="str">
            <v>-</v>
          </cell>
          <cell r="V31">
            <v>45710</v>
          </cell>
        </row>
        <row r="32">
          <cell r="E32" t="str">
            <v>528207_04_RFAS_EL_0029</v>
          </cell>
          <cell r="Q32">
            <v>45710</v>
          </cell>
        </row>
        <row r="33">
          <cell r="E33" t="str">
            <v>528207_04_RFAS_EL_0030</v>
          </cell>
          <cell r="Q33">
            <v>45710</v>
          </cell>
        </row>
        <row r="34">
          <cell r="E34" t="str">
            <v>528207_04_RFAS_EL_0031</v>
          </cell>
          <cell r="Q34">
            <v>45710</v>
          </cell>
        </row>
        <row r="35">
          <cell r="E35" t="str">
            <v>528207_04_RFAS_EL_0032</v>
          </cell>
          <cell r="Q35">
            <v>45710</v>
          </cell>
          <cell r="V35">
            <v>45768</v>
          </cell>
        </row>
        <row r="36">
          <cell r="E36" t="str">
            <v>528207_04_RFAS_EL_0033</v>
          </cell>
          <cell r="Q36">
            <v>45727</v>
          </cell>
          <cell r="V36">
            <v>45768</v>
          </cell>
        </row>
        <row r="37">
          <cell r="E37" t="str">
            <v>528207_04_RFAS_EL_0034</v>
          </cell>
          <cell r="Q37">
            <v>45727</v>
          </cell>
        </row>
        <row r="38">
          <cell r="E38" t="str">
            <v>528207_04_RFAS_EL_0035</v>
          </cell>
          <cell r="Q38">
            <v>45727</v>
          </cell>
        </row>
        <row r="39">
          <cell r="E39" t="str">
            <v>528207_04_RFAS_EL_0036</v>
          </cell>
          <cell r="Q39">
            <v>45740</v>
          </cell>
        </row>
        <row r="40">
          <cell r="E40" t="str">
            <v>528207_04_RFAS_EL_0037</v>
          </cell>
          <cell r="Q40">
            <v>45740</v>
          </cell>
        </row>
        <row r="41">
          <cell r="E41" t="str">
            <v>528207_04_RFAS_EL_0038</v>
          </cell>
          <cell r="Q41">
            <v>45697</v>
          </cell>
          <cell r="V41">
            <v>45768</v>
          </cell>
          <cell r="AA41">
            <v>45786</v>
          </cell>
        </row>
        <row r="42">
          <cell r="E42" t="str">
            <v>528207_04_RFAS_EL_0039</v>
          </cell>
          <cell r="Q42">
            <v>45697</v>
          </cell>
          <cell r="AA42">
            <v>45786</v>
          </cell>
        </row>
        <row r="43">
          <cell r="E43" t="str">
            <v>528207_04_RFAS_EL_0040</v>
          </cell>
          <cell r="Q43">
            <v>45727</v>
          </cell>
        </row>
        <row r="44">
          <cell r="E44" t="str">
            <v>528207_04_RFAS_EL_0041</v>
          </cell>
          <cell r="Q44">
            <v>45721</v>
          </cell>
          <cell r="V44">
            <v>45798</v>
          </cell>
          <cell r="AA44">
            <v>45846</v>
          </cell>
        </row>
        <row r="45">
          <cell r="E45" t="str">
            <v>528207_04_RFAS_EL_0042</v>
          </cell>
          <cell r="Q45">
            <v>45721</v>
          </cell>
          <cell r="V45">
            <v>45798</v>
          </cell>
          <cell r="AA45">
            <v>45846</v>
          </cell>
        </row>
        <row r="46">
          <cell r="E46" t="str">
            <v>528207_04_RFAS_EL_0043</v>
          </cell>
          <cell r="Q46">
            <v>45721</v>
          </cell>
          <cell r="V46">
            <v>45798</v>
          </cell>
        </row>
        <row r="47">
          <cell r="E47" t="str">
            <v>528207_04_RFAS_EL_0044</v>
          </cell>
          <cell r="Q47">
            <v>45721</v>
          </cell>
          <cell r="V47">
            <v>45798</v>
          </cell>
        </row>
        <row r="48">
          <cell r="E48" t="str">
            <v>528207_04_RFAS_EL_0045</v>
          </cell>
          <cell r="Q48">
            <v>45721</v>
          </cell>
          <cell r="V48">
            <v>45798</v>
          </cell>
          <cell r="AA48">
            <v>45872</v>
          </cell>
        </row>
        <row r="49">
          <cell r="E49" t="str">
            <v>528207_04_RFAS_EL_0046</v>
          </cell>
          <cell r="Q49">
            <v>45721</v>
          </cell>
          <cell r="V49">
            <v>45798</v>
          </cell>
          <cell r="AA49">
            <v>45872</v>
          </cell>
        </row>
        <row r="50">
          <cell r="E50" t="str">
            <v>528207_04_RFAS_EL_0047</v>
          </cell>
          <cell r="Q50">
            <v>45721</v>
          </cell>
          <cell r="V50">
            <v>45798</v>
          </cell>
          <cell r="AA50">
            <v>45846</v>
          </cell>
        </row>
        <row r="51">
          <cell r="E51" t="str">
            <v>528207_04_RFAS_EL_0048</v>
          </cell>
          <cell r="Q51">
            <v>45721</v>
          </cell>
          <cell r="V51">
            <v>45798</v>
          </cell>
        </row>
        <row r="52">
          <cell r="E52" t="str">
            <v>528207_04_RFAS_EL_0049</v>
          </cell>
          <cell r="Q52">
            <v>45721</v>
          </cell>
          <cell r="V52">
            <v>45804</v>
          </cell>
        </row>
        <row r="53">
          <cell r="E53" t="str">
            <v>528207_04_RFAS_EL_0050</v>
          </cell>
          <cell r="Q53">
            <v>45727</v>
          </cell>
          <cell r="V53">
            <v>45804</v>
          </cell>
        </row>
        <row r="54">
          <cell r="E54" t="str">
            <v>528207_04_RFAS_EL_0051</v>
          </cell>
          <cell r="Q54">
            <v>45721</v>
          </cell>
          <cell r="V54">
            <v>45804</v>
          </cell>
        </row>
        <row r="55">
          <cell r="E55" t="str">
            <v>528207_04_RFAS_EL_0052</v>
          </cell>
          <cell r="Q55">
            <v>45727</v>
          </cell>
          <cell r="V55">
            <v>45804</v>
          </cell>
        </row>
        <row r="56">
          <cell r="E56" t="str">
            <v>528207_04_RFAS_EL_0053</v>
          </cell>
          <cell r="Q56">
            <v>45721</v>
          </cell>
          <cell r="V56">
            <v>45804</v>
          </cell>
        </row>
        <row r="57">
          <cell r="E57" t="str">
            <v>528207_04_RFAS_EL_0054</v>
          </cell>
          <cell r="Q57">
            <v>45727</v>
          </cell>
          <cell r="V57">
            <v>45804</v>
          </cell>
        </row>
        <row r="58">
          <cell r="E58" t="str">
            <v>528207_04_RFAS_EL_0055</v>
          </cell>
          <cell r="Q58">
            <v>45742</v>
          </cell>
          <cell r="V58">
            <v>45824</v>
          </cell>
          <cell r="AA58">
            <v>45872</v>
          </cell>
        </row>
        <row r="59">
          <cell r="E59" t="str">
            <v>528207_04_RFAS_EL_0056</v>
          </cell>
          <cell r="Q59">
            <v>45742</v>
          </cell>
          <cell r="V59">
            <v>45824</v>
          </cell>
          <cell r="AA59">
            <v>45872</v>
          </cell>
        </row>
        <row r="60">
          <cell r="E60" t="str">
            <v>528207_04_RFAS_EL_0057</v>
          </cell>
          <cell r="Q60">
            <v>45754</v>
          </cell>
          <cell r="V60">
            <v>45824</v>
          </cell>
          <cell r="AA60">
            <v>45874</v>
          </cell>
        </row>
        <row r="61">
          <cell r="E61" t="str">
            <v>528207_04_RFAS_EL_0058</v>
          </cell>
          <cell r="Q61">
            <v>45754</v>
          </cell>
          <cell r="V61">
            <v>45824</v>
          </cell>
          <cell r="AA61">
            <v>45872</v>
          </cell>
        </row>
        <row r="62">
          <cell r="E62" t="str">
            <v>528207_04_RFAS_EL_0059</v>
          </cell>
          <cell r="Q62">
            <v>45742</v>
          </cell>
          <cell r="V62">
            <v>45787</v>
          </cell>
          <cell r="AA62">
            <v>45824</v>
          </cell>
          <cell r="AF62">
            <v>45872</v>
          </cell>
        </row>
        <row r="63">
          <cell r="E63" t="str">
            <v>528207_04_RFAS_EL_0060</v>
          </cell>
          <cell r="Q63">
            <v>45742</v>
          </cell>
          <cell r="V63">
            <v>45786</v>
          </cell>
          <cell r="AA63">
            <v>45824</v>
          </cell>
          <cell r="AF63">
            <v>45872</v>
          </cell>
        </row>
        <row r="64">
          <cell r="E64" t="str">
            <v>528207_04_RFAS_EL_0061</v>
          </cell>
          <cell r="Q64">
            <v>45721</v>
          </cell>
          <cell r="V64">
            <v>45774</v>
          </cell>
        </row>
        <row r="65">
          <cell r="E65" t="str">
            <v>528207_04_RFAS_EL_0062</v>
          </cell>
          <cell r="Q65">
            <v>45721</v>
          </cell>
          <cell r="V65">
            <v>45774</v>
          </cell>
        </row>
        <row r="66">
          <cell r="E66" t="str">
            <v>528207_04_RFAS_EL_0063</v>
          </cell>
          <cell r="Q66">
            <v>45727</v>
          </cell>
          <cell r="V66">
            <v>45774</v>
          </cell>
        </row>
        <row r="67">
          <cell r="E67" t="str">
            <v>528207_04_RFAS_EL_0064</v>
          </cell>
          <cell r="Q67">
            <v>45721</v>
          </cell>
          <cell r="V67">
            <v>45774</v>
          </cell>
        </row>
        <row r="68">
          <cell r="E68" t="str">
            <v>528207_04_RFAS_EL_0065</v>
          </cell>
          <cell r="Q68">
            <v>45768</v>
          </cell>
        </row>
        <row r="69">
          <cell r="E69" t="str">
            <v>528207_04_RFAS_EL_0066</v>
          </cell>
          <cell r="Q69">
            <v>45768</v>
          </cell>
          <cell r="V69">
            <v>45848</v>
          </cell>
        </row>
        <row r="70">
          <cell r="E70" t="str">
            <v>528207_04_RFAS_EL_0067</v>
          </cell>
          <cell r="Q70">
            <v>45721</v>
          </cell>
        </row>
        <row r="71">
          <cell r="E71" t="str">
            <v>528207_04_RFAS_EL_0068</v>
          </cell>
          <cell r="Q71">
            <v>45721</v>
          </cell>
        </row>
        <row r="72">
          <cell r="E72" t="str">
            <v>528207_04_RFAS_EL_0069</v>
          </cell>
          <cell r="Q72">
            <v>45682</v>
          </cell>
        </row>
        <row r="73">
          <cell r="E73" t="str">
            <v>528207_04_RFAS_EL_0070</v>
          </cell>
          <cell r="Q73">
            <v>45682</v>
          </cell>
          <cell r="V73">
            <v>45754</v>
          </cell>
        </row>
        <row r="74">
          <cell r="E74" t="str">
            <v>528207_04_RFAS_EL_0071</v>
          </cell>
          <cell r="Q74">
            <v>45682</v>
          </cell>
          <cell r="V74">
            <v>45754</v>
          </cell>
        </row>
        <row r="75">
          <cell r="E75" t="str">
            <v>528207_04_RFAS_EL_0072</v>
          </cell>
          <cell r="Q75">
            <v>45682</v>
          </cell>
          <cell r="V75">
            <v>45754</v>
          </cell>
        </row>
        <row r="76">
          <cell r="E76" t="str">
            <v>528207_04_RFAS_EL_0073</v>
          </cell>
          <cell r="Q76">
            <v>45682</v>
          </cell>
          <cell r="V76">
            <v>45754</v>
          </cell>
        </row>
        <row r="77">
          <cell r="E77" t="str">
            <v>528207_04_RFAS_EL_0074</v>
          </cell>
          <cell r="Q77">
            <v>45742</v>
          </cell>
          <cell r="V77">
            <v>45897</v>
          </cell>
        </row>
        <row r="78">
          <cell r="E78" t="str">
            <v>528207_04_RFAS_EL_0075</v>
          </cell>
          <cell r="Q78">
            <v>45744</v>
          </cell>
          <cell r="V78">
            <v>45897</v>
          </cell>
        </row>
        <row r="79">
          <cell r="E79" t="str">
            <v>528207_04_RFAS_EL_0076</v>
          </cell>
          <cell r="Q79">
            <v>45768</v>
          </cell>
        </row>
        <row r="80">
          <cell r="E80" t="str">
            <v>528207_04_RFAS_EL_0077</v>
          </cell>
          <cell r="Q80">
            <v>45727</v>
          </cell>
        </row>
        <row r="81">
          <cell r="E81" t="str">
            <v>528207_04_RFAS_EL_0078</v>
          </cell>
          <cell r="Q81">
            <v>45682</v>
          </cell>
          <cell r="V81">
            <v>45897</v>
          </cell>
        </row>
        <row r="82">
          <cell r="E82" t="str">
            <v>528207_04_RFAS_EL_0079</v>
          </cell>
          <cell r="Q82">
            <v>45682</v>
          </cell>
          <cell r="V82">
            <v>45897</v>
          </cell>
        </row>
        <row r="83">
          <cell r="E83" t="str">
            <v>528207_04_RFAS_EL_0080</v>
          </cell>
          <cell r="Q83">
            <v>45746</v>
          </cell>
        </row>
        <row r="84">
          <cell r="E84" t="str">
            <v>528207_04_RFAS_EL_0081</v>
          </cell>
          <cell r="Q84">
            <v>45746</v>
          </cell>
        </row>
        <row r="85">
          <cell r="E85" t="str">
            <v>528207_04_RFAS_EL_0082</v>
          </cell>
          <cell r="Q85">
            <v>45697</v>
          </cell>
          <cell r="V85">
            <v>45897</v>
          </cell>
        </row>
        <row r="86">
          <cell r="E86" t="str">
            <v>528207_04_RFAS_EL_0083</v>
          </cell>
          <cell r="Q86">
            <v>45746</v>
          </cell>
        </row>
        <row r="87">
          <cell r="E87" t="str">
            <v>528207_04_RFAS_EL_0084</v>
          </cell>
          <cell r="Q87">
            <v>45746</v>
          </cell>
        </row>
        <row r="88">
          <cell r="E88" t="str">
            <v>528207_04_RFAS_EL_0085</v>
          </cell>
          <cell r="Q88">
            <v>45746</v>
          </cell>
        </row>
        <row r="89">
          <cell r="E89" t="str">
            <v>528207_04_RFAS_EL_0086</v>
          </cell>
          <cell r="Q89">
            <v>45697</v>
          </cell>
          <cell r="V89">
            <v>45768</v>
          </cell>
          <cell r="AA89">
            <v>45964</v>
          </cell>
        </row>
        <row r="90">
          <cell r="E90" t="str">
            <v>528207_04_RFAS_EL_0087</v>
          </cell>
          <cell r="Q90">
            <v>45697</v>
          </cell>
          <cell r="V90">
            <v>45768</v>
          </cell>
          <cell r="AA90">
            <v>45964</v>
          </cell>
        </row>
        <row r="91">
          <cell r="E91" t="str">
            <v>528207_04_RFAS_EL_0088</v>
          </cell>
          <cell r="Q91">
            <v>45697</v>
          </cell>
          <cell r="V91">
            <v>45768</v>
          </cell>
          <cell r="AA91">
            <v>45964</v>
          </cell>
        </row>
        <row r="92">
          <cell r="E92" t="str">
            <v>528207_04_RFAS_EL_0089</v>
          </cell>
          <cell r="Q92">
            <v>45697</v>
          </cell>
          <cell r="V92">
            <v>45768</v>
          </cell>
          <cell r="AA92">
            <v>45964</v>
          </cell>
        </row>
        <row r="93">
          <cell r="E93" t="str">
            <v>528207_04_RFAS_EL_0090</v>
          </cell>
          <cell r="Q93">
            <v>45697</v>
          </cell>
          <cell r="V93">
            <v>45769</v>
          </cell>
          <cell r="AA93">
            <v>45964</v>
          </cell>
        </row>
        <row r="94">
          <cell r="E94" t="str">
            <v>528207_04_RFAS_EL_0091</v>
          </cell>
          <cell r="Q94">
            <v>45697</v>
          </cell>
          <cell r="V94">
            <v>45769</v>
          </cell>
          <cell r="AA94">
            <v>45964</v>
          </cell>
        </row>
        <row r="95">
          <cell r="E95" t="str">
            <v>528207_04_RFAS_EL_0092</v>
          </cell>
          <cell r="Q95">
            <v>45697</v>
          </cell>
          <cell r="V95">
            <v>45769</v>
          </cell>
          <cell r="AA95">
            <v>45964</v>
          </cell>
        </row>
        <row r="96">
          <cell r="E96" t="str">
            <v>528207_04_RFAS_EL_0093</v>
          </cell>
          <cell r="Q96">
            <v>45697</v>
          </cell>
          <cell r="V96">
            <v>45769</v>
          </cell>
          <cell r="AA96">
            <v>45964</v>
          </cell>
        </row>
        <row r="97">
          <cell r="E97" t="str">
            <v>528207_04_RFAS_EL_0094</v>
          </cell>
          <cell r="Q97">
            <v>45697</v>
          </cell>
          <cell r="V97">
            <v>45769</v>
          </cell>
          <cell r="AA97">
            <v>45964</v>
          </cell>
        </row>
        <row r="98">
          <cell r="E98" t="str">
            <v>528207_04_RFAS_EL_0095</v>
          </cell>
          <cell r="Q98">
            <v>45697</v>
          </cell>
          <cell r="V98">
            <v>45769</v>
          </cell>
          <cell r="AA98">
            <v>45964</v>
          </cell>
        </row>
        <row r="99">
          <cell r="E99" t="str">
            <v>528207_04_RFAS_EL_0096</v>
          </cell>
          <cell r="Q99">
            <v>45697</v>
          </cell>
          <cell r="V99">
            <v>45774</v>
          </cell>
          <cell r="AA99">
            <v>45964</v>
          </cell>
        </row>
        <row r="100">
          <cell r="E100" t="str">
            <v>528207_04_RFAS_EL_0097</v>
          </cell>
          <cell r="Q100">
            <v>45697</v>
          </cell>
          <cell r="V100">
            <v>45774</v>
          </cell>
          <cell r="AA100">
            <v>45964</v>
          </cell>
        </row>
        <row r="101">
          <cell r="E101" t="str">
            <v>528207_04_RFAS_EL_0098</v>
          </cell>
          <cell r="Q101">
            <v>45697</v>
          </cell>
          <cell r="V101">
            <v>45774</v>
          </cell>
          <cell r="AA101">
            <v>45964</v>
          </cell>
        </row>
        <row r="102">
          <cell r="E102" t="str">
            <v>528207_04_RFAS_EL_0099</v>
          </cell>
          <cell r="Q102">
            <v>45697</v>
          </cell>
          <cell r="V102">
            <v>45774</v>
          </cell>
          <cell r="AA102">
            <v>45964</v>
          </cell>
        </row>
        <row r="103">
          <cell r="E103" t="str">
            <v>528207_04_RFAS_EL_0100</v>
          </cell>
          <cell r="Q103">
            <v>45697</v>
          </cell>
          <cell r="V103">
            <v>45882</v>
          </cell>
          <cell r="AA103">
            <v>45964</v>
          </cell>
        </row>
        <row r="104">
          <cell r="E104" t="str">
            <v>528207_04_RFAS_EL_0101</v>
          </cell>
          <cell r="Q104">
            <v>45697</v>
          </cell>
          <cell r="V104">
            <v>45964</v>
          </cell>
        </row>
        <row r="105">
          <cell r="E105" t="str">
            <v>528207_04_RFAS_EL_0102</v>
          </cell>
          <cell r="Q105">
            <v>45697</v>
          </cell>
          <cell r="V105">
            <v>45882</v>
          </cell>
          <cell r="AA105">
            <v>45964</v>
          </cell>
        </row>
        <row r="106">
          <cell r="E106" t="str">
            <v>528207_04_RFAS_EL_0103</v>
          </cell>
          <cell r="Q106">
            <v>45697</v>
          </cell>
          <cell r="V106">
            <v>45964</v>
          </cell>
        </row>
        <row r="107">
          <cell r="E107" t="str">
            <v>528207_04_RFAS_EL_0104</v>
          </cell>
          <cell r="Q107">
            <v>45697</v>
          </cell>
          <cell r="V107">
            <v>45882</v>
          </cell>
          <cell r="AA107">
            <v>45964</v>
          </cell>
        </row>
        <row r="108">
          <cell r="E108" t="str">
            <v>528207_04_RFAS_EL_0105</v>
          </cell>
          <cell r="Q108">
            <v>45697</v>
          </cell>
          <cell r="V108">
            <v>45964</v>
          </cell>
        </row>
        <row r="109">
          <cell r="E109" t="str">
            <v>528207_04_RFAS_EL_0106</v>
          </cell>
          <cell r="Q109">
            <v>45697</v>
          </cell>
          <cell r="V109">
            <v>45883</v>
          </cell>
          <cell r="AA109">
            <v>45964</v>
          </cell>
        </row>
        <row r="110">
          <cell r="E110" t="str">
            <v>528207_04_RFAS_EL_0107</v>
          </cell>
          <cell r="Q110">
            <v>45697</v>
          </cell>
          <cell r="V110">
            <v>45964</v>
          </cell>
        </row>
        <row r="111">
          <cell r="E111" t="str">
            <v>528207_04_RFAS_EL_0108</v>
          </cell>
          <cell r="Q111">
            <v>45697</v>
          </cell>
          <cell r="V111">
            <v>45883</v>
          </cell>
          <cell r="AA111">
            <v>45964</v>
          </cell>
        </row>
        <row r="112">
          <cell r="E112" t="str">
            <v>528207_04_RFAS_EL_0109</v>
          </cell>
          <cell r="Q112">
            <v>45697</v>
          </cell>
          <cell r="V112">
            <v>45964</v>
          </cell>
        </row>
        <row r="113">
          <cell r="E113" t="str">
            <v>528207_04_RFAS_EL_0110</v>
          </cell>
          <cell r="Q113">
            <v>45697</v>
          </cell>
          <cell r="V113">
            <v>45883</v>
          </cell>
          <cell r="AA113">
            <v>45964</v>
          </cell>
        </row>
        <row r="114">
          <cell r="E114" t="str">
            <v>528207_04_RFAS_EL_0111</v>
          </cell>
          <cell r="Q114">
            <v>45697</v>
          </cell>
          <cell r="V114">
            <v>45964</v>
          </cell>
        </row>
        <row r="115">
          <cell r="E115" t="str">
            <v>528207_04_RFAS_EL_0112</v>
          </cell>
          <cell r="Q115">
            <v>45697</v>
          </cell>
          <cell r="V115">
            <v>45897</v>
          </cell>
          <cell r="AA115">
            <v>45964</v>
          </cell>
        </row>
        <row r="116">
          <cell r="E116" t="str">
            <v>528207_04_RFAS_EL_0113</v>
          </cell>
          <cell r="Q116">
            <v>45697</v>
          </cell>
          <cell r="V116">
            <v>45964</v>
          </cell>
        </row>
        <row r="117">
          <cell r="E117" t="str">
            <v>528207_04_RFAS_EL_0114</v>
          </cell>
          <cell r="Q117">
            <v>45697</v>
          </cell>
          <cell r="V117">
            <v>45897</v>
          </cell>
          <cell r="AA117">
            <v>45964</v>
          </cell>
        </row>
        <row r="118">
          <cell r="E118" t="str">
            <v>528207_04_RFAS_EL_0115</v>
          </cell>
          <cell r="Q118">
            <v>45697</v>
          </cell>
          <cell r="V118">
            <v>45964</v>
          </cell>
        </row>
        <row r="119">
          <cell r="E119" t="str">
            <v>528207_04_RFAS_EL_0116</v>
          </cell>
          <cell r="Q119">
            <v>45697</v>
          </cell>
          <cell r="V119">
            <v>45897</v>
          </cell>
          <cell r="AA119">
            <v>46006</v>
          </cell>
        </row>
        <row r="120">
          <cell r="E120" t="str">
            <v>528207_04_RFAS_EL_0117</v>
          </cell>
          <cell r="Q120">
            <v>45697</v>
          </cell>
          <cell r="V120">
            <v>46006</v>
          </cell>
        </row>
        <row r="121">
          <cell r="E121" t="str">
            <v>528207_04_RFAS_EL_0118</v>
          </cell>
          <cell r="Q121">
            <v>45746</v>
          </cell>
        </row>
        <row r="122">
          <cell r="E122" t="str">
            <v>528207_04_RFAS_EL_0119</v>
          </cell>
          <cell r="Q122">
            <v>45746</v>
          </cell>
        </row>
        <row r="123">
          <cell r="E123" t="str">
            <v>528207_04_RFAS_EL_0120</v>
          </cell>
          <cell r="Q123">
            <v>45691</v>
          </cell>
          <cell r="V123">
            <v>45769</v>
          </cell>
        </row>
        <row r="124">
          <cell r="E124" t="str">
            <v>528207_04_RFAS_EL_0121</v>
          </cell>
          <cell r="Q124">
            <v>45691</v>
          </cell>
          <cell r="V124">
            <v>45769</v>
          </cell>
        </row>
        <row r="125">
          <cell r="E125" t="str">
            <v>528207_04_RFAS_EL_0122</v>
          </cell>
          <cell r="Q125">
            <v>45691</v>
          </cell>
          <cell r="V125">
            <v>45769</v>
          </cell>
        </row>
        <row r="126">
          <cell r="E126" t="str">
            <v>528207_04_RFAS_EL_0123</v>
          </cell>
          <cell r="Q126">
            <v>45691</v>
          </cell>
          <cell r="V126">
            <v>45769</v>
          </cell>
        </row>
        <row r="127">
          <cell r="E127" t="str">
            <v>528207_04_RFAS_EL_0124</v>
          </cell>
          <cell r="Q127">
            <v>45746</v>
          </cell>
          <cell r="V127">
            <v>45897</v>
          </cell>
        </row>
        <row r="128">
          <cell r="E128" t="str">
            <v>528207_04_RFAS_EL_0125</v>
          </cell>
          <cell r="Q128">
            <v>45746</v>
          </cell>
          <cell r="V128">
            <v>45897</v>
          </cell>
        </row>
        <row r="129">
          <cell r="E129" t="str">
            <v>528207_04_RFAS_EL_0126</v>
          </cell>
          <cell r="Q129">
            <v>45746</v>
          </cell>
        </row>
        <row r="130">
          <cell r="E130" t="str">
            <v>528207_04_RFAS_EL_0127</v>
          </cell>
          <cell r="Q130">
            <v>45746</v>
          </cell>
        </row>
        <row r="131">
          <cell r="E131" t="str">
            <v>528207_04_RFAS_EL_0128</v>
          </cell>
          <cell r="Q131">
            <v>45746</v>
          </cell>
        </row>
        <row r="132">
          <cell r="E132" t="str">
            <v>528207_04_RFAS_EL_0129</v>
          </cell>
          <cell r="Q132">
            <v>45746</v>
          </cell>
        </row>
        <row r="133">
          <cell r="E133" t="str">
            <v>528207_04_RFAS_EL_0130</v>
          </cell>
          <cell r="Q133">
            <v>45754</v>
          </cell>
        </row>
        <row r="134">
          <cell r="E134" t="str">
            <v>528207_04_RFAS_EL_0131</v>
          </cell>
          <cell r="Q134">
            <v>45721</v>
          </cell>
          <cell r="V134">
            <v>45804</v>
          </cell>
        </row>
        <row r="135">
          <cell r="E135" t="str">
            <v>528207_04_RFAS_EL_0132</v>
          </cell>
          <cell r="Q135">
            <v>45742</v>
          </cell>
          <cell r="V135">
            <v>45804</v>
          </cell>
        </row>
        <row r="136">
          <cell r="E136" t="str">
            <v>528207_04_RFAS_EL_0133</v>
          </cell>
          <cell r="Q136">
            <v>45721</v>
          </cell>
          <cell r="V136">
            <v>45804</v>
          </cell>
        </row>
        <row r="137">
          <cell r="E137" t="str">
            <v>528207_04_RFAS_EL_0134</v>
          </cell>
          <cell r="Q137">
            <v>45721</v>
          </cell>
          <cell r="V137">
            <v>45804</v>
          </cell>
        </row>
        <row r="138">
          <cell r="E138" t="str">
            <v>528207_04_RFAS_EL_0135</v>
          </cell>
          <cell r="Q138">
            <v>45721</v>
          </cell>
          <cell r="V138">
            <v>45804</v>
          </cell>
        </row>
        <row r="139">
          <cell r="E139" t="str">
            <v>528207_04_RFAS_EL_0136</v>
          </cell>
          <cell r="Q139">
            <v>45721</v>
          </cell>
          <cell r="V139">
            <v>45804</v>
          </cell>
        </row>
        <row r="140">
          <cell r="E140" t="str">
            <v>528207_04_RFAS_EL_0137</v>
          </cell>
          <cell r="Q140">
            <v>45721</v>
          </cell>
          <cell r="V140">
            <v>45804</v>
          </cell>
        </row>
        <row r="141">
          <cell r="E141" t="str">
            <v>528207_04_RFAS_EL_0138</v>
          </cell>
          <cell r="Q141">
            <v>45721</v>
          </cell>
          <cell r="V141">
            <v>45804</v>
          </cell>
        </row>
        <row r="142">
          <cell r="E142" t="str">
            <v>528207_04_RFAS_EL_0139</v>
          </cell>
          <cell r="Q142">
            <v>45721</v>
          </cell>
          <cell r="V142">
            <v>45804</v>
          </cell>
          <cell r="AA142">
            <v>46029</v>
          </cell>
        </row>
        <row r="143">
          <cell r="E143" t="str">
            <v>528207_04_RFAS_EL_0140</v>
          </cell>
          <cell r="Q143">
            <v>45721</v>
          </cell>
          <cell r="V143">
            <v>45804</v>
          </cell>
          <cell r="AA143">
            <v>46029</v>
          </cell>
        </row>
        <row r="144">
          <cell r="E144" t="str">
            <v>528207_04_RFAS_EL_0141</v>
          </cell>
          <cell r="Q144">
            <v>45721</v>
          </cell>
          <cell r="V144">
            <v>45804</v>
          </cell>
        </row>
        <row r="145">
          <cell r="E145" t="str">
            <v>528207_04_RFAS_EL_0142</v>
          </cell>
          <cell r="Q145">
            <v>45721</v>
          </cell>
          <cell r="V145">
            <v>45804</v>
          </cell>
        </row>
        <row r="146">
          <cell r="E146" t="str">
            <v>528207_04_RFAS_EL_0143</v>
          </cell>
          <cell r="Q146">
            <v>45721</v>
          </cell>
          <cell r="V146">
            <v>45804</v>
          </cell>
        </row>
        <row r="147">
          <cell r="E147" t="str">
            <v>528207_04_RFAS_EL_0144</v>
          </cell>
          <cell r="Q147">
            <v>45721</v>
          </cell>
          <cell r="V147">
            <v>45804</v>
          </cell>
        </row>
        <row r="148">
          <cell r="E148" t="str">
            <v>528207_04_RFAS_EL_0145</v>
          </cell>
          <cell r="Q148">
            <v>45769</v>
          </cell>
          <cell r="V148">
            <v>45824</v>
          </cell>
        </row>
        <row r="149">
          <cell r="E149" t="str">
            <v>528207_04_RFAS_EL_0146</v>
          </cell>
          <cell r="Q149">
            <v>45769</v>
          </cell>
          <cell r="V149">
            <v>45824</v>
          </cell>
        </row>
        <row r="150">
          <cell r="E150" t="str">
            <v>528207_04_RFAS_EL_0147</v>
          </cell>
          <cell r="Q150">
            <v>45769</v>
          </cell>
          <cell r="V150">
            <v>45824</v>
          </cell>
        </row>
        <row r="151">
          <cell r="E151" t="str">
            <v>528207_04_RFAS_EL_0148</v>
          </cell>
          <cell r="Q151">
            <v>45769</v>
          </cell>
          <cell r="V151">
            <v>45824</v>
          </cell>
        </row>
        <row r="152">
          <cell r="E152" t="str">
            <v>528207_04_RFAS_EL_0149</v>
          </cell>
          <cell r="Q152">
            <v>45769</v>
          </cell>
          <cell r="V152">
            <v>45824</v>
          </cell>
        </row>
        <row r="153">
          <cell r="E153" t="str">
            <v>528207_04_RFAS_EL_0150</v>
          </cell>
          <cell r="Q153">
            <v>45769</v>
          </cell>
          <cell r="V153">
            <v>45824</v>
          </cell>
        </row>
        <row r="154">
          <cell r="E154" t="str">
            <v>528207_04_RFAS_EL_0151</v>
          </cell>
          <cell r="Q154">
            <v>45721</v>
          </cell>
          <cell r="V154">
            <v>45787</v>
          </cell>
        </row>
        <row r="155">
          <cell r="E155" t="str">
            <v>528207_04_RFAS_EL_0152</v>
          </cell>
          <cell r="Q155">
            <v>45721</v>
          </cell>
          <cell r="V155">
            <v>45786</v>
          </cell>
        </row>
        <row r="156">
          <cell r="E156" t="str">
            <v>528207_04_RFAS_EL_0153</v>
          </cell>
          <cell r="Q156">
            <v>45721</v>
          </cell>
          <cell r="V156">
            <v>45786</v>
          </cell>
        </row>
        <row r="157">
          <cell r="E157" t="str">
            <v>528207_04_RFAS_EL_0154</v>
          </cell>
          <cell r="Q157">
            <v>45721</v>
          </cell>
          <cell r="V157">
            <v>45786</v>
          </cell>
        </row>
        <row r="158">
          <cell r="E158" t="str">
            <v>528207_04_RFAS_EL_0155</v>
          </cell>
          <cell r="Q158">
            <v>45754</v>
          </cell>
        </row>
        <row r="159">
          <cell r="E159" t="str">
            <v>528207_04_RFAS_EL_0156</v>
          </cell>
          <cell r="Q159">
            <v>45746</v>
          </cell>
        </row>
        <row r="160">
          <cell r="E160" t="str">
            <v>528207_04_RFAS_EL_0157</v>
          </cell>
          <cell r="Q160">
            <v>45746</v>
          </cell>
        </row>
        <row r="161">
          <cell r="E161" t="str">
            <v>528207_04_RFAS_EL_0158</v>
          </cell>
          <cell r="Q161">
            <v>45786</v>
          </cell>
        </row>
        <row r="162">
          <cell r="E162" t="str">
            <v>528207_04_RFAS_EL_0159</v>
          </cell>
          <cell r="Q162">
            <v>45646</v>
          </cell>
          <cell r="V162">
            <v>45701</v>
          </cell>
          <cell r="AA162">
            <v>45712</v>
          </cell>
          <cell r="AF162">
            <v>45746</v>
          </cell>
          <cell r="AK162">
            <v>45874</v>
          </cell>
        </row>
        <row r="163">
          <cell r="E163" t="str">
            <v>528207_04_RFAS_EL_0160</v>
          </cell>
          <cell r="Q163">
            <v>45701</v>
          </cell>
          <cell r="V163">
            <v>45710</v>
          </cell>
          <cell r="AA163">
            <v>45710</v>
          </cell>
        </row>
        <row r="164">
          <cell r="E164" t="str">
            <v>528207_04_RFAS_EL_0161</v>
          </cell>
          <cell r="Q164">
            <v>45812</v>
          </cell>
        </row>
        <row r="165">
          <cell r="E165" t="str">
            <v>528207_04_RFAS_EL_0162</v>
          </cell>
          <cell r="Q165">
            <v>45721</v>
          </cell>
          <cell r="V165">
            <v>45812</v>
          </cell>
          <cell r="AA165">
            <v>45840</v>
          </cell>
        </row>
        <row r="166">
          <cell r="E166" t="str">
            <v>528207_04_RFAS_EL_0163</v>
          </cell>
          <cell r="Q166">
            <v>45721</v>
          </cell>
          <cell r="V166">
            <v>45812</v>
          </cell>
          <cell r="AA166">
            <v>45838</v>
          </cell>
        </row>
        <row r="167">
          <cell r="E167" t="str">
            <v>528207_04_RFAS_EL_0164</v>
          </cell>
          <cell r="Q167">
            <v>45713</v>
          </cell>
          <cell r="V167">
            <v>45754</v>
          </cell>
          <cell r="AA167">
            <v>45812</v>
          </cell>
        </row>
        <row r="168">
          <cell r="E168" t="str">
            <v>528207_04_RFAS_EL_0165</v>
          </cell>
          <cell r="Q168">
            <v>45719</v>
          </cell>
          <cell r="V168">
            <v>45849</v>
          </cell>
        </row>
        <row r="169">
          <cell r="E169" t="str">
            <v>528207_04_RFAS_EL_0166</v>
          </cell>
          <cell r="Q169">
            <v>45809</v>
          </cell>
          <cell r="V169">
            <v>45848</v>
          </cell>
        </row>
        <row r="170">
          <cell r="E170" t="str">
            <v>528207_04_RFAS_EL_0167</v>
          </cell>
          <cell r="Q170">
            <v>45715</v>
          </cell>
          <cell r="AA170">
            <v>45746</v>
          </cell>
        </row>
        <row r="171">
          <cell r="E171" t="str">
            <v>528207_04_RFAS_EL_0168</v>
          </cell>
          <cell r="Q171">
            <v>45719</v>
          </cell>
          <cell r="V171">
            <v>45746</v>
          </cell>
        </row>
        <row r="172">
          <cell r="E172" t="str">
            <v>528207_04_RFAS_EL_0169</v>
          </cell>
          <cell r="Q172">
            <v>45769</v>
          </cell>
          <cell r="V172">
            <v>45812</v>
          </cell>
          <cell r="AA172">
            <v>45838</v>
          </cell>
          <cell r="AF172">
            <v>45886</v>
          </cell>
        </row>
        <row r="173">
          <cell r="E173" t="str">
            <v>528207_04_RFAS_EL_0170</v>
          </cell>
          <cell r="Q173">
            <v>45712</v>
          </cell>
          <cell r="V173">
            <v>45746</v>
          </cell>
        </row>
        <row r="174">
          <cell r="E174" t="str">
            <v>528207_04_RFAS_EL_0171</v>
          </cell>
          <cell r="Q174">
            <v>45701</v>
          </cell>
          <cell r="V174">
            <v>45713</v>
          </cell>
          <cell r="AA174">
            <v>45943</v>
          </cell>
        </row>
        <row r="175">
          <cell r="E175" t="str">
            <v>528207_04_RFAS_EL_0172</v>
          </cell>
          <cell r="Q175">
            <v>45769</v>
          </cell>
          <cell r="AA175">
            <v>45812</v>
          </cell>
          <cell r="AF175">
            <v>45838</v>
          </cell>
          <cell r="AK175">
            <v>45908</v>
          </cell>
        </row>
        <row r="176">
          <cell r="E176" t="str">
            <v>528207_04_RFAS_EL_0173</v>
          </cell>
          <cell r="Q176">
            <v>45691</v>
          </cell>
          <cell r="V176">
            <v>45746</v>
          </cell>
        </row>
        <row r="177">
          <cell r="E177" t="str">
            <v>528207_04_RFAS_EL_0174</v>
          </cell>
          <cell r="Q177">
            <v>45705</v>
          </cell>
          <cell r="V177">
            <v>45754</v>
          </cell>
          <cell r="AA177">
            <v>45840</v>
          </cell>
        </row>
        <row r="178">
          <cell r="E178" t="str">
            <v>528207_04_RFAS_EL_0175</v>
          </cell>
          <cell r="Q178">
            <v>45720</v>
          </cell>
          <cell r="V178">
            <v>45746</v>
          </cell>
          <cell r="AA178">
            <v>45840</v>
          </cell>
          <cell r="AF178">
            <v>45874</v>
          </cell>
        </row>
        <row r="179">
          <cell r="E179" t="str">
            <v>528207_04_RFAS_EL_0176</v>
          </cell>
          <cell r="Q179">
            <v>45824</v>
          </cell>
          <cell r="V179">
            <v>45872</v>
          </cell>
        </row>
        <row r="180">
          <cell r="E180" t="str">
            <v>528207_04_RFAS_EL_0177</v>
          </cell>
          <cell r="Q180">
            <v>45769</v>
          </cell>
          <cell r="V180">
            <v>45812</v>
          </cell>
          <cell r="AA180">
            <v>45860</v>
          </cell>
          <cell r="AF180">
            <v>45886</v>
          </cell>
        </row>
        <row r="181">
          <cell r="E181" t="str">
            <v>528207_04_RFAS_EL_0178</v>
          </cell>
          <cell r="Q181">
            <v>45786</v>
          </cell>
          <cell r="V181">
            <v>45872</v>
          </cell>
        </row>
        <row r="182">
          <cell r="E182" t="str">
            <v>528207_04_RFAS_EL_0179</v>
          </cell>
          <cell r="Q182">
            <v>45824</v>
          </cell>
        </row>
        <row r="183">
          <cell r="E183" t="str">
            <v>528207_04_RFAS_EL_0180</v>
          </cell>
          <cell r="Q183">
            <v>45812</v>
          </cell>
          <cell r="V183">
            <v>45963</v>
          </cell>
        </row>
        <row r="184">
          <cell r="E184" t="str">
            <v>528207_04_RFAS_EL_0181</v>
          </cell>
          <cell r="Q184">
            <v>45715</v>
          </cell>
          <cell r="V184">
            <v>45860</v>
          </cell>
          <cell r="AA184">
            <v>45886</v>
          </cell>
          <cell r="AK184">
            <v>45973</v>
          </cell>
        </row>
        <row r="185">
          <cell r="E185" t="str">
            <v>528207_04_RFAS_EL_0182</v>
          </cell>
          <cell r="Q185">
            <v>45715</v>
          </cell>
          <cell r="V185">
            <v>45769</v>
          </cell>
          <cell r="AA185">
            <v>45786</v>
          </cell>
          <cell r="AF185">
            <v>45812</v>
          </cell>
          <cell r="AK185">
            <v>45848</v>
          </cell>
        </row>
        <row r="186">
          <cell r="E186" t="str">
            <v>528207_04_RFAS_EL_0183</v>
          </cell>
          <cell r="V186">
            <v>45747</v>
          </cell>
          <cell r="AA186">
            <v>45774</v>
          </cell>
          <cell r="AF186">
            <v>45848</v>
          </cell>
          <cell r="AK186">
            <v>45848</v>
          </cell>
        </row>
        <row r="187">
          <cell r="E187" t="str">
            <v>528207_04_RFAS_EL_0184</v>
          </cell>
          <cell r="Q187">
            <v>45774</v>
          </cell>
          <cell r="V187">
            <v>45973</v>
          </cell>
        </row>
        <row r="188">
          <cell r="E188" t="str">
            <v>528207_04_RFAS_EL_0185</v>
          </cell>
          <cell r="Q188">
            <v>45786</v>
          </cell>
          <cell r="V188">
            <v>45848</v>
          </cell>
        </row>
        <row r="189">
          <cell r="E189" t="str">
            <v>528207_04_RFAS_EL_0186</v>
          </cell>
          <cell r="Q189">
            <v>45754</v>
          </cell>
          <cell r="V189">
            <v>45848</v>
          </cell>
        </row>
        <row r="190">
          <cell r="E190" t="str">
            <v>528207_04_RFAS_EL_0187</v>
          </cell>
          <cell r="Q190">
            <v>45747</v>
          </cell>
          <cell r="V190">
            <v>45873</v>
          </cell>
        </row>
        <row r="191">
          <cell r="E191" t="str">
            <v>528207_04_RFAS_EL_0188</v>
          </cell>
          <cell r="Q191">
            <v>45824</v>
          </cell>
          <cell r="V191">
            <v>45873</v>
          </cell>
          <cell r="AF191">
            <v>45897</v>
          </cell>
        </row>
        <row r="192">
          <cell r="E192" t="str">
            <v>528207_04_RFAS_EL_0189</v>
          </cell>
          <cell r="Q192">
            <v>45747</v>
          </cell>
          <cell r="V192">
            <v>45754</v>
          </cell>
          <cell r="AF192">
            <v>45873</v>
          </cell>
        </row>
        <row r="193">
          <cell r="E193" t="str">
            <v>528207_04_RFAS_EL_0190</v>
          </cell>
          <cell r="Q193">
            <v>45774</v>
          </cell>
          <cell r="V193">
            <v>45786</v>
          </cell>
          <cell r="AA193">
            <v>45873</v>
          </cell>
          <cell r="AF193">
            <v>45964</v>
          </cell>
        </row>
        <row r="194">
          <cell r="E194" t="str">
            <v>528207_04_RFAS_EL_0191</v>
          </cell>
          <cell r="Q194">
            <v>45817</v>
          </cell>
          <cell r="AA194">
            <v>45838</v>
          </cell>
          <cell r="AF194">
            <v>45849</v>
          </cell>
          <cell r="AK194">
            <v>45897</v>
          </cell>
        </row>
        <row r="195">
          <cell r="E195" t="str">
            <v>528207_04_RFAS_EL_0192</v>
          </cell>
          <cell r="Q195">
            <v>45700</v>
          </cell>
          <cell r="V195">
            <v>45786</v>
          </cell>
          <cell r="AA195">
            <v>45824</v>
          </cell>
          <cell r="AF195">
            <v>45859</v>
          </cell>
          <cell r="AK195">
            <v>45973</v>
          </cell>
        </row>
        <row r="196">
          <cell r="E196" t="str">
            <v>528207_04_RFAS_EL_0193</v>
          </cell>
          <cell r="Q196">
            <v>45705</v>
          </cell>
          <cell r="V196">
            <v>45812</v>
          </cell>
          <cell r="AA196">
            <v>45838</v>
          </cell>
          <cell r="AF196">
            <v>45874</v>
          </cell>
        </row>
        <row r="197">
          <cell r="E197" t="str">
            <v>528207_04_RFAS_EL_0194</v>
          </cell>
          <cell r="Q197">
            <v>45705</v>
          </cell>
          <cell r="V197">
            <v>45775</v>
          </cell>
          <cell r="AA197">
            <v>45860</v>
          </cell>
          <cell r="AF197">
            <v>45929</v>
          </cell>
          <cell r="AK197">
            <v>45963</v>
          </cell>
        </row>
        <row r="198">
          <cell r="E198" t="str">
            <v>528207_04_RFAS_EL_0195</v>
          </cell>
          <cell r="Q198">
            <v>45812</v>
          </cell>
          <cell r="V198">
            <v>45973</v>
          </cell>
        </row>
        <row r="199">
          <cell r="E199" t="str">
            <v>528207_04_RFAS_EL_0196</v>
          </cell>
          <cell r="Q199">
            <v>45705</v>
          </cell>
          <cell r="V199">
            <v>45715</v>
          </cell>
          <cell r="AA199">
            <v>45874</v>
          </cell>
        </row>
        <row r="200">
          <cell r="E200" t="str">
            <v>528207_04_RFAS_EL_0197</v>
          </cell>
          <cell r="Q200">
            <v>45710</v>
          </cell>
        </row>
        <row r="201">
          <cell r="E201" t="str">
            <v>528207_04_RFAS_EL_0198</v>
          </cell>
          <cell r="Q201">
            <v>45701</v>
          </cell>
        </row>
        <row r="202">
          <cell r="E202" t="str">
            <v>528207_04_RFAS_EL_0199</v>
          </cell>
          <cell r="Q202">
            <v>45710</v>
          </cell>
          <cell r="V202">
            <v>45943</v>
          </cell>
        </row>
        <row r="203">
          <cell r="E203" t="str">
            <v>528207_04_RFAS_EL_0200</v>
          </cell>
          <cell r="Q203">
            <v>45701</v>
          </cell>
        </row>
        <row r="204">
          <cell r="E204" t="str">
            <v>528207_04_RFAS_EL_0201</v>
          </cell>
          <cell r="Q204">
            <v>45705</v>
          </cell>
        </row>
        <row r="205">
          <cell r="E205" t="str">
            <v>528207_04_RFAS_EL_0202</v>
          </cell>
          <cell r="Q205">
            <v>45769</v>
          </cell>
          <cell r="V205">
            <v>45809</v>
          </cell>
          <cell r="AA205">
            <v>45897</v>
          </cell>
        </row>
        <row r="206">
          <cell r="E206" t="str">
            <v>528207_04_RFAS_EL_0203</v>
          </cell>
          <cell r="Q206">
            <v>45769</v>
          </cell>
          <cell r="V206">
            <v>45809</v>
          </cell>
        </row>
        <row r="207">
          <cell r="E207" t="str">
            <v>528207_04_RFAS_EL_0204</v>
          </cell>
          <cell r="Q207">
            <v>45812</v>
          </cell>
        </row>
        <row r="208">
          <cell r="E208" t="str">
            <v>528207_04_RFAS_EL_0205</v>
          </cell>
          <cell r="Q208">
            <v>45812</v>
          </cell>
        </row>
        <row r="209">
          <cell r="E209" t="str">
            <v>528207_04_RFAS_EL_0206</v>
          </cell>
          <cell r="Q209">
            <v>45812</v>
          </cell>
          <cell r="V209">
            <v>45897</v>
          </cell>
          <cell r="AA209">
            <v>45973</v>
          </cell>
        </row>
        <row r="210">
          <cell r="E210" t="str">
            <v>528207_04_RFAS_EL_0207</v>
          </cell>
          <cell r="Q210">
            <v>45769</v>
          </cell>
          <cell r="V210">
            <v>45809</v>
          </cell>
        </row>
        <row r="211">
          <cell r="E211" t="str">
            <v>528207_04_RFAS_EL_0208</v>
          </cell>
          <cell r="Q211">
            <v>45769</v>
          </cell>
          <cell r="V211">
            <v>45809</v>
          </cell>
        </row>
        <row r="212">
          <cell r="E212" t="str">
            <v>528207_04_RFAS_EL_0209</v>
          </cell>
          <cell r="Q212">
            <v>45769</v>
          </cell>
          <cell r="V212">
            <v>45809</v>
          </cell>
        </row>
        <row r="213">
          <cell r="E213" t="str">
            <v>528207_04_RFAS_EL_0210</v>
          </cell>
          <cell r="Q213">
            <v>45769</v>
          </cell>
          <cell r="V213">
            <v>45809</v>
          </cell>
        </row>
        <row r="214">
          <cell r="E214" t="str">
            <v>528207_04_RFAS_EL_0211</v>
          </cell>
          <cell r="Q214">
            <v>45769</v>
          </cell>
        </row>
        <row r="215">
          <cell r="E215" t="str">
            <v>528207_04_RFAS_EL_0212</v>
          </cell>
          <cell r="Q215">
            <v>45769</v>
          </cell>
        </row>
        <row r="216">
          <cell r="E216" t="str">
            <v>528207_04_RFAS_EL_0213</v>
          </cell>
          <cell r="Q216" t="str">
            <v>-</v>
          </cell>
          <cell r="V216" t="str">
            <v>-</v>
          </cell>
          <cell r="AA216">
            <v>45727</v>
          </cell>
          <cell r="AF216">
            <v>45874</v>
          </cell>
        </row>
        <row r="217">
          <cell r="E217" t="str">
            <v>528207_04_RFAS_EL_0214</v>
          </cell>
          <cell r="Q217">
            <v>45747</v>
          </cell>
          <cell r="V217">
            <v>45897</v>
          </cell>
        </row>
        <row r="218">
          <cell r="E218" t="str">
            <v>528207_04_RFAS_EL_0215</v>
          </cell>
          <cell r="Q218">
            <v>45682</v>
          </cell>
          <cell r="V218">
            <v>45691</v>
          </cell>
          <cell r="AA218">
            <v>45754</v>
          </cell>
          <cell r="AF218">
            <v>45786</v>
          </cell>
          <cell r="AK218">
            <v>45897</v>
          </cell>
        </row>
        <row r="219">
          <cell r="E219" t="str">
            <v>528207_04_RFAS_EL_0216</v>
          </cell>
          <cell r="Q219">
            <v>45686</v>
          </cell>
          <cell r="V219">
            <v>45774</v>
          </cell>
        </row>
        <row r="220">
          <cell r="E220" t="str">
            <v>528207_04_RFAS_EL_0217</v>
          </cell>
          <cell r="Q220">
            <v>45697</v>
          </cell>
          <cell r="V220">
            <v>45874</v>
          </cell>
        </row>
        <row r="221">
          <cell r="E221" t="str">
            <v>528207_04_RFAS_EL_0218</v>
          </cell>
          <cell r="Q221">
            <v>45786</v>
          </cell>
          <cell r="V221">
            <v>45874</v>
          </cell>
        </row>
        <row r="222">
          <cell r="E222" t="str">
            <v>528207_04_RFAS_EL_0219</v>
          </cell>
          <cell r="Q222">
            <v>45670</v>
          </cell>
          <cell r="V222">
            <v>45735</v>
          </cell>
          <cell r="AA222">
            <v>45848</v>
          </cell>
          <cell r="AF222">
            <v>45874</v>
          </cell>
        </row>
        <row r="223">
          <cell r="E223" t="str">
            <v>528207_04_RFAS_EL_0220</v>
          </cell>
          <cell r="Q223">
            <v>45670</v>
          </cell>
          <cell r="V223">
            <v>45735</v>
          </cell>
          <cell r="AA223">
            <v>45849</v>
          </cell>
          <cell r="AF223">
            <v>45874</v>
          </cell>
          <cell r="AK223">
            <v>45901</v>
          </cell>
        </row>
        <row r="224">
          <cell r="E224" t="str">
            <v>528207_04_RFAS_EL_0221</v>
          </cell>
          <cell r="Q224">
            <v>45697</v>
          </cell>
        </row>
        <row r="225">
          <cell r="E225" t="str">
            <v>528207_04_RFAS_EL_0222</v>
          </cell>
          <cell r="Q225">
            <v>45686</v>
          </cell>
          <cell r="V225">
            <v>45874</v>
          </cell>
          <cell r="AA225">
            <v>45848</v>
          </cell>
          <cell r="AF225">
            <v>45874</v>
          </cell>
        </row>
        <row r="226">
          <cell r="E226" t="str">
            <v>528207_04_RFAS_EL_0223</v>
          </cell>
          <cell r="Q226">
            <v>45686</v>
          </cell>
          <cell r="V226">
            <v>45848</v>
          </cell>
          <cell r="AA226">
            <v>45874</v>
          </cell>
          <cell r="AF226">
            <v>45897</v>
          </cell>
        </row>
        <row r="227">
          <cell r="E227" t="str">
            <v>528207_04_RFAS_EL_0224</v>
          </cell>
          <cell r="Q227">
            <v>45860</v>
          </cell>
        </row>
        <row r="228">
          <cell r="E228" t="str">
            <v>528207_04_RFAS_EL_0225</v>
          </cell>
          <cell r="Q228">
            <v>45824</v>
          </cell>
          <cell r="V228">
            <v>45874</v>
          </cell>
          <cell r="AA228">
            <v>45897</v>
          </cell>
        </row>
        <row r="229">
          <cell r="E229" t="str">
            <v>528207_04_RFAS_EL_0226</v>
          </cell>
          <cell r="Q229" t="str">
            <v>-</v>
          </cell>
          <cell r="V229">
            <v>45838</v>
          </cell>
          <cell r="AA229">
            <v>45874</v>
          </cell>
        </row>
        <row r="230">
          <cell r="E230" t="str">
            <v>528207_04_RFAS_EL_0227</v>
          </cell>
          <cell r="Q230" t="str">
            <v>-</v>
          </cell>
          <cell r="V230">
            <v>45838</v>
          </cell>
          <cell r="AA230">
            <v>45874</v>
          </cell>
        </row>
        <row r="231">
          <cell r="E231" t="str">
            <v>528207_04_RFAS_EL_0228</v>
          </cell>
          <cell r="Q231">
            <v>45646</v>
          </cell>
          <cell r="V231">
            <v>45686</v>
          </cell>
          <cell r="AA231">
            <v>45705</v>
          </cell>
          <cell r="AF231">
            <v>45740</v>
          </cell>
          <cell r="AP231">
            <v>45786</v>
          </cell>
        </row>
        <row r="232">
          <cell r="E232" t="str">
            <v>528207_04_RFAS_EL_0229</v>
          </cell>
          <cell r="Q232">
            <v>45646</v>
          </cell>
          <cell r="V232">
            <v>45686</v>
          </cell>
          <cell r="AA232">
            <v>45786</v>
          </cell>
          <cell r="AF232">
            <v>45848</v>
          </cell>
          <cell r="AK232">
            <v>45859</v>
          </cell>
          <cell r="AP232">
            <v>45897</v>
          </cell>
        </row>
        <row r="233">
          <cell r="E233" t="str">
            <v>528207_04_RFAS_EL_0230</v>
          </cell>
          <cell r="V233">
            <v>45670</v>
          </cell>
          <cell r="AA233">
            <v>45691</v>
          </cell>
          <cell r="AF233">
            <v>45809</v>
          </cell>
          <cell r="AK233">
            <v>45848</v>
          </cell>
          <cell r="AP233">
            <v>45873</v>
          </cell>
        </row>
        <row r="234">
          <cell r="E234" t="str">
            <v>528207_04_RFAS_EL_0231</v>
          </cell>
          <cell r="V234">
            <v>45670</v>
          </cell>
          <cell r="AA234">
            <v>45691</v>
          </cell>
          <cell r="AF234">
            <v>45874</v>
          </cell>
          <cell r="AP234">
            <v>45897</v>
          </cell>
        </row>
        <row r="235">
          <cell r="E235" t="str">
            <v>528207_04_RFAS_EL_0232</v>
          </cell>
          <cell r="Q235">
            <v>45686</v>
          </cell>
          <cell r="V235">
            <v>45840</v>
          </cell>
        </row>
        <row r="236">
          <cell r="E236" t="str">
            <v>528207_04_RFAS_EL_0233</v>
          </cell>
          <cell r="Q236">
            <v>45686</v>
          </cell>
          <cell r="V236">
            <v>45786</v>
          </cell>
          <cell r="AA236">
            <v>45849</v>
          </cell>
        </row>
        <row r="237">
          <cell r="E237" t="str">
            <v>528207_04_RFAS_EL_0234</v>
          </cell>
          <cell r="Q237">
            <v>45686</v>
          </cell>
          <cell r="V237">
            <v>45786</v>
          </cell>
          <cell r="AA237">
            <v>45848</v>
          </cell>
          <cell r="AF237">
            <v>45883</v>
          </cell>
        </row>
        <row r="238">
          <cell r="E238" t="str">
            <v>528207_04_RFAS_EL_0235</v>
          </cell>
          <cell r="Q238">
            <v>45691</v>
          </cell>
          <cell r="V238">
            <v>45705</v>
          </cell>
          <cell r="AA238">
            <v>45840</v>
          </cell>
        </row>
        <row r="239">
          <cell r="E239" t="str">
            <v>528207_04_RFAS_EL_0236</v>
          </cell>
          <cell r="Q239">
            <v>45691</v>
          </cell>
          <cell r="V239">
            <v>45705</v>
          </cell>
          <cell r="AA239">
            <v>45840</v>
          </cell>
        </row>
        <row r="240">
          <cell r="E240" t="str">
            <v>528207_04_RFAS_EL_0237</v>
          </cell>
          <cell r="Q240">
            <v>45691</v>
          </cell>
          <cell r="V240">
            <v>45700</v>
          </cell>
          <cell r="AA240">
            <v>45873</v>
          </cell>
          <cell r="AF240">
            <v>45897</v>
          </cell>
        </row>
        <row r="241">
          <cell r="E241" t="str">
            <v>528207_04_RFAS_EL_0238</v>
          </cell>
          <cell r="Q241">
            <v>45691</v>
          </cell>
          <cell r="V241">
            <v>45705</v>
          </cell>
          <cell r="AA241">
            <v>45873</v>
          </cell>
          <cell r="AF241">
            <v>45897</v>
          </cell>
        </row>
        <row r="242">
          <cell r="E242" t="str">
            <v>528207_04_RFAS_EL_0239</v>
          </cell>
          <cell r="Q242">
            <v>45747</v>
          </cell>
          <cell r="V242">
            <v>45769</v>
          </cell>
          <cell r="AA242">
            <v>45809</v>
          </cell>
        </row>
        <row r="243">
          <cell r="E243" t="str">
            <v>528207_04_RFAS_EL_0240</v>
          </cell>
          <cell r="Q243">
            <v>45747</v>
          </cell>
          <cell r="V243">
            <v>45769</v>
          </cell>
          <cell r="AA243">
            <v>45809</v>
          </cell>
          <cell r="AF243">
            <v>45848</v>
          </cell>
          <cell r="AK243">
            <v>45897</v>
          </cell>
        </row>
        <row r="244">
          <cell r="E244" t="str">
            <v>528207_04_RFAS_EL_0241</v>
          </cell>
          <cell r="Q244">
            <v>45775</v>
          </cell>
          <cell r="V244">
            <v>45812</v>
          </cell>
          <cell r="AA244">
            <v>45848</v>
          </cell>
          <cell r="AF244">
            <v>45963</v>
          </cell>
          <cell r="AK244">
            <v>45964</v>
          </cell>
        </row>
        <row r="245">
          <cell r="E245" t="str">
            <v>528207_04_RFAS_EL_0242</v>
          </cell>
          <cell r="Q245">
            <v>45775</v>
          </cell>
          <cell r="V245">
            <v>45812</v>
          </cell>
          <cell r="AA245">
            <v>45848</v>
          </cell>
          <cell r="AF245">
            <v>45963</v>
          </cell>
          <cell r="AK245">
            <v>45964</v>
          </cell>
        </row>
        <row r="246">
          <cell r="E246" t="str">
            <v>528207_04_RFAS_EL_0243</v>
          </cell>
          <cell r="Q246">
            <v>45691</v>
          </cell>
          <cell r="V246">
            <v>45809</v>
          </cell>
        </row>
        <row r="247">
          <cell r="E247" t="str">
            <v>528207_04_RFAS_EL_0244</v>
          </cell>
          <cell r="Q247">
            <v>45769</v>
          </cell>
        </row>
        <row r="248">
          <cell r="E248" t="str">
            <v>528207_04_RFAS_EL_0245</v>
          </cell>
          <cell r="Q248">
            <v>45720</v>
          </cell>
        </row>
        <row r="249">
          <cell r="E249" t="str">
            <v>528207_04_RFAS_EL_0246</v>
          </cell>
          <cell r="Q249">
            <v>45817</v>
          </cell>
        </row>
        <row r="250">
          <cell r="E250" t="str">
            <v>528207_04_RFAS_EL_0247</v>
          </cell>
          <cell r="Q250">
            <v>45747</v>
          </cell>
        </row>
        <row r="251">
          <cell r="E251" t="str">
            <v>528207_04_RFAS_EL_0248</v>
          </cell>
          <cell r="Q251">
            <v>45817</v>
          </cell>
        </row>
        <row r="252">
          <cell r="E252" t="str">
            <v>528207_04_RFAS_EL_0249</v>
          </cell>
          <cell r="Q252">
            <v>45774</v>
          </cell>
        </row>
        <row r="253">
          <cell r="E253" t="str">
            <v>528207_04_RFAS_EL_0250</v>
          </cell>
          <cell r="Q253">
            <v>45670</v>
          </cell>
          <cell r="V253">
            <v>45691</v>
          </cell>
          <cell r="AA253">
            <v>45786</v>
          </cell>
          <cell r="AF253">
            <v>45809</v>
          </cell>
          <cell r="AK253">
            <v>45874</v>
          </cell>
          <cell r="AP253">
            <v>45897</v>
          </cell>
        </row>
        <row r="254">
          <cell r="E254" t="str">
            <v>528207_04_RFAS_EL_0251</v>
          </cell>
          <cell r="Q254">
            <v>45736</v>
          </cell>
        </row>
        <row r="255">
          <cell r="E255" t="str">
            <v>528207_04_RFAS_EL_0252</v>
          </cell>
          <cell r="Q255">
            <v>45670</v>
          </cell>
          <cell r="V255">
            <v>45691</v>
          </cell>
          <cell r="AA255">
            <v>45720</v>
          </cell>
          <cell r="AF255">
            <v>45769</v>
          </cell>
          <cell r="AK255">
            <v>45812</v>
          </cell>
          <cell r="AP255">
            <v>45874</v>
          </cell>
        </row>
        <row r="256">
          <cell r="E256" t="str">
            <v>528207_04_RFAS_EL_0253</v>
          </cell>
          <cell r="Q256">
            <v>45736</v>
          </cell>
        </row>
        <row r="257">
          <cell r="E257" t="str">
            <v>528207_04_RFAS_EL_0254</v>
          </cell>
          <cell r="Q257">
            <v>45720</v>
          </cell>
          <cell r="V257">
            <v>45860</v>
          </cell>
        </row>
        <row r="258">
          <cell r="E258" t="str">
            <v>528207_04_RFAS_EL_0255</v>
          </cell>
          <cell r="Q258">
            <v>45720</v>
          </cell>
          <cell r="V258">
            <v>45860</v>
          </cell>
          <cell r="AA258">
            <v>45963</v>
          </cell>
        </row>
        <row r="259">
          <cell r="E259" t="str">
            <v>528207_04_RFAS_EL_0256</v>
          </cell>
          <cell r="Q259">
            <v>45720</v>
          </cell>
          <cell r="V259">
            <v>45747</v>
          </cell>
        </row>
        <row r="260">
          <cell r="E260" t="str">
            <v>528207_04_RFAS_EL_0257</v>
          </cell>
          <cell r="Q260">
            <v>45720</v>
          </cell>
          <cell r="V260">
            <v>45747</v>
          </cell>
        </row>
        <row r="261">
          <cell r="E261" t="str">
            <v>528207_04_RFAS_EL_0258</v>
          </cell>
          <cell r="Q261">
            <v>45670</v>
          </cell>
          <cell r="V261">
            <v>45705</v>
          </cell>
        </row>
        <row r="262">
          <cell r="E262" t="str">
            <v>528207_04_RFAS_EL_0259</v>
          </cell>
          <cell r="Q262">
            <v>45840</v>
          </cell>
        </row>
        <row r="263">
          <cell r="E263" t="str">
            <v>528207_04_RFAS_EL_0260</v>
          </cell>
          <cell r="Q263">
            <v>45747</v>
          </cell>
          <cell r="V263">
            <v>45897</v>
          </cell>
        </row>
        <row r="264">
          <cell r="E264" t="str">
            <v>528207_04_RFAS_EL_0261</v>
          </cell>
          <cell r="Q264">
            <v>45747</v>
          </cell>
        </row>
        <row r="265">
          <cell r="E265" t="str">
            <v>528207_04_RFAS_EL_0262</v>
          </cell>
          <cell r="Q265">
            <v>45646</v>
          </cell>
          <cell r="V265">
            <v>45701</v>
          </cell>
          <cell r="AA265">
            <v>45715</v>
          </cell>
          <cell r="AF265">
            <v>45786</v>
          </cell>
          <cell r="AK265">
            <v>45897</v>
          </cell>
        </row>
        <row r="266">
          <cell r="E266" t="str">
            <v>528207_04_RFAS_EL_0263</v>
          </cell>
          <cell r="Q266">
            <v>45824</v>
          </cell>
        </row>
        <row r="267">
          <cell r="E267" t="str">
            <v>528207_04_RFAS_EL_0264</v>
          </cell>
          <cell r="Q267">
            <v>45646</v>
          </cell>
          <cell r="V267">
            <v>45721</v>
          </cell>
          <cell r="AF267">
            <v>45812</v>
          </cell>
        </row>
        <row r="268">
          <cell r="E268" t="str">
            <v>528207_04_RFAS_EL_0265</v>
          </cell>
          <cell r="Q268">
            <v>45840</v>
          </cell>
        </row>
        <row r="269">
          <cell r="E269" t="str">
            <v>528207_04_RFAS_EL_0266</v>
          </cell>
          <cell r="Q269">
            <v>45691</v>
          </cell>
          <cell r="V269">
            <v>45786</v>
          </cell>
          <cell r="AA269">
            <v>45873</v>
          </cell>
        </row>
        <row r="270">
          <cell r="E270" t="str">
            <v>528207_04_RFAS_EL_0267</v>
          </cell>
        </row>
        <row r="271">
          <cell r="E271" t="str">
            <v>528207_04_RFAS_EL_0268</v>
          </cell>
          <cell r="Q271">
            <v>45691</v>
          </cell>
          <cell r="V271">
            <v>45786</v>
          </cell>
          <cell r="AA271">
            <v>45874</v>
          </cell>
        </row>
        <row r="272">
          <cell r="E272" t="str">
            <v>528207_04_RFAS_EL_0269</v>
          </cell>
          <cell r="Q272">
            <v>45809</v>
          </cell>
          <cell r="V272">
            <v>45886</v>
          </cell>
        </row>
        <row r="273">
          <cell r="E273" t="str">
            <v>528207_04_RFAS_EL_0270</v>
          </cell>
          <cell r="Q273">
            <v>45715</v>
          </cell>
        </row>
        <row r="274">
          <cell r="E274" t="str">
            <v>528207_04_RFAS_EL_0271</v>
          </cell>
          <cell r="Q274">
            <v>45715</v>
          </cell>
          <cell r="V274">
            <v>45727</v>
          </cell>
        </row>
        <row r="275">
          <cell r="E275" t="str">
            <v>528207_04_RFAS_EL_0272</v>
          </cell>
          <cell r="Q275">
            <v>45715</v>
          </cell>
        </row>
        <row r="276">
          <cell r="E276" t="str">
            <v>528207_04_RFAS_EL_0273</v>
          </cell>
        </row>
        <row r="277">
          <cell r="E277" t="str">
            <v>528207_04_RFAS_EL_0274</v>
          </cell>
          <cell r="Q277">
            <v>45774</v>
          </cell>
          <cell r="V277">
            <v>45812</v>
          </cell>
        </row>
        <row r="278">
          <cell r="E278" t="str">
            <v>528207_04_RFAS_EL_0275</v>
          </cell>
          <cell r="Q278">
            <v>45754</v>
          </cell>
        </row>
        <row r="279">
          <cell r="E279" t="str">
            <v>528207_04_RFAS_EL_0276</v>
          </cell>
          <cell r="Q279">
            <v>45774</v>
          </cell>
          <cell r="V279">
            <v>45812</v>
          </cell>
        </row>
        <row r="280">
          <cell r="E280" t="str">
            <v>528207_04_RFAS_EL_0277</v>
          </cell>
          <cell r="Q280">
            <v>45691</v>
          </cell>
          <cell r="V280">
            <v>45817</v>
          </cell>
        </row>
        <row r="281">
          <cell r="E281" t="str">
            <v>528207_04_RFAS_EL_0278</v>
          </cell>
          <cell r="Q281">
            <v>45682</v>
          </cell>
          <cell r="V281">
            <v>45888</v>
          </cell>
        </row>
        <row r="282">
          <cell r="E282" t="str">
            <v>528207_04_RFAS_EL_0279</v>
          </cell>
          <cell r="Q282">
            <v>45691</v>
          </cell>
        </row>
        <row r="283">
          <cell r="E283" t="str">
            <v>528207_04_RFAS_EL_0280</v>
          </cell>
          <cell r="Q283">
            <v>45691</v>
          </cell>
        </row>
        <row r="284">
          <cell r="E284" t="str">
            <v>528207_04_RFAS_EL_0281</v>
          </cell>
          <cell r="Q284">
            <v>45691</v>
          </cell>
          <cell r="V284">
            <v>45775</v>
          </cell>
          <cell r="AA284">
            <v>45786</v>
          </cell>
          <cell r="AF284">
            <v>45859</v>
          </cell>
        </row>
        <row r="285">
          <cell r="E285" t="str">
            <v>528207_04_RFAS_EL_0282</v>
          </cell>
          <cell r="Q285">
            <v>45691</v>
          </cell>
          <cell r="V285">
            <v>45786</v>
          </cell>
          <cell r="AA285">
            <v>45860</v>
          </cell>
        </row>
        <row r="286">
          <cell r="E286" t="str">
            <v>528207_04_RFAS_EL_0283</v>
          </cell>
          <cell r="Q286">
            <v>45701</v>
          </cell>
          <cell r="V286">
            <v>45812</v>
          </cell>
        </row>
        <row r="287">
          <cell r="E287" t="str">
            <v>528207_04_RFAS_EL_0284</v>
          </cell>
          <cell r="Q287">
            <v>45691</v>
          </cell>
        </row>
        <row r="288">
          <cell r="E288" t="str">
            <v>528207_04_RFAS_EL_0285</v>
          </cell>
          <cell r="Q288">
            <v>45691</v>
          </cell>
        </row>
        <row r="289">
          <cell r="E289" t="str">
            <v>528207_04_RFAS_EL_0286</v>
          </cell>
          <cell r="Q289">
            <v>45691</v>
          </cell>
          <cell r="V289">
            <v>45886</v>
          </cell>
        </row>
        <row r="290">
          <cell r="E290" t="str">
            <v>528207_04_RFAS_EL_0287</v>
          </cell>
          <cell r="Q290">
            <v>45691</v>
          </cell>
          <cell r="V290">
            <v>45886</v>
          </cell>
        </row>
        <row r="291">
          <cell r="E291" t="str">
            <v>528207_04_RFAS_EL_0288</v>
          </cell>
          <cell r="Q291">
            <v>45691</v>
          </cell>
          <cell r="V291">
            <v>45705</v>
          </cell>
        </row>
        <row r="292">
          <cell r="E292" t="str">
            <v>528207_04_RFAS_EL_0289</v>
          </cell>
          <cell r="Q292">
            <v>45705</v>
          </cell>
          <cell r="V292">
            <v>45713</v>
          </cell>
        </row>
        <row r="293">
          <cell r="E293" t="str">
            <v>528207_04_RFAS_EL_0290</v>
          </cell>
          <cell r="Q293">
            <v>45705</v>
          </cell>
          <cell r="V293">
            <v>45713</v>
          </cell>
        </row>
        <row r="294">
          <cell r="E294" t="str">
            <v>528207_04_RFAS_EL_0291</v>
          </cell>
          <cell r="Q294">
            <v>45712</v>
          </cell>
          <cell r="V294">
            <v>45713</v>
          </cell>
        </row>
        <row r="295">
          <cell r="E295" t="str">
            <v>528207_04_RFAS_EL_0292</v>
          </cell>
          <cell r="Q295">
            <v>45705</v>
          </cell>
          <cell r="V295">
            <v>45713</v>
          </cell>
        </row>
        <row r="296">
          <cell r="E296" t="str">
            <v>528207_04_RFAS_EL_0293</v>
          </cell>
          <cell r="Q296">
            <v>45700</v>
          </cell>
          <cell r="V296">
            <v>45840</v>
          </cell>
        </row>
        <row r="297">
          <cell r="E297" t="str">
            <v>528207_04_RFAS_EL_0294</v>
          </cell>
          <cell r="Q297">
            <v>45701</v>
          </cell>
          <cell r="V297">
            <v>45774</v>
          </cell>
          <cell r="AA297">
            <v>45775</v>
          </cell>
          <cell r="AF297">
            <v>45842</v>
          </cell>
        </row>
        <row r="298">
          <cell r="E298" t="str">
            <v>528207_04_RFAS_EL_0295</v>
          </cell>
          <cell r="Q298">
            <v>45715</v>
          </cell>
          <cell r="V298">
            <v>45754</v>
          </cell>
        </row>
        <row r="299">
          <cell r="E299" t="str">
            <v>528207_04_RFAS_EL_0296</v>
          </cell>
          <cell r="Q299">
            <v>45715</v>
          </cell>
          <cell r="V299">
            <v>45759</v>
          </cell>
        </row>
        <row r="300">
          <cell r="E300" t="str">
            <v>528207_04_RFAS_EL_0297</v>
          </cell>
          <cell r="Q300">
            <v>45715</v>
          </cell>
          <cell r="V300">
            <v>45901</v>
          </cell>
        </row>
        <row r="301">
          <cell r="E301" t="str">
            <v>528207_04_RFAS_EL_0298</v>
          </cell>
          <cell r="Q301">
            <v>45712</v>
          </cell>
          <cell r="V301">
            <v>45963</v>
          </cell>
          <cell r="AA301">
            <v>45964</v>
          </cell>
        </row>
        <row r="302">
          <cell r="E302" t="str">
            <v>528207_04_RFAS_EL_0299</v>
          </cell>
          <cell r="Q302">
            <v>45705</v>
          </cell>
          <cell r="V302">
            <v>45786</v>
          </cell>
        </row>
        <row r="303">
          <cell r="E303" t="str">
            <v>528207_04_RFAS_EL_0300</v>
          </cell>
          <cell r="Q303">
            <v>45705</v>
          </cell>
          <cell r="V303">
            <v>45812</v>
          </cell>
        </row>
        <row r="304">
          <cell r="E304" t="str">
            <v>528207_04_RFAS_EL_0301</v>
          </cell>
          <cell r="Q304">
            <v>45705</v>
          </cell>
          <cell r="V304">
            <v>45812</v>
          </cell>
        </row>
        <row r="305">
          <cell r="E305" t="str">
            <v>528207_04_RFAS_EL_0302</v>
          </cell>
          <cell r="Q305">
            <v>45718</v>
          </cell>
          <cell r="V305">
            <v>45921</v>
          </cell>
        </row>
        <row r="306">
          <cell r="E306" t="str">
            <v>528207_04_RFAS_EL_0303</v>
          </cell>
          <cell r="Q306">
            <v>45735</v>
          </cell>
          <cell r="V306">
            <v>45786</v>
          </cell>
          <cell r="AA306">
            <v>45873</v>
          </cell>
          <cell r="AF306">
            <v>45964</v>
          </cell>
        </row>
        <row r="307">
          <cell r="E307" t="str">
            <v>528207_04_RFAS_EL_0304</v>
          </cell>
          <cell r="V307">
            <v>45775</v>
          </cell>
        </row>
        <row r="308">
          <cell r="E308" t="str">
            <v>528207_04_RFAS_EL_0305</v>
          </cell>
          <cell r="Q308">
            <v>45727</v>
          </cell>
        </row>
        <row r="309">
          <cell r="E309" t="str">
            <v>528207_04_RFAS_EL_0306</v>
          </cell>
          <cell r="Q309">
            <v>45727</v>
          </cell>
          <cell r="V309">
            <v>45960</v>
          </cell>
        </row>
        <row r="310">
          <cell r="E310" t="str">
            <v>528207_04_RFAS_EL_0307</v>
          </cell>
          <cell r="Q310">
            <v>45812</v>
          </cell>
          <cell r="V310">
            <v>45848</v>
          </cell>
          <cell r="AA310">
            <v>45874</v>
          </cell>
        </row>
        <row r="311">
          <cell r="E311" t="str">
            <v>528207_04_RFAS_EL_0308</v>
          </cell>
          <cell r="Q311">
            <v>45719</v>
          </cell>
        </row>
        <row r="312">
          <cell r="E312" t="str">
            <v>528207_04_RFAS_EL_0309</v>
          </cell>
          <cell r="Q312">
            <v>45719</v>
          </cell>
        </row>
        <row r="313">
          <cell r="E313" t="str">
            <v>528207_04_RFAS_EL_0310</v>
          </cell>
          <cell r="Q313">
            <v>45727</v>
          </cell>
        </row>
        <row r="314">
          <cell r="E314" t="str">
            <v>528207_04_RFAS_EL_0311</v>
          </cell>
          <cell r="Q314">
            <v>45715</v>
          </cell>
          <cell r="V314">
            <v>45848</v>
          </cell>
        </row>
        <row r="315">
          <cell r="E315" t="str">
            <v>528207_04_RFAS_EL_0312</v>
          </cell>
          <cell r="Q315">
            <v>45720</v>
          </cell>
          <cell r="V315">
            <v>45849</v>
          </cell>
          <cell r="AA315">
            <v>45886</v>
          </cell>
          <cell r="AF315">
            <v>45897</v>
          </cell>
        </row>
        <row r="316">
          <cell r="E316" t="str">
            <v>528207_04_RFAS_EL_0313</v>
          </cell>
          <cell r="Q316">
            <v>45713</v>
          </cell>
          <cell r="V316">
            <v>45812</v>
          </cell>
        </row>
        <row r="317">
          <cell r="E317" t="str">
            <v>528207_04_RFAS_EL_0314</v>
          </cell>
          <cell r="Q317">
            <v>45742</v>
          </cell>
          <cell r="V317">
            <v>45849</v>
          </cell>
        </row>
        <row r="318">
          <cell r="E318" t="str">
            <v>528207_04_RFAS_EL_0315</v>
          </cell>
          <cell r="V318">
            <v>45747</v>
          </cell>
          <cell r="AA318">
            <v>45786</v>
          </cell>
          <cell r="AF318">
            <v>45897</v>
          </cell>
        </row>
        <row r="319">
          <cell r="E319" t="str">
            <v>528207_04_RFAS_EL_0316</v>
          </cell>
          <cell r="Q319">
            <v>45747</v>
          </cell>
          <cell r="V319">
            <v>45786</v>
          </cell>
        </row>
        <row r="320">
          <cell r="E320" t="str">
            <v>528207_04_RFAS_EL_0317</v>
          </cell>
          <cell r="Q320">
            <v>45727</v>
          </cell>
        </row>
        <row r="321">
          <cell r="E321" t="str">
            <v>528207_04_RFAS_EL_0318</v>
          </cell>
          <cell r="Q321">
            <v>45812</v>
          </cell>
        </row>
        <row r="322">
          <cell r="E322" t="str">
            <v>528207_04_RFAS_EL_0319</v>
          </cell>
          <cell r="Q322">
            <v>45720</v>
          </cell>
        </row>
        <row r="323">
          <cell r="E323" t="str">
            <v>528207_04_RFAS_EL_0320</v>
          </cell>
          <cell r="Q323">
            <v>45721</v>
          </cell>
        </row>
        <row r="324">
          <cell r="E324" t="str">
            <v>528207_04_RFAS_EL_0321</v>
          </cell>
          <cell r="Q324">
            <v>45727</v>
          </cell>
          <cell r="V324">
            <v>45849</v>
          </cell>
        </row>
        <row r="325">
          <cell r="E325" t="str">
            <v>528207_04_RFAS_EL_0322</v>
          </cell>
          <cell r="Q325">
            <v>45747</v>
          </cell>
        </row>
        <row r="326">
          <cell r="E326" t="str">
            <v>528207_04_RFAS_EL_0323</v>
          </cell>
          <cell r="Q326">
            <v>45722</v>
          </cell>
          <cell r="V326">
            <v>45849</v>
          </cell>
        </row>
        <row r="327">
          <cell r="E327" t="str">
            <v>528207_04_RFAS_EL_0324</v>
          </cell>
          <cell r="Q327">
            <v>45747</v>
          </cell>
        </row>
        <row r="328">
          <cell r="E328" t="str">
            <v>528207_04_RFAS_EL_0325</v>
          </cell>
          <cell r="Q328">
            <v>45747</v>
          </cell>
        </row>
        <row r="329">
          <cell r="E329" t="str">
            <v>528207_04_RFAS_EL_0326</v>
          </cell>
          <cell r="Q329">
            <v>45747</v>
          </cell>
        </row>
        <row r="330">
          <cell r="E330" t="str">
            <v>528207_04_RFAS_EL_0327</v>
          </cell>
          <cell r="Q330">
            <v>45754</v>
          </cell>
        </row>
        <row r="331">
          <cell r="E331" t="str">
            <v>528207_04_RFAS_EL_0328</v>
          </cell>
          <cell r="Q331">
            <v>45754</v>
          </cell>
          <cell r="V331">
            <v>45824</v>
          </cell>
        </row>
        <row r="332">
          <cell r="E332" t="str">
            <v>528207_04_RFAS_EL_0329</v>
          </cell>
          <cell r="Q332">
            <v>45809</v>
          </cell>
          <cell r="V332">
            <v>45874</v>
          </cell>
        </row>
        <row r="333">
          <cell r="E333" t="str">
            <v>528207_04_RFAS_EL_0330</v>
          </cell>
          <cell r="Q333">
            <v>45769</v>
          </cell>
        </row>
        <row r="334">
          <cell r="E334" t="str">
            <v>528207_04_RFAS_EL_0331</v>
          </cell>
          <cell r="Q334">
            <v>45769</v>
          </cell>
          <cell r="V334">
            <v>45824</v>
          </cell>
        </row>
        <row r="335">
          <cell r="E335" t="str">
            <v>528207_04_RFAS_EL_0332</v>
          </cell>
          <cell r="Q335">
            <v>45769</v>
          </cell>
          <cell r="V335">
            <v>45850</v>
          </cell>
        </row>
        <row r="336">
          <cell r="E336" t="str">
            <v>528207_04_RFAS_EL_0333</v>
          </cell>
          <cell r="Q336">
            <v>45769</v>
          </cell>
          <cell r="V336">
            <v>45883</v>
          </cell>
        </row>
        <row r="337">
          <cell r="E337" t="str">
            <v>528207_04_RFAS_EL_0334</v>
          </cell>
          <cell r="Q337">
            <v>45769</v>
          </cell>
        </row>
        <row r="338">
          <cell r="E338" t="str">
            <v>528207_04_RFAS_EL_0335</v>
          </cell>
          <cell r="Q338">
            <v>45769</v>
          </cell>
        </row>
        <row r="339">
          <cell r="E339" t="str">
            <v>528207_04_RFAS_EL_0336</v>
          </cell>
          <cell r="Q339">
            <v>45774</v>
          </cell>
        </row>
        <row r="340">
          <cell r="E340" t="str">
            <v>528207_04_RFAS_EL_0337</v>
          </cell>
          <cell r="Q340">
            <v>45769</v>
          </cell>
          <cell r="V340">
            <v>45824</v>
          </cell>
          <cell r="AA340">
            <v>45886</v>
          </cell>
          <cell r="AF340">
            <v>45973</v>
          </cell>
        </row>
        <row r="341">
          <cell r="E341" t="str">
            <v>528207_04_RFAS_EL_0338</v>
          </cell>
          <cell r="Q341">
            <v>45769</v>
          </cell>
        </row>
        <row r="342">
          <cell r="E342" t="str">
            <v>528207_04_RFAS_EL_0339</v>
          </cell>
          <cell r="Q342">
            <v>45769</v>
          </cell>
        </row>
        <row r="343">
          <cell r="E343" t="str">
            <v>528207_04_RFAS_EL_0340</v>
          </cell>
          <cell r="Q343">
            <v>45769</v>
          </cell>
        </row>
        <row r="344">
          <cell r="E344" t="str">
            <v>528207_04_RFAS_EL_0341</v>
          </cell>
          <cell r="Q344">
            <v>45774</v>
          </cell>
        </row>
        <row r="345">
          <cell r="E345" t="str">
            <v>528207_04_RFAS_EL_0342</v>
          </cell>
          <cell r="Q345">
            <v>45769</v>
          </cell>
        </row>
        <row r="346">
          <cell r="E346" t="str">
            <v>528207_04_RFAS_EL_0343</v>
          </cell>
          <cell r="Q346">
            <v>45769</v>
          </cell>
        </row>
        <row r="347">
          <cell r="E347" t="str">
            <v>528207_04_RFAS_EL_0344</v>
          </cell>
          <cell r="Q347">
            <v>45769</v>
          </cell>
        </row>
        <row r="348">
          <cell r="E348" t="str">
            <v>528207_04_RFAS_EL_0345</v>
          </cell>
          <cell r="Q348">
            <v>45769</v>
          </cell>
        </row>
        <row r="349">
          <cell r="E349" t="str">
            <v>528207_04_RFAS_EL_0346</v>
          </cell>
          <cell r="Q349">
            <v>45769</v>
          </cell>
          <cell r="V349">
            <v>45786</v>
          </cell>
        </row>
        <row r="350">
          <cell r="E350" t="str">
            <v>528207_04_RFAS_EL_0347</v>
          </cell>
          <cell r="Q350">
            <v>45769</v>
          </cell>
          <cell r="V350">
            <v>45786</v>
          </cell>
          <cell r="AA350">
            <v>45921</v>
          </cell>
        </row>
        <row r="351">
          <cell r="E351" t="str">
            <v>528207_04_RFAS_EL_0348</v>
          </cell>
          <cell r="Q351">
            <v>45769</v>
          </cell>
          <cell r="V351">
            <v>45921</v>
          </cell>
        </row>
        <row r="352">
          <cell r="E352" t="str">
            <v>528207_04_RFAS_EL_0349</v>
          </cell>
          <cell r="Q352">
            <v>45769</v>
          </cell>
          <cell r="V352">
            <v>45929</v>
          </cell>
        </row>
        <row r="353">
          <cell r="E353" t="str">
            <v>528207_04_RFAS_EL_0350</v>
          </cell>
          <cell r="Q353">
            <v>45774</v>
          </cell>
        </row>
        <row r="354">
          <cell r="E354" t="str">
            <v>528207_04_RFAS_EL_0351</v>
          </cell>
          <cell r="Q354">
            <v>45774</v>
          </cell>
        </row>
        <row r="355">
          <cell r="E355" t="str">
            <v>528207_04_RFAS_EL_0352</v>
          </cell>
          <cell r="Q355">
            <v>45774</v>
          </cell>
        </row>
        <row r="356">
          <cell r="E356" t="str">
            <v>528207_04_RFAS_EL_0353</v>
          </cell>
          <cell r="Q356">
            <v>45769</v>
          </cell>
        </row>
        <row r="357">
          <cell r="E357" t="str">
            <v>528207_04_RFAS_EL_0354</v>
          </cell>
          <cell r="Q357">
            <v>45769</v>
          </cell>
        </row>
        <row r="358">
          <cell r="E358" t="str">
            <v>528207_04_RFAS_EL_0355</v>
          </cell>
          <cell r="Q358">
            <v>45769</v>
          </cell>
        </row>
        <row r="359">
          <cell r="E359" t="str">
            <v>528207_04_RFAS_EL_0356</v>
          </cell>
          <cell r="Q359">
            <v>45769</v>
          </cell>
        </row>
        <row r="360">
          <cell r="E360" t="str">
            <v>528207_04_RFAS_EL_0357</v>
          </cell>
          <cell r="Q360">
            <v>45769</v>
          </cell>
        </row>
        <row r="361">
          <cell r="E361" t="str">
            <v>528207_04_RFAS_EL_0358</v>
          </cell>
          <cell r="Q361">
            <v>45769</v>
          </cell>
        </row>
        <row r="362">
          <cell r="E362" t="str">
            <v>528207_04_RFAS_EL_0359</v>
          </cell>
          <cell r="Q362">
            <v>45769</v>
          </cell>
        </row>
        <row r="363">
          <cell r="E363" t="str">
            <v>528207_04_RFAS_EL_0360</v>
          </cell>
          <cell r="Q363">
            <v>45769</v>
          </cell>
        </row>
        <row r="364">
          <cell r="E364" t="str">
            <v>528207_04_RFAS_EL_0361</v>
          </cell>
          <cell r="Q364">
            <v>45769</v>
          </cell>
        </row>
        <row r="365">
          <cell r="E365" t="str">
            <v>528207_04_RFAS_EL_0362</v>
          </cell>
          <cell r="Q365">
            <v>45769</v>
          </cell>
        </row>
        <row r="366">
          <cell r="E366" t="str">
            <v>528207_04_RFAS_EL_0363</v>
          </cell>
          <cell r="Q366">
            <v>45769</v>
          </cell>
        </row>
        <row r="367">
          <cell r="E367" t="str">
            <v>528207_04_RFAS_EL_0364</v>
          </cell>
          <cell r="Q367">
            <v>45774</v>
          </cell>
        </row>
        <row r="368">
          <cell r="E368" t="str">
            <v>528207_04_RFAS_EL_0365</v>
          </cell>
          <cell r="Q368">
            <v>45769</v>
          </cell>
        </row>
        <row r="369">
          <cell r="E369" t="str">
            <v>528207_04_RFAS_EL_0366</v>
          </cell>
          <cell r="Q369">
            <v>45824</v>
          </cell>
        </row>
        <row r="370">
          <cell r="E370" t="str">
            <v>528207_04_RFAS_EL_0367</v>
          </cell>
          <cell r="Q370">
            <v>45769</v>
          </cell>
        </row>
        <row r="371">
          <cell r="E371" t="str">
            <v>528207_04_RFAS_EL_0368</v>
          </cell>
          <cell r="Q371">
            <v>45774</v>
          </cell>
        </row>
        <row r="372">
          <cell r="E372" t="str">
            <v>528207_04_RFAS_EL_0369</v>
          </cell>
          <cell r="Q372">
            <v>45774</v>
          </cell>
        </row>
        <row r="373">
          <cell r="E373" t="str">
            <v>528207_04_RFAS_EL_0370</v>
          </cell>
          <cell r="Q373">
            <v>45786</v>
          </cell>
          <cell r="V373">
            <v>45897</v>
          </cell>
        </row>
        <row r="374">
          <cell r="E374" t="str">
            <v>528207_04_RFAS_EL_0371</v>
          </cell>
          <cell r="Q374">
            <v>45786</v>
          </cell>
          <cell r="V374">
            <v>45812</v>
          </cell>
          <cell r="AA374">
            <v>45842</v>
          </cell>
          <cell r="AF374">
            <v>45897</v>
          </cell>
        </row>
        <row r="375">
          <cell r="E375" t="str">
            <v>528207_04_RFAS_EL_0372</v>
          </cell>
          <cell r="Q375">
            <v>45787</v>
          </cell>
        </row>
        <row r="376">
          <cell r="E376" t="str">
            <v>528207_04_RFAS_EL_0373</v>
          </cell>
          <cell r="Q376">
            <v>45786</v>
          </cell>
        </row>
        <row r="377">
          <cell r="E377" t="str">
            <v>528207_04_RFAS_EL_0374</v>
          </cell>
          <cell r="Q377">
            <v>45786</v>
          </cell>
        </row>
        <row r="378">
          <cell r="E378" t="str">
            <v>528207_04_RFAS_EL_0375</v>
          </cell>
          <cell r="Q378">
            <v>45786</v>
          </cell>
        </row>
        <row r="379">
          <cell r="E379" t="str">
            <v>528207_04_RFAS_EL_0376</v>
          </cell>
          <cell r="Q379">
            <v>45786</v>
          </cell>
        </row>
        <row r="380">
          <cell r="E380" t="str">
            <v>528207_04_RFAS_EL_0377</v>
          </cell>
          <cell r="Q380">
            <v>45786</v>
          </cell>
        </row>
        <row r="381">
          <cell r="E381" t="str">
            <v>528207_04_RFAS_EL_0378</v>
          </cell>
          <cell r="Q381">
            <v>45786</v>
          </cell>
        </row>
        <row r="382">
          <cell r="E382" t="str">
            <v>528207_04_RFAS_EL_0379</v>
          </cell>
          <cell r="Q382">
            <v>45786</v>
          </cell>
        </row>
        <row r="383">
          <cell r="E383" t="str">
            <v>528207_04_RFAS_EL_0380</v>
          </cell>
          <cell r="Q383">
            <v>45812</v>
          </cell>
        </row>
        <row r="384">
          <cell r="E384" t="str">
            <v>528207_04_RFAS_EL_0381</v>
          </cell>
          <cell r="Q384">
            <v>45817</v>
          </cell>
          <cell r="V384">
            <v>45887</v>
          </cell>
        </row>
        <row r="385">
          <cell r="E385" t="str">
            <v>528207_04_RFAS_EL_0382</v>
          </cell>
          <cell r="Q385">
            <v>45812</v>
          </cell>
        </row>
        <row r="386">
          <cell r="E386" t="str">
            <v>528207_04_RFAS_EL_0383</v>
          </cell>
          <cell r="Q386">
            <v>45817</v>
          </cell>
        </row>
        <row r="387">
          <cell r="E387" t="str">
            <v>528207_04_RFAS_EL_0384</v>
          </cell>
          <cell r="Q387">
            <v>45824</v>
          </cell>
        </row>
        <row r="388">
          <cell r="E388" t="str">
            <v>528207_04_RFAS_EL_0385</v>
          </cell>
          <cell r="Q388">
            <v>45812</v>
          </cell>
        </row>
        <row r="389">
          <cell r="E389" t="str">
            <v>528207_04_RFAS_EL_0386</v>
          </cell>
          <cell r="Q389">
            <v>45812</v>
          </cell>
        </row>
        <row r="390">
          <cell r="E390" t="str">
            <v>528207_04_RFAS_EL_0387</v>
          </cell>
          <cell r="Q390">
            <v>45873</v>
          </cell>
        </row>
        <row r="391">
          <cell r="E391" t="str">
            <v>528207_04_RFAS_EL_0388</v>
          </cell>
          <cell r="Q391">
            <v>45842</v>
          </cell>
          <cell r="V391">
            <v>45921</v>
          </cell>
        </row>
        <row r="392">
          <cell r="E392" t="str">
            <v>528207_04_RFAS_EL_0389</v>
          </cell>
          <cell r="Q392">
            <v>45842</v>
          </cell>
        </row>
        <row r="393">
          <cell r="E393" t="str">
            <v>528207_04_RFAS_EL_0390</v>
          </cell>
          <cell r="Q393">
            <v>45812</v>
          </cell>
          <cell r="AA393" t="str">
            <v>B</v>
          </cell>
          <cell r="AK393">
            <v>45897</v>
          </cell>
          <cell r="AP393">
            <v>45898</v>
          </cell>
        </row>
        <row r="394">
          <cell r="E394" t="str">
            <v>528207_04_RFAS_EL_0391</v>
          </cell>
          <cell r="Q394">
            <v>45817</v>
          </cell>
          <cell r="V394">
            <v>45850</v>
          </cell>
          <cell r="AF394">
            <v>45883</v>
          </cell>
        </row>
        <row r="395">
          <cell r="E395" t="str">
            <v>528207_04_RFAS_EL_0392</v>
          </cell>
          <cell r="Q395">
            <v>45824</v>
          </cell>
        </row>
        <row r="396">
          <cell r="E396" t="str">
            <v>528207_04_RFAS_EL_0393</v>
          </cell>
          <cell r="Q396">
            <v>45824</v>
          </cell>
        </row>
        <row r="397">
          <cell r="E397" t="str">
            <v>528207_04_RFAS_EL_0394</v>
          </cell>
          <cell r="Q397">
            <v>45824</v>
          </cell>
          <cell r="AA397">
            <v>45850</v>
          </cell>
        </row>
        <row r="398">
          <cell r="E398" t="str">
            <v>528207_04_RFAS_EL_0395</v>
          </cell>
          <cell r="Q398">
            <v>45824</v>
          </cell>
          <cell r="AK398">
            <v>45846</v>
          </cell>
          <cell r="AP398">
            <v>45859</v>
          </cell>
        </row>
        <row r="399">
          <cell r="E399" t="str">
            <v>528207_04_RFAS_EL_0396</v>
          </cell>
          <cell r="Q399">
            <v>45824</v>
          </cell>
          <cell r="AA399">
            <v>45850</v>
          </cell>
        </row>
        <row r="400">
          <cell r="E400" t="str">
            <v>528207_04_RFAS_EL_0397</v>
          </cell>
          <cell r="Q400">
            <v>45824</v>
          </cell>
          <cell r="AA400">
            <v>45850</v>
          </cell>
          <cell r="AF400">
            <v>45897</v>
          </cell>
          <cell r="AK400">
            <v>45897</v>
          </cell>
        </row>
        <row r="401">
          <cell r="E401" t="str">
            <v>528207_04_RFAS_EL_0398</v>
          </cell>
          <cell r="Q401">
            <v>45824</v>
          </cell>
          <cell r="V401">
            <v>45873</v>
          </cell>
        </row>
        <row r="402">
          <cell r="E402" t="str">
            <v>528207_04_RFAS_EL_0399</v>
          </cell>
          <cell r="Q402">
            <v>45844</v>
          </cell>
        </row>
        <row r="403">
          <cell r="E403" t="str">
            <v>528207_04_RFAS_EL_0400</v>
          </cell>
          <cell r="Q403">
            <v>45844</v>
          </cell>
        </row>
        <row r="404">
          <cell r="E404" t="str">
            <v>528207_04_RFAS_EL_0401</v>
          </cell>
          <cell r="Q404">
            <v>45844</v>
          </cell>
        </row>
        <row r="405">
          <cell r="E405" t="str">
            <v>528207_04_RFAS_EL_0402</v>
          </cell>
          <cell r="Q405">
            <v>45844</v>
          </cell>
        </row>
        <row r="406">
          <cell r="E406" t="str">
            <v>528207_04_RFAS_EL_0403</v>
          </cell>
          <cell r="Q406">
            <v>45844</v>
          </cell>
        </row>
        <row r="407">
          <cell r="E407" t="str">
            <v>528207_04_RFAS_EL_0404</v>
          </cell>
          <cell r="Q407">
            <v>45844</v>
          </cell>
          <cell r="AA407">
            <v>45897</v>
          </cell>
          <cell r="AF407">
            <v>45964</v>
          </cell>
        </row>
        <row r="408">
          <cell r="E408" t="str">
            <v>528207_04_RFAS_EL_0405</v>
          </cell>
          <cell r="Q408">
            <v>45844</v>
          </cell>
          <cell r="AA408">
            <v>45897</v>
          </cell>
          <cell r="AF408">
            <v>45973</v>
          </cell>
        </row>
        <row r="409">
          <cell r="E409" t="str">
            <v>528207_04_RFAS_EL_0406</v>
          </cell>
          <cell r="Q409">
            <v>45844</v>
          </cell>
          <cell r="V409">
            <v>45929</v>
          </cell>
        </row>
        <row r="410">
          <cell r="E410" t="str">
            <v>528207_04_RFAS_EL_0407</v>
          </cell>
          <cell r="Q410">
            <v>45844</v>
          </cell>
        </row>
        <row r="411">
          <cell r="E411" t="str">
            <v>528207_04_RFAS_EL_0408</v>
          </cell>
          <cell r="Q411">
            <v>45844</v>
          </cell>
        </row>
        <row r="412">
          <cell r="E412" t="str">
            <v>528207_04_RFAS_EL_0409</v>
          </cell>
          <cell r="Q412">
            <v>45844</v>
          </cell>
        </row>
        <row r="413">
          <cell r="E413" t="str">
            <v>528207_04_RFAS_EL_0410</v>
          </cell>
          <cell r="Q413">
            <v>45844</v>
          </cell>
        </row>
        <row r="414">
          <cell r="E414" t="str">
            <v>528207_04_RFAS_EL_0411</v>
          </cell>
          <cell r="Q414">
            <v>45844</v>
          </cell>
        </row>
        <row r="415">
          <cell r="E415" t="str">
            <v>528207_04_RFAS_EL_0412</v>
          </cell>
          <cell r="Q415">
            <v>45844</v>
          </cell>
        </row>
        <row r="416">
          <cell r="E416" t="str">
            <v>528207_04_RFAS_EL_0413</v>
          </cell>
          <cell r="Q416">
            <v>45844</v>
          </cell>
        </row>
        <row r="417">
          <cell r="E417" t="str">
            <v>528207_04_RFAS_EL_0414</v>
          </cell>
          <cell r="Q417">
            <v>45844</v>
          </cell>
        </row>
        <row r="418">
          <cell r="E418" t="str">
            <v>528207_04_RFAS_EL_0415</v>
          </cell>
          <cell r="Q418">
            <v>45850</v>
          </cell>
        </row>
        <row r="419">
          <cell r="E419" t="str">
            <v>528207_04_RFAS_EL_0416</v>
          </cell>
          <cell r="Q419">
            <v>45850</v>
          </cell>
        </row>
        <row r="420">
          <cell r="E420" t="str">
            <v>528207_04_RFAS_EL_0417</v>
          </cell>
          <cell r="Q420">
            <v>45850</v>
          </cell>
        </row>
        <row r="421">
          <cell r="E421" t="str">
            <v>528207_04_RFAS_EL_0418</v>
          </cell>
          <cell r="Q421">
            <v>45850</v>
          </cell>
        </row>
        <row r="422">
          <cell r="E422" t="str">
            <v>528207_04_RFAS_EL_0419</v>
          </cell>
          <cell r="Q422">
            <v>45850</v>
          </cell>
        </row>
        <row r="423">
          <cell r="E423" t="str">
            <v>528207_04_RFAS_EL_0420</v>
          </cell>
          <cell r="Q423">
            <v>45849</v>
          </cell>
        </row>
        <row r="424">
          <cell r="E424" t="str">
            <v>528207_04_RFAS_EL_0421</v>
          </cell>
          <cell r="Q424">
            <v>45874</v>
          </cell>
        </row>
        <row r="425">
          <cell r="E425" t="str">
            <v>528207_04_RFAS_EL_0422</v>
          </cell>
          <cell r="Q425">
            <v>45849</v>
          </cell>
        </row>
        <row r="426">
          <cell r="E426" t="str">
            <v>528207_04_RFAS_EL_0423</v>
          </cell>
          <cell r="Q426">
            <v>45883</v>
          </cell>
        </row>
        <row r="427">
          <cell r="E427" t="str">
            <v>528207_04_RFAS_EL_0424</v>
          </cell>
          <cell r="Q427">
            <v>45883</v>
          </cell>
        </row>
        <row r="428">
          <cell r="E428" t="str">
            <v>528207_04_RFAS_EL_0425</v>
          </cell>
          <cell r="Q428">
            <v>45874</v>
          </cell>
        </row>
        <row r="429">
          <cell r="E429" t="str">
            <v>528207_04_RFAS_EL_0426</v>
          </cell>
          <cell r="Q429">
            <v>45874</v>
          </cell>
        </row>
        <row r="430">
          <cell r="E430" t="str">
            <v>528207_04_RFAS_EL_0427</v>
          </cell>
          <cell r="Q430">
            <v>45874</v>
          </cell>
        </row>
        <row r="431">
          <cell r="E431" t="str">
            <v>528207_04_RFAS_EL_0428</v>
          </cell>
          <cell r="Q431">
            <v>45874</v>
          </cell>
        </row>
        <row r="432">
          <cell r="E432" t="str">
            <v>528207_04_RFAS_EL_0429</v>
          </cell>
          <cell r="Q432">
            <v>45873</v>
          </cell>
        </row>
        <row r="433">
          <cell r="E433" t="str">
            <v>528207_04_RFAS_EL_0430</v>
          </cell>
          <cell r="Q433">
            <v>45897</v>
          </cell>
          <cell r="V433">
            <v>45929</v>
          </cell>
        </row>
        <row r="434">
          <cell r="E434" t="str">
            <v>528207_04_RFAS_EL_0431</v>
          </cell>
          <cell r="Q434">
            <v>45897</v>
          </cell>
        </row>
        <row r="435">
          <cell r="E435" t="str">
            <v>528207_04_RFAS_EL_0432</v>
          </cell>
          <cell r="Q435">
            <v>45897</v>
          </cell>
        </row>
        <row r="436">
          <cell r="E436" t="str">
            <v>528207_04_RFAS_EL_0433</v>
          </cell>
          <cell r="Q436">
            <v>45897</v>
          </cell>
        </row>
        <row r="437">
          <cell r="E437" t="str">
            <v>528207_04_RFAS_EL_0434</v>
          </cell>
          <cell r="Q437">
            <v>45901</v>
          </cell>
        </row>
        <row r="438">
          <cell r="E438" t="str">
            <v>528207_04_RFAS_EL_0435</v>
          </cell>
          <cell r="Q438">
            <v>45908</v>
          </cell>
          <cell r="V438">
            <v>45921</v>
          </cell>
        </row>
        <row r="439">
          <cell r="E439" t="str">
            <v>528207_04_RFAS_EL_0436</v>
          </cell>
          <cell r="Q439">
            <v>45929</v>
          </cell>
        </row>
        <row r="440">
          <cell r="E440" t="str">
            <v>528207_04_RFAS_EL_0437</v>
          </cell>
          <cell r="Q440">
            <v>45929</v>
          </cell>
        </row>
        <row r="441">
          <cell r="E441" t="str">
            <v>528207_04_RFAS_EL_0438</v>
          </cell>
          <cell r="Q441">
            <v>45929</v>
          </cell>
        </row>
        <row r="442">
          <cell r="E442" t="str">
            <v>528207_04_RFAS_EL_0439</v>
          </cell>
          <cell r="Q442">
            <v>45929</v>
          </cell>
        </row>
        <row r="443">
          <cell r="E443" t="str">
            <v>528207_04_RFAS_EL_0440</v>
          </cell>
          <cell r="Q443">
            <v>45929</v>
          </cell>
        </row>
        <row r="444">
          <cell r="E444" t="str">
            <v>528207_04_RFAS_EL_0441</v>
          </cell>
          <cell r="Q444">
            <v>45963</v>
          </cell>
        </row>
        <row r="445">
          <cell r="E445" t="str">
            <v>528207_04_RFAS_EL_0442</v>
          </cell>
          <cell r="Q445">
            <v>45963</v>
          </cell>
        </row>
        <row r="446">
          <cell r="E446" t="str">
            <v>528207_04_RFAS_EL_0443</v>
          </cell>
          <cell r="Q446">
            <v>45943</v>
          </cell>
        </row>
        <row r="447">
          <cell r="E447" t="str">
            <v>528207_04_RFAS_EL_0444</v>
          </cell>
          <cell r="Q447">
            <v>45943</v>
          </cell>
        </row>
        <row r="448">
          <cell r="E448" t="str">
            <v>528207_04_RFAS_EL_0445</v>
          </cell>
          <cell r="Q448">
            <v>45963</v>
          </cell>
        </row>
        <row r="449">
          <cell r="E449" t="str">
            <v>528207_04_RFAS_EL_0446</v>
          </cell>
        </row>
        <row r="450">
          <cell r="E450" t="str">
            <v>528207_04_RFAS_EL_0447</v>
          </cell>
          <cell r="Q450">
            <v>45973</v>
          </cell>
        </row>
        <row r="451">
          <cell r="E451" t="str">
            <v>528207_04_RFAS_EL_0448</v>
          </cell>
          <cell r="Q451">
            <v>45963</v>
          </cell>
        </row>
        <row r="452">
          <cell r="E452" t="str">
            <v>528207_04_RFAS_EL_0449</v>
          </cell>
          <cell r="Q452">
            <v>45964</v>
          </cell>
        </row>
        <row r="453">
          <cell r="E453" t="str">
            <v>528207_04_RFAS_EL_0450</v>
          </cell>
          <cell r="Q453">
            <v>45964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425F-7C39-4778-BE8A-3B215EF11C2F}">
  <dimension ref="A1:AJ524"/>
  <sheetViews>
    <sheetView view="pageBreakPreview" topLeftCell="A31" zoomScale="55" zoomScaleNormal="100" zoomScaleSheetLayoutView="55" workbookViewId="0"/>
  </sheetViews>
  <sheetFormatPr defaultColWidth="8.75" defaultRowHeight="15" customHeight="1"/>
  <cols>
    <col min="1" max="1" width="17.75" customWidth="1"/>
    <col min="2" max="2" width="11.25" customWidth="1"/>
    <col min="3" max="3" width="14.75" style="13" customWidth="1"/>
    <col min="4" max="4" width="11.875" style="13" customWidth="1"/>
    <col min="5" max="5" width="12.25" style="13" customWidth="1"/>
    <col min="6" max="6" width="10.75" style="13" customWidth="1"/>
    <col min="7" max="7" width="12.125" style="13" customWidth="1"/>
    <col min="8" max="8" width="10.75" style="13" customWidth="1"/>
    <col min="9" max="9" width="12.125" style="13" customWidth="1"/>
    <col min="10" max="11" width="12.25" style="13" customWidth="1"/>
    <col min="12" max="12" width="13.25" style="13" customWidth="1"/>
    <col min="13" max="14" width="12.25" style="13" customWidth="1"/>
    <col min="15" max="15" width="10" style="3" customWidth="1"/>
    <col min="16" max="21" width="11.25" style="13" customWidth="1"/>
    <col min="22" max="24" width="7.25" style="13" customWidth="1"/>
    <col min="25" max="25" width="1.25" style="13" customWidth="1"/>
    <col min="26" max="26" width="12.25" style="13" customWidth="1"/>
    <col min="27" max="27" width="10" style="3" customWidth="1"/>
    <col min="28" max="33" width="10.75" style="13" customWidth="1"/>
    <col min="34" max="34" width="8" style="13" customWidth="1"/>
    <col min="35" max="36" width="7.25" style="13" customWidth="1"/>
    <col min="37" max="37" width="1.75" customWidth="1"/>
  </cols>
  <sheetData>
    <row r="1" spans="1:36" ht="13.9">
      <c r="A1" s="12" t="s">
        <v>0</v>
      </c>
      <c r="B1" s="12"/>
      <c r="M1" s="14"/>
      <c r="Y1" s="14"/>
    </row>
    <row r="2" spans="1:36" ht="13.9">
      <c r="A2" s="12"/>
      <c r="B2" s="12"/>
      <c r="M2" s="14"/>
      <c r="Y2" s="14"/>
    </row>
    <row r="3" spans="1:36" ht="13.9">
      <c r="A3" s="863" t="s">
        <v>1</v>
      </c>
      <c r="B3" s="865" t="s">
        <v>2</v>
      </c>
      <c r="C3" s="856" t="s">
        <v>3</v>
      </c>
      <c r="D3" s="856"/>
      <c r="E3" s="856"/>
      <c r="F3" s="856"/>
      <c r="G3" s="856"/>
      <c r="H3" s="856"/>
      <c r="I3" s="856"/>
      <c r="J3" s="856"/>
      <c r="K3" s="856"/>
      <c r="L3" s="857"/>
      <c r="M3" s="15"/>
      <c r="N3" s="855" t="s">
        <v>4</v>
      </c>
      <c r="O3" s="856"/>
      <c r="P3" s="856"/>
      <c r="Q3" s="856"/>
      <c r="R3" s="856"/>
      <c r="S3" s="856"/>
      <c r="T3" s="856"/>
      <c r="U3" s="856"/>
      <c r="V3" s="856"/>
      <c r="W3" s="856"/>
      <c r="X3" s="857"/>
      <c r="Y3" s="15"/>
      <c r="Z3" s="855" t="s">
        <v>5</v>
      </c>
      <c r="AA3" s="856"/>
      <c r="AB3" s="856"/>
      <c r="AC3" s="856"/>
      <c r="AD3" s="856"/>
      <c r="AE3" s="856"/>
      <c r="AF3" s="856"/>
      <c r="AG3" s="856"/>
      <c r="AH3" s="856"/>
      <c r="AI3" s="856"/>
      <c r="AJ3" s="857"/>
    </row>
    <row r="4" spans="1:36" ht="14.65" customHeight="1">
      <c r="A4" s="864"/>
      <c r="B4" s="866"/>
      <c r="C4" s="161" t="s">
        <v>6</v>
      </c>
      <c r="D4" s="858" t="s">
        <v>7</v>
      </c>
      <c r="E4" s="859"/>
      <c r="F4" s="858" t="s">
        <v>8</v>
      </c>
      <c r="G4" s="859"/>
      <c r="H4" s="858" t="s">
        <v>9</v>
      </c>
      <c r="I4" s="859"/>
      <c r="J4" s="34"/>
      <c r="K4" s="34"/>
      <c r="L4" s="35"/>
      <c r="M4" s="29"/>
      <c r="N4" s="861" t="s">
        <v>6</v>
      </c>
      <c r="O4" s="862"/>
      <c r="P4" s="858" t="s">
        <v>7</v>
      </c>
      <c r="Q4" s="859"/>
      <c r="R4" s="858" t="s">
        <v>8</v>
      </c>
      <c r="S4" s="859"/>
      <c r="T4" s="858" t="s">
        <v>9</v>
      </c>
      <c r="U4" s="859"/>
      <c r="V4" s="34"/>
      <c r="W4" s="34"/>
      <c r="X4" s="35"/>
      <c r="Y4" s="29"/>
      <c r="Z4" s="861" t="s">
        <v>6</v>
      </c>
      <c r="AA4" s="862"/>
      <c r="AB4" s="858" t="s">
        <v>7</v>
      </c>
      <c r="AC4" s="859"/>
      <c r="AD4" s="858" t="s">
        <v>8</v>
      </c>
      <c r="AE4" s="859"/>
      <c r="AF4" s="858" t="s">
        <v>9</v>
      </c>
      <c r="AG4" s="859"/>
      <c r="AH4" s="34"/>
      <c r="AI4" s="34"/>
      <c r="AJ4" s="35"/>
    </row>
    <row r="5" spans="1:36" s="58" customFormat="1" ht="41.25" customHeight="1">
      <c r="A5" s="864"/>
      <c r="B5" s="867"/>
      <c r="C5" s="162" t="s">
        <v>10</v>
      </c>
      <c r="D5" s="16" t="s">
        <v>11</v>
      </c>
      <c r="E5" s="16" t="s">
        <v>12</v>
      </c>
      <c r="F5" s="16" t="s">
        <v>11</v>
      </c>
      <c r="G5" s="16" t="s">
        <v>12</v>
      </c>
      <c r="H5" s="36" t="s">
        <v>11</v>
      </c>
      <c r="I5" s="36" t="s">
        <v>12</v>
      </c>
      <c r="J5" s="55" t="s">
        <v>13</v>
      </c>
      <c r="K5" s="56" t="s">
        <v>14</v>
      </c>
      <c r="L5" s="57" t="s">
        <v>15</v>
      </c>
      <c r="M5" s="29"/>
      <c r="N5" s="17" t="s">
        <v>16</v>
      </c>
      <c r="O5" s="18" t="s">
        <v>17</v>
      </c>
      <c r="P5" s="16" t="s">
        <v>11</v>
      </c>
      <c r="Q5" s="16" t="s">
        <v>12</v>
      </c>
      <c r="R5" s="16" t="s">
        <v>11</v>
      </c>
      <c r="S5" s="16" t="s">
        <v>12</v>
      </c>
      <c r="T5" s="16" t="s">
        <v>11</v>
      </c>
      <c r="U5" s="36" t="s">
        <v>12</v>
      </c>
      <c r="V5" s="55" t="s">
        <v>13</v>
      </c>
      <c r="W5" s="56" t="s">
        <v>14</v>
      </c>
      <c r="X5" s="57" t="s">
        <v>15</v>
      </c>
      <c r="Y5" s="29"/>
      <c r="Z5" s="17" t="s">
        <v>16</v>
      </c>
      <c r="AA5" s="18" t="s">
        <v>17</v>
      </c>
      <c r="AB5" s="16" t="s">
        <v>11</v>
      </c>
      <c r="AC5" s="16" t="s">
        <v>12</v>
      </c>
      <c r="AD5" s="16" t="s">
        <v>11</v>
      </c>
      <c r="AE5" s="16" t="s">
        <v>12</v>
      </c>
      <c r="AF5" s="16" t="s">
        <v>11</v>
      </c>
      <c r="AG5" s="36" t="s">
        <v>12</v>
      </c>
      <c r="AH5" s="55" t="s">
        <v>13</v>
      </c>
      <c r="AI5" s="56" t="s">
        <v>14</v>
      </c>
      <c r="AJ5" s="57" t="s">
        <v>15</v>
      </c>
    </row>
    <row r="6" spans="1:36" ht="16.149999999999999" customHeight="1">
      <c r="A6" s="19" t="s">
        <v>18</v>
      </c>
      <c r="B6" s="181" cm="1">
        <f t="array" ref="B6">SUMPRODUCT((ST!$C$4:$C$961&lt;&gt;"")*(ST!$D$4:$D$961&lt;&gt;""))</f>
        <v>19</v>
      </c>
      <c r="C6" s="182" cm="1">
        <f t="array" ref="C6">SUMPRODUCT((ST!$C$4:$C$961&lt;&gt;"")*(ST!$O$4:$O$961&lt;&gt;""))</f>
        <v>0</v>
      </c>
      <c r="D6" s="183" cm="1">
        <f t="array" ref="D6">SUMPRODUCT((ST!$C$4:$C$961&lt;&gt;"")*(ST!$P$4:$P$961&lt;&gt;""))</f>
        <v>0</v>
      </c>
      <c r="E6" s="183" cm="1">
        <f t="array" ref="E6">SUMPRODUCT((ST!$C$4:$C$961&lt;&gt;"")*(ST!$O$4:$O$961&lt;&gt;"")*(ST!$P$4:$P$961=""))</f>
        <v>0</v>
      </c>
      <c r="F6" s="183" cm="1">
        <f t="array" ref="F6">SUMPRODUCT((ST!$C$4:$C$961&lt;&gt;"")*(ST!$Q$4:$Q$961&lt;&gt;""))</f>
        <v>0</v>
      </c>
      <c r="G6" s="183" cm="1">
        <f t="array" ref="G6">SUMPRODUCT((ST!$C$4:$C$961&lt;&gt;"")*(ST!$O$4:$O$961&lt;&gt;"")*(ST!$Q$4:$Q$961=""))</f>
        <v>0</v>
      </c>
      <c r="H6" s="184" cm="1">
        <f t="array" ref="H6">SUMPRODUCT((ST!$C$4:$C$961&lt;&gt;"")*(ST!$R$4:$R$961&lt;&gt;""))</f>
        <v>0</v>
      </c>
      <c r="I6" s="184" cm="1">
        <f t="array" ref="I6">SUMPRODUCT((ST!$C$4:$C$961&lt;&gt;"")*(ST!$O$4:$O$961&lt;&gt;"")*(ST!$R$4:$R$961=""))</f>
        <v>0</v>
      </c>
      <c r="J6" s="185" cm="1">
        <f t="array" ref="J6">SUMPRODUCT((ST!$C$4:$C$961&lt;&gt;"")*(ST!$S$4:$S$961="A"))</f>
        <v>0</v>
      </c>
      <c r="K6" s="186" cm="1">
        <f t="array" ref="K6">SUMPRODUCT((ST!$C$4:$C$957&lt;&gt;"")*(ST!$S$4:$S$957="B"))</f>
        <v>0</v>
      </c>
      <c r="L6" s="187" cm="1">
        <f t="array" ref="L6">SUMPRODUCT((ST!$C$4:$C$957&lt;&gt;"")*(ST!$S$4:$S$957="C"))</f>
        <v>0</v>
      </c>
      <c r="M6" s="129"/>
      <c r="N6" s="38">
        <f>L6</f>
        <v>0</v>
      </c>
      <c r="O6" s="39" cm="1">
        <f t="array" ref="O6">SUMPRODUCT((ST!$C$4:$C$963&lt;&gt;"")*(ST!$T$4:$T$963&lt;&gt;""))</f>
        <v>0</v>
      </c>
      <c r="P6" s="22" cm="1">
        <f t="array" ref="P6">SUMPRODUCT((ST!$C$4:$C$963&lt;&gt;"")*(ST!$U$4:$U$963&lt;&gt;""))</f>
        <v>0</v>
      </c>
      <c r="Q6" s="22" cm="1">
        <f t="array" ref="Q6">SUMPRODUCT((ST!$C$4:$C$963&lt;&gt;"")*(ST!$T$4:$T$963&lt;&gt;"")*(ST!$U$4:$U$963=""))</f>
        <v>0</v>
      </c>
      <c r="R6" s="22" cm="1">
        <f t="array" ref="R6">SUMPRODUCT((ST!$C$4:$C$963&lt;&gt;"")*(ST!$V$4:$V$963&lt;&gt;""))</f>
        <v>0</v>
      </c>
      <c r="S6" s="22" cm="1">
        <f t="array" ref="S6">SUMPRODUCT((ST!$C$4:$C$963&lt;&gt;"")*(ST!$T$4:$T$963&lt;&gt;"")*(ST!$V$4:$V$963=""))</f>
        <v>0</v>
      </c>
      <c r="T6" s="37" cm="1">
        <f t="array" ref="T6">SUMPRODUCT((ST!$C$4:$C$963&lt;&gt;"")*(ST!$W$4:$W$963&lt;&gt;""))</f>
        <v>0</v>
      </c>
      <c r="U6" s="37" cm="1">
        <f t="array" ref="U6">SUMPRODUCT((ST!$C$4:$C$963&lt;&gt;"")*(ST!$T$4:$T$963&lt;&gt;"")*(ST!$W$4:$W$963=""))</f>
        <v>0</v>
      </c>
      <c r="V6" s="23" cm="1">
        <f t="array" ref="V6">SUMPRODUCT((ST!$C$4:$C$963&lt;&gt;"")*(ST!$X$4:$X$963="A"))</f>
        <v>0</v>
      </c>
      <c r="W6" s="24" cm="1">
        <f t="array" ref="W6">SUMPRODUCT((ST!$C$4:$C$963&lt;&gt;"")*(ST!$X$4:$X$963="B"))</f>
        <v>0</v>
      </c>
      <c r="X6" s="20" cm="1">
        <f t="array" ref="X6">SUMPRODUCT((ST!$C$4:$C$963&lt;&gt;"")*(ST!$X$4:$X$963="C"))</f>
        <v>0</v>
      </c>
      <c r="Y6" s="129"/>
      <c r="Z6" s="38">
        <f>X6</f>
        <v>0</v>
      </c>
      <c r="AA6" s="39" cm="1">
        <f t="array" ref="AA6">SUMPRODUCT((ST!$C$4:$C$963&lt;&gt;"")*(ST!$Y$4:$Y$963&lt;&gt;""))</f>
        <v>0</v>
      </c>
      <c r="AB6" s="22" cm="1">
        <f t="array" ref="AB6">SUMPRODUCT((ST!$C$4:$C$963&lt;&gt;"")*(ST!$Z$4:$Z$963&lt;&gt;""))</f>
        <v>0</v>
      </c>
      <c r="AC6" s="22" cm="1">
        <f t="array" ref="AC6">SUMPRODUCT((ST!$C$4:$C$963&lt;&gt;"")*(ST!$Y$4:$Y$963&lt;&gt;"")*(ST!$Z$4:$Z$963=""))</f>
        <v>0</v>
      </c>
      <c r="AD6" s="22" cm="1">
        <f t="array" ref="AD6">SUMPRODUCT((ST!$C$4:$C$963&lt;&gt;"")*(ST!$AA$4:$AA$963&lt;&gt;""))</f>
        <v>0</v>
      </c>
      <c r="AE6" s="22" cm="1">
        <f t="array" ref="AE6">SUMPRODUCT((ST!$C$4:$C$963&lt;&gt;"")*(ST!$Y$4:$Y$963&lt;&gt;"")*(ST!$AA$4:$AA$963=""))</f>
        <v>0</v>
      </c>
      <c r="AF6" s="37" cm="1">
        <f t="array" ref="AF6">SUMPRODUCT((ST!$C$4:$C$963&lt;&gt;"")*(ST!$AB$4:$AB$963&lt;&gt;""))</f>
        <v>0</v>
      </c>
      <c r="AG6" s="37" cm="1">
        <f t="array" ref="AG6">SUMPRODUCT((ST!$C$4:$C$963&lt;&gt;"")*(ST!$Y$4:$Y$963&lt;&gt;"")*(ST!$AB$4:$AB$963=""))</f>
        <v>0</v>
      </c>
      <c r="AH6" s="23" cm="1">
        <f t="array" ref="AH6">SUMPRODUCT((ST!$C$4:$C$963&lt;&gt;"")*(ST!$AC$4:$AC$963="A"))</f>
        <v>0</v>
      </c>
      <c r="AI6" s="24" cm="1">
        <f t="array" ref="AI6">SUMPRODUCT((ST!$C$4:$C$963&lt;&gt;"")*(ST!$AC$4:$AC$963="B"))</f>
        <v>0</v>
      </c>
      <c r="AJ6" s="25" cm="1">
        <f t="array" ref="AJ6">SUMPRODUCT((ST!$C$4:$C$963&lt;&gt;"")*(ST!$AC$4:$AC$963="C"))</f>
        <v>0</v>
      </c>
    </row>
    <row r="7" spans="1:36" ht="16.149999999999999" customHeight="1">
      <c r="A7" s="21" t="s">
        <v>19</v>
      </c>
      <c r="B7" s="181" cm="1">
        <f t="array" ref="B7">SUMPRODUCT((AR!$C$4:$C$964&lt;&gt;"")*(AR!$D$4:$D$964&lt;&gt;""))</f>
        <v>83</v>
      </c>
      <c r="C7" s="182">
        <f>SUMPRODUCT((AR!$C$4:$C$964&lt;&gt;"")*(AR!$O$4:$O$964&lt;&gt;""))</f>
        <v>26</v>
      </c>
      <c r="D7" s="183">
        <f>SUMPRODUCT((AR!$C$4:$C$964&lt;&gt;"")*(AR!$P$4:$P$964&lt;&gt;""))</f>
        <v>26</v>
      </c>
      <c r="E7" s="183">
        <f>SUMPRODUCT((AR!$C$4:$C$964&lt;&gt;"")*(AR!$O$4:$O$964&lt;&gt;"")*(AR!$P$4:$P$964=""))</f>
        <v>0</v>
      </c>
      <c r="F7" s="183">
        <f>SUMPRODUCT((AR!$C$4:$C$964&lt;&gt;"")*(AR!$Q$4:$Q$964&lt;&gt;""))</f>
        <v>23</v>
      </c>
      <c r="G7" s="183">
        <f>SUMPRODUCT((AR!$C$4:$C$964&lt;&gt;"")*(AR!$O$4:$O$964&lt;&gt;"")*(AR!$Q$4:$Q$964=""))</f>
        <v>3</v>
      </c>
      <c r="H7" s="184">
        <f>SUMPRODUCT((AR!$C$4:$C$964&lt;&gt;"")*(AR!$R$4:$R$964&lt;&gt;""))</f>
        <v>15</v>
      </c>
      <c r="I7" s="184">
        <f>SUMPRODUCT((AR!$C$4:$C$964&lt;&gt;"")*(AR!$O$4:$O$964&lt;&gt;"")*(AR!$R$4:$R$964=""))</f>
        <v>11</v>
      </c>
      <c r="J7" s="185">
        <f>SUMPRODUCT((AR!$C$4:$C$964&lt;&gt;"")*(AR!$S$4:$S$964="A"))</f>
        <v>0</v>
      </c>
      <c r="K7" s="186" cm="1">
        <f t="array" ref="K7">SUMPRODUCT((AR!$C$4:$C$968&lt;&gt;"")*(AR!$S$4:$S$968="B"))</f>
        <v>14</v>
      </c>
      <c r="L7" s="187" cm="1">
        <f t="array" ref="L7">SUMPRODUCT((AR!$C$4:$C$968&lt;&gt;"")*(AR!$S$4:$S$968="C"))</f>
        <v>2</v>
      </c>
      <c r="M7" s="129"/>
      <c r="N7" s="38">
        <f>L7</f>
        <v>2</v>
      </c>
      <c r="O7" s="39">
        <f>SUMPRODUCT((AR!$C$4:$C$964&lt;&gt;"")*(AR!$T$4:$T$964&lt;&gt;""))</f>
        <v>1</v>
      </c>
      <c r="P7" s="22">
        <f>SUMPRODUCT((AR!$C$4:$C$964&lt;&gt;"")*(AR!$U$4:$U$964&lt;&gt;""))</f>
        <v>1</v>
      </c>
      <c r="Q7" s="22">
        <f>SUMPRODUCT((AR!$C$4:$C$964&lt;&gt;"")*(AR!$T$4:$T$964&lt;&gt;"")*(AR!$U$4:$U$964=""))</f>
        <v>0</v>
      </c>
      <c r="R7" s="22">
        <f>SUMPRODUCT((AR!$C$4:$C$964&lt;&gt;"")*(AR!$V$4:$V$964&lt;&gt;""))</f>
        <v>1</v>
      </c>
      <c r="S7" s="22">
        <f>SUMPRODUCT((AR!$C$4:$C$964&lt;&gt;"")*(AR!$T$4:$T$964&lt;&gt;"")*(AR!$V$4:$V$964=""))</f>
        <v>0</v>
      </c>
      <c r="T7" s="37">
        <f>SUMPRODUCT((AR!$C$4:$C$964&lt;&gt;"")*(AR!$W$4:$W$964&lt;&gt;""))</f>
        <v>0</v>
      </c>
      <c r="U7" s="37">
        <f>SUMPRODUCT((AR!$C$4:$C$964&lt;&gt;"")*(AR!$T$4:$T$964&lt;&gt;"")*(AR!$W$4:$W$964=""))</f>
        <v>1</v>
      </c>
      <c r="V7" s="23">
        <f>SUMPRODUCT((AR!$C$4:$C$964&lt;&gt;"")*(AR!$X$4:$X$964="A"))</f>
        <v>0</v>
      </c>
      <c r="W7" s="24">
        <f>SUMPRODUCT((AR!$C$4:$C$964&lt;&gt;"")*(AR!$X$4:$X$964="B"))</f>
        <v>0</v>
      </c>
      <c r="X7" s="25" cm="1">
        <f t="array" ref="X7">SUMPRODUCT((AR!$C$4:$C$964&lt;&gt;"")*(AR!$X$4:$X$964="C"))</f>
        <v>0</v>
      </c>
      <c r="Y7" s="129"/>
      <c r="Z7" s="38">
        <f>X7</f>
        <v>0</v>
      </c>
      <c r="AA7" s="39">
        <f>SUMPRODUCT((AR!$C$4:$C$964&lt;&gt;"")*(AR!$Y$4:$Y$964&lt;&gt;""))</f>
        <v>0</v>
      </c>
      <c r="AB7" s="22">
        <f>SUMPRODUCT((AR!$C$4:$C$964&lt;&gt;"")*(AR!$Z$4:$Z$964&lt;&gt;""))</f>
        <v>0</v>
      </c>
      <c r="AC7" s="22">
        <f>SUMPRODUCT((AR!$C$4:$C$964&lt;&gt;"")*(AR!$Y$4:$Y$964&lt;&gt;"")*(AR!$Z$4:$Z$964=""))</f>
        <v>0</v>
      </c>
      <c r="AD7" s="22">
        <f>SUMPRODUCT((AR!$C$4:$C$964&lt;&gt;"")*(AR!$AA$4:$AA$964&lt;&gt;""))</f>
        <v>0</v>
      </c>
      <c r="AE7" s="22">
        <f>SUMPRODUCT((AR!$C$4:$C$964&lt;&gt;"")*(AR!$Y$4:$Y$964&lt;&gt;"")*(AR!$AA$4:$AA$964=""))</f>
        <v>0</v>
      </c>
      <c r="AF7" s="37">
        <f>SUMPRODUCT((AR!$C$4:$C$964&lt;&gt;"")*(AR!$AB$4:$AB$964&lt;&gt;""))</f>
        <v>0</v>
      </c>
      <c r="AG7" s="37">
        <f>SUMPRODUCT((AR!$C$4:$C$964&lt;&gt;"")*(AR!$Y$4:$Y$964&lt;&gt;"")*(AR!$AB$4:$AB$964=""))</f>
        <v>0</v>
      </c>
      <c r="AH7" s="23">
        <f>SUMPRODUCT((AR!$C$4:$C$964&lt;&gt;"")*(AR!$AC$4:$AC$964="A"))</f>
        <v>0</v>
      </c>
      <c r="AI7" s="24">
        <f>SUMPRODUCT((AR!$C$4:$C$964&lt;&gt;"")*(AR!$AC$4:$AC$964="B"))</f>
        <v>0</v>
      </c>
      <c r="AJ7" s="25">
        <f>SUMPRODUCT((AR!$C$4:$C$964&lt;&gt;"")*(AR!$AC$4:$AC$964="C"))</f>
        <v>0</v>
      </c>
    </row>
    <row r="8" spans="1:36" ht="16.149999999999999" customHeight="1">
      <c r="A8" s="21" t="s">
        <v>20</v>
      </c>
      <c r="B8" s="181" cm="1">
        <f t="array" ref="B8">SUMPRODUCT((ME!$C$4:$C$962&lt;&gt;"")*(ME!$D$4:$D$962&lt;&gt;""))</f>
        <v>52</v>
      </c>
      <c r="C8" s="182">
        <f>SUMPRODUCT((ME!$C$4:$C$927&lt;&gt;"")*(ME!$O$4:$O$927&lt;&gt;""))</f>
        <v>5</v>
      </c>
      <c r="D8" s="183">
        <f>SUMPRODUCT((ME!$C$4:$C$927&lt;&gt;"")*(ME!$P$4:$P$927&lt;&gt;""))</f>
        <v>5</v>
      </c>
      <c r="E8" s="183">
        <f>SUMPRODUCT((ME!$C$4:$C$927&lt;&gt;"")*(ME!$O$4:$O$927&lt;&gt;"")*(ME!$P$4:$P$927=""))</f>
        <v>0</v>
      </c>
      <c r="F8" s="183">
        <f>SUMPRODUCT((ME!$C$4:$C$927&lt;&gt;"")*(ME!$Q$4:$Q$927&lt;&gt;""))</f>
        <v>0</v>
      </c>
      <c r="G8" s="183">
        <f>SUMPRODUCT((ME!$C$4:$C$927&lt;&gt;"")*(ME!$O$4:$O$927&lt;&gt;"")*(ME!$Q$4:$Q$927=""))</f>
        <v>5</v>
      </c>
      <c r="H8" s="184">
        <f>SUMPRODUCT((ME!$C$4:$C$927&lt;&gt;"")*(ME!$R$4:$R$927&lt;&gt;""))</f>
        <v>0</v>
      </c>
      <c r="I8" s="184">
        <f>SUMPRODUCT((ME!$C$4:$C$927&lt;&gt;"")*(ME!$O$4:$O$927&lt;&gt;"")*(ME!$R$4:$R$927=""))</f>
        <v>5</v>
      </c>
      <c r="J8" s="185">
        <f>SUMPRODUCT((ME!$C$4:$C$927&lt;&gt;"")*(ME!$S$4:$S$927="A"))</f>
        <v>0</v>
      </c>
      <c r="K8" s="186">
        <f>SUMPRODUCT((ME!$C$4:$C$927&lt;&gt;"")*(ME!$S$4:$S$927="B"))</f>
        <v>0</v>
      </c>
      <c r="L8" s="187">
        <f>SUMPRODUCT((ME!$C$4:$C$927&lt;&gt;"")*(ME!$S$4:$S$927="C"))</f>
        <v>1</v>
      </c>
      <c r="M8" s="129"/>
      <c r="N8" s="40">
        <f>L8</f>
        <v>1</v>
      </c>
      <c r="O8" s="41">
        <f>SUMPRODUCT((ME!$C$4:$C$927&lt;&gt;"")*(ME!$T$4:$T$927&lt;&gt;""))</f>
        <v>0</v>
      </c>
      <c r="P8" s="22">
        <f>SUMPRODUCT((ME!$C$4:$C$927&lt;&gt;"")*(ME!$U$4:$U$927&lt;&gt;""))</f>
        <v>0</v>
      </c>
      <c r="Q8" s="22">
        <f>SUMPRODUCT((ME!$C$4:$C$927&lt;&gt;"")*(ME!$T$4:$T$927&lt;&gt;"")*(ME!$U$4:$U$927=""))</f>
        <v>0</v>
      </c>
      <c r="R8" s="22">
        <f>SUMPRODUCT((ME!$C$4:$C$927&lt;&gt;"")*(ME!$V$4:$V$927&lt;&gt;""))</f>
        <v>0</v>
      </c>
      <c r="S8" s="22">
        <f>SUMPRODUCT((ME!$C$4:$C$927&lt;&gt;"")*(ME!$T$4:$T$927&lt;&gt;"")*(ME!$V$4:$V$927=""))</f>
        <v>0</v>
      </c>
      <c r="T8" s="37">
        <f>SUMPRODUCT((ME!$C$4:$C$927&lt;&gt;"")*(ME!$W$4:$W$927&lt;&gt;""))</f>
        <v>0</v>
      </c>
      <c r="U8" s="37">
        <f>SUMPRODUCT((ME!$C$4:$C$927&lt;&gt;"")*(ME!$T$4:$T$927&lt;&gt;"")*(ME!$W$4:$W$927=""))</f>
        <v>0</v>
      </c>
      <c r="V8" s="23">
        <f>SUMPRODUCT((ME!$C$4:$C$927&lt;&gt;"")*(ME!$X$4:$X$927="A"))</f>
        <v>0</v>
      </c>
      <c r="W8" s="24">
        <f>SUMPRODUCT((ME!$C$4:$C$927&lt;&gt;"")*(ME!$X$4:$X$927="B"))</f>
        <v>0</v>
      </c>
      <c r="X8" s="25">
        <f>SUMPRODUCT((ME!$C$4:$C$927&lt;&gt;"")*(ME!$X$4:$X$927="C"))</f>
        <v>0</v>
      </c>
      <c r="Y8" s="129"/>
      <c r="Z8" s="40">
        <f>X8</f>
        <v>0</v>
      </c>
      <c r="AA8" s="41">
        <f>SUMPRODUCT((ME!$C$4:$C$927&lt;&gt;"")*(ME!$Y$4:$Y$927&lt;&gt;""))</f>
        <v>0</v>
      </c>
      <c r="AB8" s="22">
        <f>SUMPRODUCT((ME!$C$4:$C$927&lt;&gt;"")*(ME!$Z$4:$Z$927&lt;&gt;""))</f>
        <v>0</v>
      </c>
      <c r="AC8" s="22">
        <f>SUMPRODUCT((ME!$C$4:$C$927&lt;&gt;"")*(ME!$Y$4:$Y$927&lt;&gt;"")*(ME!$Z$4:$Z$927=""))</f>
        <v>0</v>
      </c>
      <c r="AD8" s="22">
        <f>SUMPRODUCT((ME!$C$4:$C$927&lt;&gt;"")*(ME!$AA$4:$AA$927&lt;&gt;""))</f>
        <v>0</v>
      </c>
      <c r="AE8" s="22">
        <f>SUMPRODUCT((ME!$C$4:$C$927&lt;&gt;"")*(ME!$Y$4:$Y$927&lt;&gt;"")*(ME!$AA$4:$AA$927=""))</f>
        <v>0</v>
      </c>
      <c r="AF8" s="37">
        <f>SUMPRODUCT((ME!$C$4:$C$927&lt;&gt;"")*(ME!$AB$4:$AB$927&lt;&gt;""))</f>
        <v>0</v>
      </c>
      <c r="AG8" s="37">
        <f>SUMPRODUCT((ME!$C$4:$C$927&lt;&gt;"")*(ME!$Y$4:$Y$927&lt;&gt;"")*(ME!$AB$4:$AB$927=""))</f>
        <v>0</v>
      </c>
      <c r="AH8" s="23">
        <f>SUMPRODUCT((ME!$C$4:$C$927&lt;&gt;"")*(ME!$AC$4:$AC$927="A"))</f>
        <v>0</v>
      </c>
      <c r="AI8" s="24">
        <f>SUMPRODUCT((ME!$C$4:$C$927&lt;&gt;"")*(ME!$AC$4:$AC$927="B"))</f>
        <v>0</v>
      </c>
      <c r="AJ8" s="25">
        <f>SUMPRODUCT((ME!$C$4:$C$927&lt;&gt;"")*(ME!$AC$4:$AC$927="C"))</f>
        <v>0</v>
      </c>
    </row>
    <row r="9" spans="1:36" ht="16.149999999999999" customHeight="1">
      <c r="A9" s="21" t="s">
        <v>21</v>
      </c>
      <c r="B9" s="181" cm="1">
        <f t="array" ref="B9">SUMPRODUCT((FI!$C$4:$C$949&lt;&gt;"")*(FI!$D$4:$D$949&lt;&gt;""))</f>
        <v>40</v>
      </c>
      <c r="C9" s="182">
        <f>SUMPRODUCT((FI!$C$4:$C$988&lt;&gt;"")*(FI!$O$4:$O$988&lt;&gt;""))</f>
        <v>11</v>
      </c>
      <c r="D9" s="183">
        <f>SUMPRODUCT((FI!$C$4:$C$988&lt;&gt;"")*(FI!$P$4:$P$988&lt;&gt;""))</f>
        <v>7</v>
      </c>
      <c r="E9" s="183">
        <f>SUMPRODUCT((FI!$C$4:$C$988&lt;&gt;"")*(FI!$O$4:$O$988&lt;&gt;"")*(FI!$P$4:$P$988=""))</f>
        <v>4</v>
      </c>
      <c r="F9" s="183">
        <f>SUMPRODUCT((FI!$C$4:$C$988&lt;&gt;"")*(FI!$Q$4:$Q$988&lt;&gt;""))</f>
        <v>0</v>
      </c>
      <c r="G9" s="183">
        <f>SUMPRODUCT((FI!$C$4:$C$988&lt;&gt;"")*(FI!$O$4:$O$988&lt;&gt;"")*(FI!$Q$4:$Q$988=""))</f>
        <v>11</v>
      </c>
      <c r="H9" s="184">
        <f>SUMPRODUCT((FI!$C$4:$C$988&lt;&gt;"")*(FI!$R$4:$R$988&lt;&gt;""))</f>
        <v>0</v>
      </c>
      <c r="I9" s="184">
        <f>SUMPRODUCT((FI!$C$4:$C$988&lt;&gt;"")*(FI!$O$4:$O$988&lt;&gt;"")*(FI!$R$4:$R$988=""))</f>
        <v>11</v>
      </c>
      <c r="J9" s="185">
        <f>SUMPRODUCT((FI!$C$4:$C$988&lt;&gt;"")*(FI!$S$4:$S$988="A"))</f>
        <v>0</v>
      </c>
      <c r="K9" s="186">
        <f>SUMPRODUCT((FI!$C$4:$C$988&lt;&gt;"")*(FI!$S$4:$S$988="B"))</f>
        <v>0</v>
      </c>
      <c r="L9" s="187">
        <f>SUMPRODUCT((FI!$C$4:$C$988&lt;&gt;"")*(FI!$S$4:$S$988="C"))</f>
        <v>0</v>
      </c>
      <c r="M9" s="129"/>
      <c r="N9" s="38">
        <f t="shared" ref="N9:N11" si="0">L9</f>
        <v>0</v>
      </c>
      <c r="O9" s="39">
        <f>SUMPRODUCT((FI!$C$4:$C$988&lt;&gt;"")*(FI!$T$4:$T$988&lt;&gt;""))</f>
        <v>0</v>
      </c>
      <c r="P9" s="22">
        <f>SUMPRODUCT((FI!$C$4:$C$988&lt;&gt;"")*(FI!$U$4:$U$988&lt;&gt;""))</f>
        <v>0</v>
      </c>
      <c r="Q9" s="22">
        <f>SUMPRODUCT((FI!$C$4:$C$988&lt;&gt;"")*(FI!$T$4:$T$988&lt;&gt;"")*(FI!$U$4:$U$988=""))</f>
        <v>0</v>
      </c>
      <c r="R9" s="22">
        <f>SUMPRODUCT((FI!$C$4:$C$988&lt;&gt;"")*(FI!$V$4:$V$988&lt;&gt;""))</f>
        <v>0</v>
      </c>
      <c r="S9" s="22">
        <f>SUMPRODUCT((FI!$C$4:$C$988&lt;&gt;"")*(FI!$T$4:$T$988&lt;&gt;"")*(FI!$V$4:$V$988=""))</f>
        <v>0</v>
      </c>
      <c r="T9" s="37">
        <f>SUMPRODUCT((FI!$C$4:$C$988&lt;&gt;"")*(FI!$W$4:$W$988&lt;&gt;""))</f>
        <v>0</v>
      </c>
      <c r="U9" s="37">
        <f>SUMPRODUCT((FI!$C$4:$C$988&lt;&gt;"")*(FI!$T$4:$T$988&lt;&gt;"")*(FI!$W$4:$W$988=""))</f>
        <v>0</v>
      </c>
      <c r="V9" s="23">
        <f>SUMPRODUCT((FI!$C$4:$C$988&lt;&gt;"")*(FI!$X$4:$X$988="A"))</f>
        <v>0</v>
      </c>
      <c r="W9" s="24">
        <f>SUMPRODUCT((FI!$C$4:$C$988&lt;&gt;"")*(FI!$X$4:$X$988="B"))</f>
        <v>0</v>
      </c>
      <c r="X9" s="25">
        <f>SUMPRODUCT((FI!$C$4:$C$988&lt;&gt;"")*(FI!$X$4:$X$988="C"))</f>
        <v>0</v>
      </c>
      <c r="Y9" s="129"/>
      <c r="Z9" s="38">
        <f t="shared" ref="Z9:Z11" si="1">X9</f>
        <v>0</v>
      </c>
      <c r="AA9" s="39">
        <f>SUMPRODUCT((FI!$C$4:$C$988&lt;&gt;"")*(FI!$Y$4:$Y$988&lt;&gt;""))</f>
        <v>0</v>
      </c>
      <c r="AB9" s="22">
        <f>SUMPRODUCT((FI!$C$4:$C$988&lt;&gt;"")*(FI!$Z$4:$Z$988&lt;&gt;""))</f>
        <v>0</v>
      </c>
      <c r="AC9" s="22">
        <f>SUMPRODUCT((FI!$C$4:$C$988&lt;&gt;"")*(FI!$Y$4:$Y$988&lt;&gt;"")*(FI!$Z$4:$Z$988=""))</f>
        <v>0</v>
      </c>
      <c r="AD9" s="22">
        <f>SUMPRODUCT((FI!$C$4:$C$988&lt;&gt;"")*(FI!$AA$4:$AA$988&lt;&gt;""))</f>
        <v>0</v>
      </c>
      <c r="AE9" s="22">
        <f>SUMPRODUCT((FI!$C$4:$C$988&lt;&gt;"")*(FI!$Y$4:$Y$988&lt;&gt;"")*(FI!$AA$4:$AA$988=""))</f>
        <v>0</v>
      </c>
      <c r="AF9" s="37">
        <f>SUMPRODUCT((FI!$C$4:$C$988&lt;&gt;"")*(FI!$AB$4:$AB$988&lt;&gt;""))</f>
        <v>0</v>
      </c>
      <c r="AG9" s="37">
        <f>SUMPRODUCT((FI!$C$4:$C$988&lt;&gt;"")*(FI!$Y$4:$Y$988&lt;&gt;"")*(FI!$AB$4:$AB$988=""))</f>
        <v>0</v>
      </c>
      <c r="AH9" s="23">
        <f>SUMPRODUCT((FI!$C$4:$C$988&lt;&gt;"")*(FI!$AC$4:$AC$988="A"))</f>
        <v>0</v>
      </c>
      <c r="AI9" s="24">
        <f>SUMPRODUCT((FI!$C$4:$C$988&lt;&gt;"")*(FI!$AC$4:$AC$988="B"))</f>
        <v>0</v>
      </c>
      <c r="AJ9" s="25">
        <f>SUMPRODUCT((FI!$C$4:$C$988&lt;&gt;"")*(FI!$AC$4:$AC$988="C"))</f>
        <v>0</v>
      </c>
    </row>
    <row r="10" spans="1:36" ht="16.149999999999999" customHeight="1">
      <c r="A10" s="21" t="s">
        <v>22</v>
      </c>
      <c r="B10" s="181" cm="1">
        <f t="array" ref="B10">SUMPRODUCT((HY!$C$5:$C$957&lt;&gt;"")*(HY!$D$5:$D$957&lt;&gt;""))</f>
        <v>31</v>
      </c>
      <c r="C10" s="182" cm="1">
        <f t="array" ref="C10">SUMPRODUCT((HY!$C$5:$C$999&lt;&gt;"")*(HY!$O$5:$O$999&lt;&gt;""))</f>
        <v>11</v>
      </c>
      <c r="D10" s="183">
        <f>SUMPRODUCT((HY!$C$5:$C$999&lt;&gt;"")*(HY!$P$5:$P$999&lt;&gt;""))</f>
        <v>11</v>
      </c>
      <c r="E10" s="183">
        <f>SUMPRODUCT((HY!$C$5:$C$999&lt;&gt;"")*(HY!$O$5:$O$999&lt;&gt;"")*(HY!$P$5:$P$999=""))</f>
        <v>0</v>
      </c>
      <c r="F10" s="183">
        <f>SUMPRODUCT((HY!$C$5:$C$999&lt;&gt;"")*(HY!$Q$5:$Q$999&lt;&gt;""))</f>
        <v>0</v>
      </c>
      <c r="G10" s="183">
        <f>SUMPRODUCT((HY!$C$5:$C$999&lt;&gt;"")*(HY!$O$5:$O$999&lt;&gt;"")*(HY!$Q$5:$Q$999=""))</f>
        <v>11</v>
      </c>
      <c r="H10" s="184">
        <f>SUMPRODUCT((HY!$C$5:$C$999&lt;&gt;"")*(HY!$R$5:$R$999&lt;&gt;""))</f>
        <v>0</v>
      </c>
      <c r="I10" s="184">
        <f>SUMPRODUCT((HY!$C$5:$C$999&lt;&gt;"")*(HY!$O$5:$O$999&lt;&gt;"")*(HY!$R$5:$R$999=""))</f>
        <v>11</v>
      </c>
      <c r="J10" s="185">
        <f>SUMPRODUCT((HY!$C$5:$C$999&lt;&gt;"")*(HY!$S$5:$S$999="A"))</f>
        <v>0</v>
      </c>
      <c r="K10" s="186">
        <f>SUMPRODUCT((HY!$C$5:$C$999&lt;&gt;"")*(HY!$S$5:$S$999="B"))</f>
        <v>0</v>
      </c>
      <c r="L10" s="187">
        <f>SUMPRODUCT((HY!$C$5:$C$999&lt;&gt;"")*(HY!$S$5:$S$999="C"))</f>
        <v>0</v>
      </c>
      <c r="M10" s="129"/>
      <c r="N10" s="188">
        <f t="shared" si="0"/>
        <v>0</v>
      </c>
      <c r="O10" s="189">
        <f>SUMPRODUCT((HY!$C$5:$C$999&lt;&gt;"")*(HY!$T$5:$T$999&lt;&gt;""))</f>
        <v>0</v>
      </c>
      <c r="P10" s="190">
        <f>SUMPRODUCT((HY!$C$5:$C$999&lt;&gt;"")*(HY!$U$5:$U$999&lt;&gt;""))</f>
        <v>0</v>
      </c>
      <c r="Q10" s="190">
        <f>SUMPRODUCT((HY!$C$5:$C$999&lt;&gt;"")*(HY!$T$5:$T$999&lt;&gt;"")*(HY!$U$5:$U$999=""))</f>
        <v>0</v>
      </c>
      <c r="R10" s="190">
        <f>SUMPRODUCT((HY!$C$5:$C$999&lt;&gt;"")*(HY!$V$5:$V$999&lt;&gt;""))</f>
        <v>0</v>
      </c>
      <c r="S10" s="190">
        <f>SUMPRODUCT((HY!$C$5:$C$999&lt;&gt;"")*(HY!$T$5:$T$999&lt;&gt;"")*(HY!$V$5:$V$999=""))</f>
        <v>0</v>
      </c>
      <c r="T10" s="191">
        <f>SUMPRODUCT((HY!$C$5:$C$999&lt;&gt;"")*(HY!$W$5:$W$999&lt;&gt;""))</f>
        <v>0</v>
      </c>
      <c r="U10" s="191">
        <f>SUMPRODUCT((HY!$C$5:$C$999&lt;&gt;"")*(HY!$T$5:$T$999&lt;&gt;"")*(HY!$W$5:$W$999=""))</f>
        <v>0</v>
      </c>
      <c r="V10" s="192">
        <f>SUMPRODUCT((HY!$C$5:$C$999&lt;&gt;"")*(HY!$X$5:$X$999="A"))</f>
        <v>0</v>
      </c>
      <c r="W10" s="193">
        <f>SUMPRODUCT((HY!$C$5:$C$999&lt;&gt;"")*(HY!$X$5:$X$999="B"))</f>
        <v>0</v>
      </c>
      <c r="X10" s="194">
        <f>SUMPRODUCT((HY!$C$5:$C$999&lt;&gt;"")*(HY!$X$5:$X$999="C"))</f>
        <v>0</v>
      </c>
      <c r="Y10" s="129"/>
      <c r="Z10" s="38">
        <f t="shared" si="1"/>
        <v>0</v>
      </c>
      <c r="AA10" s="39">
        <f>SUMPRODUCT((HY!$C$5:$C$999&lt;&gt;"")*(HY!$Y$5:$Y$999&lt;&gt;""))</f>
        <v>0</v>
      </c>
      <c r="AB10" s="22">
        <f>SUMPRODUCT((HY!$C$5:$C$999&lt;&gt;"")*(HY!$Z$5:$Z$999&lt;&gt;""))</f>
        <v>0</v>
      </c>
      <c r="AC10" s="22">
        <f>SUMPRODUCT((HY!$C$5:$C$999&lt;&gt;"")*(HY!$Y$5:$Y$999&lt;&gt;"")*(HY!$Z$5:$Z$999=""))</f>
        <v>0</v>
      </c>
      <c r="AD10" s="22">
        <f>SUMPRODUCT((HY!$C$5:$C$999&lt;&gt;"")*(HY!$AA$5:$AA$999&lt;&gt;""))</f>
        <v>0</v>
      </c>
      <c r="AE10" s="22">
        <f>SUMPRODUCT((HY!$C$5:$C$999&lt;&gt;"")*(HY!$Y$5:$Y$999&lt;&gt;"")*(HY!$AA$5:$AA$999=""))</f>
        <v>0</v>
      </c>
      <c r="AF10" s="37">
        <f>SUMPRODUCT((HY!$C$5:$C$999&lt;&gt;"")*(HY!$AB$5:$AB$999&lt;&gt;""))</f>
        <v>0</v>
      </c>
      <c r="AG10" s="37">
        <f>SUMPRODUCT((HY!$C$5:$C$999&lt;&gt;"")*(HY!$Y$5:$Y$999&lt;&gt;"")*(HY!$AB$5:$AB$999=""))</f>
        <v>0</v>
      </c>
      <c r="AH10" s="23">
        <f>SUMPRODUCT((HY!$C$5:$C$999&lt;&gt;"")*(HY!$AC$5:$AC$999="A"))</f>
        <v>0</v>
      </c>
      <c r="AI10" s="24">
        <f>SUMPRODUCT((HY!$C$5:$C$999&lt;&gt;"")*(HY!$AC$5:$AC$999="B"))</f>
        <v>0</v>
      </c>
      <c r="AJ10" s="25">
        <f>SUMPRODUCT((HY!$C$5:$C$999&lt;&gt;"")*(HY!$AC$5:$AC$999="C"))</f>
        <v>0</v>
      </c>
    </row>
    <row r="11" spans="1:36" ht="16.149999999999999" customHeight="1">
      <c r="A11" s="21" t="s">
        <v>23</v>
      </c>
      <c r="B11" s="181" cm="1">
        <f t="array" ref="B11">SUMPRODUCT((EL!$C$4:$C$960&lt;&gt;"")*(EL!$D$4:$D$960&lt;&gt;""))</f>
        <v>258</v>
      </c>
      <c r="C11" s="182" cm="1">
        <f t="array" ref="C11">SUMPRODUCT((EL!$C$4:$C$929&lt;&gt;"")*(EL!$Q$4:$Q$929&lt;&gt;""))</f>
        <v>71</v>
      </c>
      <c r="D11" s="183">
        <f>SUMPRODUCT((EL!$C$4:$C$1136&lt;&gt;"")*(EL!$R$4:$R$1136&lt;&gt;""))</f>
        <v>36</v>
      </c>
      <c r="E11" s="183">
        <f>SUMPRODUCT((EL!$C$4:$C$1136&lt;&gt;"")*(EL!$Q$4:$Q$1136&lt;&gt;"")*(EL!$R$4:$R$1136=""))</f>
        <v>35</v>
      </c>
      <c r="F11" s="183">
        <f>SUMPRODUCT((EL!$C$4:$C$1136&lt;&gt;"")*(EL!$S$4:$S$1136&lt;&gt;""))</f>
        <v>24</v>
      </c>
      <c r="G11" s="183">
        <f>SUMPRODUCT((EL!$C$4:$C$1136&lt;&gt;"")*(EL!$Q$4:$Q$1136&lt;&gt;"")*(EL!$S$4:$S$1136=""))</f>
        <v>47</v>
      </c>
      <c r="H11" s="184">
        <f>SUMPRODUCT((EL!$C$4:$C$1136&lt;&gt;"")*(EL!$T$4:$T$1136&lt;&gt;""))</f>
        <v>3</v>
      </c>
      <c r="I11" s="184">
        <f>SUMPRODUCT((EL!$C$4:$C$1136&lt;&gt;"")*(EL!$Q$4:$Q$1136&lt;&gt;"")*(EL!$T$4:$T$1136=""))</f>
        <v>68</v>
      </c>
      <c r="J11" s="185">
        <f>SUMPRODUCT((EL!$C$4:$C$1136&lt;&gt;"")*(EL!$U$4:$U$1136="A"))</f>
        <v>0</v>
      </c>
      <c r="K11" s="186">
        <f>SUMPRODUCT((EL!$C$4:$C$1136&lt;&gt;"")*(EL!$U$4:$U$1136="B"))</f>
        <v>0</v>
      </c>
      <c r="L11" s="187">
        <f>SUMPRODUCT((EL!$C$4:$C$1136&lt;&gt;"")*(EL!$U$4:$U$1136="C"))</f>
        <v>3</v>
      </c>
      <c r="M11" s="129"/>
      <c r="N11" s="195">
        <f t="shared" si="0"/>
        <v>3</v>
      </c>
      <c r="O11" s="196">
        <f>SUMPRODUCT((EL!$C$4:$C$1136&lt;&gt;"")*(EL!$V$4:$V$1136&lt;&gt;""))</f>
        <v>3</v>
      </c>
      <c r="P11" s="183">
        <f>SUMPRODUCT((EL!$C$4:$C$1136&lt;&gt;"")*(EL!$W$4:$W$1136&lt;&gt;""))</f>
        <v>2</v>
      </c>
      <c r="Q11" s="183">
        <f>SUMPRODUCT((EL!$C$4:$C$1136&lt;&gt;"")*(EL!$V$4:$V$1136&lt;&gt;"")*(EL!$W$4:$W$1136=""))</f>
        <v>1</v>
      </c>
      <c r="R11" s="183">
        <f>SUMPRODUCT((EL!$C$4:$C$1136&lt;&gt;"")*(EL!$X$4:$X$1136&lt;&gt;""))</f>
        <v>1</v>
      </c>
      <c r="S11" s="183">
        <f>SUMPRODUCT((EL!$C$4:$C$1136&lt;&gt;"")*(EL!$V$4:$V$1136&lt;&gt;"")*(EL!$X$4:$X$1136=""))</f>
        <v>2</v>
      </c>
      <c r="T11" s="184">
        <f>SUMPRODUCT((EL!$C$4:$C$1136&lt;&gt;"")*(EL!$Y$4:$Y$1136&lt;&gt;""))</f>
        <v>0</v>
      </c>
      <c r="U11" s="184">
        <f>SUMPRODUCT((EL!$C$4:$C$1136&lt;&gt;"")*(EL!$V$4:$V$1136&lt;&gt;"")*(EL!$Y$4:$Y$1136=""))</f>
        <v>3</v>
      </c>
      <c r="V11" s="185">
        <f>SUMPRODUCT((EL!$C$4:$C$1136&lt;&gt;"")*(EL!$Z$4:$Z$1136="A"))</f>
        <v>0</v>
      </c>
      <c r="W11" s="186">
        <f>SUMPRODUCT((EL!$C$4:$C$1136&lt;&gt;"")*(EL!$Z$4:$Z$1136="B"))</f>
        <v>0</v>
      </c>
      <c r="X11" s="187">
        <f>SUMPRODUCT((EL!$C$4:$C$1136&lt;&gt;"")*(EL!$Z$4:$Z$1136="C"))</f>
        <v>0</v>
      </c>
      <c r="Y11" s="129"/>
      <c r="Z11" s="188">
        <f t="shared" si="1"/>
        <v>0</v>
      </c>
      <c r="AA11" s="189">
        <f>SUMPRODUCT((EL!$C$4:$C$1136&lt;&gt;"")*(EL!$AA$4:$AA$1136&lt;&gt;""))</f>
        <v>0</v>
      </c>
      <c r="AB11" s="190">
        <f>SUMPRODUCT((EL!$C$4:$C$1136&lt;&gt;"")*(EL!$AB$4:$AB$1136&lt;&gt;""))</f>
        <v>0</v>
      </c>
      <c r="AC11" s="190">
        <f>SUMPRODUCT((EL!$C$4:$C$1136&lt;&gt;"")*(EL!$AA$4:$AA$1136&lt;&gt;"")*(EL!$AB$4:$AB$1136=""))</f>
        <v>0</v>
      </c>
      <c r="AD11" s="190">
        <f>SUMPRODUCT((EL!$C$4:$C$1136&lt;&gt;"")*(EL!$AC$4:$AC$1136&lt;&gt;""))</f>
        <v>0</v>
      </c>
      <c r="AE11" s="190">
        <f>SUMPRODUCT((EL!$C$4:$C$1136&lt;&gt;"")*(EL!$AA$4:$AA$1136&lt;&gt;"")*(EL!$AC$4:$AC$1136=""))</f>
        <v>0</v>
      </c>
      <c r="AF11" s="191">
        <f>SUMPRODUCT((EL!$C$4:$C$1136&lt;&gt;"")*(EL!$AD$4:$AD$1136&lt;&gt;""))</f>
        <v>0</v>
      </c>
      <c r="AG11" s="191">
        <f>SUMPRODUCT((EL!$C$4:$C$1136&lt;&gt;"")*(EL!$AA$4:$AA$1136&lt;&gt;"")*(EL!$AD$4:$AD$1136=""))</f>
        <v>0</v>
      </c>
      <c r="AH11" s="192">
        <f>SUMPRODUCT((EL!$C$4:$C$1136&lt;&gt;"")*(EL!$AE$4:$AE$1136="A"))</f>
        <v>0</v>
      </c>
      <c r="AI11" s="193">
        <f>SUMPRODUCT((EL!$C$4:$C$1136&lt;&gt;"")*(EL!$AE$4:$AE$1136="B"))</f>
        <v>0</v>
      </c>
      <c r="AJ11" s="194">
        <f>SUMPRODUCT((EL!$C$4:$C$1136&lt;&gt;"")*(EL!$AE$4:$AE$1136="C"))</f>
        <v>0</v>
      </c>
    </row>
    <row r="12" spans="1:36" ht="28.15" thickBot="1">
      <c r="A12" s="237" t="s">
        <v>24</v>
      </c>
      <c r="B12" s="181" cm="1">
        <f t="array" ref="B12">SUMPRODUCT((CSD!$C$4:$C$972&lt;&gt;"")*(CSD!$D$4:$D$972&lt;&gt;""))</f>
        <v>27</v>
      </c>
      <c r="C12" s="182" cm="1">
        <f t="array" ref="C12">SUMPRODUCT((CSD!$C$4:$C$980&lt;&gt;"")*(CSD!$O$4:$O$980&lt;&gt;""))</f>
        <v>13</v>
      </c>
      <c r="D12" s="183" cm="1">
        <f t="array" ref="D12">SUMPRODUCT((CSD!$C$4:$C$1187&lt;&gt;"")*(CSD!$P$4:$P$1187&lt;&gt;""))</f>
        <v>0</v>
      </c>
      <c r="E12" s="183" cm="1">
        <f t="array" ref="E12">SUMPRODUCT((CSD!$C$4:$C$1187&lt;&gt;"")*(CSD!$O$4:$O$1187&lt;&gt;"")*(CSD!$P$4:$P$1187=""))</f>
        <v>13</v>
      </c>
      <c r="F12" s="183" cm="1">
        <f t="array" ref="F12">SUMPRODUCT((CSD!$C$4:$C$1187&lt;&gt;"")*(CSD!$Q$4:$Q$1187&lt;&gt;""))</f>
        <v>0</v>
      </c>
      <c r="G12" s="183" cm="1">
        <f t="array" ref="G12">SUMPRODUCT((CSD!$C$4:$C$1187&lt;&gt;"")*(CSD!$O$4:$O$1187&lt;&gt;"")*(CSD!$Q$4:$Q$1187=""))</f>
        <v>13</v>
      </c>
      <c r="H12" s="184" cm="1">
        <f t="array" ref="H12">SUMPRODUCT((CSD!$C$4:$C$1187&lt;&gt;"")*(CSD!$R$4:$R$1187&lt;&gt;""))</f>
        <v>0</v>
      </c>
      <c r="I12" s="184" cm="1">
        <f t="array" ref="I12">SUMPRODUCT((CSD!$C$4:$C$1187&lt;&gt;"")*(CSD!$O$4:$O$1187&lt;&gt;"")*(CSD!$R$4:$R$1187=""))</f>
        <v>13</v>
      </c>
      <c r="J12" s="185" cm="1">
        <f t="array" ref="J12">SUMPRODUCT((CSD!$C$4:$C$1187&lt;&gt;"")*(CSD!$S$4:$S$1187="A"))</f>
        <v>0</v>
      </c>
      <c r="K12" s="186" cm="1">
        <f t="array" ref="K12">SUMPRODUCT((CSD!$C$4:$C$1187&lt;&gt;"")*(CSD!$S$4:$S$1187="B"))</f>
        <v>0</v>
      </c>
      <c r="L12" s="187" cm="1">
        <f t="array" ref="L12">SUMPRODUCT((CSD!$C$4:$C$1187&lt;&gt;"")*(CSD!$S$4:$S$1187="C"))</f>
        <v>0</v>
      </c>
      <c r="M12" s="3"/>
      <c r="N12" s="195">
        <f t="shared" ref="N12" si="2">L12</f>
        <v>0</v>
      </c>
      <c r="O12" s="196" cm="1">
        <f t="array" ref="O12">SUMPRODUCT((CSD!$C$4:$C$1187&lt;&gt;"")*(CSD!$T$4:$T$1187&lt;&gt;""))</f>
        <v>0</v>
      </c>
      <c r="P12" s="183" cm="1">
        <f t="array" ref="P12">SUMPRODUCT((CSD!$C$4:$C$1187&lt;&gt;"")*(CSD!$U$4:$U$1187&lt;&gt;""))</f>
        <v>0</v>
      </c>
      <c r="Q12" s="183" cm="1">
        <f t="array" ref="Q12">SUMPRODUCT((CSD!$C$4:$C$1187&lt;&gt;"")*(CSD!$T$4:$T$1187&lt;&gt;"")*(CSD!$U$4:$U$1187=""))</f>
        <v>0</v>
      </c>
      <c r="R12" s="183" cm="1">
        <f t="array" ref="R12">SUMPRODUCT((CSD!$C$4:$C$1187&lt;&gt;"")*(CSD!$V$4:$V$1187&lt;&gt;""))</f>
        <v>0</v>
      </c>
      <c r="S12" s="183" cm="1">
        <f t="array" ref="S12">SUMPRODUCT((CSD!$C$4:$C$1187&lt;&gt;"")*(CSD!$T$4:$T$1187&lt;&gt;"")*(CSD!$V$4:$V$1187=""))</f>
        <v>0</v>
      </c>
      <c r="T12" s="184" cm="1">
        <f t="array" ref="T12">SUMPRODUCT((CSD!$C$4:$C$1187&lt;&gt;"")*(CSD!$W$4:$W$1187&lt;&gt;""))</f>
        <v>0</v>
      </c>
      <c r="U12" s="184" cm="1">
        <f t="array" ref="U12">SUMPRODUCT((CSD!$C$4:$C$1187&lt;&gt;"")*(CSD!$T$4:$T$1187&lt;&gt;"")*(CSD!$W$4:$W$1187=""))</f>
        <v>0</v>
      </c>
      <c r="V12" s="185" cm="1">
        <f t="array" ref="V12">SUMPRODUCT((CSD!$C$4:$C$1187&lt;&gt;"")*(CSD!$X$4:$X$1187="A"))</f>
        <v>0</v>
      </c>
      <c r="W12" s="186" cm="1">
        <f t="array" ref="W12">SUMPRODUCT((CSD!$C$4:$C$1187&lt;&gt;"")*(CSD!$X$4:$X$1187="B"))</f>
        <v>0</v>
      </c>
      <c r="X12" s="187" cm="1">
        <f t="array" ref="X12">SUMPRODUCT((CSD!$C$4:$C$1187&lt;&gt;"")*(CSD!$X$4:$X$1187="C"))</f>
        <v>0</v>
      </c>
      <c r="Y12" s="129"/>
      <c r="Z12" s="188">
        <f t="shared" ref="Z12" si="3">X12</f>
        <v>0</v>
      </c>
      <c r="AA12" s="189" cm="1">
        <f t="array" ref="AA12">SUMPRODUCT((CSD!$C$4:$C$1187&lt;&gt;"")*(CSD!$Y$4:$Y$1187&lt;&gt;""))</f>
        <v>0</v>
      </c>
      <c r="AB12" s="190" cm="1">
        <f t="array" ref="AB12">SUMPRODUCT((CSD!$C$4:$C$1187&lt;&gt;"")*(CSD!$Z$4:$Z$1187&lt;&gt;""))</f>
        <v>0</v>
      </c>
      <c r="AC12" s="190" cm="1">
        <f t="array" ref="AC12">SUMPRODUCT((CSD!$C$4:$C$1187&lt;&gt;"")*(CSD!$Y$4:$Y$1187&lt;&gt;"")*(CSD!$Z$4:$Z$1187=""))</f>
        <v>0</v>
      </c>
      <c r="AD12" s="190" cm="1">
        <f t="array" ref="AD12">SUMPRODUCT((CSD!$C$4:$C$1187&lt;&gt;"")*(CSD!$AA$4:$AA$1187&lt;&gt;""))</f>
        <v>0</v>
      </c>
      <c r="AE12" s="190" cm="1">
        <f t="array" ref="AE12">SUMPRODUCT((CSD!$C$4:$C$1187&lt;&gt;"")*(CSD!$Y$4:$Y$1187&lt;&gt;"")*(CSD!$AA$4:$AA$1187=""))</f>
        <v>0</v>
      </c>
      <c r="AF12" s="191" cm="1">
        <f t="array" ref="AF12">SUMPRODUCT((CSD!$C$4:$C$1187&lt;&gt;"")*(CSD!$AB$4:$AB$1187&lt;&gt;""))</f>
        <v>0</v>
      </c>
      <c r="AG12" s="191" cm="1">
        <f t="array" ref="AG12">SUMPRODUCT((CSD!$C$4:$C$1187&lt;&gt;"")*(CSD!$Y$4:$Y$1187&lt;&gt;"")*(CSD!$AB$4:$AB$1187=""))</f>
        <v>0</v>
      </c>
      <c r="AH12" s="192" cm="1">
        <f t="array" ref="AH12">SUMPRODUCT((CSD!$C$4:$C$1187&lt;&gt;"")*(CSD!$AC$4:$AC$1187="A"))</f>
        <v>0</v>
      </c>
      <c r="AI12" s="193" cm="1">
        <f t="array" ref="AI12">SUMPRODUCT((CSD!$C$4:$C$1187&lt;&gt;"")*(CSD!$AC$4:$AC$1187="B"))</f>
        <v>0</v>
      </c>
      <c r="AJ12" s="194" cm="1">
        <f t="array" ref="AJ12">SUMPRODUCT((CSD!$C$4:$C$1187&lt;&gt;"")*(CSD!$AC$4:$AC$1187="C"))</f>
        <v>0</v>
      </c>
    </row>
    <row r="13" spans="1:36" s="26" customFormat="1" ht="14.45" thickBot="1">
      <c r="A13" s="27" t="s">
        <v>25</v>
      </c>
      <c r="B13" s="28">
        <f>SUM(B6:B12)</f>
        <v>510</v>
      </c>
      <c r="C13" s="28">
        <f>SUM(C6:C12)</f>
        <v>137</v>
      </c>
      <c r="D13" s="28">
        <f>SUM(D6:D12)</f>
        <v>85</v>
      </c>
      <c r="E13" s="28">
        <f t="shared" ref="E13:AJ13" si="4">SUM(E6:E12)</f>
        <v>52</v>
      </c>
      <c r="F13" s="28">
        <f t="shared" si="4"/>
        <v>47</v>
      </c>
      <c r="G13" s="28">
        <f t="shared" si="4"/>
        <v>90</v>
      </c>
      <c r="H13" s="28">
        <f t="shared" si="4"/>
        <v>18</v>
      </c>
      <c r="I13" s="28">
        <f t="shared" si="4"/>
        <v>119</v>
      </c>
      <c r="J13" s="28">
        <f t="shared" si="4"/>
        <v>0</v>
      </c>
      <c r="K13" s="28">
        <f t="shared" si="4"/>
        <v>14</v>
      </c>
      <c r="L13" s="28">
        <f t="shared" si="4"/>
        <v>6</v>
      </c>
      <c r="M13" s="28">
        <f t="shared" si="4"/>
        <v>0</v>
      </c>
      <c r="N13" s="28">
        <f t="shared" si="4"/>
        <v>6</v>
      </c>
      <c r="O13" s="28">
        <f>SUM(O6:O12)</f>
        <v>4</v>
      </c>
      <c r="P13" s="28">
        <f t="shared" si="4"/>
        <v>3</v>
      </c>
      <c r="Q13" s="28">
        <f t="shared" si="4"/>
        <v>1</v>
      </c>
      <c r="R13" s="28">
        <f t="shared" si="4"/>
        <v>2</v>
      </c>
      <c r="S13" s="28">
        <f t="shared" si="4"/>
        <v>2</v>
      </c>
      <c r="T13" s="28">
        <f t="shared" si="4"/>
        <v>0</v>
      </c>
      <c r="U13" s="28">
        <f t="shared" si="4"/>
        <v>4</v>
      </c>
      <c r="V13" s="28">
        <f t="shared" si="4"/>
        <v>0</v>
      </c>
      <c r="W13" s="28">
        <f t="shared" si="4"/>
        <v>0</v>
      </c>
      <c r="X13" s="28">
        <f t="shared" si="4"/>
        <v>0</v>
      </c>
      <c r="Y13" s="28">
        <f t="shared" si="4"/>
        <v>0</v>
      </c>
      <c r="Z13" s="28">
        <f t="shared" si="4"/>
        <v>0</v>
      </c>
      <c r="AA13" s="28">
        <f t="shared" si="4"/>
        <v>0</v>
      </c>
      <c r="AB13" s="28">
        <f t="shared" si="4"/>
        <v>0</v>
      </c>
      <c r="AC13" s="28">
        <f t="shared" si="4"/>
        <v>0</v>
      </c>
      <c r="AD13" s="28">
        <f t="shared" si="4"/>
        <v>0</v>
      </c>
      <c r="AE13" s="28">
        <f t="shared" si="4"/>
        <v>0</v>
      </c>
      <c r="AF13" s="28">
        <f t="shared" si="4"/>
        <v>0</v>
      </c>
      <c r="AG13" s="28">
        <f t="shared" si="4"/>
        <v>0</v>
      </c>
      <c r="AH13" s="28">
        <f t="shared" si="4"/>
        <v>0</v>
      </c>
      <c r="AI13" s="28">
        <f t="shared" si="4"/>
        <v>0</v>
      </c>
      <c r="AJ13" s="28">
        <f t="shared" si="4"/>
        <v>0</v>
      </c>
    </row>
    <row r="120" spans="3:36" s="70" customFormat="1" ht="27.6">
      <c r="C120" s="71" t="s">
        <v>1</v>
      </c>
      <c r="D120" s="71" t="s">
        <v>26</v>
      </c>
      <c r="E120" s="71" t="s">
        <v>17</v>
      </c>
      <c r="F120" s="71" t="s">
        <v>27</v>
      </c>
      <c r="G120" s="71" t="s">
        <v>28</v>
      </c>
      <c r="H120" s="71" t="s">
        <v>29</v>
      </c>
      <c r="I120" s="71" t="s">
        <v>30</v>
      </c>
      <c r="J120" s="71" t="s">
        <v>31</v>
      </c>
      <c r="K120" s="71" t="s">
        <v>32</v>
      </c>
      <c r="L120" s="71" t="s">
        <v>33</v>
      </c>
      <c r="M120" s="71" t="s">
        <v>34</v>
      </c>
      <c r="N120" s="71" t="s">
        <v>35</v>
      </c>
      <c r="O120" s="71"/>
      <c r="P120" s="71"/>
      <c r="Q120" s="71"/>
      <c r="R120" s="71"/>
      <c r="S120" s="69"/>
      <c r="T120" s="69"/>
      <c r="U120" s="68"/>
      <c r="V120" s="68"/>
      <c r="W120" s="68"/>
      <c r="X120" s="68"/>
      <c r="Y120" s="68"/>
      <c r="Z120" s="68"/>
      <c r="AA120" s="69"/>
      <c r="AB120" s="68"/>
      <c r="AC120" s="68"/>
      <c r="AD120" s="68"/>
      <c r="AE120" s="68"/>
      <c r="AF120" s="68"/>
      <c r="AG120" s="68"/>
      <c r="AH120" s="68"/>
      <c r="AI120" s="68"/>
      <c r="AJ120" s="68"/>
    </row>
    <row r="121" spans="3:36" ht="13.9">
      <c r="C121" s="71" t="s">
        <v>18</v>
      </c>
      <c r="D121" s="67">
        <f>B6</f>
        <v>19</v>
      </c>
      <c r="E121" s="67" cm="1">
        <f t="array" ref="E121">SUMPRODUCT((ST!$C$4:$C$957&lt;&gt;"")*(ST!$D$4:$D$957&lt;&gt;"")*((ST!$K$4:$K$957="A")+(ST!$K$4:$K$957="B")+(ST!$K$4:$K$957="PENDING")))</f>
        <v>0</v>
      </c>
      <c r="F121" s="67" cm="1">
        <f t="array" ref="F121">SUMPRODUCT((ST!$C$4:$C$957&lt;&gt;"")*(ST!$D$4:$D$957&lt;&gt;"")*((ST!$K$4:$K$957="A")+(ST!$K$4:$K$957="B")))</f>
        <v>0</v>
      </c>
      <c r="G121" s="67" cm="1">
        <f t="array" ref="G121">SUMPRODUCT((ST!$C$4:$C$957&lt;&gt;"")*(ST!$D$4:$D$957&lt;&gt;"")*(ST!$K$4:$K$957="C"))</f>
        <v>0</v>
      </c>
      <c r="H121" s="67" cm="1">
        <f t="array" ref="H121">SUMPRODUCT((ST!$C$4:$C$957&lt;&gt;"")*(ST!$D$4:$D$957&lt;&gt;"")*((ST!$K$4:$K$957="C")+(ST!$K$4:$K$957="")))</f>
        <v>19</v>
      </c>
      <c r="I121" s="67" cm="1">
        <f t="array" ref="I121">SUMPRODUCT((ST!$C$4:$C$965&lt;&gt;"")*(ST!$D$4:$D$965&lt;&gt;"")*((ST!$I$4:$I$965=0)*(ST!$P$4:$P$965&lt;&gt;"")+(ST!$I$4:$I$965=1)*(ST!$U$4:$U$965&lt;&gt;"")+(ST!$I$4:$I$965=2)*(ST!$Z$4:$Z$965&lt;&gt;"")))</f>
        <v>0</v>
      </c>
      <c r="J121" s="67" cm="1">
        <f t="array" ref="J121">SUMPRODUCT((ST!$C$4:$C$957&lt;&gt;"")*(ST!$D$4:$D$957&lt;&gt;"")*(ST!$J$4:$J$957="CTA"))</f>
        <v>0</v>
      </c>
      <c r="K121" s="67" cm="1">
        <f t="array" ref="K121">SUMPRODUCT((ST!$C$4:$C$965&lt;&gt;"")*(ST!$D$4:$D$965&lt;&gt;"")*((ST!$I$4:$I$965=0)*(ST!$Q$4:$Q$965&lt;&gt;"")+(ST!$I$4:$I$965=1)*(ST!$V$4:$V$965&lt;&gt;"")+(ST!$I$4:$I$965=2)*(ST!$AA$4:$AA$965&lt;&gt;"")))</f>
        <v>0</v>
      </c>
      <c r="L121" s="67" cm="1">
        <f t="array" ref="L121">SUMPRODUCT((ST!$C$4:$C$957&lt;&gt;"")*(ST!$D$4:$D$957&lt;&gt;"")*(ST!$J$4:$J$957="AUR"))</f>
        <v>0</v>
      </c>
      <c r="M121" s="67" cm="1">
        <f t="array" ref="M121">SUMPRODUCT((ST!$C$4:$C$965&lt;&gt;"")*(ST!$D$4:$D$965&lt;&gt;"")*((ST!$I$4:$I$965=0)*(ST!$R$4:$R$965&lt;&gt;"")+(ST!$I$4:$I$965=1)*(ST!$W$4:$W$965&lt;&gt;"")+(ST!$I$4:$I$965=2)*(ST!$AB$4:$AB$965&lt;&gt;"")))</f>
        <v>0</v>
      </c>
      <c r="N121" s="67" cm="1">
        <f t="array" ref="N121">SUMPRODUCT((ST!$C$4:$C$957&lt;&gt;"")*(ST!$D$4:$D$957&lt;&gt;"")*(ST!$J$4:$J$957="STT"))</f>
        <v>0</v>
      </c>
      <c r="O121" s="67"/>
      <c r="P121" s="67"/>
      <c r="Q121" s="67"/>
      <c r="R121" s="67"/>
    </row>
    <row r="122" spans="3:36" ht="13.9">
      <c r="C122" s="71" t="s">
        <v>19</v>
      </c>
      <c r="D122" s="67">
        <f>B7</f>
        <v>83</v>
      </c>
      <c r="E122" s="67">
        <f>SUMPRODUCT((AR!$C$4:$C$964&lt;&gt;"")*(AR!$D$4:$D$964&lt;&gt;"")*((AR!$K$4:$K$964="A")+(AR!$K$4:$K$964="B")+(AR!$K$4:$K$964="PENDING")))</f>
        <v>25</v>
      </c>
      <c r="F122" s="67">
        <f>SUMPRODUCT((AR!$C$4:$C$964&lt;&gt;"")*(AR!$D$4:$D$964&lt;&gt;"")*((AR!$K$4:$K$964="A")+(AR!$K$4:$K$964="B")))</f>
        <v>14</v>
      </c>
      <c r="G122" s="67">
        <f>SUMPRODUCT((AR!$C$4:$C$964&lt;&gt;"")*(AR!$D$4:$D$964&lt;&gt;"")*(AR!$K$4:$K$964="C"))</f>
        <v>1</v>
      </c>
      <c r="H122" s="67">
        <f>SUMPRODUCT((AR!$C$4:$C$964&lt;&gt;"")*(AR!$D$4:$D$964&lt;&gt;"")*((AR!$K$4:$K$964="C")+(AR!$K$4:$K$964="")))</f>
        <v>58</v>
      </c>
      <c r="I122" s="67" cm="1">
        <f t="array" ref="I122">SUMPRODUCT((AR!$C$4:$C$972&lt;&gt;"")*(AR!$D$4:$D$972&lt;&gt;"")*((AR!$I$4:$I$972=0)*(AR!$P$4:$P$972&lt;&gt;"")+(AR!$I$4:$I$972=1)*(AR!$U$4:$U$972&lt;&gt;"")+(AR!$I$4:$I$972=2)*(AR!$Z$4:$Z$972&lt;&gt;"")))</f>
        <v>26</v>
      </c>
      <c r="J122" s="67" cm="1">
        <f t="array" ref="J122">SUMPRODUCT((AR!$C$4:$C$964&lt;&gt;"")*(AR!$D$4:$D$964&lt;&gt;"")*(AR!$J$4:$J$964="CTA"))</f>
        <v>0</v>
      </c>
      <c r="K122" s="67" cm="1">
        <f t="array" ref="K122">SUMPRODUCT((AR!$C$4:$C$972&lt;&gt;"")*(AR!$D$4:$D$972&lt;&gt;"")*((AR!$I$4:$I$972=0)*(AR!$Q$4:$Q$972&lt;&gt;"")+(AR!$I$4:$I$972=1)*(AR!$V$4:$V$972&lt;&gt;"")+(AR!$I$4:$I$972=2)*(AR!$AA$4:$AA$972&lt;&gt;"")))</f>
        <v>24</v>
      </c>
      <c r="L122" s="67">
        <f>SUMPRODUCT((AR!$C$4:$C$964&lt;&gt;"")*(AR!$D$4:$D$964&lt;&gt;"")*(AR!$J$4:$J$964="AUR"))</f>
        <v>2</v>
      </c>
      <c r="M122" s="67" cm="1">
        <f t="array" ref="M122">SUMPRODUCT((AR!$C$4:$C$972&lt;&gt;"")*(AR!$D$4:$D$972&lt;&gt;"")*((AR!$I$4:$I$972=0)*(AR!$R$4:$R$972&lt;&gt;"")+(AR!$I$4:$I$972=1)*(AR!$W$4:$W$972&lt;&gt;"")+(AR!$I$4:$I$972=2)*(AR!$AB$4:$AB$972&lt;&gt;"")))</f>
        <v>15</v>
      </c>
      <c r="N122" s="67" cm="1">
        <f t="array" ref="N122">SUMPRODUCT((AR!$C$4:$C$964&lt;&gt;"")*(AR!$D$4:$D$964&lt;&gt;"")*(AR!$J$4:$J$964="STT"))</f>
        <v>9</v>
      </c>
      <c r="O122" s="67"/>
      <c r="P122" s="67"/>
      <c r="Q122" s="67"/>
      <c r="R122" s="67"/>
    </row>
    <row r="123" spans="3:36" ht="13.9">
      <c r="C123" s="71" t="s">
        <v>36</v>
      </c>
      <c r="D123" s="67">
        <f>SUM(D121:D122)</f>
        <v>102</v>
      </c>
      <c r="E123" s="67">
        <f t="shared" ref="E123:I123" si="5">SUM(E121:E122)</f>
        <v>25</v>
      </c>
      <c r="F123" s="67">
        <f t="shared" si="5"/>
        <v>14</v>
      </c>
      <c r="G123" s="67">
        <f t="shared" si="5"/>
        <v>1</v>
      </c>
      <c r="H123" s="67">
        <f t="shared" si="5"/>
        <v>77</v>
      </c>
      <c r="I123" s="67">
        <f t="shared" si="5"/>
        <v>26</v>
      </c>
      <c r="J123" s="67">
        <f t="shared" ref="J123" si="6">SUM(J121:J122)</f>
        <v>0</v>
      </c>
      <c r="K123" s="67">
        <f>SUM(K121:K122)</f>
        <v>24</v>
      </c>
      <c r="L123" s="67">
        <f t="shared" ref="L123" si="7">SUM(L121:L122)</f>
        <v>2</v>
      </c>
      <c r="M123" s="67">
        <f>SUM(M121:M122)</f>
        <v>15</v>
      </c>
      <c r="N123" s="67">
        <f>SUM(N121:N122)</f>
        <v>9</v>
      </c>
      <c r="O123" s="67"/>
      <c r="P123" s="67"/>
      <c r="Q123" s="67"/>
      <c r="R123" s="67"/>
    </row>
    <row r="124" spans="3:36" ht="13.9">
      <c r="C124" s="71" t="s">
        <v>20</v>
      </c>
      <c r="D124" s="67">
        <f>B8</f>
        <v>52</v>
      </c>
      <c r="E124" s="67" cm="1">
        <f t="array" ref="E124">SUMPRODUCT((ME!$C$4:$C$957&lt;&gt;"")*(ME!$D$4:$D$957&lt;&gt;"")*((ME!$K$4:$K$957="A")+(ME!$K$4:$K$957="B")+(ME!$K$4:$K$957="PENDING")))</f>
        <v>4</v>
      </c>
      <c r="F124" s="67" cm="1">
        <f t="array" ref="F124">SUMPRODUCT((ME!$C$4:$C$957&lt;&gt;"")*(ME!$D$4:$D$957&lt;&gt;"")*((ME!$K$4:$K$957="A")+(ME!$K$4:$K$957="B")))</f>
        <v>0</v>
      </c>
      <c r="G124" s="67" cm="1">
        <f t="array" ref="G124">SUMPRODUCT((ME!$C$4:$C$957&lt;&gt;"")*(ME!$D$4:$D$957&lt;&gt;"")*(ME!$K$4:$K$957="C"))</f>
        <v>1</v>
      </c>
      <c r="H124" s="67" cm="1">
        <f t="array" ref="H124">SUMPRODUCT((ME!$C$4:$C$957&lt;&gt;"")*(ME!$D$4:$D$957&lt;&gt;"")*((ME!$K$4:$K$957="C")+(ME!$K$4:$K$957="")))</f>
        <v>48</v>
      </c>
      <c r="I124" s="67" cm="1">
        <f t="array" ref="I124">SUMPRODUCT((ME!$C$4:$C$965&lt;&gt;"")*(ME!$D$4:$D$965&lt;&gt;"")*((ME!$I$4:$I$965=0)*(ME!$P$4:$P$965&lt;&gt;"")+(ME!$I$4:$I$965=1)*(ME!$U$4:$U$965&lt;&gt;"")+(ME!$I$4:$I$965=2)*(ME!$Z$4:$Z$965&lt;&gt;"")))</f>
        <v>5</v>
      </c>
      <c r="J124" s="67" cm="1">
        <f t="array" ref="J124">SUMPRODUCT((ME!$C$4:$C$957&lt;&gt;"")*(ME!$D$4:$D$957&lt;&gt;"")*(ME!$J$4:$J$957="CTA"))</f>
        <v>0</v>
      </c>
      <c r="K124" s="67" cm="1">
        <f t="array" ref="K124">SUMPRODUCT((ME!$C$4:$C$965&lt;&gt;"")*(ME!$D$4:$D$965&lt;&gt;"")*((ME!$I$4:$I$965=0)*(ME!$Q$4:$Q$965&lt;&gt;"")+(ME!$I$4:$I$965=1)*(ME!$V$4:$V$965&lt;&gt;"")+(ME!$I$4:$I$965=2)*(ME!$AA$4:$AA$965&lt;&gt;"")))</f>
        <v>0</v>
      </c>
      <c r="L124" s="67" cm="1">
        <f t="array" ref="L124">SUMPRODUCT((ME!$C$4:$C$957&lt;&gt;"")*(ME!$D$4:$D$957&lt;&gt;"")*(ME!$J$4:$J$957="AUR"))</f>
        <v>4</v>
      </c>
      <c r="M124" s="67" cm="1">
        <f t="array" ref="M124">SUMPRODUCT((ME!$C$4:$C$965&lt;&gt;"")*(ME!$D$4:$D$965&lt;&gt;"")*((ME!$I$4:$I$965=0)*(ME!$R$4:$R$965&lt;&gt;"")+(ME!$I$4:$I$965=1)*(ME!$W$4:$W$965&lt;&gt;"")+(ME!$I$4:$I$965=2)*(ME!$AB$4:$AB$965&lt;&gt;"")))</f>
        <v>0</v>
      </c>
      <c r="N124" s="67" cm="1">
        <f t="array" ref="N124">SUMPRODUCT((ME!$C$4:$C$957&lt;&gt;"")*(ME!$D$4:$D$957&lt;&gt;"")*(ME!$J$4:$J$957="MET"))</f>
        <v>0</v>
      </c>
      <c r="O124" s="67"/>
      <c r="P124" s="67"/>
      <c r="Q124" s="67"/>
      <c r="R124" s="67"/>
    </row>
    <row r="125" spans="3:36" ht="13.9">
      <c r="C125" s="71" t="s">
        <v>37</v>
      </c>
      <c r="D125" s="67">
        <f>B9</f>
        <v>40</v>
      </c>
      <c r="E125" s="67" cm="1">
        <f t="array" ref="E125">SUMPRODUCT((FI!$C$4:$C$955&lt;&gt;"")*(FI!$D$4:$D$955&lt;&gt;"")*((FI!$K$4:$K$955="A")+(FI!$K$4:$K$955="B")+(FI!$K$4:$K$955="PENDING")))</f>
        <v>11</v>
      </c>
      <c r="F125" s="67" cm="1">
        <f t="array" ref="F125">SUMPRODUCT((FI!$C$4:$C$955&lt;&gt;"")*(FI!$D$4:$D$955&lt;&gt;"")*((FI!$K$4:$K$955="A")+(FI!$K$4:$K$955="B")))</f>
        <v>0</v>
      </c>
      <c r="G125" s="67" cm="1">
        <f t="array" ref="G125">SUMPRODUCT((FI!$C$4:$C$955&lt;&gt;"")*(FI!$D$4:$D$955&lt;&gt;"")*(FI!$K$4:$K$955="C"))</f>
        <v>0</v>
      </c>
      <c r="H125" s="67" cm="1">
        <f t="array" ref="H125">SUMPRODUCT((FI!$C$4:$C$955&lt;&gt;"")*(FI!$D$4:$D$955&lt;&gt;"")*((FI!$K$4:$K$955="C")+(FI!$K$4:$K$955="")))</f>
        <v>29</v>
      </c>
      <c r="I125" s="67" cm="1">
        <f t="array" ref="I125">SUMPRODUCT((FI!$C$4:$C$963&lt;&gt;"")*(FI!$D$4:$D$963&lt;&gt;"")*((FI!$I$4:$I$963=0)*(FI!$P$4:$P$963&lt;&gt;"")+(FI!$I$4:$I$963=1)*(FI!$U$4:$U$963&lt;&gt;"")+(FI!$I$4:$I$963=2)*(FI!$Z$4:$Z$963&lt;&gt;"")))</f>
        <v>7</v>
      </c>
      <c r="J125" s="67" cm="1">
        <f t="array" ref="J125">SUMPRODUCT((FI!$C$4:$C$955&lt;&gt;"")*(FI!$D$4:$D$955&lt;&gt;"")*(FI!$J$4:$J$955="CTA"))</f>
        <v>4</v>
      </c>
      <c r="K125" s="67" cm="1">
        <f t="array" ref="K125">SUMPRODUCT((FI!$C$4:$C$963&lt;&gt;"")*(FI!$D$4:$D$963&lt;&gt;"")*((FI!$I$4:$I$963=0)*(FI!$Q$4:$Q$963&lt;&gt;"")+(FI!$I$4:$I$963=1)*(FI!$V$4:$V$963&lt;&gt;"")+(FI!$I$4:$I$963=2)*(FI!$AA$4:$AA$963&lt;&gt;"")))</f>
        <v>0</v>
      </c>
      <c r="L125" s="67" cm="1">
        <f t="array" ref="L125">SUMPRODUCT((FI!$C$4:$C$955&lt;&gt;"")*(FI!$D$4:$D$955&lt;&gt;"")*(FI!$J$4:$J$955="AUR"))</f>
        <v>7</v>
      </c>
      <c r="M125" s="67" cm="1">
        <f t="array" ref="M125">SUMPRODUCT((FI!$C$4:$C$963&lt;&gt;"")*(FI!$D$4:$D$963&lt;&gt;"")*((FI!$I$4:$I$963=0)*(FI!$R$4:$R$963&lt;&gt;"")+(FI!$I$4:$I$963=1)*(FI!$W$4:$W$963&lt;&gt;"")+(FI!$I$4:$I$963=2)*(FI!$AB$4:$AB$963&lt;&gt;"")))</f>
        <v>0</v>
      </c>
      <c r="N125" s="67" cm="1">
        <f t="array" ref="N125">SUMPRODUCT((FI!$C$4:$C$955&lt;&gt;"")*(FI!$D$4:$D$955&lt;&gt;"")*(FI!$J$4:$J$955="FIT"))</f>
        <v>0</v>
      </c>
      <c r="O125" s="67"/>
      <c r="P125" s="67"/>
      <c r="Q125" s="67"/>
      <c r="R125" s="67"/>
    </row>
    <row r="126" spans="3:36" ht="13.9">
      <c r="C126" s="71" t="s">
        <v>22</v>
      </c>
      <c r="D126" s="67">
        <f>B10</f>
        <v>31</v>
      </c>
      <c r="E126" s="67" cm="1">
        <f t="array" ref="E126">SUMPRODUCT((HY!$C$4:$C$955&lt;&gt;"")*(HY!$D$4:$D$955&lt;&gt;"")*((HY!$K$4:$K$955="A")+(HY!$K$4:$K$955="B")+(HY!$K$4:$K$955="PENDING")))</f>
        <v>11</v>
      </c>
      <c r="F126" s="67" cm="1">
        <f t="array" ref="F126">SUMPRODUCT((HY!$C$4:$C$955&lt;&gt;"")*(HY!$D$4:$D$955&lt;&gt;"")*((HY!$K$4:$K$955="A")+(HY!$K$4:$K$955="B")))</f>
        <v>0</v>
      </c>
      <c r="G126" s="67" cm="1">
        <f t="array" ref="G126">SUMPRODUCT((HY!$C$4:$C$955&lt;&gt;"")*(HY!$D$4:$D$955&lt;&gt;"")*(HY!$K$4:$K$955="C"))</f>
        <v>0</v>
      </c>
      <c r="H126" s="67" cm="1">
        <f t="array" ref="H126">SUMPRODUCT((HY!$C$4:$C$955&lt;&gt;"")*(HY!$D$4:$D$955&lt;&gt;"")*((HY!$K$4:$K$955="C")+(HY!$K$4:$K$955="")))</f>
        <v>21</v>
      </c>
      <c r="I126" s="67" cm="1">
        <f t="array" ref="I126">SUMPRODUCT((HY!$C$4:$C$963&lt;&gt;"")*(HY!$D$4:$D$963&lt;&gt;"")*((HY!$I$4:$I$963=0)*(HY!$P$4:$P$963&lt;&gt;"")+(HY!$I$4:$I$963=1)*(HY!$U$4:$U$963&lt;&gt;"")+(HY!$I$4:$I$963=2)*(HY!$Z$4:$Z$963&lt;&gt;"")))</f>
        <v>11</v>
      </c>
      <c r="J126" s="67" cm="1">
        <f t="array" ref="J126">SUMPRODUCT((HY!$C$4:$C$955&lt;&gt;"")*(HY!$D$4:$D$955&lt;&gt;"")*(HY!$J$4:$J$955="CTA"))</f>
        <v>0</v>
      </c>
      <c r="K126" s="67" cm="1">
        <f t="array" ref="K126">SUMPRODUCT((HY!$C$4:$C$963&lt;&gt;"")*(HY!$D$4:$D$963&lt;&gt;"")*((HY!$I$4:$I$963=0)*(HY!$Q$4:$Q$963&lt;&gt;"")+(HY!$I$4:$I$963=1)*(HY!$V$4:$V$963&lt;&gt;"")+(HY!$I$4:$I$963=2)*(HY!$AA$4:$AA$963&lt;&gt;"")))</f>
        <v>0</v>
      </c>
      <c r="L126" s="67" cm="1">
        <f t="array" ref="L126">SUMPRODUCT((HY!$C$4:$C$955&lt;&gt;"")*(HY!$D$4:$D$955&lt;&gt;"")*(HY!$J$4:$J$955="AUR"))</f>
        <v>11</v>
      </c>
      <c r="M126" s="67" cm="1">
        <f t="array" ref="M126">SUMPRODUCT((HY!$C$4:$C$963&lt;&gt;"")*(HY!$D$4:$D$963&lt;&gt;"")*((HY!$I$4:$I$963=0)*(HY!$R$4:$R$963&lt;&gt;"")+(HY!$I$4:$I$963=1)*(HY!$W$4:$W$963&lt;&gt;"")+(HY!$I$4:$I$963=2)*(HY!$AB$4:$AB$963&lt;&gt;"")))</f>
        <v>0</v>
      </c>
      <c r="N126" s="67" cm="1">
        <f t="array" ref="N126">SUMPRODUCT((HY!$C$4:$C$955&lt;&gt;"")*(HY!$D$4:$D$955&lt;&gt;"")*(HY!$J$4:$J$955="HYT"))</f>
        <v>0</v>
      </c>
      <c r="O126" s="67"/>
      <c r="P126" s="67"/>
      <c r="Q126" s="67"/>
      <c r="R126" s="67"/>
    </row>
    <row r="127" spans="3:36" ht="27.6">
      <c r="C127" s="71" t="s">
        <v>23</v>
      </c>
      <c r="D127" s="67">
        <f>B11</f>
        <v>258</v>
      </c>
      <c r="E127" s="67" cm="1">
        <f t="array" ref="E127">SUMPRODUCT((EL!$C$4:$C$964&lt;&gt;"")*(EL!$D$4:$D$964&lt;&gt;"")*((EL!$K$4:$K$964="A")+(EL!$K$4:$K$964="B")+(EL!$K$4:$K$964="PENDING")))</f>
        <v>0</v>
      </c>
      <c r="F127" s="67" cm="1">
        <f t="array" ref="F127">SUMPRODUCT((EL!$C$4:$C$964&lt;&gt;"")*(EL!$D$4:$D$964&lt;&gt;"")*((EL!$K$4:$K$964="A")+(EL!$K$4:$K$964="B")))</f>
        <v>0</v>
      </c>
      <c r="G127" s="67" cm="1">
        <f t="array" ref="G127">SUMPRODUCT((EL!$C$4:$C$964&lt;&gt;"")*(EL!$D$4:$D$964&lt;&gt;"")*(EL!$K$4:$K$964="C"))</f>
        <v>0</v>
      </c>
      <c r="H127" s="67" cm="1">
        <f t="array" ref="H127">SUMPRODUCT((EL!$C$4:$C$964&lt;&gt;"")*(EL!$D$4:$D$964&lt;&gt;"")*((EL!$K$4:$K$964="C")+(EL!$K$4:$K$964="")))</f>
        <v>188</v>
      </c>
      <c r="I127" s="67" cm="1">
        <f t="array" ref="I127">SUMPRODUCT((EL!$C$4:$C$972&lt;&gt;"")*(EL!$D$4:$D$972&lt;&gt;"")*((EL!$I$4:$I$972=0)*(EL!$P$4:$P$972&lt;&gt;"")+(EL!$I$4:$I$972=1)*(EL!$U$4:$U$972&lt;&gt;"")+(EL!$I$4:$I$972=2)*(EL!$Z$4:$Z$972&lt;&gt;"")))</f>
        <v>42</v>
      </c>
      <c r="J127" s="67" t="e" cm="1">
        <f t="array" ref="J127">SUMPRODUCT((EL!$C$4:$C$964&lt;&gt;"")*(EL!$D$4:$D$964&lt;&gt;"")*(EL!$J$4:$J$964="CTA"))</f>
        <v>#VALUE!</v>
      </c>
      <c r="K127" s="67" cm="1">
        <f t="array" ref="K127">SUMPRODUCT((EL!$C$4:$C$972&lt;&gt;"")*(EL!$D$4:$D$972&lt;&gt;"")*((EL!$I$4:$I$972=0)*(EL!$Q$4:$Q$972&lt;&gt;"")+(EL!$I$4:$I$972=1)*(EL!$V$4:$V$972&lt;&gt;"")+(EL!$I$4:$I$972=2)*(EL!$AA$4:$AA$972&lt;&gt;"")))</f>
        <v>1</v>
      </c>
      <c r="L127" s="67" t="e" cm="1">
        <f t="array" ref="L127">SUMPRODUCT((EL!$C$4:$C$964&lt;&gt;"")*(EL!$D$4:$D$964&lt;&gt;"")*(EL!$J$4:$J$964="AUR"))</f>
        <v>#VALUE!</v>
      </c>
      <c r="M127" s="67" cm="1">
        <f t="array" ref="M127">SUMPRODUCT((EL!$C$4:$C$972&lt;&gt;"")*(EL!$D$4:$D$972&lt;&gt;"")*((EL!$I$4:$I$972=0)*(EL!$R$4:$R$972&lt;&gt;"")+(EL!$I$4:$I$972=1)*(EL!$W$4:$W$972&lt;&gt;"")+(EL!$I$4:$I$972=2)*(EL!$AB$4:$AB$972&lt;&gt;"")))</f>
        <v>0</v>
      </c>
      <c r="N127" s="67" t="e" cm="1">
        <f t="array" ref="N127">SUMPRODUCT((EL!$C$4:$C$964&lt;&gt;"")*(EL!$D$4:$D$964&lt;&gt;"")*(EL!$J$4:$J$964="ELT"))</f>
        <v>#VALUE!</v>
      </c>
      <c r="O127" s="67"/>
      <c r="P127" s="67"/>
      <c r="Q127" s="67"/>
      <c r="R127" s="67"/>
    </row>
    <row r="128" spans="3:36" ht="13.9">
      <c r="C128" s="71" t="s">
        <v>38</v>
      </c>
      <c r="D128" s="67">
        <f>B12</f>
        <v>27</v>
      </c>
      <c r="E128" s="67" cm="1">
        <f t="array" ref="E128">SUMPRODUCT((CSD!$C$4:$C$959&lt;&gt;"")*(CSD!$D$4:$D$959&lt;&gt;"")*((CSD!$K$4:$K$959="A")+(CSD!$K$4:$K$959="B")+(CSD!$K$4:$K$959="PENDING")))</f>
        <v>13</v>
      </c>
      <c r="F128" s="67" cm="1">
        <f t="array" ref="F128">SUMPRODUCT((CSD!$C$4:$C$959&lt;&gt;"")*(CSD!$D$4:$D$959&lt;&gt;"")*((CSD!$K$4:$K$959="A")+(CSD!$K$4:$K$959="B")))</f>
        <v>0</v>
      </c>
      <c r="G128" s="67" cm="1">
        <f t="array" ref="G128">SUMPRODUCT((CSD!$C$4:$C$959&lt;&gt;"")*(CSD!$D$4:$D$959&lt;&gt;"")*(CSD!$K$4:$K$959="C"))</f>
        <v>0</v>
      </c>
      <c r="H128" s="67" cm="1">
        <f t="array" ref="H128">SUMPRODUCT((CSD!$C$4:$C$959&lt;&gt;"")*(CSD!$D$4:$D$959&lt;&gt;"")*((CSD!$K$4:$K$959="C")+(CSD!$K$4:$K$959="")))</f>
        <v>14</v>
      </c>
      <c r="I128" s="67" cm="1">
        <f t="array" ref="I128">SUMPRODUCT((CSD!$C$4:$C$967&lt;&gt;"")*(CSD!$D$4:$D$967&lt;&gt;"")*((CSD!$I$4:$I$967=0)*(CSD!$P$4:$P$967&lt;&gt;"")+(CSD!$I$4:$I$967=1)*(CSD!$U$4:$U$967&lt;&gt;"")+(CSD!$I$4:$I$967=2)*(CSD!$Z$4:$Z$967&lt;&gt;"")))</f>
        <v>0</v>
      </c>
      <c r="J128" s="67" cm="1">
        <f t="array" ref="J128">SUMPRODUCT((CSD!$C$4:$C$959&lt;&gt;"")*(CSD!$D$4:$D$959&lt;&gt;"")*(CSD!$J$4:$J$959="CTA"))</f>
        <v>13</v>
      </c>
      <c r="K128" s="67" cm="1">
        <f t="array" ref="K128">SUMPRODUCT((CSD!$C$4:$C$967&lt;&gt;"")*(CSD!$D$4:$D$967&lt;&gt;"")*((CSD!$I$4:$I$967=0)*(CSD!$Q$4:$Q$967&lt;&gt;"")+(CSD!$I$4:$I$967=1)*(CSD!$V$4:$V$967&lt;&gt;"")+(CSD!$I$4:$I$967=2)*(CSD!$AA$4:$AA$967&lt;&gt;"")))</f>
        <v>0</v>
      </c>
      <c r="L128" s="67" cm="1">
        <f t="array" ref="L128">SUMPRODUCT((CSD!$C$4:$C$959&lt;&gt;"")*(CSD!$D$4:$D$959&lt;&gt;"")*(CSD!$J$4:$J$959="AUR"))</f>
        <v>0</v>
      </c>
      <c r="M128" s="67" cm="1">
        <f t="array" ref="M128">SUMPRODUCT((CSD!$C$4:$C$967&lt;&gt;"")*(CSD!$D$4:$D$967&lt;&gt;"")*((CSD!$I$4:$I$967=0)*(CSD!$R$4:$R$967&lt;&gt;"")+(CSD!$I$4:$I$967=1)*(CSD!$W$4:$W$967&lt;&gt;"")+(CSD!$I$4:$I$967=2)*(CSD!$AB$4:$AB$967&lt;&gt;"")))</f>
        <v>0</v>
      </c>
      <c r="N128" s="67" cm="1">
        <f t="array" ref="N128">SUMPRODUCT((CSD!$C$4:$C$959&lt;&gt;"")*(CSD!$D$4:$D$959&lt;&gt;"")*(CSD!$J$4:$J$959="CSDT"))</f>
        <v>0</v>
      </c>
      <c r="O128" s="67"/>
      <c r="P128" s="67"/>
      <c r="Q128" s="67"/>
      <c r="R128" s="67"/>
    </row>
    <row r="129" spans="3:18" ht="13.15" customHeight="1">
      <c r="C129" s="71" t="s">
        <v>25</v>
      </c>
      <c r="D129" s="67">
        <f t="shared" ref="D129:N129" si="8">SUM(D123:D128)</f>
        <v>510</v>
      </c>
      <c r="E129" s="67">
        <f t="shared" si="8"/>
        <v>64</v>
      </c>
      <c r="F129" s="67">
        <f t="shared" si="8"/>
        <v>14</v>
      </c>
      <c r="G129" s="67">
        <f t="shared" si="8"/>
        <v>2</v>
      </c>
      <c r="H129" s="67">
        <f t="shared" si="8"/>
        <v>377</v>
      </c>
      <c r="I129" s="67">
        <f t="shared" si="8"/>
        <v>91</v>
      </c>
      <c r="J129" s="67" t="e">
        <f t="shared" si="8"/>
        <v>#VALUE!</v>
      </c>
      <c r="K129" s="67">
        <f t="shared" si="8"/>
        <v>25</v>
      </c>
      <c r="L129" s="67" t="e">
        <f t="shared" si="8"/>
        <v>#VALUE!</v>
      </c>
      <c r="M129" s="67">
        <f t="shared" si="8"/>
        <v>15</v>
      </c>
      <c r="N129" s="67" t="e">
        <f t="shared" si="8"/>
        <v>#VALUE!</v>
      </c>
      <c r="O129" s="67"/>
      <c r="P129" s="67"/>
      <c r="Q129" s="67"/>
      <c r="R129" s="67"/>
    </row>
    <row r="130" spans="3:18" ht="13.9">
      <c r="C130" s="71" t="s">
        <v>36</v>
      </c>
      <c r="D130" s="67"/>
      <c r="E130" s="72">
        <f>E123/$D123</f>
        <v>0.24509803921568626</v>
      </c>
      <c r="F130" s="72">
        <f t="shared" ref="F130:G130" si="9">F123/$D123</f>
        <v>0.13725490196078433</v>
      </c>
      <c r="G130" s="72">
        <f t="shared" si="9"/>
        <v>9.8039215686274508E-3</v>
      </c>
      <c r="H130" s="72">
        <f>H123/$D123</f>
        <v>0.75490196078431371</v>
      </c>
      <c r="I130" s="72">
        <f>I123/$D123</f>
        <v>0.25490196078431371</v>
      </c>
      <c r="J130" s="72">
        <f t="shared" ref="J130" si="10">J123/$D123</f>
        <v>0</v>
      </c>
      <c r="K130" s="72">
        <f t="shared" ref="K130:K135" si="11">K123/$D123</f>
        <v>0.23529411764705882</v>
      </c>
      <c r="L130" s="72">
        <f t="shared" ref="L130" si="12">L123/$D123</f>
        <v>1.9607843137254902E-2</v>
      </c>
      <c r="M130" s="72">
        <f t="shared" ref="M130:N135" si="13">M123/$D123</f>
        <v>0.14705882352941177</v>
      </c>
      <c r="N130" s="72">
        <f t="shared" si="13"/>
        <v>8.8235294117647065E-2</v>
      </c>
      <c r="O130" s="67"/>
      <c r="P130" s="67"/>
      <c r="Q130" s="67"/>
      <c r="R130" s="67"/>
    </row>
    <row r="131" spans="3:18" ht="13.9">
      <c r="C131" s="71" t="s">
        <v>20</v>
      </c>
      <c r="D131" s="67"/>
      <c r="E131" s="72">
        <f t="shared" ref="E131:E136" si="14">E124/$D124</f>
        <v>7.6923076923076927E-2</v>
      </c>
      <c r="F131" s="72">
        <f>F124/$D124</f>
        <v>0</v>
      </c>
      <c r="G131" s="72">
        <f t="shared" ref="G131:I131" si="15">G124/$D124</f>
        <v>1.9230769230769232E-2</v>
      </c>
      <c r="H131" s="72">
        <f t="shared" si="15"/>
        <v>0.92307692307692313</v>
      </c>
      <c r="I131" s="72">
        <f t="shared" si="15"/>
        <v>9.6153846153846159E-2</v>
      </c>
      <c r="J131" s="72">
        <f t="shared" ref="J131" si="16">J124/$D124</f>
        <v>0</v>
      </c>
      <c r="K131" s="72">
        <f t="shared" si="11"/>
        <v>0</v>
      </c>
      <c r="L131" s="72">
        <f t="shared" ref="L131" si="17">L124/$D124</f>
        <v>7.6923076923076927E-2</v>
      </c>
      <c r="M131" s="72">
        <f t="shared" si="13"/>
        <v>0</v>
      </c>
      <c r="N131" s="72">
        <f t="shared" si="13"/>
        <v>0</v>
      </c>
      <c r="O131" s="67"/>
      <c r="P131" s="67"/>
      <c r="Q131" s="67"/>
      <c r="R131" s="67"/>
    </row>
    <row r="132" spans="3:18" ht="13.9">
      <c r="C132" s="71" t="s">
        <v>37</v>
      </c>
      <c r="D132" s="67"/>
      <c r="E132" s="72">
        <f t="shared" si="14"/>
        <v>0.27500000000000002</v>
      </c>
      <c r="F132" s="72">
        <f t="shared" ref="F132:I132" si="18">F125/$D125</f>
        <v>0</v>
      </c>
      <c r="G132" s="72">
        <f t="shared" si="18"/>
        <v>0</v>
      </c>
      <c r="H132" s="72">
        <f t="shared" si="18"/>
        <v>0.72499999999999998</v>
      </c>
      <c r="I132" s="72">
        <f t="shared" si="18"/>
        <v>0.17499999999999999</v>
      </c>
      <c r="J132" s="72">
        <f t="shared" ref="J132" si="19">J125/$D125</f>
        <v>0.1</v>
      </c>
      <c r="K132" s="72">
        <f t="shared" si="11"/>
        <v>0</v>
      </c>
      <c r="L132" s="72">
        <f t="shared" ref="L132" si="20">L125/$D125</f>
        <v>0.17499999999999999</v>
      </c>
      <c r="M132" s="72">
        <f t="shared" si="13"/>
        <v>0</v>
      </c>
      <c r="N132" s="72">
        <f t="shared" si="13"/>
        <v>0</v>
      </c>
      <c r="O132" s="67"/>
      <c r="P132" s="67"/>
      <c r="Q132" s="67"/>
      <c r="R132" s="67"/>
    </row>
    <row r="133" spans="3:18" ht="13.9">
      <c r="C133" s="71" t="s">
        <v>22</v>
      </c>
      <c r="D133" s="67"/>
      <c r="E133" s="72">
        <f t="shared" si="14"/>
        <v>0.35483870967741937</v>
      </c>
      <c r="F133" s="72">
        <f t="shared" ref="F133:H135" si="21">F126/$D126</f>
        <v>0</v>
      </c>
      <c r="G133" s="72">
        <f t="shared" si="21"/>
        <v>0</v>
      </c>
      <c r="H133" s="72">
        <f t="shared" si="21"/>
        <v>0.67741935483870963</v>
      </c>
      <c r="I133" s="72">
        <f t="shared" ref="I133" si="22">I126/$D126</f>
        <v>0.35483870967741937</v>
      </c>
      <c r="J133" s="72">
        <f t="shared" ref="J133" si="23">J126/$D126</f>
        <v>0</v>
      </c>
      <c r="K133" s="72">
        <f t="shared" si="11"/>
        <v>0</v>
      </c>
      <c r="L133" s="72">
        <f t="shared" ref="L133" si="24">L126/$D126</f>
        <v>0.35483870967741937</v>
      </c>
      <c r="M133" s="72">
        <f t="shared" si="13"/>
        <v>0</v>
      </c>
      <c r="N133" s="72">
        <f t="shared" si="13"/>
        <v>0</v>
      </c>
      <c r="O133" s="67"/>
      <c r="P133" s="67"/>
      <c r="Q133" s="67"/>
      <c r="R133" s="67"/>
    </row>
    <row r="134" spans="3:18" ht="27.6">
      <c r="C134" s="71" t="s">
        <v>23</v>
      </c>
      <c r="D134" s="67"/>
      <c r="E134" s="72">
        <f t="shared" si="14"/>
        <v>0</v>
      </c>
      <c r="F134" s="72">
        <f t="shared" si="21"/>
        <v>0</v>
      </c>
      <c r="G134" s="72">
        <f t="shared" si="21"/>
        <v>0</v>
      </c>
      <c r="H134" s="72">
        <f t="shared" si="21"/>
        <v>0.72868217054263562</v>
      </c>
      <c r="I134" s="72">
        <f t="shared" ref="I134:I135" si="25">I127/$D127</f>
        <v>0.16279069767441862</v>
      </c>
      <c r="J134" s="72" t="e">
        <f t="shared" ref="J134:J135" si="26">J127/$D127</f>
        <v>#VALUE!</v>
      </c>
      <c r="K134" s="72">
        <f t="shared" si="11"/>
        <v>3.875968992248062E-3</v>
      </c>
      <c r="L134" s="72" t="e">
        <f t="shared" ref="L134:L135" si="27">L127/$D127</f>
        <v>#VALUE!</v>
      </c>
      <c r="M134" s="72">
        <f t="shared" si="13"/>
        <v>0</v>
      </c>
      <c r="N134" s="72" t="e">
        <f t="shared" si="13"/>
        <v>#VALUE!</v>
      </c>
      <c r="O134" s="67"/>
      <c r="P134" s="67"/>
      <c r="Q134" s="67"/>
      <c r="R134" s="67"/>
    </row>
    <row r="135" spans="3:18" ht="13.9">
      <c r="C135" s="71" t="s">
        <v>38</v>
      </c>
      <c r="D135" s="67"/>
      <c r="E135" s="72">
        <f t="shared" si="14"/>
        <v>0.48148148148148145</v>
      </c>
      <c r="F135" s="72">
        <f t="shared" si="21"/>
        <v>0</v>
      </c>
      <c r="G135" s="72">
        <f t="shared" si="21"/>
        <v>0</v>
      </c>
      <c r="H135" s="72">
        <f t="shared" si="21"/>
        <v>0.51851851851851849</v>
      </c>
      <c r="I135" s="72">
        <f t="shared" si="25"/>
        <v>0</v>
      </c>
      <c r="J135" s="72">
        <f t="shared" si="26"/>
        <v>0.48148148148148145</v>
      </c>
      <c r="K135" s="72">
        <f t="shared" si="11"/>
        <v>0</v>
      </c>
      <c r="L135" s="72">
        <f t="shared" si="27"/>
        <v>0</v>
      </c>
      <c r="M135" s="72">
        <f t="shared" si="13"/>
        <v>0</v>
      </c>
      <c r="N135" s="72">
        <f t="shared" si="13"/>
        <v>0</v>
      </c>
      <c r="O135" s="67"/>
      <c r="P135" s="67"/>
      <c r="Q135" s="67"/>
      <c r="R135" s="67"/>
    </row>
    <row r="136" spans="3:18" ht="13.9">
      <c r="C136" s="71" t="s">
        <v>25</v>
      </c>
      <c r="D136" s="67"/>
      <c r="E136" s="72">
        <f t="shared" si="14"/>
        <v>0.12549019607843137</v>
      </c>
      <c r="F136" s="72">
        <f t="shared" ref="F136:N136" si="28">F129/$D129</f>
        <v>2.7450980392156862E-2</v>
      </c>
      <c r="G136" s="72">
        <f t="shared" si="28"/>
        <v>3.9215686274509803E-3</v>
      </c>
      <c r="H136" s="72">
        <f t="shared" si="28"/>
        <v>0.73921568627450984</v>
      </c>
      <c r="I136" s="72">
        <f t="shared" si="28"/>
        <v>0.17843137254901961</v>
      </c>
      <c r="J136" s="72" t="e">
        <f t="shared" si="28"/>
        <v>#VALUE!</v>
      </c>
      <c r="K136" s="72">
        <f t="shared" si="28"/>
        <v>4.9019607843137254E-2</v>
      </c>
      <c r="L136" s="72" t="e">
        <f t="shared" si="28"/>
        <v>#VALUE!</v>
      </c>
      <c r="M136" s="72">
        <f t="shared" si="28"/>
        <v>2.9411764705882353E-2</v>
      </c>
      <c r="N136" s="72" t="e">
        <f t="shared" si="28"/>
        <v>#VALUE!</v>
      </c>
      <c r="O136" s="67"/>
      <c r="P136" s="67"/>
      <c r="Q136" s="67"/>
      <c r="R136" s="67"/>
    </row>
    <row r="137" spans="3:18" ht="13.9"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</row>
    <row r="138" spans="3:18" ht="13.9">
      <c r="E138" s="860" t="s">
        <v>39</v>
      </c>
      <c r="F138" s="860"/>
      <c r="G138" s="860"/>
      <c r="H138" s="860"/>
      <c r="I138" s="860"/>
      <c r="J138" s="860"/>
      <c r="K138" s="860"/>
      <c r="L138" s="860"/>
      <c r="M138" s="860"/>
      <c r="N138" s="860"/>
      <c r="O138" s="860"/>
      <c r="P138" s="860"/>
      <c r="Q138" s="860"/>
    </row>
    <row r="486" spans="6:6" ht="15" customHeight="1">
      <c r="F486" s="197">
        <v>45696</v>
      </c>
    </row>
    <row r="487" spans="6:6" ht="15" customHeight="1">
      <c r="F487" s="197">
        <v>45696</v>
      </c>
    </row>
    <row r="524" spans="6:6" ht="15" customHeight="1">
      <c r="F524" s="197">
        <v>45696</v>
      </c>
    </row>
  </sheetData>
  <mergeCells count="17">
    <mergeCell ref="A3:A5"/>
    <mergeCell ref="B3:B5"/>
    <mergeCell ref="C3:L3"/>
    <mergeCell ref="N3:X3"/>
    <mergeCell ref="N4:O4"/>
    <mergeCell ref="D4:E4"/>
    <mergeCell ref="F4:G4"/>
    <mergeCell ref="H4:I4"/>
    <mergeCell ref="P4:Q4"/>
    <mergeCell ref="R4:S4"/>
    <mergeCell ref="T4:U4"/>
    <mergeCell ref="Z3:AJ3"/>
    <mergeCell ref="AB4:AC4"/>
    <mergeCell ref="AD4:AE4"/>
    <mergeCell ref="E138:Q138"/>
    <mergeCell ref="AF4:AG4"/>
    <mergeCell ref="Z4:AA4"/>
  </mergeCells>
  <conditionalFormatting sqref="D13:AJ13">
    <cfRule type="dataBar" priority="28">
      <dataBar>
        <cfvo type="num" val="0"/>
        <cfvo type="num" val="$C$13"/>
        <color rgb="FF638EC6"/>
      </dataBar>
      <extLst>
        <ext xmlns:x14="http://schemas.microsoft.com/office/spreadsheetml/2009/9/main" uri="{B025F937-C7B1-47D3-B67F-A62EFF666E3E}">
          <x14:id>{9205AEB6-4017-494A-88CB-A6CBA465504E}</x14:id>
        </ext>
      </extLst>
    </cfRule>
  </conditionalFormatting>
  <printOptions horizontalCentered="1"/>
  <pageMargins left="0.7" right="0.7" top="0.75" bottom="0.75" header="0.3" footer="0.3"/>
  <pageSetup paperSize="8" scale="45" fitToWidth="0" fitToHeight="0" orientation="landscape" r:id="rId1"/>
  <headerFooter>
    <oddHeader>&amp;L&amp;G&amp;C&amp;20Project Terra BKK2 Shop Drawing Approval Submission List</oddHeader>
    <oddFooter>&amp;L&amp;D&amp;RPage &amp;P of &amp;N</odd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AEB6-4017-494A-88CB-A6CBA465504E}">
            <x14:dataBar minLength="0" maxLength="100" gradient="0">
              <x14:cfvo type="num">
                <xm:f>0</xm:f>
              </x14:cfvo>
              <x14:cfvo type="num">
                <xm:f>$C$13</xm:f>
              </x14:cfvo>
              <x14:negativeFillColor rgb="FFFF0000"/>
              <x14:axisColor rgb="FF000000"/>
            </x14:dataBar>
          </x14:cfRule>
          <xm:sqref>D13:AJ13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BE495-B63B-4B64-95DA-0FF5C128258B}">
  <dimension ref="A2:AL529"/>
  <sheetViews>
    <sheetView view="pageBreakPreview" zoomScale="115" zoomScaleNormal="100" zoomScaleSheetLayoutView="115" workbookViewId="0">
      <selection activeCell="L9" sqref="L9"/>
    </sheetView>
  </sheetViews>
  <sheetFormatPr defaultColWidth="8.75" defaultRowHeight="15" customHeight="1"/>
  <cols>
    <col min="1" max="1" width="11.25" customWidth="1"/>
    <col min="2" max="2" width="12.75" customWidth="1"/>
    <col min="3" max="3" width="13.125" style="13" customWidth="1"/>
    <col min="4" max="4" width="10.25" style="13" customWidth="1"/>
    <col min="5" max="5" width="11.25" style="13" customWidth="1"/>
    <col min="6" max="11" width="7.875" style="13" customWidth="1"/>
    <col min="12" max="13" width="12.25" style="13" customWidth="1"/>
    <col min="14" max="14" width="13.25" style="13" customWidth="1"/>
    <col min="15" max="16" width="12.25" style="13" customWidth="1"/>
    <col min="17" max="17" width="10" style="3" customWidth="1"/>
    <col min="18" max="23" width="11.25" style="13" customWidth="1"/>
    <col min="24" max="26" width="7.25" style="13" customWidth="1"/>
    <col min="27" max="27" width="1.25" style="13" customWidth="1"/>
    <col min="28" max="28" width="12.25" style="13" customWidth="1"/>
    <col min="29" max="29" width="10" style="3" customWidth="1"/>
    <col min="30" max="35" width="10.75" style="13" customWidth="1"/>
    <col min="36" max="36" width="8" style="13" customWidth="1"/>
    <col min="37" max="38" width="7.25" style="13" customWidth="1"/>
    <col min="39" max="39" width="1.75" customWidth="1"/>
  </cols>
  <sheetData>
    <row r="2" spans="1:27" ht="33" customHeight="1">
      <c r="A2" s="167" t="s">
        <v>0</v>
      </c>
      <c r="B2" s="12"/>
      <c r="O2" s="14"/>
      <c r="AA2" s="14"/>
    </row>
    <row r="4" spans="1:27" ht="15" customHeight="1">
      <c r="B4" s="868" t="s">
        <v>18</v>
      </c>
      <c r="C4" s="869"/>
      <c r="D4" s="869"/>
      <c r="E4" s="869"/>
      <c r="F4" s="869"/>
      <c r="G4" s="869"/>
      <c r="H4" s="869"/>
      <c r="I4" s="869"/>
      <c r="J4" s="869"/>
      <c r="K4" s="870"/>
    </row>
    <row r="5" spans="1:27" ht="15" customHeight="1">
      <c r="B5" s="871" t="s">
        <v>40</v>
      </c>
      <c r="C5" s="873" t="s">
        <v>41</v>
      </c>
      <c r="D5" s="873" t="s">
        <v>42</v>
      </c>
      <c r="E5" s="873" t="s">
        <v>43</v>
      </c>
      <c r="F5" s="873" t="s">
        <v>44</v>
      </c>
      <c r="G5" s="873"/>
      <c r="H5" s="873"/>
      <c r="I5" s="873"/>
      <c r="J5" s="873"/>
      <c r="K5" s="875"/>
    </row>
    <row r="6" spans="1:27" ht="15" customHeight="1">
      <c r="B6" s="871"/>
      <c r="C6" s="873"/>
      <c r="D6" s="873"/>
      <c r="E6" s="873"/>
      <c r="F6" s="873" t="s">
        <v>45</v>
      </c>
      <c r="G6" s="873"/>
      <c r="H6" s="873"/>
      <c r="I6" s="876" t="s">
        <v>46</v>
      </c>
      <c r="J6" s="878" t="s">
        <v>47</v>
      </c>
      <c r="K6" s="880" t="s">
        <v>48</v>
      </c>
    </row>
    <row r="7" spans="1:27" ht="15" customHeight="1">
      <c r="B7" s="872"/>
      <c r="C7" s="874"/>
      <c r="D7" s="874"/>
      <c r="E7" s="874"/>
      <c r="F7" s="254" t="s">
        <v>49</v>
      </c>
      <c r="G7" s="254" t="s">
        <v>50</v>
      </c>
      <c r="H7" s="254" t="s">
        <v>51</v>
      </c>
      <c r="I7" s="877"/>
      <c r="J7" s="879"/>
      <c r="K7" s="881"/>
    </row>
    <row r="8" spans="1:27" ht="15" customHeight="1">
      <c r="B8" s="247">
        <v>46027</v>
      </c>
      <c r="C8" s="164" cm="1">
        <f t="array" ref="C8">SUMPRODUCT((ST!$C$4:$C$504&lt;&gt;"")*(ST!$D$4:$D$504&lt;&gt;"")*((ST!$F$4:$F$504&lt;=B8)+(ST!$F$4:$F$504&gt;B8)))</f>
        <v>19</v>
      </c>
      <c r="D8" s="164" cm="1">
        <f t="array" ref="D8">SUMPRODUCT((ST!$C$4:$C$504&lt;&gt;"")*(ST!$D$4:$D$504&lt;&gt;"")*(ST!$F$4:$F$504&lt;=B8))</f>
        <v>1</v>
      </c>
      <c r="E8" s="164" cm="1">
        <f t="array" ref="E8">SUMPRODUCT((ST!$C$4:$C$504&lt;&gt;"")*(ST!$D$4:$D$504&lt;&gt;"")*(ST!$G$4:$G$504&lt;&gt;"")*(ST!$G$4:$G$504&lt;=B8))</f>
        <v>0</v>
      </c>
      <c r="F8" s="164" cm="1">
        <f t="array" ref="F8">SUMPRODUCT((ST!$C$4:$C$504&lt;&gt;"")*(ST!$D$4:$D$504&lt;&gt;"")*(ST!$G$4:$G$504&lt;=$B8)*(ST!$K$4:$K$504="Pending")*(ST!$J$4:$J$504="CTA"))</f>
        <v>0</v>
      </c>
      <c r="G8" s="164" cm="1">
        <f t="array" ref="G8">SUMPRODUCT((ST!$C$4:$C$504&lt;&gt;"")*(ST!$D$4:$D$504&lt;&gt;"")*(ST!$G$4:$G$504&lt;=$B8)*(ST!$K$4:$K$504="Pending")*(ST!$J$4:$J$504="AUR"))</f>
        <v>0</v>
      </c>
      <c r="H8" s="164" cm="1">
        <f t="array" ref="H8">SUMPRODUCT((ST!$C$4:$C$504&lt;&gt;"")*(ST!$D$4:$D$504&lt;&gt;"")*(ST!$G$4:$G$504&lt;=$B8)*(ST!$K$4:$K$504="Pending")*(ST!$J$4:$J$504="STT"))</f>
        <v>0</v>
      </c>
      <c r="I8" s="164" cm="1">
        <f t="array" ref="I8">SUMPRODUCT((ST!$C$4:$C$504&lt;&gt;"")*(ST!$D$4:$D$504&lt;&gt;"")*(ST!$G$4:$G$504&lt;=$B8)*(ST!$K$4:$K$504="A"))</f>
        <v>0</v>
      </c>
      <c r="J8" s="164" cm="1">
        <f t="array" ref="J8">SUMPRODUCT((ST!$C$4:$C$504&lt;&gt;"")*(ST!$D$4:$D$504&lt;&gt;"")*(ST!$G$4:$G$504&lt;=$B8)*(ST!$K$4:$K$504="B"))</f>
        <v>0</v>
      </c>
      <c r="K8" s="165" cm="1">
        <f t="array" ref="K8">SUMPRODUCT((ST!$C$4:$C$504&lt;&gt;"")*(ST!$D$4:$D$504&lt;&gt;"")*(ST!$G$4:$G$504&lt;=$B8)*(ST!$K$4:$K$504="C"))</f>
        <v>0</v>
      </c>
    </row>
    <row r="9" spans="1:27" ht="15" customHeight="1">
      <c r="B9" s="247">
        <f>B8+7</f>
        <v>46034</v>
      </c>
      <c r="C9" s="164" cm="1">
        <f t="array" ref="C9">SUMPRODUCT((ST!$C$4:$C$504&lt;&gt;"")*(ST!$D$4:$D$504&lt;&gt;"")*((ST!$F$4:$F$504&lt;=B9)+(ST!$F$4:$F$504&gt;B9)))</f>
        <v>19</v>
      </c>
      <c r="D9" s="164" cm="1">
        <f t="array" ref="D9">SUMPRODUCT((ST!$C$4:$C$504&lt;&gt;"")*(ST!$D$4:$D$504&lt;&gt;"")*(ST!$F$4:$F$504&lt;=B9))</f>
        <v>1</v>
      </c>
      <c r="E9" s="164" cm="1">
        <f t="array" ref="E9">SUMPRODUCT((ST!$C$4:$C$504&lt;&gt;"")*(ST!$D$4:$D$504&lt;&gt;"")*(ST!$G$4:$G$504&lt;&gt;"")*(ST!$G$4:$G$504&lt;=B9))</f>
        <v>0</v>
      </c>
      <c r="F9" s="164" cm="1">
        <f t="array" ref="F9">SUMPRODUCT((ST!$C$4:$C$504&lt;&gt;"")*(ST!$D$4:$D$504&lt;&gt;"")*(ST!$G$4:$G$504&lt;=$B9)*(ST!$K$4:$K$504="Pending")*(ST!$J$4:$J$504="CTA"))</f>
        <v>0</v>
      </c>
      <c r="G9" s="164" cm="1">
        <f t="array" ref="G9">SUMPRODUCT((ST!$C$4:$C$504&lt;&gt;"")*(ST!$D$4:$D$504&lt;&gt;"")*(ST!$G$4:$G$504&lt;=$B9)*(ST!$K$4:$K$504="Pending")*(ST!$J$4:$J$504="AUR"))</f>
        <v>0</v>
      </c>
      <c r="H9" s="164" cm="1">
        <f t="array" ref="H9">SUMPRODUCT((ST!$C$4:$C$504&lt;&gt;"")*(ST!$D$4:$D$504&lt;&gt;"")*(ST!$G$4:$G$504&lt;=$B9)*(ST!$K$4:$K$504="Pending")*(ST!$J$4:$J$504="STT"))</f>
        <v>0</v>
      </c>
      <c r="I9" s="164" cm="1">
        <f t="array" ref="I9">SUMPRODUCT((ST!$C$4:$C$504&lt;&gt;"")*(ST!$D$4:$D$504&lt;&gt;"")*(ST!$G$4:$G$504&lt;=$B9)*(ST!$K$4:$K$504="A"))</f>
        <v>0</v>
      </c>
      <c r="J9" s="164" cm="1">
        <f t="array" ref="J9">SUMPRODUCT((ST!$C$4:$C$504&lt;&gt;"")*(ST!$D$4:$D$504&lt;&gt;"")*(ST!$G$4:$G$504&lt;=$B9)*(ST!$K$4:$K$504="B"))</f>
        <v>0</v>
      </c>
      <c r="K9" s="165" cm="1">
        <f t="array" ref="K9">SUMPRODUCT((ST!$C$4:$C$504&lt;&gt;"")*(ST!$D$4:$D$504&lt;&gt;"")*(ST!$G$4:$G$504&lt;=$B9)*(ST!$K$4:$K$504="C"))</f>
        <v>0</v>
      </c>
    </row>
    <row r="10" spans="1:27" ht="15" customHeight="1">
      <c r="B10" s="247">
        <f>B9+7</f>
        <v>46041</v>
      </c>
      <c r="C10" s="164" cm="1">
        <f t="array" ref="C10">SUMPRODUCT((ST!$C$4:$C$504&lt;&gt;"")*(ST!$D$4:$D$504&lt;&gt;"")*((ST!$F$4:$F$504&lt;=B10)+(ST!$F$4:$F$504&gt;B10)))</f>
        <v>19</v>
      </c>
      <c r="D10" s="164" cm="1">
        <f t="array" ref="D10">SUMPRODUCT((ST!$C$4:$C$504&lt;&gt;"")*(ST!$D$4:$D$504&lt;&gt;"")*(ST!$F$4:$F$504&lt;=B10))</f>
        <v>1</v>
      </c>
      <c r="E10" s="164" cm="1">
        <f t="array" ref="E10">SUMPRODUCT((ST!$C$4:$C$504&lt;&gt;"")*(ST!$D$4:$D$504&lt;&gt;"")*(ST!$G$4:$G$504&lt;&gt;"")*(ST!$G$4:$G$504&lt;=B10))</f>
        <v>0</v>
      </c>
      <c r="F10" s="164" cm="1">
        <f t="array" ref="F10">SUMPRODUCT((ST!$C$4:$C$504&lt;&gt;"")*(ST!$D$4:$D$504&lt;&gt;"")*(ST!$G$4:$G$504&lt;=$B10)*(ST!$K$4:$K$504="Pending")*(ST!$J$4:$J$504="CTA"))</f>
        <v>0</v>
      </c>
      <c r="G10" s="164" cm="1">
        <f t="array" ref="G10">SUMPRODUCT((ST!$C$4:$C$504&lt;&gt;"")*(ST!$D$4:$D$504&lt;&gt;"")*(ST!$G$4:$G$504&lt;=$B10)*(ST!$K$4:$K$504="Pending")*(ST!$J$4:$J$504="AUR"))</f>
        <v>0</v>
      </c>
      <c r="H10" s="164" cm="1">
        <f t="array" ref="H10">SUMPRODUCT((ST!$C$4:$C$504&lt;&gt;"")*(ST!$D$4:$D$504&lt;&gt;"")*(ST!$G$4:$G$504&lt;=$B10)*(ST!$K$4:$K$504="Pending")*(ST!$J$4:$J$504="STT"))</f>
        <v>0</v>
      </c>
      <c r="I10" s="164" cm="1">
        <f t="array" ref="I10">SUMPRODUCT((ST!$C$4:$C$504&lt;&gt;"")*(ST!$D$4:$D$504&lt;&gt;"")*(ST!$G$4:$G$504&lt;=$B10)*(ST!$K$4:$K$504="A"))</f>
        <v>0</v>
      </c>
      <c r="J10" s="164" cm="1">
        <f t="array" ref="J10">SUMPRODUCT((ST!$C$4:$C$504&lt;&gt;"")*(ST!$D$4:$D$504&lt;&gt;"")*(ST!$G$4:$G$504&lt;=$B10)*(ST!$K$4:$K$504="B"))</f>
        <v>0</v>
      </c>
      <c r="K10" s="165" cm="1">
        <f t="array" ref="K10">SUMPRODUCT((ST!$C$4:$C$504&lt;&gt;"")*(ST!$D$4:$D$504&lt;&gt;"")*(ST!$G$4:$G$504&lt;=$B10)*(ST!$K$4:$K$504="C"))</f>
        <v>0</v>
      </c>
    </row>
    <row r="11" spans="1:27" ht="15" customHeight="1">
      <c r="B11" s="636">
        <f>B10+7</f>
        <v>46048</v>
      </c>
      <c r="C11" s="637" cm="1">
        <f t="array" ref="C11">SUMPRODUCT((ST!$C$4:$C$504&lt;&gt;"")*(ST!$D$4:$D$504&lt;&gt;"")*((ST!$F$4:$F$504&lt;=B11)+(ST!$F$4:$F$504&gt;B11)))</f>
        <v>19</v>
      </c>
      <c r="D11" s="637" cm="1">
        <f t="array" ref="D11">SUMPRODUCT((ST!$C$4:$C$504&lt;&gt;"")*(ST!$D$4:$D$504&lt;&gt;"")*(ST!$F$4:$F$504&lt;=B11))</f>
        <v>1</v>
      </c>
      <c r="E11" s="637" cm="1">
        <f t="array" ref="E11">SUMPRODUCT((ST!$C$4:$C$504&lt;&gt;"")*(ST!$D$4:$D$504&lt;&gt;"")*(ST!$G$4:$G$504&lt;&gt;"")*(ST!$G$4:$G$504&lt;=B11))</f>
        <v>0</v>
      </c>
      <c r="F11" s="637" cm="1">
        <f t="array" ref="F11">SUMPRODUCT((ST!$C$4:$C$504&lt;&gt;"")*(ST!$D$4:$D$504&lt;&gt;"")*(ST!$G$4:$G$504&lt;=$B11)*(ST!$K$4:$K$504="Pending")*(ST!$J$4:$J$504="CTA"))</f>
        <v>0</v>
      </c>
      <c r="G11" s="637" cm="1">
        <f t="array" ref="G11">SUMPRODUCT((ST!$C$4:$C$504&lt;&gt;"")*(ST!$D$4:$D$504&lt;&gt;"")*(ST!$G$4:$G$504&lt;=$B11)*(ST!$K$4:$K$504="Pending")*(ST!$J$4:$J$504="AUR"))</f>
        <v>0</v>
      </c>
      <c r="H11" s="637" cm="1">
        <f t="array" ref="H11">SUMPRODUCT((ST!$C$4:$C$504&lt;&gt;"")*(ST!$D$4:$D$504&lt;&gt;"")*(ST!$G$4:$G$504&lt;=$B11)*(ST!$K$4:$K$504="Pending")*(ST!$J$4:$J$504="STT"))</f>
        <v>0</v>
      </c>
      <c r="I11" s="637" cm="1">
        <f t="array" ref="I11">SUMPRODUCT((ST!$C$4:$C$504&lt;&gt;"")*(ST!$D$4:$D$504&lt;&gt;"")*(ST!$G$4:$G$504&lt;=$B11)*(ST!$K$4:$K$504="A"))</f>
        <v>0</v>
      </c>
      <c r="J11" s="637" cm="1">
        <f t="array" ref="J11">SUMPRODUCT((ST!$C$4:$C$504&lt;&gt;"")*(ST!$D$4:$D$504&lt;&gt;"")*(ST!$G$4:$G$504&lt;=$B11)*(ST!$K$4:$K$504="B"))</f>
        <v>0</v>
      </c>
      <c r="K11" s="638" cm="1">
        <f t="array" ref="K11">SUMPRODUCT((ST!$C$4:$C$504&lt;&gt;"")*(ST!$D$4:$D$504&lt;&gt;"")*(ST!$G$4:$G$504&lt;=$B11)*(ST!$K$4:$K$504="C"))</f>
        <v>0</v>
      </c>
    </row>
    <row r="12" spans="1:27" ht="15" customHeight="1">
      <c r="B12" s="609">
        <f>B11+7</f>
        <v>46055</v>
      </c>
      <c r="C12" s="610" cm="1">
        <f t="array" ref="C12">SUMPRODUCT((ST!$C$4:$C$504&lt;&gt;"")*(ST!$D$4:$D$504&lt;&gt;"")*((ST!$F$4:$F$504&lt;=B12)+(ST!$F$4:$F$504&gt;B12)))</f>
        <v>19</v>
      </c>
      <c r="D12" s="610" cm="1">
        <f t="array" ref="D12">SUMPRODUCT((ST!$C$4:$C$504&lt;&gt;"")*(ST!$D$4:$D$504&lt;&gt;"")*(ST!$F$4:$F$504&lt;=B12))</f>
        <v>1</v>
      </c>
      <c r="E12" s="610" cm="1">
        <f t="array" ref="E12">SUMPRODUCT((ST!$C$4:$C$504&lt;&gt;"")*(ST!$D$4:$D$504&lt;&gt;"")*(ST!$G$4:$G$504&lt;&gt;"")*(ST!$G$4:$G$504&lt;=B12))</f>
        <v>0</v>
      </c>
      <c r="F12" s="610" cm="1">
        <f t="array" ref="F12">SUMPRODUCT((ST!$C$4:$C$504&lt;&gt;"")*(ST!$D$4:$D$504&lt;&gt;"")*(ST!$G$4:$G$504&lt;=$B12)*(ST!$K$4:$K$504="Pending")*(ST!$J$4:$J$504="CTA"))</f>
        <v>0</v>
      </c>
      <c r="G12" s="610" cm="1">
        <f t="array" ref="G12">SUMPRODUCT((ST!$C$4:$C$504&lt;&gt;"")*(ST!$D$4:$D$504&lt;&gt;"")*(ST!$G$4:$G$504&lt;=$B12)*(ST!$K$4:$K$504="Pending")*(ST!$J$4:$J$504="AUR"))</f>
        <v>0</v>
      </c>
      <c r="H12" s="610" cm="1">
        <f t="array" ref="H12">SUMPRODUCT((ST!$C$4:$C$504&lt;&gt;"")*(ST!$D$4:$D$504&lt;&gt;"")*(ST!$G$4:$G$504&lt;=$B12)*(ST!$K$4:$K$504="Pending")*(ST!$J$4:$J$504="STT"))</f>
        <v>0</v>
      </c>
      <c r="I12" s="610" cm="1">
        <f t="array" ref="I12">SUMPRODUCT((ST!$C$4:$C$504&lt;&gt;"")*(ST!$D$4:$D$504&lt;&gt;"")*(ST!$G$4:$G$504&lt;=$B12)*(ST!$K$4:$K$504="A"))</f>
        <v>0</v>
      </c>
      <c r="J12" s="610" cm="1">
        <f t="array" ref="J12">SUMPRODUCT((ST!$C$4:$C$504&lt;&gt;"")*(ST!$D$4:$D$504&lt;&gt;"")*(ST!$G$4:$G$504&lt;=$B12)*(ST!$K$4:$K$504="B"))</f>
        <v>0</v>
      </c>
      <c r="K12" s="611" cm="1">
        <f t="array" ref="K12">SUMPRODUCT((ST!$C$4:$C$504&lt;&gt;"")*(ST!$D$4:$D$504&lt;&gt;"")*(ST!$G$4:$G$504&lt;=$B12)*(ST!$K$4:$K$504="C"))</f>
        <v>0</v>
      </c>
    </row>
    <row r="13" spans="1:27" ht="15" customHeight="1">
      <c r="B13" s="247"/>
      <c r="C13" s="164"/>
      <c r="D13" s="164"/>
      <c r="E13" s="164"/>
      <c r="F13" s="164"/>
      <c r="G13" s="164"/>
      <c r="H13" s="164"/>
      <c r="I13" s="164"/>
      <c r="J13" s="164"/>
      <c r="K13" s="165"/>
    </row>
    <row r="14" spans="1:27" ht="15" customHeight="1">
      <c r="B14" s="247"/>
      <c r="C14" s="164"/>
      <c r="D14" s="164"/>
      <c r="E14" s="164"/>
      <c r="F14" s="164"/>
      <c r="G14" s="164"/>
      <c r="H14" s="164"/>
      <c r="I14" s="164"/>
      <c r="J14" s="164"/>
      <c r="K14" s="165"/>
    </row>
    <row r="15" spans="1:27" ht="15" customHeight="1">
      <c r="B15" s="247"/>
      <c r="C15" s="164"/>
      <c r="D15" s="164"/>
      <c r="E15" s="164"/>
      <c r="F15" s="164"/>
      <c r="G15" s="164"/>
      <c r="H15" s="164"/>
      <c r="I15" s="164"/>
      <c r="J15" s="164"/>
      <c r="K15" s="165"/>
    </row>
    <row r="16" spans="1:27" ht="15" customHeight="1">
      <c r="B16" s="247"/>
      <c r="C16" s="164"/>
      <c r="D16" s="164"/>
      <c r="E16" s="164"/>
      <c r="F16" s="164"/>
      <c r="G16" s="164"/>
      <c r="H16" s="164"/>
      <c r="I16" s="164"/>
      <c r="J16" s="164"/>
      <c r="K16" s="165"/>
    </row>
    <row r="17" spans="2:11" ht="15" customHeight="1">
      <c r="B17" s="247"/>
      <c r="C17" s="164"/>
      <c r="D17" s="164"/>
      <c r="E17" s="164"/>
      <c r="F17" s="164"/>
      <c r="G17" s="164"/>
      <c r="H17" s="164"/>
      <c r="I17" s="164"/>
      <c r="J17" s="164"/>
      <c r="K17" s="165"/>
    </row>
    <row r="18" spans="2:11" ht="15" customHeight="1">
      <c r="B18" s="289"/>
      <c r="C18" s="308"/>
      <c r="D18" s="308"/>
      <c r="E18" s="308"/>
      <c r="F18" s="308"/>
      <c r="G18" s="308"/>
      <c r="H18" s="308"/>
      <c r="I18" s="308"/>
      <c r="J18" s="308"/>
      <c r="K18" s="411"/>
    </row>
    <row r="19" spans="2:11" ht="15" customHeight="1">
      <c r="B19" s="166"/>
      <c r="C19" s="69"/>
      <c r="D19" s="69"/>
      <c r="E19" s="69"/>
      <c r="F19" s="69"/>
      <c r="G19" s="69"/>
      <c r="H19" s="69"/>
      <c r="I19" s="69"/>
      <c r="J19" s="69"/>
      <c r="K19" s="69"/>
    </row>
    <row r="20" spans="2:11" ht="15" customHeight="1">
      <c r="B20" s="166"/>
      <c r="C20" s="69"/>
      <c r="D20" s="69"/>
      <c r="E20" s="69"/>
      <c r="F20" s="69"/>
      <c r="G20" s="69"/>
      <c r="H20" s="69"/>
      <c r="I20" s="69"/>
      <c r="J20" s="69"/>
      <c r="K20" s="69"/>
    </row>
    <row r="22" spans="2:11" ht="15" customHeight="1">
      <c r="B22" s="868" t="s">
        <v>19</v>
      </c>
      <c r="C22" s="869"/>
      <c r="D22" s="869"/>
      <c r="E22" s="869"/>
      <c r="F22" s="869"/>
      <c r="G22" s="869"/>
      <c r="H22" s="869"/>
      <c r="I22" s="869"/>
      <c r="J22" s="869"/>
      <c r="K22" s="870"/>
    </row>
    <row r="23" spans="2:11" ht="15" customHeight="1">
      <c r="B23" s="871" t="s">
        <v>40</v>
      </c>
      <c r="C23" s="873" t="s">
        <v>41</v>
      </c>
      <c r="D23" s="873" t="s">
        <v>42</v>
      </c>
      <c r="E23" s="873" t="s">
        <v>43</v>
      </c>
      <c r="F23" s="873" t="s">
        <v>44</v>
      </c>
      <c r="G23" s="873"/>
      <c r="H23" s="873"/>
      <c r="I23" s="873"/>
      <c r="J23" s="873"/>
      <c r="K23" s="875"/>
    </row>
    <row r="24" spans="2:11" ht="15" customHeight="1">
      <c r="B24" s="871"/>
      <c r="C24" s="873"/>
      <c r="D24" s="873"/>
      <c r="E24" s="873"/>
      <c r="F24" s="873" t="s">
        <v>45</v>
      </c>
      <c r="G24" s="873"/>
      <c r="H24" s="873"/>
      <c r="I24" s="876" t="s">
        <v>46</v>
      </c>
      <c r="J24" s="878" t="s">
        <v>47</v>
      </c>
      <c r="K24" s="880" t="s">
        <v>48</v>
      </c>
    </row>
    <row r="25" spans="2:11" ht="15" customHeight="1">
      <c r="B25" s="872"/>
      <c r="C25" s="874"/>
      <c r="D25" s="874"/>
      <c r="E25" s="874"/>
      <c r="F25" s="254" t="s">
        <v>49</v>
      </c>
      <c r="G25" s="254" t="s">
        <v>50</v>
      </c>
      <c r="H25" s="254" t="s">
        <v>51</v>
      </c>
      <c r="I25" s="877"/>
      <c r="J25" s="879"/>
      <c r="K25" s="881"/>
    </row>
    <row r="26" spans="2:11" ht="15" customHeight="1">
      <c r="B26" s="247">
        <f>B8</f>
        <v>46027</v>
      </c>
      <c r="C26" s="164" cm="1">
        <f t="array" ref="C26">SUMPRODUCT((AR!$C$4:$C$507&lt;&gt;"")*(AR!$D$4:$D$507&lt;&gt;"")*((AR!$F$4:$F$507&lt;=B26)+(AR!$F$4:$F$507&gt;B26)))</f>
        <v>83</v>
      </c>
      <c r="D26" s="164" cm="1">
        <f t="array" ref="D26">SUMPRODUCT((AR!$C$4:$C$507&lt;&gt;"")*(AR!$D$4:$D$507&lt;&gt;"")*(AR!$F$4:$F$507&lt;=B26))</f>
        <v>9</v>
      </c>
      <c r="E26" s="164" cm="1">
        <f t="array" ref="E26">SUMPRODUCT((AR!$C$4:$C$507&lt;&gt;"")*(AR!$D$4:$D$507&lt;&gt;"")*(AR!$G$4:$G$507&lt;&gt;"")*(AR!$G$4:$G$507&lt;=B26))</f>
        <v>0</v>
      </c>
      <c r="F26" s="164" cm="1">
        <f t="array" ref="F26">SUMPRODUCT((AR!$C$4:$C$507&lt;&gt;"")*(AR!$D$4:$D$507&lt;&gt;"")*(AR!$G$4:$G$507&lt;=$B26)*(AR!$K$4:$K$507="Pending")*(AR!$J$4:$J$507="CTA"))</f>
        <v>0</v>
      </c>
      <c r="G26" s="164" cm="1">
        <f t="array" ref="G26">SUMPRODUCT((AR!$C$4:$C$507&lt;&gt;"")*(AR!$D$4:$D$507&lt;&gt;"")*(AR!$G$4:$G$507&lt;=$B26)*(AR!$K$4:$K$507="Pending")*(AR!$J$4:$J$507="AUR"))</f>
        <v>0</v>
      </c>
      <c r="H26" s="164" cm="1">
        <f t="array" ref="H26">SUMPRODUCT((AR!$C$4:$C$507&lt;&gt;"")*(AR!$D$4:$D$507&lt;&gt;"")*(AR!$G$4:$G$507&lt;=$B26)*(AR!$K$4:$K$507="Pending")*(AR!$J$4:$J$507="STT"))</f>
        <v>0</v>
      </c>
      <c r="I26" s="164" cm="1">
        <f t="array" ref="I26">SUMPRODUCT((AR!$C$4:$C$507&lt;&gt;"")*(AR!$D$4:$D$507&lt;&gt;"")*(AR!$G$4:$G$507&lt;=$B26)*(AR!$K$4:$K$507="A"))</f>
        <v>0</v>
      </c>
      <c r="J26" s="164" cm="1">
        <f t="array" ref="J26">SUMPRODUCT((AR!$C$4:$C$507&lt;&gt;"")*(AR!$D$4:$D$507&lt;&gt;"")*(AR!$G$4:$G$507&lt;=$B26)*(AR!$K$4:$K$507="B"))</f>
        <v>0</v>
      </c>
      <c r="K26" s="165" cm="1">
        <f t="array" ref="K26">SUMPRODUCT((AR!$C$4:$C$507&lt;&gt;"")*(AR!$D$4:$D$507&lt;&gt;"")*(AR!$G$4:$G$507&lt;=$B26)*(AR!$K$4:$K$507="C"))</f>
        <v>0</v>
      </c>
    </row>
    <row r="27" spans="2:11" ht="15" customHeight="1">
      <c r="B27" s="247">
        <f t="shared" ref="B27:B28" si="0">B9</f>
        <v>46034</v>
      </c>
      <c r="C27" s="164" cm="1">
        <f t="array" ref="C27">SUMPRODUCT((AR!$C$4:$C$507&lt;&gt;"")*(AR!$D$4:$D$507&lt;&gt;"")*((AR!$F$4:$F$507&lt;=B27)+(AR!$F$4:$F$507&gt;B27)))</f>
        <v>83</v>
      </c>
      <c r="D27" s="164" cm="1">
        <f t="array" ref="D27">SUMPRODUCT((AR!$C$4:$C$507&lt;&gt;"")*(AR!$D$4:$D$507&lt;&gt;"")*(AR!$F$4:$F$507&lt;=B27))</f>
        <v>12</v>
      </c>
      <c r="E27" s="164" cm="1">
        <f t="array" ref="E27">SUMPRODUCT((AR!$C$4:$C$507&lt;&gt;"")*(AR!$D$4:$D$507&lt;&gt;"")*(AR!$G$4:$G$507&lt;&gt;"")*(AR!$G$4:$G$507&lt;=B27))</f>
        <v>1</v>
      </c>
      <c r="F27" s="164" cm="1">
        <f t="array" ref="F27">SUMPRODUCT((AR!$C$4:$C$507&lt;&gt;"")*(AR!$D$4:$D$507&lt;&gt;"")*(AR!$G$4:$G$507&lt;=$B27)*(AR!$K$4:$K$507="Pending")*(AR!$J$4:$J$507="CTA"))</f>
        <v>0</v>
      </c>
      <c r="G27" s="164" cm="1">
        <f t="array" ref="G27">SUMPRODUCT((AR!$C$4:$C$507&lt;&gt;"")*(AR!$D$4:$D$507&lt;&gt;"")*(AR!$G$4:$G$507&lt;=$B27)*(AR!$K$4:$K$507="Pending")*(AR!$J$4:$J$507="AUR"))</f>
        <v>0</v>
      </c>
      <c r="H27" s="164" cm="1">
        <f t="array" ref="H27">SUMPRODUCT((AR!$C$4:$C$507&lt;&gt;"")*(AR!$D$4:$D$507&lt;&gt;"")*(AR!$G$4:$G$507&lt;=$B27)*(AR!$K$4:$K$507="Pending")*(AR!$J$4:$J$507="STT"))</f>
        <v>0</v>
      </c>
      <c r="I27" s="164" cm="1">
        <f t="array" ref="I27">SUMPRODUCT((AR!$C$4:$C$507&lt;&gt;"")*(AR!$D$4:$D$507&lt;&gt;"")*(AR!$G$4:$G$507&lt;=$B27)*(AR!$K$4:$K$507="A"))</f>
        <v>0</v>
      </c>
      <c r="J27" s="164" cm="1">
        <f t="array" ref="J27">SUMPRODUCT((AR!$C$4:$C$507&lt;&gt;"")*(AR!$D$4:$D$507&lt;&gt;"")*(AR!$G$4:$G$507&lt;=$B27)*(AR!$K$4:$K$507="B"))</f>
        <v>1</v>
      </c>
      <c r="K27" s="165" cm="1">
        <f t="array" ref="K27">SUMPRODUCT((AR!$C$4:$C$507&lt;&gt;"")*(AR!$D$4:$D$507&lt;&gt;"")*(AR!$G$4:$G$507&lt;=$B27)*(AR!$K$4:$K$507="C"))</f>
        <v>0</v>
      </c>
    </row>
    <row r="28" spans="2:11" ht="15" customHeight="1">
      <c r="B28" s="247">
        <f t="shared" si="0"/>
        <v>46041</v>
      </c>
      <c r="C28" s="164" cm="1">
        <f t="array" ref="C28">SUMPRODUCT((AR!$C$4:$C$507&lt;&gt;"")*(AR!$D$4:$D$507&lt;&gt;"")*((AR!$F$4:$F$507&lt;=B28)+(AR!$F$4:$F$507&gt;B28)))</f>
        <v>83</v>
      </c>
      <c r="D28" s="164" cm="1">
        <f t="array" ref="D28">SUMPRODUCT((AR!$C$4:$C$507&lt;&gt;"")*(AR!$D$4:$D$507&lt;&gt;"")*(AR!$F$4:$F$507&lt;=B28))</f>
        <v>17</v>
      </c>
      <c r="E28" s="164" cm="1">
        <f t="array" ref="E28">SUMPRODUCT((AR!$C$4:$C$507&lt;&gt;"")*(AR!$D$4:$D$507&lt;&gt;"")*(AR!$G$4:$G$507&lt;&gt;"")*(AR!$G$4:$G$507&lt;=B28))</f>
        <v>3</v>
      </c>
      <c r="F28" s="164" cm="1">
        <f t="array" ref="F28">SUMPRODUCT((AR!$C$4:$C$507&lt;&gt;"")*(AR!$D$4:$D$507&lt;&gt;"")*(AR!$G$4:$G$507&lt;=$B28)*(AR!$K$4:$K$507="Pending")*(AR!$J$4:$J$507="CTA"))</f>
        <v>0</v>
      </c>
      <c r="G28" s="164" cm="1">
        <f t="array" ref="G28">SUMPRODUCT((AR!$C$4:$C$507&lt;&gt;"")*(AR!$D$4:$D$507&lt;&gt;"")*(AR!$G$4:$G$507&lt;=$B28)*(AR!$K$4:$K$507="Pending")*(AR!$J$4:$J$507="AUR"))</f>
        <v>1</v>
      </c>
      <c r="H28" s="164" cm="1">
        <f t="array" ref="H28">SUMPRODUCT((AR!$C$4:$C$507&lt;&gt;"")*(AR!$D$4:$D$507&lt;&gt;"")*(AR!$G$4:$G$507&lt;=$B28)*(AR!$K$4:$K$507="Pending")*(AR!$J$4:$J$507="STT"))</f>
        <v>0</v>
      </c>
      <c r="I28" s="164" cm="1">
        <f t="array" ref="I28">SUMPRODUCT((AR!$C$4:$C$507&lt;&gt;"")*(AR!$D$4:$D$507&lt;&gt;"")*(AR!$G$4:$G$507&lt;=$B28)*(AR!$K$4:$K$507="A"))</f>
        <v>0</v>
      </c>
      <c r="J28" s="164" cm="1">
        <f t="array" ref="J28">SUMPRODUCT((AR!$C$4:$C$507&lt;&gt;"")*(AR!$D$4:$D$507&lt;&gt;"")*(AR!$G$4:$G$507&lt;=$B28)*(AR!$K$4:$K$507="B"))</f>
        <v>1</v>
      </c>
      <c r="K28" s="165" cm="1">
        <f t="array" ref="K28">SUMPRODUCT((AR!$C$4:$C$507&lt;&gt;"")*(AR!$D$4:$D$507&lt;&gt;"")*(AR!$G$4:$G$507&lt;=$B28)*(AR!$K$4:$K$507="C"))</f>
        <v>1</v>
      </c>
    </row>
    <row r="29" spans="2:11" ht="15" customHeight="1">
      <c r="B29" s="636">
        <f>B11</f>
        <v>46048</v>
      </c>
      <c r="C29" s="637" cm="1">
        <f t="array" ref="C29">SUMPRODUCT((AR!$C$4:$C$507&lt;&gt;"")*(AR!$D$4:$D$507&lt;&gt;"")*((AR!$F$4:$F$507&lt;=B29)+(AR!$F$4:$F$507&gt;B29)))</f>
        <v>83</v>
      </c>
      <c r="D29" s="637" cm="1">
        <f t="array" ref="D29">SUMPRODUCT((AR!$C$4:$C$507&lt;&gt;"")*(AR!$D$4:$D$507&lt;&gt;"")*(AR!$F$4:$F$507&lt;=B29))</f>
        <v>21</v>
      </c>
      <c r="E29" s="637" cm="1">
        <f t="array" ref="E29">SUMPRODUCT((AR!$C$4:$C$507&lt;&gt;"")*(AR!$D$4:$D$507&lt;&gt;"")*(AR!$G$4:$G$507&lt;&gt;"")*(AR!$G$4:$G$507&lt;=B29))</f>
        <v>14</v>
      </c>
      <c r="F29" s="637" cm="1">
        <f t="array" ref="F29">SUMPRODUCT((AR!$C$4:$C$507&lt;&gt;"")*(AR!$D$4:$D$507&lt;&gt;"")*(AR!$G$4:$G$507&lt;=$B29)*(AR!$K$4:$K$507="Pending")*(AR!$J$4:$J$507="CTA"))</f>
        <v>0</v>
      </c>
      <c r="G29" s="637" cm="1">
        <f t="array" ref="G29">SUMPRODUCT((AR!$C$4:$C$507&lt;&gt;"")*(AR!$D$4:$D$507&lt;&gt;"")*(AR!$G$4:$G$507&lt;=$B29)*(AR!$K$4:$K$507="Pending")*(AR!$J$4:$J$507="AUR"))</f>
        <v>1</v>
      </c>
      <c r="H29" s="637" cm="1">
        <f t="array" ref="H29">SUMPRODUCT((AR!$C$4:$C$507&lt;&gt;"")*(AR!$D$4:$D$507&lt;&gt;"")*(AR!$G$4:$G$507&lt;=$B29)*(AR!$K$4:$K$507="Pending")*(AR!$J$4:$J$507="STT"))</f>
        <v>0</v>
      </c>
      <c r="I29" s="637" cm="1">
        <f t="array" ref="I29">SUMPRODUCT((AR!$C$4:$C$507&lt;&gt;"")*(AR!$D$4:$D$507&lt;&gt;"")*(AR!$G$4:$G$507&lt;=$B29)*(AR!$K$4:$K$507="A"))</f>
        <v>0</v>
      </c>
      <c r="J29" s="637" cm="1">
        <f t="array" ref="J29">SUMPRODUCT((AR!$C$4:$C$507&lt;&gt;"")*(AR!$D$4:$D$507&lt;&gt;"")*(AR!$G$4:$G$507&lt;=$B29)*(AR!$K$4:$K$507="B"))</f>
        <v>12</v>
      </c>
      <c r="K29" s="638" cm="1">
        <f t="array" ref="K29">SUMPRODUCT((AR!$C$4:$C$507&lt;&gt;"")*(AR!$D$4:$D$507&lt;&gt;"")*(AR!$G$4:$G$507&lt;=$B29)*(AR!$K$4:$K$507="C"))</f>
        <v>1</v>
      </c>
    </row>
    <row r="30" spans="2:11" ht="15" customHeight="1">
      <c r="B30" s="609">
        <f>B12</f>
        <v>46055</v>
      </c>
      <c r="C30" s="610" cm="1">
        <f t="array" ref="C30">SUMPRODUCT((AR!$C$4:$C$507&lt;&gt;"")*(AR!$D$4:$D$507&lt;&gt;"")*((AR!$F$4:$F$507&lt;=B30)+(AR!$F$4:$F$507&gt;B30)))</f>
        <v>83</v>
      </c>
      <c r="D30" s="610" cm="1">
        <f t="array" ref="D30">SUMPRODUCT((AR!$C$4:$C$507&lt;&gt;"")*(AR!$D$4:$D$507&lt;&gt;"")*(AR!$F$4:$F$507&lt;=B30))</f>
        <v>27</v>
      </c>
      <c r="E30" s="610" cm="1">
        <f t="array" ref="E30">SUMPRODUCT((AR!$C$4:$C$507&lt;&gt;"")*(AR!$D$4:$D$507&lt;&gt;"")*(AR!$G$4:$G$507&lt;&gt;"")*(AR!$G$4:$G$507&lt;=B30))</f>
        <v>19</v>
      </c>
      <c r="F30" s="610" cm="1">
        <f t="array" ref="F30">SUMPRODUCT((AR!$C$4:$C$507&lt;&gt;"")*(AR!$D$4:$D$507&lt;&gt;"")*(AR!$G$4:$G$507&lt;=$B30)*(AR!$K$4:$K$507="Pending")*(AR!$J$4:$J$507="CTA"))</f>
        <v>0</v>
      </c>
      <c r="G30" s="610" cm="1">
        <f t="array" ref="G30">SUMPRODUCT((AR!$C$4:$C$507&lt;&gt;"")*(AR!$D$4:$D$507&lt;&gt;"")*(AR!$G$4:$G$507&lt;=$B30)*(AR!$K$4:$K$507="Pending")*(AR!$J$4:$J$507="AUR"))</f>
        <v>1</v>
      </c>
      <c r="H30" s="610" cm="1">
        <f t="array" ref="H30">SUMPRODUCT((AR!$C$4:$C$507&lt;&gt;"")*(AR!$D$4:$D$507&lt;&gt;"")*(AR!$G$4:$G$507&lt;=$B30)*(AR!$K$4:$K$507="Pending")*(AR!$J$4:$J$507="STT"))</f>
        <v>3</v>
      </c>
      <c r="I30" s="610" cm="1">
        <f t="array" ref="I30">SUMPRODUCT((AR!$C$4:$C$507&lt;&gt;"")*(AR!$D$4:$D$507&lt;&gt;"")*(AR!$G$4:$G$507&lt;=$B30)*(AR!$K$4:$K$507="A"))</f>
        <v>0</v>
      </c>
      <c r="J30" s="610" cm="1">
        <f t="array" ref="J30">SUMPRODUCT((AR!$C$4:$C$507&lt;&gt;"")*(AR!$D$4:$D$507&lt;&gt;"")*(AR!$G$4:$G$507&lt;=$B30)*(AR!$K$4:$K$507="B"))</f>
        <v>14</v>
      </c>
      <c r="K30" s="611" cm="1">
        <f t="array" ref="K30">SUMPRODUCT((AR!$C$4:$C$507&lt;&gt;"")*(AR!$D$4:$D$507&lt;&gt;"")*(AR!$G$4:$G$507&lt;=$B30)*(AR!$K$4:$K$507="C"))</f>
        <v>1</v>
      </c>
    </row>
    <row r="31" spans="2:11" ht="15" customHeight="1">
      <c r="B31" s="247"/>
      <c r="C31" s="245"/>
      <c r="D31" s="164"/>
      <c r="E31" s="164"/>
      <c r="F31" s="164"/>
      <c r="G31" s="164"/>
      <c r="H31" s="164"/>
      <c r="I31" s="164"/>
      <c r="J31" s="164"/>
      <c r="K31" s="165"/>
    </row>
    <row r="32" spans="2:11" ht="15" customHeight="1">
      <c r="B32" s="247"/>
      <c r="C32" s="245"/>
      <c r="D32" s="164"/>
      <c r="E32" s="164"/>
      <c r="F32" s="164"/>
      <c r="G32" s="164"/>
      <c r="H32" s="164"/>
      <c r="I32" s="164"/>
      <c r="J32" s="164"/>
      <c r="K32" s="165"/>
    </row>
    <row r="33" spans="2:11" ht="15" customHeight="1">
      <c r="B33" s="247"/>
      <c r="C33" s="245"/>
      <c r="D33" s="164"/>
      <c r="E33" s="164"/>
      <c r="F33" s="164"/>
      <c r="G33" s="164"/>
      <c r="H33" s="164"/>
      <c r="I33" s="164"/>
      <c r="J33" s="164"/>
      <c r="K33" s="165"/>
    </row>
    <row r="34" spans="2:11" ht="15" customHeight="1">
      <c r="B34" s="247"/>
      <c r="C34" s="245"/>
      <c r="D34" s="164"/>
      <c r="E34" s="164"/>
      <c r="F34" s="164"/>
      <c r="G34" s="164"/>
      <c r="H34" s="164"/>
      <c r="I34" s="164"/>
      <c r="J34" s="164"/>
      <c r="K34" s="165"/>
    </row>
    <row r="35" spans="2:11" ht="15" customHeight="1">
      <c r="B35" s="247"/>
      <c r="C35" s="245"/>
      <c r="D35" s="164"/>
      <c r="E35" s="164"/>
      <c r="F35" s="164"/>
      <c r="G35" s="164"/>
      <c r="H35" s="164"/>
      <c r="I35" s="164"/>
      <c r="J35" s="164"/>
      <c r="K35" s="165"/>
    </row>
    <row r="36" spans="2:11" ht="15" customHeight="1">
      <c r="B36" s="289"/>
      <c r="C36" s="242"/>
      <c r="D36" s="242"/>
      <c r="E36" s="242"/>
      <c r="F36" s="242"/>
      <c r="G36" s="242"/>
      <c r="H36" s="242"/>
      <c r="I36" s="242"/>
      <c r="J36" s="242"/>
      <c r="K36" s="243"/>
    </row>
    <row r="37" spans="2:11" ht="15" customHeight="1">
      <c r="B37" s="166"/>
      <c r="C37" s="69"/>
      <c r="D37" s="69"/>
      <c r="E37" s="69"/>
      <c r="F37" s="69"/>
      <c r="G37" s="69"/>
      <c r="H37" s="69"/>
      <c r="I37" s="69"/>
      <c r="J37" s="69"/>
      <c r="K37" s="69"/>
    </row>
    <row r="38" spans="2:11" ht="15" customHeight="1">
      <c r="B38" s="166"/>
      <c r="C38" s="69"/>
      <c r="D38" s="69"/>
      <c r="E38" s="69"/>
      <c r="F38" s="69"/>
      <c r="G38" s="69"/>
      <c r="H38" s="69"/>
      <c r="I38" s="69"/>
      <c r="J38" s="69"/>
      <c r="K38" s="69"/>
    </row>
    <row r="40" spans="2:11" ht="15" customHeight="1">
      <c r="B40" s="868" t="s">
        <v>52</v>
      </c>
      <c r="C40" s="869"/>
      <c r="D40" s="869"/>
      <c r="E40" s="869"/>
      <c r="F40" s="869"/>
      <c r="G40" s="869"/>
      <c r="H40" s="869"/>
      <c r="I40" s="869"/>
      <c r="J40" s="869"/>
      <c r="K40" s="870"/>
    </row>
    <row r="41" spans="2:11" ht="15" customHeight="1">
      <c r="B41" s="871" t="s">
        <v>40</v>
      </c>
      <c r="C41" s="873" t="s">
        <v>41</v>
      </c>
      <c r="D41" s="873" t="s">
        <v>42</v>
      </c>
      <c r="E41" s="873" t="s">
        <v>43</v>
      </c>
      <c r="F41" s="873" t="s">
        <v>44</v>
      </c>
      <c r="G41" s="873"/>
      <c r="H41" s="873"/>
      <c r="I41" s="873"/>
      <c r="J41" s="873"/>
      <c r="K41" s="875"/>
    </row>
    <row r="42" spans="2:11" ht="15" customHeight="1">
      <c r="B42" s="871"/>
      <c r="C42" s="873"/>
      <c r="D42" s="873"/>
      <c r="E42" s="873"/>
      <c r="F42" s="873" t="s">
        <v>45</v>
      </c>
      <c r="G42" s="873"/>
      <c r="H42" s="873"/>
      <c r="I42" s="876" t="s">
        <v>46</v>
      </c>
      <c r="J42" s="878" t="s">
        <v>47</v>
      </c>
      <c r="K42" s="880" t="s">
        <v>48</v>
      </c>
    </row>
    <row r="43" spans="2:11" ht="15" customHeight="1">
      <c r="B43" s="872"/>
      <c r="C43" s="874"/>
      <c r="D43" s="874"/>
      <c r="E43" s="874"/>
      <c r="F43" s="254" t="s">
        <v>49</v>
      </c>
      <c r="G43" s="254" t="s">
        <v>50</v>
      </c>
      <c r="H43" s="254" t="s">
        <v>51</v>
      </c>
      <c r="I43" s="877"/>
      <c r="J43" s="879"/>
      <c r="K43" s="881"/>
    </row>
    <row r="44" spans="2:11" ht="15" customHeight="1">
      <c r="B44" s="247">
        <f>B8</f>
        <v>46027</v>
      </c>
      <c r="C44" s="645" cm="1">
        <f t="array" ref="C44">SUMPRODUCT((EL!$E$4:$E$618&lt;&gt;"")*(EL!$D$4:$D$618&lt;&gt;"")*((EL!$F$4:$F$618&lt;=B44)+(EL!$F$4:$F$618&gt;B44)))</f>
        <v>255</v>
      </c>
      <c r="D44" s="644" cm="1">
        <f t="array" ref="D44">SUMPRODUCT((EL!$C$4:$C$618&lt;&gt;"")*(EL!$D$4:$D$618&lt;&gt;"")*(EL!$H$4:$H$618&lt;=B44))</f>
        <v>13</v>
      </c>
      <c r="E44" s="644" cm="1">
        <f t="array" ref="E44">SUMPRODUCT((EL!$C$4:$C$618&lt;&gt;"")*(EL!$D$4:$D$618&lt;&gt;"")*(EL!$G$4:$G$618&lt;&gt;"")*(EL!$G$4:$G$618&lt;=B44))</f>
        <v>0</v>
      </c>
      <c r="F44" s="643" cm="1">
        <f t="array" ref="F44">SUMPRODUCT((EL!$C$4:$C$441&lt;&gt;"")*(EL!$D$4:$D$441&lt;&gt;"")*(EL!$I$4:$I$441&lt;=$B44)*(EL!$M$4:$M$441="Pending")*(EL!$L$4:$L$441="CTA"))</f>
        <v>0</v>
      </c>
      <c r="G44" s="644" cm="1">
        <f t="array" ref="G44">SUMPRODUCT((EL!$C$4:$C$441&lt;&gt;"")*(EL!$D$4:$D$441&lt;&gt;"")*(EL!$I$4:$I$441&lt;=$B44)*(EL!$M$4:$M$441="Pending")*(EL!$L$4:$L$441="AUR"))</f>
        <v>0</v>
      </c>
      <c r="H44" s="644" cm="1">
        <f t="array" ref="H44">SUMPRODUCT((EL!$C$4:$C$441&lt;&gt;"")*(EL!$D$4:$D$441&lt;&gt;"")*(EL!$I$4:$I$441&lt;=$B44)*(EL!$M$4:$M$441="Pending")*(EL!$L$4:$L$441="STT"))</f>
        <v>0</v>
      </c>
      <c r="I44" s="644" cm="1">
        <f t="array" ref="I44">SUMPRODUCT((EL!$C$4:$C$441&lt;&gt;"")*(EL!$D$4:$D$441&lt;&gt;"")*(EL!$I$4:$I$441&lt;=$B44)*(EL!$M$4:$M$441="A"))</f>
        <v>0</v>
      </c>
      <c r="J44" s="644" cm="1">
        <f t="array" ref="J44">SUMPRODUCT((EL!$C$4:$C$441&lt;&gt;"")*(EL!$D$4:$D$441&lt;&gt;"")*(EL!$I$4:$I$441&lt;=$B44)*(EL!$M$4:$M$441="B"))</f>
        <v>0</v>
      </c>
      <c r="K44" s="642" cm="1">
        <f t="array" ref="K44">SUMPRODUCT((EL!$C$4:$C$441&lt;&gt;"")*(EL!$D$4:$D$441&lt;&gt;"")*(EL!$I$4:$I$441&lt;=$B44)*(EL!$M$4:$M$441="C"))</f>
        <v>1</v>
      </c>
    </row>
    <row r="45" spans="2:11" ht="15" customHeight="1">
      <c r="B45" s="247">
        <f t="shared" ref="B45:B46" si="1">B9</f>
        <v>46034</v>
      </c>
      <c r="C45" s="645" cm="1">
        <f t="array" ref="C45">SUMPRODUCT((EL!$E$4:$E$618&lt;&gt;"")*(EL!$D$4:$D$618&lt;&gt;"")*((EL!$F$4:$F$618&lt;=B45)+(EL!$F$4:$F$618&gt;B45)))</f>
        <v>255</v>
      </c>
      <c r="D45" s="644" cm="1">
        <f t="array" ref="D45">SUMPRODUCT((EL!$C$4:$C$618&lt;&gt;"")*(EL!$D$4:$D$618&lt;&gt;"")*(EL!$H$4:$H$618&lt;=B45))</f>
        <v>13</v>
      </c>
      <c r="E45" s="644" cm="1">
        <f t="array" ref="E45">SUMPRODUCT((EL!$C$4:$C$618&lt;&gt;"")*(EL!$D$4:$D$618&lt;&gt;"")*(EL!$G$4:$G$618&lt;&gt;"")*(EL!$G$4:$G$618&lt;=B45))</f>
        <v>0</v>
      </c>
      <c r="F45" s="643" cm="1">
        <f t="array" ref="F45">SUMPRODUCT((EL!$C$4:$C$441&lt;&gt;"")*(EL!$D$4:$D$441&lt;&gt;"")*(EL!$I$4:$I$441&lt;=$B45)*(EL!$M$4:$M$441="Pending")*(EL!$L$4:$L$441="CTA"))</f>
        <v>0</v>
      </c>
      <c r="G45" s="644" cm="1">
        <f t="array" ref="G45">SUMPRODUCT((EL!$C$4:$C$441&lt;&gt;"")*(EL!$D$4:$D$441&lt;&gt;"")*(EL!$I$4:$I$441&lt;=$B45)*(EL!$M$4:$M$441="Pending")*(EL!$L$4:$L$441="AUR"))</f>
        <v>0</v>
      </c>
      <c r="H45" s="644" cm="1">
        <f t="array" ref="H45">SUMPRODUCT((EL!$C$4:$C$441&lt;&gt;"")*(EL!$D$4:$D$441&lt;&gt;"")*(EL!$I$4:$I$441&lt;=$B45)*(EL!$M$4:$M$441="Pending")*(EL!$L$4:$L$441="STT"))</f>
        <v>0</v>
      </c>
      <c r="I45" s="644" cm="1">
        <f t="array" ref="I45">SUMPRODUCT((EL!$C$4:$C$441&lt;&gt;"")*(EL!$D$4:$D$441&lt;&gt;"")*(EL!$I$4:$I$441&lt;=$B45)*(EL!$M$4:$M$441="A"))</f>
        <v>0</v>
      </c>
      <c r="J45" s="644" cm="1">
        <f t="array" ref="J45">SUMPRODUCT((EL!$C$4:$C$441&lt;&gt;"")*(EL!$D$4:$D$441&lt;&gt;"")*(EL!$I$4:$I$441&lt;=$B45)*(EL!$M$4:$M$441="B"))</f>
        <v>0</v>
      </c>
      <c r="K45" s="642" cm="1">
        <f t="array" ref="K45">SUMPRODUCT((EL!$C$4:$C$441&lt;&gt;"")*(EL!$D$4:$D$441&lt;&gt;"")*(EL!$I$4:$I$441&lt;=$B45)*(EL!$M$4:$M$441="C"))</f>
        <v>1</v>
      </c>
    </row>
    <row r="46" spans="2:11" ht="15" customHeight="1">
      <c r="B46" s="247">
        <f t="shared" si="1"/>
        <v>46041</v>
      </c>
      <c r="C46" s="645" cm="1">
        <f t="array" ref="C46">SUMPRODUCT((EL!$E$4:$E$618&lt;&gt;"")*(EL!$D$4:$D$618&lt;&gt;"")*((EL!$F$4:$F$618&lt;=B46)+(EL!$F$4:$F$618&gt;B46)))</f>
        <v>255</v>
      </c>
      <c r="D46" s="644" cm="1">
        <f t="array" ref="D46">SUMPRODUCT((EL!$C$4:$C$618&lt;&gt;"")*(EL!$D$4:$D$618&lt;&gt;"")*(EL!$H$4:$H$618&lt;=B46))</f>
        <v>37</v>
      </c>
      <c r="E46" s="644" cm="1">
        <f t="array" ref="E46">SUMPRODUCT((EL!$C$4:$C$618&lt;&gt;"")*(EL!$D$4:$D$618&lt;&gt;"")*(EL!$G$4:$G$618&lt;&gt;"")*(EL!$G$4:$G$618&lt;=B46))</f>
        <v>0</v>
      </c>
      <c r="F46" s="643" cm="1">
        <f t="array" ref="F46">SUMPRODUCT((EL!$C$4:$C$441&lt;&gt;"")*(EL!$D$4:$D$441&lt;&gt;"")*(EL!$I$4:$I$441&lt;=$B46)*(EL!$M$4:$M$441="Pending")*(EL!$L$4:$L$441="CTA"))</f>
        <v>12</v>
      </c>
      <c r="G46" s="644" cm="1">
        <f t="array" ref="G46">SUMPRODUCT((EL!$C$4:$C$441&lt;&gt;"")*(EL!$D$4:$D$441&lt;&gt;"")*(EL!$I$4:$I$441&lt;=$B46)*(EL!$M$4:$M$441="Pending")*(EL!$L$4:$L$441="AUR"))</f>
        <v>0</v>
      </c>
      <c r="H46" s="644" cm="1">
        <f t="array" ref="H46">SUMPRODUCT((EL!$C$4:$C$441&lt;&gt;"")*(EL!$D$4:$D$441&lt;&gt;"")*(EL!$I$4:$I$441&lt;=$B46)*(EL!$M$4:$M$441="Pending")*(EL!$L$4:$L$441="STT"))</f>
        <v>7</v>
      </c>
      <c r="I46" s="644" cm="1">
        <f t="array" ref="I46">SUMPRODUCT((EL!$C$4:$C$441&lt;&gt;"")*(EL!$D$4:$D$441&lt;&gt;"")*(EL!$I$4:$I$441&lt;=$B46)*(EL!$M$4:$M$441="A"))</f>
        <v>0</v>
      </c>
      <c r="J46" s="644" cm="1">
        <f t="array" ref="J46">SUMPRODUCT((EL!$C$4:$C$441&lt;&gt;"")*(EL!$D$4:$D$441&lt;&gt;"")*(EL!$I$4:$I$441&lt;=$B46)*(EL!$M$4:$M$441="B"))</f>
        <v>0</v>
      </c>
      <c r="K46" s="642" cm="1">
        <f t="array" ref="K46">SUMPRODUCT((EL!$C$4:$C$441&lt;&gt;"")*(EL!$D$4:$D$441&lt;&gt;"")*(EL!$I$4:$I$441&lt;=$B46)*(EL!$M$4:$M$441="C"))</f>
        <v>1</v>
      </c>
    </row>
    <row r="47" spans="2:11" ht="15" customHeight="1">
      <c r="B47" s="636">
        <f>B11</f>
        <v>46048</v>
      </c>
      <c r="C47" s="637" cm="1">
        <f t="array" ref="C47">SUMPRODUCT((EL!$E$4:$E$618&lt;&gt;"")*(EL!$D$4:$D$618&lt;&gt;"")*((EL!$F$4:$F$618&lt;=B47)+(EL!$F$4:$F$618&gt;B47)))</f>
        <v>255</v>
      </c>
      <c r="D47" s="637" cm="1">
        <f t="array" ref="D47">SUMPRODUCT((EL!$C$4:$C$618&lt;&gt;"")*(EL!$D$4:$D$618&lt;&gt;"")*(EL!$H$4:$H$618&lt;=B47))</f>
        <v>53</v>
      </c>
      <c r="E47" s="637" cm="1">
        <f t="array" ref="E47">SUMPRODUCT((EL!$C$4:$C$618&lt;&gt;"")*(EL!$D$4:$D$618&lt;&gt;"")*(EL!$I$4:$I$618&lt;&gt;"")*(EL!$I$4:$I$618&lt;=B47))</f>
        <v>30</v>
      </c>
      <c r="F47" s="637" cm="1">
        <f t="array" ref="F47">SUMPRODUCT((EL!$C$4:$C$441&lt;&gt;"")*(EL!$D$4:$D$441&lt;&gt;"")*(EL!$I$4:$I$441&lt;=$B47)*(EL!$M$4:$M$441="Pending")*(EL!$L$4:$L$441="CTA"))</f>
        <v>12</v>
      </c>
      <c r="G47" s="637" cm="1">
        <f t="array" ref="G47">SUMPRODUCT((EL!$C$4:$C$441&lt;&gt;"")*(EL!$D$4:$D$441&lt;&gt;"")*(EL!$I$4:$I$441&lt;=$B47)*(EL!$M$4:$M$441="Pending")*(EL!$L$4:$L$441="AUR"))</f>
        <v>0</v>
      </c>
      <c r="H47" s="637" cm="1">
        <f t="array" ref="H47">SUMPRODUCT((EL!$C$4:$C$441&lt;&gt;"")*(EL!$D$4:$D$441&lt;&gt;"")*(EL!$I$4:$I$441&lt;=$B47)*(EL!$M$4:$M$441="Pending")*(EL!$L$4:$L$441="STT"))</f>
        <v>17</v>
      </c>
      <c r="I47" s="637" cm="1">
        <f t="array" ref="I47">SUMPRODUCT((EL!$C$4:$C$441&lt;&gt;"")*(EL!$D$4:$D$441&lt;&gt;"")*(EL!$I$4:$I$441&lt;=$B47)*(EL!$M$4:$M$441="A"))</f>
        <v>0</v>
      </c>
      <c r="J47" s="637" cm="1">
        <f t="array" ref="J47">SUMPRODUCT((EL!$C$4:$C$441&lt;&gt;"")*(EL!$D$4:$D$441&lt;&gt;"")*(EL!$I$4:$I$441&lt;=$B47)*(EL!$M$4:$M$441="B"))</f>
        <v>0</v>
      </c>
      <c r="K47" s="638" cm="1">
        <f t="array" ref="K47">SUMPRODUCT((EL!$C$4:$C$441&lt;&gt;"")*(EL!$D$4:$D$441&lt;&gt;"")*(EL!$I$4:$I$441&lt;=$B47)*(EL!$M$4:$M$441="C"))</f>
        <v>1</v>
      </c>
    </row>
    <row r="48" spans="2:11" ht="15" customHeight="1">
      <c r="B48" s="609">
        <f>B12</f>
        <v>46055</v>
      </c>
      <c r="C48" s="610" cm="1">
        <f t="array" ref="C48">SUMPRODUCT((EL!$E$4:$E$618&lt;&gt;"")*(EL!$D$4:$D$618&lt;&gt;"")*((EL!$F$4:$F$618&lt;=B48)+(EL!$F$4:$F$618&gt;B48)))</f>
        <v>255</v>
      </c>
      <c r="D48" s="610" cm="1">
        <f t="array" ref="D48">SUMPRODUCT((EL!$C$4:$C$618&lt;&gt;"")*(EL!$D$4:$D$618&lt;&gt;"")*(EL!$H$4:$H$618&lt;=B48))</f>
        <v>73</v>
      </c>
      <c r="E48" s="610" cm="1">
        <f t="array" ref="E48">SUMPRODUCT((EL!$C$4:$C$618&lt;&gt;"")*(EL!$D$4:$D$618&lt;&gt;"")*(EL!$I$4:$I$618&lt;&gt;"")*(EL!$I$4:$I$618&lt;=B48))</f>
        <v>36</v>
      </c>
      <c r="F48" s="610" cm="1">
        <f t="array" ref="F48">SUMPRODUCT((EL!$C$4:$C$441&lt;&gt;"")*(EL!$D$4:$D$441&lt;&gt;"")*(EL!$I$4:$I$441&lt;=$B48)*(EL!$M$4:$M$441="Pending")*(EL!$L$4:$L$441="CTA"))</f>
        <v>12</v>
      </c>
      <c r="G48" s="610" cm="1">
        <f t="array" ref="G48">SUMPRODUCT((EL!$C$4:$C$441&lt;&gt;"")*(EL!$D$4:$D$441&lt;&gt;"")*(EL!$I$4:$I$441&lt;=$B48)*(EL!$M$4:$M$441="Pending")*(EL!$L$4:$L$441="AUR"))</f>
        <v>2</v>
      </c>
      <c r="H48" s="610" cm="1">
        <f t="array" ref="H48">SUMPRODUCT((EL!$C$4:$C$441&lt;&gt;"")*(EL!$D$4:$D$441&lt;&gt;"")*(EL!$I$4:$I$441&lt;=$B48)*(EL!$M$4:$M$441="Pending")*(EL!$L$4:$L$441="STT"))</f>
        <v>21</v>
      </c>
      <c r="I48" s="610" cm="1">
        <f t="array" ref="I48">SUMPRODUCT((EL!$C$4:$C$441&lt;&gt;"")*(EL!$D$4:$D$441&lt;&gt;"")*(EL!$I$4:$I$441&lt;=$B48)*(EL!$M$4:$M$441="A"))</f>
        <v>0</v>
      </c>
      <c r="J48" s="610" cm="1">
        <f t="array" ref="J48">SUMPRODUCT((EL!$C$4:$C$441&lt;&gt;"")*(EL!$D$4:$D$441&lt;&gt;"")*(EL!$I$4:$I$441&lt;=$B48)*(EL!$M$4:$M$441="B"))</f>
        <v>0</v>
      </c>
      <c r="K48" s="611" cm="1">
        <f t="array" ref="K48">SUMPRODUCT((EL!$C$4:$C$441&lt;&gt;"")*(EL!$D$4:$D$441&lt;&gt;"")*(EL!$I$4:$I$441&lt;=$B48)*(EL!$M$4:$M$441="C"))</f>
        <v>1</v>
      </c>
    </row>
    <row r="49" spans="2:11" ht="15" customHeight="1">
      <c r="B49" s="247"/>
      <c r="C49" s="645"/>
      <c r="D49" s="644"/>
      <c r="E49" s="644"/>
      <c r="F49" s="643"/>
      <c r="G49" s="644"/>
      <c r="H49" s="644"/>
      <c r="I49" s="644"/>
      <c r="J49" s="644"/>
      <c r="K49" s="642"/>
    </row>
    <row r="50" spans="2:11" ht="15" customHeight="1">
      <c r="B50" s="247"/>
      <c r="C50" s="645"/>
      <c r="D50" s="644"/>
      <c r="E50" s="644"/>
      <c r="F50" s="643"/>
      <c r="G50" s="644"/>
      <c r="H50" s="644"/>
      <c r="I50" s="644"/>
      <c r="J50" s="644"/>
      <c r="K50" s="642"/>
    </row>
    <row r="51" spans="2:11" ht="15" customHeight="1">
      <c r="B51" s="247"/>
      <c r="C51" s="645"/>
      <c r="D51" s="644"/>
      <c r="E51" s="644"/>
      <c r="F51" s="643"/>
      <c r="G51" s="644"/>
      <c r="H51" s="644"/>
      <c r="I51" s="644"/>
      <c r="J51" s="644"/>
      <c r="K51" s="642"/>
    </row>
    <row r="52" spans="2:11" ht="15" customHeight="1">
      <c r="B52" s="247"/>
      <c r="C52" s="645"/>
      <c r="D52" s="644"/>
      <c r="E52" s="644"/>
      <c r="F52" s="643"/>
      <c r="G52" s="644"/>
      <c r="H52" s="644"/>
      <c r="I52" s="644"/>
      <c r="J52" s="644"/>
      <c r="K52" s="642"/>
    </row>
    <row r="53" spans="2:11" ht="15" customHeight="1">
      <c r="B53" s="247"/>
      <c r="C53" s="645"/>
      <c r="D53" s="644"/>
      <c r="E53" s="644"/>
      <c r="F53" s="643"/>
      <c r="G53" s="644"/>
      <c r="H53" s="644"/>
      <c r="I53" s="644"/>
      <c r="J53" s="644"/>
      <c r="K53" s="642"/>
    </row>
    <row r="54" spans="2:11" ht="15" customHeight="1">
      <c r="B54" s="289"/>
      <c r="C54" s="641"/>
      <c r="D54" s="640"/>
      <c r="E54" s="640"/>
      <c r="F54" s="640"/>
      <c r="G54" s="640"/>
      <c r="H54" s="640"/>
      <c r="I54" s="640"/>
      <c r="J54" s="640"/>
      <c r="K54" s="639"/>
    </row>
    <row r="59" spans="2:11" ht="15" customHeight="1">
      <c r="B59" s="868" t="s">
        <v>20</v>
      </c>
      <c r="C59" s="869"/>
      <c r="D59" s="869"/>
      <c r="E59" s="869"/>
      <c r="F59" s="869"/>
      <c r="G59" s="869"/>
      <c r="H59" s="869"/>
      <c r="I59" s="869"/>
      <c r="J59" s="869"/>
      <c r="K59" s="870"/>
    </row>
    <row r="60" spans="2:11" ht="15" customHeight="1">
      <c r="B60" s="871" t="s">
        <v>40</v>
      </c>
      <c r="C60" s="873" t="s">
        <v>41</v>
      </c>
      <c r="D60" s="873" t="s">
        <v>42</v>
      </c>
      <c r="E60" s="873" t="s">
        <v>43</v>
      </c>
      <c r="F60" s="873" t="s">
        <v>44</v>
      </c>
      <c r="G60" s="873"/>
      <c r="H60" s="873"/>
      <c r="I60" s="873"/>
      <c r="J60" s="873"/>
      <c r="K60" s="875"/>
    </row>
    <row r="61" spans="2:11" ht="15" customHeight="1">
      <c r="B61" s="871"/>
      <c r="C61" s="873"/>
      <c r="D61" s="873"/>
      <c r="E61" s="873"/>
      <c r="F61" s="873" t="s">
        <v>45</v>
      </c>
      <c r="G61" s="873"/>
      <c r="H61" s="873"/>
      <c r="I61" s="876" t="s">
        <v>46</v>
      </c>
      <c r="J61" s="878" t="s">
        <v>47</v>
      </c>
      <c r="K61" s="880" t="s">
        <v>48</v>
      </c>
    </row>
    <row r="62" spans="2:11" ht="15" customHeight="1">
      <c r="B62" s="872"/>
      <c r="C62" s="874"/>
      <c r="D62" s="874"/>
      <c r="E62" s="874"/>
      <c r="F62" s="254" t="s">
        <v>49</v>
      </c>
      <c r="G62" s="254" t="s">
        <v>50</v>
      </c>
      <c r="H62" s="254" t="s">
        <v>51</v>
      </c>
      <c r="I62" s="877"/>
      <c r="J62" s="879"/>
      <c r="K62" s="881"/>
    </row>
    <row r="63" spans="2:11" ht="15" customHeight="1">
      <c r="B63" s="247">
        <f>B8</f>
        <v>46027</v>
      </c>
      <c r="C63" s="164" cm="1">
        <f t="array" ref="C63">SUMPRODUCT((ME!$C$4:$C$441&lt;&gt;"")*(ME!$D$4:$D$441&lt;&gt;"")*((ME!$F$4:$F$441&lt;=B63)+(ME!$F$4:$F$441&gt;B63)))</f>
        <v>52</v>
      </c>
      <c r="D63" s="164" cm="1">
        <f t="array" ref="D63">SUMPRODUCT((ME!$C$4:$C$441&lt;&gt;"")*(ME!$D$4:$D$441&lt;&gt;"")*(ME!$F$4:$F$441&lt;=B63))</f>
        <v>1</v>
      </c>
      <c r="E63" s="164" cm="1">
        <f t="array" ref="E63">SUMPRODUCT((ME!$C$4:$C$441&lt;&gt;"")*(ME!$D$4:$D$441&lt;&gt;"")*(ME!$G$4:$G$441&lt;&gt;"")*(ME!$G$4:$G$441&lt;=B63))</f>
        <v>0</v>
      </c>
      <c r="F63" s="164" cm="1">
        <f t="array" ref="F63">SUMPRODUCT((ME!$C$4:$C$441&lt;&gt;"")*(ME!$D$4:$D$441&lt;&gt;"")*(ME!$G$4:$G$441&lt;=$B63)*(ME!$K$4:$K$441="Pending")*(ME!$J$4:$J$441="CTA"))</f>
        <v>0</v>
      </c>
      <c r="G63" s="164" cm="1">
        <f t="array" ref="G63">SUMPRODUCT((ME!$C$4:$C$441&lt;&gt;"")*(ME!$D$4:$D$441&lt;&gt;"")*(ME!$G$4:$G$441&lt;=$B63)*(ME!$K$4:$K$441="Pending")*(ME!$J$4:$J$441="AUR"))</f>
        <v>0</v>
      </c>
      <c r="H63" s="164" cm="1">
        <f t="array" ref="H63">SUMPRODUCT((ME!$C$4:$C$441&lt;&gt;"")*(ME!$D$4:$D$441&lt;&gt;"")*(ME!$G$4:$G$441&lt;=$B63)*(ME!$K$4:$K$441="Pending")*(ME!$J$4:$J$441="STT"))</f>
        <v>0</v>
      </c>
      <c r="I63" s="164" cm="1">
        <f t="array" ref="I63">SUMPRODUCT((ME!$C$4:$C$441&lt;&gt;"")*(ME!$D$4:$D$441&lt;&gt;"")*(ME!$G$4:$G$441&lt;=$B63)*(ME!$K$4:$K$441="A"))</f>
        <v>0</v>
      </c>
      <c r="J63" s="164" cm="1">
        <f t="array" ref="J63">SUMPRODUCT((ME!$C$4:$C$441&lt;&gt;"")*(ME!$D$4:$D$441&lt;&gt;"")*(ME!$G$4:$G$441&lt;=$B63)*(ME!$K$4:$K$441="B"))</f>
        <v>0</v>
      </c>
      <c r="K63" s="165" cm="1">
        <f t="array" ref="K63">SUMPRODUCT((ME!$C$4:$C$441&lt;&gt;"")*(ME!$D$4:$D$441&lt;&gt;"")*(ME!$G$4:$G$441&lt;=$B63)*(ME!$K$4:$K$441="C"))</f>
        <v>0</v>
      </c>
    </row>
    <row r="64" spans="2:11" ht="15" customHeight="1">
      <c r="B64" s="247">
        <f t="shared" ref="B64:B65" si="2">B9</f>
        <v>46034</v>
      </c>
      <c r="C64" s="164" cm="1">
        <f t="array" ref="C64">SUMPRODUCT((ME!$C$4:$C$441&lt;&gt;"")*(ME!$D$4:$D$441&lt;&gt;"")*((ME!$F$4:$F$441&lt;=B64)+(ME!$F$4:$F$441&gt;B64)))</f>
        <v>52</v>
      </c>
      <c r="D64" s="164" cm="1">
        <f t="array" ref="D64">SUMPRODUCT((ME!$C$4:$C$441&lt;&gt;"")*(ME!$D$4:$D$441&lt;&gt;"")*(ME!$F$4:$F$441&lt;=B64))</f>
        <v>2</v>
      </c>
      <c r="E64" s="164" cm="1">
        <f t="array" ref="E64">SUMPRODUCT((ME!$C$4:$C$441&lt;&gt;"")*(ME!$D$4:$D$441&lt;&gt;"")*(ME!$G$4:$G$441&lt;&gt;"")*(ME!$G$4:$G$441&lt;=B64))</f>
        <v>1</v>
      </c>
      <c r="F64" s="164" cm="1">
        <f t="array" ref="F64">SUMPRODUCT((ME!$C$4:$C$441&lt;&gt;"")*(ME!$D$4:$D$441&lt;&gt;"")*(ME!$G$4:$G$441&lt;=$B64)*(ME!$K$4:$K$441="Pending")*(ME!$J$4:$J$441="CTA"))</f>
        <v>0</v>
      </c>
      <c r="G64" s="164" cm="1">
        <f t="array" ref="G64">SUMPRODUCT((ME!$C$4:$C$441&lt;&gt;"")*(ME!$D$4:$D$441&lt;&gt;"")*(ME!$G$4:$G$441&lt;=$B64)*(ME!$K$4:$K$441="Pending")*(ME!$J$4:$J$441="AUR"))</f>
        <v>1</v>
      </c>
      <c r="H64" s="164" cm="1">
        <f t="array" ref="H64">SUMPRODUCT((ME!$C$4:$C$441&lt;&gt;"")*(ME!$D$4:$D$441&lt;&gt;"")*(ME!$G$4:$G$441&lt;=$B64)*(ME!$K$4:$K$441="Pending")*(ME!$J$4:$J$441="STT"))</f>
        <v>0</v>
      </c>
      <c r="I64" s="164" cm="1">
        <f t="array" ref="I64">SUMPRODUCT((ME!$C$4:$C$441&lt;&gt;"")*(ME!$D$4:$D$441&lt;&gt;"")*(ME!$G$4:$G$441&lt;=$B64)*(ME!$K$4:$K$441="A"))</f>
        <v>0</v>
      </c>
      <c r="J64" s="164" cm="1">
        <f t="array" ref="J64">SUMPRODUCT((ME!$C$4:$C$441&lt;&gt;"")*(ME!$D$4:$D$441&lt;&gt;"")*(ME!$G$4:$G$441&lt;=$B64)*(ME!$K$4:$K$441="B"))</f>
        <v>0</v>
      </c>
      <c r="K64" s="165" cm="1">
        <f t="array" ref="K64">SUMPRODUCT((ME!$C$4:$C$441&lt;&gt;"")*(ME!$D$4:$D$441&lt;&gt;"")*(ME!$G$4:$G$441&lt;=$B64)*(ME!$K$4:$K$441="C"))</f>
        <v>0</v>
      </c>
    </row>
    <row r="65" spans="2:11" ht="15" customHeight="1">
      <c r="B65" s="247">
        <f t="shared" si="2"/>
        <v>46041</v>
      </c>
      <c r="C65" s="164" cm="1">
        <f t="array" ref="C65">SUMPRODUCT((ME!$C$4:$C$441&lt;&gt;"")*(ME!$D$4:$D$441&lt;&gt;"")*((ME!$F$4:$F$441&lt;=B65)+(ME!$F$4:$F$441&gt;B65)))</f>
        <v>52</v>
      </c>
      <c r="D65" s="164" cm="1">
        <f t="array" ref="D65">SUMPRODUCT((ME!$C$4:$C$441&lt;&gt;"")*(ME!$D$4:$D$441&lt;&gt;"")*(ME!$F$4:$F$441&lt;=B65))</f>
        <v>4</v>
      </c>
      <c r="E65" s="164" cm="1">
        <f t="array" ref="E65">SUMPRODUCT((ME!$C$4:$C$441&lt;&gt;"")*(ME!$D$4:$D$441&lt;&gt;"")*(ME!$G$4:$G$441&lt;&gt;"")*(ME!$G$4:$G$441&lt;=B65))</f>
        <v>2</v>
      </c>
      <c r="F65" s="164" cm="1">
        <f t="array" ref="F65">SUMPRODUCT((ME!$C$4:$C$441&lt;&gt;"")*(ME!$D$4:$D$441&lt;&gt;"")*(ME!$G$4:$G$441&lt;=$B65)*(ME!$K$4:$K$441="Pending")*(ME!$J$4:$J$441="CTA"))</f>
        <v>0</v>
      </c>
      <c r="G65" s="164" cm="1">
        <f t="array" ref="G65">SUMPRODUCT((ME!$C$4:$C$441&lt;&gt;"")*(ME!$D$4:$D$441&lt;&gt;"")*(ME!$G$4:$G$441&lt;=$B65)*(ME!$K$4:$K$441="Pending")*(ME!$J$4:$J$441="AUR"))</f>
        <v>2</v>
      </c>
      <c r="H65" s="164" cm="1">
        <f t="array" ref="H65">SUMPRODUCT((ME!$C$4:$C$441&lt;&gt;"")*(ME!$D$4:$D$441&lt;&gt;"")*(ME!$G$4:$G$441&lt;=$B65)*(ME!$K$4:$K$441="Pending")*(ME!$J$4:$J$441="STT"))</f>
        <v>0</v>
      </c>
      <c r="I65" s="164" cm="1">
        <f t="array" ref="I65">SUMPRODUCT((ME!$C$4:$C$441&lt;&gt;"")*(ME!$D$4:$D$441&lt;&gt;"")*(ME!$G$4:$G$441&lt;=$B65)*(ME!$K$4:$K$441="A"))</f>
        <v>0</v>
      </c>
      <c r="J65" s="164" cm="1">
        <f t="array" ref="J65">SUMPRODUCT((ME!$C$4:$C$441&lt;&gt;"")*(ME!$D$4:$D$441&lt;&gt;"")*(ME!$G$4:$G$441&lt;=$B65)*(ME!$K$4:$K$441="B"))</f>
        <v>0</v>
      </c>
      <c r="K65" s="165" cm="1">
        <f t="array" ref="K65">SUMPRODUCT((ME!$C$4:$C$441&lt;&gt;"")*(ME!$D$4:$D$441&lt;&gt;"")*(ME!$G$4:$G$441&lt;=$B65)*(ME!$K$4:$K$441="C"))</f>
        <v>0</v>
      </c>
    </row>
    <row r="66" spans="2:11" ht="15" customHeight="1">
      <c r="B66" s="636">
        <f>B11</f>
        <v>46048</v>
      </c>
      <c r="C66" s="637" cm="1">
        <f t="array" ref="C66">SUMPRODUCT((ME!$C$4:$C$441&lt;&gt;"")*(ME!$D$4:$D$441&lt;&gt;"")*((ME!$F$4:$F$441&lt;=B66)+(ME!$F$4:$F$441&gt;B66)))</f>
        <v>52</v>
      </c>
      <c r="D66" s="637" cm="1">
        <f t="array" ref="D66">SUMPRODUCT((ME!$C$4:$C$441&lt;&gt;"")*(ME!$D$4:$D$441&lt;&gt;"")*(ME!$F$4:$F$441&lt;=B66))</f>
        <v>5</v>
      </c>
      <c r="E66" s="637" cm="1">
        <f t="array" ref="E66">SUMPRODUCT((ME!$C$4:$C$441&lt;&gt;"")*(ME!$D$4:$D$441&lt;&gt;"")*(ME!$G$4:$G$441&lt;&gt;"")*(ME!$G$4:$G$441&lt;=B66))</f>
        <v>3</v>
      </c>
      <c r="F66" s="637" cm="1">
        <f t="array" ref="F66">SUMPRODUCT((ME!$C$4:$C$441&lt;&gt;"")*(ME!$D$4:$D$441&lt;&gt;"")*(ME!$G$4:$G$441&lt;=$B66)*(ME!$K$4:$K$441="Pending")*(ME!$J$4:$J$441="CTA"))</f>
        <v>0</v>
      </c>
      <c r="G66" s="637" cm="1">
        <f t="array" ref="G66">SUMPRODUCT((ME!$C$4:$C$441&lt;&gt;"")*(ME!$D$4:$D$441&lt;&gt;"")*(ME!$G$4:$G$441&lt;=$B66)*(ME!$K$4:$K$441="Pending")*(ME!$J$4:$J$441="AUR"))</f>
        <v>3</v>
      </c>
      <c r="H66" s="637" cm="1">
        <f t="array" ref="H66">SUMPRODUCT((ME!$C$4:$C$441&lt;&gt;"")*(ME!$D$4:$D$441&lt;&gt;"")*(ME!$G$4:$G$441&lt;=$B66)*(ME!$K$4:$K$441="Pending")*(ME!$J$4:$J$441="STT"))</f>
        <v>0</v>
      </c>
      <c r="I66" s="637" cm="1">
        <f t="array" ref="I66">SUMPRODUCT((ME!$C$4:$C$441&lt;&gt;"")*(ME!$D$4:$D$441&lt;&gt;"")*(ME!$G$4:$G$441&lt;=$B66)*(ME!$K$4:$K$441="A"))</f>
        <v>0</v>
      </c>
      <c r="J66" s="637" cm="1">
        <f t="array" ref="J66">SUMPRODUCT((ME!$C$4:$C$441&lt;&gt;"")*(ME!$D$4:$D$441&lt;&gt;"")*(ME!$G$4:$G$441&lt;=$B66)*(ME!$K$4:$K$441="B"))</f>
        <v>0</v>
      </c>
      <c r="K66" s="638" cm="1">
        <f t="array" ref="K66">SUMPRODUCT((ME!$C$4:$C$441&lt;&gt;"")*(ME!$D$4:$D$441&lt;&gt;"")*(ME!$G$4:$G$441&lt;=$B66)*(ME!$K$4:$K$441="C"))</f>
        <v>0</v>
      </c>
    </row>
    <row r="67" spans="2:11" ht="15" customHeight="1">
      <c r="B67" s="609">
        <f>B12</f>
        <v>46055</v>
      </c>
      <c r="C67" s="610" cm="1">
        <f t="array" ref="C67">SUMPRODUCT((ME!$C$4:$C$441&lt;&gt;"")*(ME!$D$4:$D$441&lt;&gt;"")*((ME!$F$4:$F$441&lt;=B67)+(ME!$F$4:$F$441&gt;B67)))</f>
        <v>52</v>
      </c>
      <c r="D67" s="610" cm="1">
        <f t="array" ref="D67">SUMPRODUCT((ME!$C$4:$C$441&lt;&gt;"")*(ME!$D$4:$D$441&lt;&gt;"")*(ME!$F$4:$F$441&lt;=B67))</f>
        <v>5</v>
      </c>
      <c r="E67" s="610" cm="1">
        <f t="array" ref="E67">SUMPRODUCT((ME!$C$4:$C$441&lt;&gt;"")*(ME!$D$4:$D$441&lt;&gt;"")*(ME!$G$4:$G$441&lt;&gt;"")*(ME!$G$4:$G$441&lt;=B67))</f>
        <v>3</v>
      </c>
      <c r="F67" s="610" cm="1">
        <f t="array" ref="F67">SUMPRODUCT((ME!$C$4:$C$441&lt;&gt;"")*(ME!$D$4:$D$441&lt;&gt;"")*(ME!$G$4:$G$441&lt;=$B67)*(ME!$K$4:$K$441="Pending")*(ME!$J$4:$J$441="CTA"))</f>
        <v>0</v>
      </c>
      <c r="G67" s="610" cm="1">
        <f t="array" ref="G67">SUMPRODUCT((ME!$C$4:$C$441&lt;&gt;"")*(ME!$D$4:$D$441&lt;&gt;"")*(ME!$G$4:$G$441&lt;=$B67)*(ME!$K$4:$K$441="Pending")*(ME!$J$4:$J$441="AUR"))</f>
        <v>3</v>
      </c>
      <c r="H67" s="610" cm="1">
        <f t="array" ref="H67">SUMPRODUCT((ME!$C$4:$C$441&lt;&gt;"")*(ME!$D$4:$D$441&lt;&gt;"")*(ME!$G$4:$G$441&lt;=$B67)*(ME!$K$4:$K$441="Pending")*(ME!$J$4:$J$441="STT"))</f>
        <v>0</v>
      </c>
      <c r="I67" s="610" cm="1">
        <f t="array" ref="I67">SUMPRODUCT((ME!$C$4:$C$441&lt;&gt;"")*(ME!$D$4:$D$441&lt;&gt;"")*(ME!$G$4:$G$441&lt;=$B67)*(ME!$K$4:$K$441="A"))</f>
        <v>0</v>
      </c>
      <c r="J67" s="610" cm="1">
        <f t="array" ref="J67">SUMPRODUCT((ME!$C$4:$C$441&lt;&gt;"")*(ME!$D$4:$D$441&lt;&gt;"")*(ME!$G$4:$G$441&lt;=$B67)*(ME!$K$4:$K$441="B"))</f>
        <v>0</v>
      </c>
      <c r="K67" s="611" cm="1">
        <f t="array" ref="K67">SUMPRODUCT((ME!$C$4:$C$441&lt;&gt;"")*(ME!$D$4:$D$441&lt;&gt;"")*(ME!$G$4:$G$441&lt;=$B67)*(ME!$K$4:$K$441="C"))</f>
        <v>0</v>
      </c>
    </row>
    <row r="68" spans="2:11" ht="15" customHeight="1">
      <c r="B68" s="247"/>
      <c r="C68" s="164"/>
      <c r="D68" s="164"/>
      <c r="E68" s="164"/>
      <c r="F68" s="164"/>
      <c r="G68" s="164"/>
      <c r="H68" s="164"/>
      <c r="I68" s="164"/>
      <c r="J68" s="164"/>
      <c r="K68" s="165"/>
    </row>
    <row r="69" spans="2:11" ht="15" customHeight="1">
      <c r="B69" s="247"/>
      <c r="C69" s="164"/>
      <c r="D69" s="164"/>
      <c r="E69" s="164"/>
      <c r="F69" s="164"/>
      <c r="G69" s="164"/>
      <c r="H69" s="164"/>
      <c r="I69" s="164"/>
      <c r="J69" s="164"/>
      <c r="K69" s="165"/>
    </row>
    <row r="70" spans="2:11" ht="15" customHeight="1">
      <c r="B70" s="247"/>
      <c r="C70" s="164"/>
      <c r="D70" s="164"/>
      <c r="E70" s="164"/>
      <c r="F70" s="164"/>
      <c r="G70" s="164"/>
      <c r="H70" s="164"/>
      <c r="I70" s="164"/>
      <c r="J70" s="164"/>
      <c r="K70" s="165"/>
    </row>
    <row r="71" spans="2:11" ht="15" customHeight="1">
      <c r="B71" s="247"/>
      <c r="C71" s="164"/>
      <c r="D71" s="164"/>
      <c r="E71" s="164"/>
      <c r="F71" s="164"/>
      <c r="G71" s="164"/>
      <c r="H71" s="164"/>
      <c r="I71" s="164"/>
      <c r="J71" s="164"/>
      <c r="K71" s="165"/>
    </row>
    <row r="72" spans="2:11" ht="15" customHeight="1">
      <c r="B72" s="247"/>
      <c r="C72" s="164"/>
      <c r="D72" s="164"/>
      <c r="E72" s="164"/>
      <c r="F72" s="164"/>
      <c r="G72" s="164"/>
      <c r="H72" s="164"/>
      <c r="I72" s="164"/>
      <c r="J72" s="164"/>
      <c r="K72" s="165"/>
    </row>
    <row r="73" spans="2:11" ht="15" customHeight="1">
      <c r="B73" s="289"/>
      <c r="C73" s="308"/>
      <c r="D73" s="308"/>
      <c r="E73" s="308"/>
      <c r="F73" s="308"/>
      <c r="G73" s="308"/>
      <c r="H73" s="308"/>
      <c r="I73" s="308"/>
      <c r="J73" s="308"/>
      <c r="K73" s="411"/>
    </row>
    <row r="74" spans="2:11" ht="15" customHeight="1">
      <c r="B74" s="166"/>
      <c r="C74" s="69"/>
      <c r="D74" s="69"/>
      <c r="E74" s="69"/>
      <c r="F74" s="69"/>
      <c r="G74" s="69"/>
      <c r="H74" s="69"/>
      <c r="I74" s="69"/>
      <c r="J74" s="69"/>
      <c r="K74" s="69"/>
    </row>
    <row r="75" spans="2:11" ht="15" customHeight="1">
      <c r="B75" s="166"/>
      <c r="C75" s="69"/>
      <c r="D75" s="69"/>
      <c r="E75" s="69"/>
      <c r="F75" s="69"/>
      <c r="G75" s="69"/>
      <c r="H75" s="69"/>
      <c r="I75" s="69"/>
      <c r="J75" s="69"/>
      <c r="K75" s="69"/>
    </row>
    <row r="77" spans="2:11" ht="15" customHeight="1">
      <c r="B77" s="868" t="s">
        <v>21</v>
      </c>
      <c r="C77" s="869"/>
      <c r="D77" s="869"/>
      <c r="E77" s="869"/>
      <c r="F77" s="869"/>
      <c r="G77" s="869"/>
      <c r="H77" s="869"/>
      <c r="I77" s="869"/>
      <c r="J77" s="869"/>
      <c r="K77" s="870"/>
    </row>
    <row r="78" spans="2:11" ht="15" customHeight="1">
      <c r="B78" s="871" t="s">
        <v>40</v>
      </c>
      <c r="C78" s="873" t="s">
        <v>41</v>
      </c>
      <c r="D78" s="873" t="s">
        <v>42</v>
      </c>
      <c r="E78" s="873" t="s">
        <v>43</v>
      </c>
      <c r="F78" s="873" t="s">
        <v>44</v>
      </c>
      <c r="G78" s="873"/>
      <c r="H78" s="873"/>
      <c r="I78" s="873"/>
      <c r="J78" s="873"/>
      <c r="K78" s="875"/>
    </row>
    <row r="79" spans="2:11" ht="15" customHeight="1">
      <c r="B79" s="871"/>
      <c r="C79" s="873"/>
      <c r="D79" s="873"/>
      <c r="E79" s="873"/>
      <c r="F79" s="873" t="s">
        <v>45</v>
      </c>
      <c r="G79" s="873"/>
      <c r="H79" s="873"/>
      <c r="I79" s="876" t="s">
        <v>46</v>
      </c>
      <c r="J79" s="878" t="s">
        <v>47</v>
      </c>
      <c r="K79" s="880" t="s">
        <v>48</v>
      </c>
    </row>
    <row r="80" spans="2:11" ht="15" customHeight="1">
      <c r="B80" s="872"/>
      <c r="C80" s="874"/>
      <c r="D80" s="874"/>
      <c r="E80" s="874"/>
      <c r="F80" s="254" t="s">
        <v>49</v>
      </c>
      <c r="G80" s="254" t="s">
        <v>50</v>
      </c>
      <c r="H80" s="254" t="s">
        <v>51</v>
      </c>
      <c r="I80" s="877"/>
      <c r="J80" s="879"/>
      <c r="K80" s="881"/>
    </row>
    <row r="81" spans="2:11" ht="15" customHeight="1">
      <c r="B81" s="247">
        <f>B8</f>
        <v>46027</v>
      </c>
      <c r="C81" s="164" cm="1">
        <f t="array" ref="C81">SUMPRODUCT((FI!$C$4:$C$487&lt;&gt;"")*(FI!$D$4:$D$487&lt;&gt;"")*((FI!$F$4:$F$487&lt;=B81)+(FI!$F$4:$F$487&gt;B81)))</f>
        <v>40</v>
      </c>
      <c r="D81" s="164" cm="1">
        <f t="array" ref="D81">SUMPRODUCT((FI!$C$4:$C$487&lt;&gt;"")*(FI!$D$4:$D$487&lt;&gt;"")*(FI!$F$4:$F$487&lt;=B81))</f>
        <v>1</v>
      </c>
      <c r="E81" s="164" cm="1">
        <f t="array" ref="E81">SUMPRODUCT((FI!$C$4:$C$487&lt;&gt;"")*(FI!$D$4:$D$487&lt;&gt;"")*(FI!$G$4:$G$487&lt;&gt;"")*(FI!$G$4:$G$487&lt;=B81))</f>
        <v>0</v>
      </c>
      <c r="F81" s="164" cm="1">
        <f t="array" ref="F81">SUMPRODUCT((FI!$C$4:$C$487&lt;&gt;"")*(FI!$D$4:$D$487&lt;&gt;"")*(FI!$G$4:$G$487&lt;=$B81)*(FI!$K$4:$K$487="Pending")*(FI!$J$4:$J$487="CTA"))</f>
        <v>0</v>
      </c>
      <c r="G81" s="164" cm="1">
        <f t="array" ref="G81">SUMPRODUCT((FI!$C$4:$C$487&lt;&gt;"")*(FI!$D$4:$D$487&lt;&gt;"")*(FI!$G$4:$G$487&lt;=$B81)*(FI!$K$4:$K$487="Pending")*(FI!$J$4:$J$487="AUR"))</f>
        <v>0</v>
      </c>
      <c r="H81" s="164" cm="1">
        <f t="array" ref="H81">SUMPRODUCT((FI!$C$4:$C$487&lt;&gt;"")*(FI!$D$4:$D$487&lt;&gt;"")*(FI!$G$4:$G$487&lt;=$B81)*(FI!$K$4:$K$487="Pending")*(FI!$J$4:$J$487="STT"))</f>
        <v>0</v>
      </c>
      <c r="I81" s="164" cm="1">
        <f t="array" ref="I81">SUMPRODUCT((FI!$C$4:$C$487&lt;&gt;"")*(FI!$D$4:$D$487&lt;&gt;"")*(FI!$G$4:$G$487&lt;=$B81)*(FI!$K$4:$K$487="A"))</f>
        <v>0</v>
      </c>
      <c r="J81" s="164" cm="1">
        <f t="array" ref="J81">SUMPRODUCT((FI!$C$4:$C$487&lt;&gt;"")*(FI!$D$4:$D$487&lt;&gt;"")*(FI!$G$4:$G$487&lt;=$B81)*(FI!$K$4:$K$487="B"))</f>
        <v>0</v>
      </c>
      <c r="K81" s="165" cm="1">
        <f t="array" ref="K81">SUMPRODUCT((FI!$C$4:$C$487&lt;&gt;"")*(FI!$D$4:$D$487&lt;&gt;"")*(FI!$G$4:$G$487&lt;=$B81)*(FI!$K$4:$K$487="C"))</f>
        <v>0</v>
      </c>
    </row>
    <row r="82" spans="2:11" ht="15" customHeight="1">
      <c r="B82" s="247">
        <f t="shared" ref="B82:B83" si="3">B9</f>
        <v>46034</v>
      </c>
      <c r="C82" s="164" cm="1">
        <f t="array" ref="C82">SUMPRODUCT((FI!$C$4:$C$487&lt;&gt;"")*(FI!$D$4:$D$487&lt;&gt;"")*((FI!$F$4:$F$487&lt;=B82)+(FI!$F$4:$F$487&gt;B82)))</f>
        <v>40</v>
      </c>
      <c r="D82" s="164" cm="1">
        <f t="array" ref="D82">SUMPRODUCT((FI!$C$4:$C$487&lt;&gt;"")*(FI!$D$4:$D$487&lt;&gt;"")*(FI!$F$4:$F$487&lt;=B82))</f>
        <v>2</v>
      </c>
      <c r="E82" s="164" cm="1">
        <f t="array" ref="E82">SUMPRODUCT((FI!$C$4:$C$487&lt;&gt;"")*(FI!$D$4:$D$487&lt;&gt;"")*(FI!$G$4:$G$487&lt;&gt;"")*(FI!$G$4:$G$487&lt;=B82))</f>
        <v>1</v>
      </c>
      <c r="F82" s="164" cm="1">
        <f t="array" ref="F82">SUMPRODUCT((FI!$C$4:$C$487&lt;&gt;"")*(FI!$D$4:$D$487&lt;&gt;"")*(FI!$G$4:$G$487&lt;=$B82)*(FI!$K$4:$K$487="Pending")*(FI!$J$4:$J$487="CTA"))</f>
        <v>0</v>
      </c>
      <c r="G82" s="164" cm="1">
        <f t="array" ref="G82">SUMPRODUCT((FI!$C$4:$C$487&lt;&gt;"")*(FI!$D$4:$D$487&lt;&gt;"")*(FI!$G$4:$G$487&lt;=$B82)*(FI!$K$4:$K$487="Pending")*(FI!$J$4:$J$487="AUR"))</f>
        <v>1</v>
      </c>
      <c r="H82" s="164" cm="1">
        <f t="array" ref="H82">SUMPRODUCT((FI!$C$4:$C$487&lt;&gt;"")*(FI!$D$4:$D$487&lt;&gt;"")*(FI!$G$4:$G$487&lt;=$B82)*(FI!$K$4:$K$487="Pending")*(FI!$J$4:$J$487="STT"))</f>
        <v>0</v>
      </c>
      <c r="I82" s="164" cm="1">
        <f t="array" ref="I82">SUMPRODUCT((FI!$C$4:$C$487&lt;&gt;"")*(FI!$D$4:$D$487&lt;&gt;"")*(FI!$G$4:$G$487&lt;=$B82)*(FI!$K$4:$K$487="A"))</f>
        <v>0</v>
      </c>
      <c r="J82" s="164" cm="1">
        <f t="array" ref="J82">SUMPRODUCT((FI!$C$4:$C$487&lt;&gt;"")*(FI!$D$4:$D$487&lt;&gt;"")*(FI!$G$4:$G$487&lt;=$B82)*(FI!$K$4:$K$487="B"))</f>
        <v>0</v>
      </c>
      <c r="K82" s="165" cm="1">
        <f t="array" ref="K82">SUMPRODUCT((FI!$C$4:$C$487&lt;&gt;"")*(FI!$D$4:$D$487&lt;&gt;"")*(FI!$G$4:$G$487&lt;=$B82)*(FI!$K$4:$K$487="C"))</f>
        <v>0</v>
      </c>
    </row>
    <row r="83" spans="2:11" ht="15" customHeight="1">
      <c r="B83" s="247">
        <f t="shared" si="3"/>
        <v>46041</v>
      </c>
      <c r="C83" s="164" cm="1">
        <f t="array" ref="C83">SUMPRODUCT((FI!$C$4:$C$487&lt;&gt;"")*(FI!$D$4:$D$487&lt;&gt;"")*((FI!$F$4:$F$487&lt;=B83)+(FI!$F$4:$F$487&gt;B83)))</f>
        <v>40</v>
      </c>
      <c r="D83" s="164" cm="1">
        <f t="array" ref="D83">SUMPRODUCT((FI!$C$4:$C$487&lt;&gt;"")*(FI!$D$4:$D$487&lt;&gt;"")*(FI!$F$4:$F$487&lt;=B83))</f>
        <v>10</v>
      </c>
      <c r="E83" s="164" cm="1">
        <f t="array" ref="E83">SUMPRODUCT((FI!$C$4:$C$487&lt;&gt;"")*(FI!$D$4:$D$487&lt;&gt;"")*(FI!$G$4:$G$487&lt;&gt;"")*(FI!$G$4:$G$487&lt;=B83))</f>
        <v>5</v>
      </c>
      <c r="F83" s="164" cm="1">
        <f t="array" ref="F83">SUMPRODUCT((FI!$C$4:$C$487&lt;&gt;"")*(FI!$D$4:$D$487&lt;&gt;"")*(FI!$G$4:$G$487&lt;=$B83)*(FI!$K$4:$K$487="Pending")*(FI!$J$4:$J$487="CTA"))</f>
        <v>0</v>
      </c>
      <c r="G83" s="164" cm="1">
        <f t="array" ref="G83">SUMPRODUCT((FI!$C$4:$C$487&lt;&gt;"")*(FI!$D$4:$D$487&lt;&gt;"")*(FI!$G$4:$G$487&lt;=$B83)*(FI!$K$4:$K$487="Pending")*(FI!$J$4:$J$487="AUR"))</f>
        <v>5</v>
      </c>
      <c r="H83" s="164" cm="1">
        <f t="array" ref="H83">SUMPRODUCT((FI!$C$4:$C$487&lt;&gt;"")*(FI!$D$4:$D$487&lt;&gt;"")*(FI!$G$4:$G$487&lt;=$B83)*(FI!$K$4:$K$487="Pending")*(FI!$J$4:$J$487="STT"))</f>
        <v>0</v>
      </c>
      <c r="I83" s="164" cm="1">
        <f t="array" ref="I83">SUMPRODUCT((FI!$C$4:$C$487&lt;&gt;"")*(FI!$D$4:$D$487&lt;&gt;"")*(FI!$G$4:$G$487&lt;=$B83)*(FI!$K$4:$K$487="A"))</f>
        <v>0</v>
      </c>
      <c r="J83" s="164" cm="1">
        <f t="array" ref="J83">SUMPRODUCT((FI!$C$4:$C$487&lt;&gt;"")*(FI!$D$4:$D$487&lt;&gt;"")*(FI!$G$4:$G$487&lt;=$B83)*(FI!$K$4:$K$487="B"))</f>
        <v>0</v>
      </c>
      <c r="K83" s="165" cm="1">
        <f t="array" ref="K83">SUMPRODUCT((FI!$C$4:$C$487&lt;&gt;"")*(FI!$D$4:$D$487&lt;&gt;"")*(FI!$G$4:$G$487&lt;=$B83)*(FI!$K$4:$K$487="C"))</f>
        <v>0</v>
      </c>
    </row>
    <row r="84" spans="2:11" ht="15" customHeight="1">
      <c r="B84" s="636">
        <f>B11</f>
        <v>46048</v>
      </c>
      <c r="C84" s="637" cm="1">
        <f t="array" ref="C84">SUMPRODUCT((FI!$C$4:$C$487&lt;&gt;"")*(FI!$D$4:$D$487&lt;&gt;"")*((FI!$F$4:$F$487&lt;=B84)+(FI!$F$4:$F$487&gt;B84)))</f>
        <v>40</v>
      </c>
      <c r="D84" s="637" cm="1">
        <f t="array" ref="D84">SUMPRODUCT((FI!$C$4:$C$487&lt;&gt;"")*(FI!$D$4:$D$487&lt;&gt;"")*(FI!$F$4:$F$487&lt;=B84))</f>
        <v>10</v>
      </c>
      <c r="E84" s="637" cm="1">
        <f t="array" ref="E84">SUMPRODUCT((FI!$C$4:$C$487&lt;&gt;"")*(FI!$D$4:$D$487&lt;&gt;"")*(FI!$G$4:$G$487&lt;&gt;"")*(FI!$G$4:$G$487&lt;=B84))</f>
        <v>7</v>
      </c>
      <c r="F84" s="637" cm="1">
        <f t="array" ref="F84">SUMPRODUCT((FI!$C$4:$C$487&lt;&gt;"")*(FI!$D$4:$D$487&lt;&gt;"")*(FI!$G$4:$G$487&lt;=$B84)*(FI!$K$4:$K$487="Pending")*(FI!$J$4:$J$487="CTA"))</f>
        <v>0</v>
      </c>
      <c r="G84" s="637" cm="1">
        <f t="array" ref="G84">SUMPRODUCT((FI!$C$4:$C$487&lt;&gt;"")*(FI!$D$4:$D$487&lt;&gt;"")*(FI!$G$4:$G$487&lt;=$B84)*(FI!$K$4:$K$487="Pending")*(FI!$J$4:$J$487="AUR"))</f>
        <v>7</v>
      </c>
      <c r="H84" s="637" cm="1">
        <f t="array" ref="H84">SUMPRODUCT((FI!$C$4:$C$487&lt;&gt;"")*(FI!$D$4:$D$487&lt;&gt;"")*(FI!$G$4:$G$487&lt;=$B84)*(FI!$K$4:$K$487="Pending")*(FI!$J$4:$J$487="STT"))</f>
        <v>0</v>
      </c>
      <c r="I84" s="637" cm="1">
        <f t="array" ref="I84">SUMPRODUCT((FI!$C$4:$C$487&lt;&gt;"")*(FI!$D$4:$D$487&lt;&gt;"")*(FI!$G$4:$G$487&lt;=$B84)*(FI!$K$4:$K$487="A"))</f>
        <v>0</v>
      </c>
      <c r="J84" s="637" cm="1">
        <f t="array" ref="J84">SUMPRODUCT((FI!$C$4:$C$487&lt;&gt;"")*(FI!$D$4:$D$487&lt;&gt;"")*(FI!$G$4:$G$487&lt;=$B84)*(FI!$K$4:$K$487="B"))</f>
        <v>0</v>
      </c>
      <c r="K84" s="638" cm="1">
        <f t="array" ref="K84">SUMPRODUCT((FI!$C$4:$C$487&lt;&gt;"")*(FI!$D$4:$D$487&lt;&gt;"")*(FI!$G$4:$G$487&lt;=$B84)*(FI!$K$4:$K$487="C"))</f>
        <v>0</v>
      </c>
    </row>
    <row r="85" spans="2:11" ht="15" customHeight="1">
      <c r="B85" s="609">
        <f>B12</f>
        <v>46055</v>
      </c>
      <c r="C85" s="610" cm="1">
        <f t="array" ref="C85">SUMPRODUCT((FI!$C$4:$C$487&lt;&gt;"")*(FI!$D$4:$D$487&lt;&gt;"")*((FI!$F$4:$F$487&lt;=B85)+(FI!$F$4:$F$487&gt;B85)))</f>
        <v>40</v>
      </c>
      <c r="D85" s="610" cm="1">
        <f t="array" ref="D85">SUMPRODUCT((FI!$C$4:$C$487&lt;&gt;"")*(FI!$D$4:$D$487&lt;&gt;"")*(FI!$F$4:$F$487&lt;=B85))</f>
        <v>15</v>
      </c>
      <c r="E85" s="610" cm="1">
        <f t="array" ref="E85">SUMPRODUCT((FI!$C$4:$C$487&lt;&gt;"")*(FI!$D$4:$D$487&lt;&gt;"")*(FI!$G$4:$G$487&lt;&gt;"")*(FI!$G$4:$G$487&lt;=B85))</f>
        <v>7</v>
      </c>
      <c r="F85" s="610" cm="1">
        <f t="array" ref="F85">SUMPRODUCT((FI!$C$4:$C$487&lt;&gt;"")*(FI!$D$4:$D$487&lt;&gt;"")*(FI!$G$4:$G$487&lt;=$B85)*(FI!$K$4:$K$487="Pending")*(FI!$J$4:$J$487="CTA"))</f>
        <v>0</v>
      </c>
      <c r="G85" s="610" cm="1">
        <f t="array" ref="G85">SUMPRODUCT((FI!$C$4:$C$487&lt;&gt;"")*(FI!$D$4:$D$487&lt;&gt;"")*(FI!$G$4:$G$487&lt;=$B85)*(FI!$K$4:$K$487="Pending")*(FI!$J$4:$J$487="AUR"))</f>
        <v>7</v>
      </c>
      <c r="H85" s="610" cm="1">
        <f t="array" ref="H85">SUMPRODUCT((FI!$C$4:$C$487&lt;&gt;"")*(FI!$D$4:$D$487&lt;&gt;"")*(FI!$G$4:$G$487&lt;=$B85)*(FI!$K$4:$K$487="Pending")*(FI!$J$4:$J$487="STT"))</f>
        <v>0</v>
      </c>
      <c r="I85" s="610" cm="1">
        <f t="array" ref="I85">SUMPRODUCT((FI!$C$4:$C$487&lt;&gt;"")*(FI!$D$4:$D$487&lt;&gt;"")*(FI!$G$4:$G$487&lt;=$B85)*(FI!$K$4:$K$487="A"))</f>
        <v>0</v>
      </c>
      <c r="J85" s="610" cm="1">
        <f t="array" ref="J85">SUMPRODUCT((FI!$C$4:$C$487&lt;&gt;"")*(FI!$D$4:$D$487&lt;&gt;"")*(FI!$G$4:$G$487&lt;=$B85)*(FI!$K$4:$K$487="B"))</f>
        <v>0</v>
      </c>
      <c r="K85" s="611" cm="1">
        <f t="array" ref="K85">SUMPRODUCT((FI!$C$4:$C$487&lt;&gt;"")*(FI!$D$4:$D$487&lt;&gt;"")*(FI!$G$4:$G$487&lt;=$B85)*(FI!$K$4:$K$487="C"))</f>
        <v>0</v>
      </c>
    </row>
    <row r="86" spans="2:11" ht="15" customHeight="1">
      <c r="B86" s="247"/>
      <c r="C86" s="164"/>
      <c r="D86" s="164"/>
      <c r="E86" s="164"/>
      <c r="F86" s="164"/>
      <c r="G86" s="164"/>
      <c r="H86" s="164"/>
      <c r="I86" s="164"/>
      <c r="J86" s="164"/>
      <c r="K86" s="165"/>
    </row>
    <row r="87" spans="2:11" ht="15" customHeight="1">
      <c r="B87" s="247"/>
      <c r="C87" s="164"/>
      <c r="D87" s="164"/>
      <c r="E87" s="164"/>
      <c r="F87" s="164"/>
      <c r="G87" s="164"/>
      <c r="H87" s="164"/>
      <c r="I87" s="164"/>
      <c r="J87" s="164"/>
      <c r="K87" s="165"/>
    </row>
    <row r="88" spans="2:11" ht="15" customHeight="1">
      <c r="B88" s="247"/>
      <c r="C88" s="164"/>
      <c r="D88" s="164"/>
      <c r="E88" s="164"/>
      <c r="F88" s="164"/>
      <c r="G88" s="164"/>
      <c r="H88" s="164"/>
      <c r="I88" s="164"/>
      <c r="J88" s="164"/>
      <c r="K88" s="165"/>
    </row>
    <row r="89" spans="2:11" ht="15" customHeight="1">
      <c r="B89" s="247"/>
      <c r="C89" s="164"/>
      <c r="D89" s="164"/>
      <c r="E89" s="164"/>
      <c r="F89" s="164"/>
      <c r="G89" s="164"/>
      <c r="H89" s="164"/>
      <c r="I89" s="164"/>
      <c r="J89" s="164"/>
      <c r="K89" s="165"/>
    </row>
    <row r="90" spans="2:11" ht="15" customHeight="1">
      <c r="B90" s="247"/>
      <c r="C90" s="164"/>
      <c r="D90" s="164"/>
      <c r="E90" s="164"/>
      <c r="F90" s="164"/>
      <c r="G90" s="164"/>
      <c r="H90" s="164"/>
      <c r="I90" s="164"/>
      <c r="J90" s="164"/>
      <c r="K90" s="165"/>
    </row>
    <row r="91" spans="2:11" ht="15" customHeight="1">
      <c r="B91" s="289"/>
      <c r="C91" s="308"/>
      <c r="D91" s="308"/>
      <c r="E91" s="308"/>
      <c r="F91" s="308"/>
      <c r="G91" s="308"/>
      <c r="H91" s="308"/>
      <c r="I91" s="308"/>
      <c r="J91" s="308"/>
      <c r="K91" s="411"/>
    </row>
    <row r="92" spans="2:11" ht="15" customHeight="1">
      <c r="B92" s="166"/>
      <c r="C92" s="69"/>
      <c r="D92" s="69"/>
      <c r="E92" s="69"/>
      <c r="F92" s="69"/>
      <c r="G92" s="69"/>
      <c r="H92" s="69"/>
      <c r="I92" s="69"/>
      <c r="J92" s="69"/>
      <c r="K92" s="69"/>
    </row>
    <row r="93" spans="2:11" ht="15" customHeight="1">
      <c r="B93" s="166"/>
      <c r="C93" s="69"/>
      <c r="D93" s="69"/>
      <c r="E93" s="69"/>
      <c r="F93" s="69"/>
      <c r="G93" s="69"/>
      <c r="H93" s="69"/>
      <c r="I93" s="69"/>
      <c r="J93" s="69"/>
      <c r="K93" s="69"/>
    </row>
    <row r="95" spans="2:11" ht="15" customHeight="1">
      <c r="B95" s="868" t="s">
        <v>22</v>
      </c>
      <c r="C95" s="869"/>
      <c r="D95" s="869"/>
      <c r="E95" s="869"/>
      <c r="F95" s="869"/>
      <c r="G95" s="869"/>
      <c r="H95" s="869"/>
      <c r="I95" s="869"/>
      <c r="J95" s="869"/>
      <c r="K95" s="870"/>
    </row>
    <row r="96" spans="2:11" ht="15" customHeight="1">
      <c r="B96" s="871" t="s">
        <v>40</v>
      </c>
      <c r="C96" s="873" t="s">
        <v>41</v>
      </c>
      <c r="D96" s="873" t="s">
        <v>42</v>
      </c>
      <c r="E96" s="873" t="s">
        <v>43</v>
      </c>
      <c r="F96" s="873" t="s">
        <v>44</v>
      </c>
      <c r="G96" s="873"/>
      <c r="H96" s="873"/>
      <c r="I96" s="873"/>
      <c r="J96" s="873"/>
      <c r="K96" s="875"/>
    </row>
    <row r="97" spans="2:11" ht="15" customHeight="1">
      <c r="B97" s="871"/>
      <c r="C97" s="873"/>
      <c r="D97" s="873"/>
      <c r="E97" s="873"/>
      <c r="F97" s="873" t="s">
        <v>45</v>
      </c>
      <c r="G97" s="873"/>
      <c r="H97" s="873"/>
      <c r="I97" s="876" t="s">
        <v>46</v>
      </c>
      <c r="J97" s="878" t="s">
        <v>47</v>
      </c>
      <c r="K97" s="880" t="s">
        <v>48</v>
      </c>
    </row>
    <row r="98" spans="2:11" ht="15" customHeight="1">
      <c r="B98" s="872"/>
      <c r="C98" s="874"/>
      <c r="D98" s="874"/>
      <c r="E98" s="874"/>
      <c r="F98" s="254" t="s">
        <v>49</v>
      </c>
      <c r="G98" s="254" t="s">
        <v>50</v>
      </c>
      <c r="H98" s="254" t="s">
        <v>51</v>
      </c>
      <c r="I98" s="877"/>
      <c r="J98" s="879"/>
      <c r="K98" s="881"/>
    </row>
    <row r="99" spans="2:11" ht="15" customHeight="1">
      <c r="B99" s="247">
        <f>B8</f>
        <v>46027</v>
      </c>
      <c r="C99" s="164" cm="1">
        <f t="array" ref="C99">SUMPRODUCT((HY!$C$5:$C$496&lt;&gt;"")*(HY!$D$5:$D$496&lt;&gt;"")*((HY!$F$5:$F$496&lt;=B99)+(HY!$F$5:$F$496&gt;B99)))</f>
        <v>31</v>
      </c>
      <c r="D99" s="164" cm="1">
        <f t="array" ref="D99">SUMPRODUCT((HY!$C$5:$C$496&lt;&gt;"")*(HY!$D$5:$D$496&lt;&gt;"")*(HY!$F$5:$F$496&lt;=B99))</f>
        <v>0</v>
      </c>
      <c r="E99" s="164" cm="1">
        <f t="array" ref="E99">SUMPRODUCT((HY!$C$5:$C$496&lt;&gt;"")*(HY!$D$5:$D$496&lt;&gt;"")*(HY!$G$5:$G$496&lt;&gt;"")*(HY!$G$5:$G$496&lt;=B99))</f>
        <v>0</v>
      </c>
      <c r="F99" s="164" cm="1">
        <f t="array" ref="F99">SUMPRODUCT((HY!$C$5:$C$496&lt;&gt;"")*(HY!$D$5:$D$496&lt;&gt;"")*(HY!$G$5:$G$496&lt;=$B99)*(HY!$K$5:$K$496="Pending")*(HY!$J$5:$J$496="CTA"))</f>
        <v>0</v>
      </c>
      <c r="G99" s="164" cm="1">
        <f t="array" ref="G99">SUMPRODUCT((HY!$C$5:$C$496&lt;&gt;"")*(HY!$D$5:$D$496&lt;&gt;"")*(HY!$G$5:$G$496&lt;=$B99)*(HY!$K$5:$K$496="Pending")*(HY!$J$5:$J$496="AUR"))</f>
        <v>0</v>
      </c>
      <c r="H99" s="164" cm="1">
        <f t="array" ref="H99">SUMPRODUCT((HY!$C$5:$C$496&lt;&gt;"")*(HY!$D$5:$D$496&lt;&gt;"")*(HY!$G$5:$G$496&lt;=$B99)*(HY!$K$5:$K$496="Pending")*(HY!$J$5:$J$496="STT"))</f>
        <v>0</v>
      </c>
      <c r="I99" s="164" cm="1">
        <f t="array" ref="I99">SUMPRODUCT((HY!$C$5:$C$496&lt;&gt;"")*(HY!$D$5:$D$496&lt;&gt;"")*(HY!$G$5:$G$496&lt;=$B99)*(HY!$K$5:$K$496="A"))</f>
        <v>0</v>
      </c>
      <c r="J99" s="164" cm="1">
        <f t="array" ref="J99">SUMPRODUCT((HY!$C$5:$C$496&lt;&gt;"")*(HY!$D$5:$D$496&lt;&gt;"")*(HY!$G$5:$G$496&lt;=$B99)*(HY!$K$5:$K$496="B"))</f>
        <v>0</v>
      </c>
      <c r="K99" s="165" cm="1">
        <f t="array" ref="K99">SUMPRODUCT((HY!$C$5:$C$496&lt;&gt;"")*(HY!$D$5:$D$496&lt;&gt;"")*(HY!$G$5:$G$496&lt;=$B99)*(HY!$K$5:$K$496="C"))</f>
        <v>0</v>
      </c>
    </row>
    <row r="100" spans="2:11" ht="15" customHeight="1">
      <c r="B100" s="247">
        <f t="shared" ref="B100:B101" si="4">B9</f>
        <v>46034</v>
      </c>
      <c r="C100" s="164" cm="1">
        <f t="array" ref="C100">SUMPRODUCT((HY!$C$5:$C$496&lt;&gt;"")*(HY!$D$5:$D$496&lt;&gt;"")*((HY!$F$5:$F$496&lt;=B100)+(HY!$F$5:$F$496&gt;B100)))</f>
        <v>31</v>
      </c>
      <c r="D100" s="164" cm="1">
        <f t="array" ref="D100">SUMPRODUCT((HY!$C$5:$C$496&lt;&gt;"")*(HY!$D$5:$D$496&lt;&gt;"")*(HY!$F$5:$F$496&lt;=B100))</f>
        <v>1</v>
      </c>
      <c r="E100" s="164" cm="1">
        <f t="array" ref="E100">SUMPRODUCT((HY!$C$5:$C$496&lt;&gt;"")*(HY!$D$5:$D$496&lt;&gt;"")*(HY!$G$5:$G$496&lt;&gt;"")*(HY!$G$5:$G$496&lt;=B100))</f>
        <v>4</v>
      </c>
      <c r="F100" s="164" cm="1">
        <f t="array" ref="F100">SUMPRODUCT((HY!$C$5:$C$496&lt;&gt;"")*(HY!$D$5:$D$496&lt;&gt;"")*(HY!$G$5:$G$496&lt;=$B100)*(HY!$K$5:$K$496="Pending")*(HY!$J$5:$J$496="CTA"))</f>
        <v>0</v>
      </c>
      <c r="G100" s="164" cm="1">
        <f t="array" ref="G100">SUMPRODUCT((HY!$C$5:$C$496&lt;&gt;"")*(HY!$D$5:$D$496&lt;&gt;"")*(HY!$G$5:$G$496&lt;=$B100)*(HY!$K$5:$K$496="Pending")*(HY!$J$5:$J$496="AUR"))</f>
        <v>4</v>
      </c>
      <c r="H100" s="164" cm="1">
        <f t="array" ref="H100">SUMPRODUCT((HY!$C$5:$C$496&lt;&gt;"")*(HY!$D$5:$D$496&lt;&gt;"")*(HY!$G$5:$G$496&lt;=$B100)*(HY!$K$5:$K$496="Pending")*(HY!$J$5:$J$496="STT"))</f>
        <v>0</v>
      </c>
      <c r="I100" s="164" cm="1">
        <f t="array" ref="I100">SUMPRODUCT((HY!$C$5:$C$496&lt;&gt;"")*(HY!$D$5:$D$496&lt;&gt;"")*(HY!$G$5:$G$496&lt;=$B100)*(HY!$K$5:$K$496="A"))</f>
        <v>0</v>
      </c>
      <c r="J100" s="164" cm="1">
        <f t="array" ref="J100">SUMPRODUCT((HY!$C$5:$C$496&lt;&gt;"")*(HY!$D$5:$D$496&lt;&gt;"")*(HY!$G$5:$G$496&lt;=$B100)*(HY!$K$5:$K$496="B"))</f>
        <v>0</v>
      </c>
      <c r="K100" s="165" cm="1">
        <f t="array" ref="K100">SUMPRODUCT((HY!$C$5:$C$496&lt;&gt;"")*(HY!$D$5:$D$496&lt;&gt;"")*(HY!$G$5:$G$496&lt;=$B100)*(HY!$K$5:$K$496="C"))</f>
        <v>0</v>
      </c>
    </row>
    <row r="101" spans="2:11" ht="15" customHeight="1">
      <c r="B101" s="247">
        <f t="shared" si="4"/>
        <v>46041</v>
      </c>
      <c r="C101" s="164" cm="1">
        <f t="array" ref="C101">SUMPRODUCT((HY!$C$5:$C$496&lt;&gt;"")*(HY!$D$5:$D$496&lt;&gt;"")*((HY!$F$5:$F$496&lt;=B101)+(HY!$F$5:$F$496&gt;B101)))</f>
        <v>31</v>
      </c>
      <c r="D101" s="164" cm="1">
        <f t="array" ref="D101">SUMPRODUCT((HY!$C$5:$C$496&lt;&gt;"")*(HY!$D$5:$D$496&lt;&gt;"")*(HY!$F$5:$F$496&lt;=B101))</f>
        <v>8</v>
      </c>
      <c r="E101" s="164" cm="1">
        <f t="array" ref="E101">SUMPRODUCT((HY!$C$5:$C$496&lt;&gt;"")*(HY!$D$5:$D$496&lt;&gt;"")*(HY!$G$5:$G$496&lt;&gt;"")*(HY!$G$5:$G$496&lt;=B101))</f>
        <v>8</v>
      </c>
      <c r="F101" s="164" cm="1">
        <f t="array" ref="F101">SUMPRODUCT((HY!$C$5:$C$496&lt;&gt;"")*(HY!$D$5:$D$496&lt;&gt;"")*(HY!$G$5:$G$496&lt;=$B101)*(HY!$K$5:$K$496="Pending")*(HY!$J$5:$J$496="CTA"))</f>
        <v>0</v>
      </c>
      <c r="G101" s="164" cm="1">
        <f t="array" ref="G101">SUMPRODUCT((HY!$C$5:$C$496&lt;&gt;"")*(HY!$D$5:$D$496&lt;&gt;"")*(HY!$G$5:$G$496&lt;=$B101)*(HY!$K$5:$K$496="Pending")*(HY!$J$5:$J$496="AUR"))</f>
        <v>8</v>
      </c>
      <c r="H101" s="164" cm="1">
        <f t="array" ref="H101">SUMPRODUCT((HY!$C$5:$C$496&lt;&gt;"")*(HY!$D$5:$D$496&lt;&gt;"")*(HY!$G$5:$G$496&lt;=$B101)*(HY!$K$5:$K$496="Pending")*(HY!$J$5:$J$496="STT"))</f>
        <v>0</v>
      </c>
      <c r="I101" s="164" cm="1">
        <f t="array" ref="I101">SUMPRODUCT((HY!$C$5:$C$496&lt;&gt;"")*(HY!$D$5:$D$496&lt;&gt;"")*(HY!$G$5:$G$496&lt;=$B101)*(HY!$K$5:$K$496="A"))</f>
        <v>0</v>
      </c>
      <c r="J101" s="164" cm="1">
        <f t="array" ref="J101">SUMPRODUCT((HY!$C$5:$C$496&lt;&gt;"")*(HY!$D$5:$D$496&lt;&gt;"")*(HY!$G$5:$G$496&lt;=$B101)*(HY!$K$5:$K$496="B"))</f>
        <v>0</v>
      </c>
      <c r="K101" s="165" cm="1">
        <f t="array" ref="K101">SUMPRODUCT((HY!$C$5:$C$496&lt;&gt;"")*(HY!$D$5:$D$496&lt;&gt;"")*(HY!$G$5:$G$496&lt;=$B101)*(HY!$K$5:$K$496="C"))</f>
        <v>0</v>
      </c>
    </row>
    <row r="102" spans="2:11" ht="15" customHeight="1">
      <c r="B102" s="636">
        <f>B11</f>
        <v>46048</v>
      </c>
      <c r="C102" s="637" cm="1">
        <f t="array" ref="C102">SUMPRODUCT((HY!$C$5:$C$496&lt;&gt;"")*(HY!$D$5:$D$496&lt;&gt;"")*((HY!$F$5:$F$496&lt;=B102)+(HY!$F$5:$F$496&gt;B102)))</f>
        <v>31</v>
      </c>
      <c r="D102" s="637" cm="1">
        <f t="array" ref="D102">SUMPRODUCT((HY!$C$5:$C$496&lt;&gt;"")*(HY!$D$5:$D$496&lt;&gt;"")*(HY!$F$5:$F$496&lt;=B102))</f>
        <v>8</v>
      </c>
      <c r="E102" s="637" cm="1">
        <f t="array" ref="E102">SUMPRODUCT((HY!$C$5:$C$496&lt;&gt;"")*(HY!$D$5:$D$496&lt;&gt;"")*(HY!$G$5:$G$496&lt;&gt;"")*(HY!$G$5:$G$496&lt;=B102))</f>
        <v>8</v>
      </c>
      <c r="F102" s="637" cm="1">
        <f t="array" ref="F102">SUMPRODUCT((HY!$C$5:$C$496&lt;&gt;"")*(HY!$D$5:$D$496&lt;&gt;"")*(HY!$G$5:$G$496&lt;=$B102)*(HY!$K$5:$K$496="Pending")*(HY!$J$5:$J$496="CTA"))</f>
        <v>0</v>
      </c>
      <c r="G102" s="637" cm="1">
        <f t="array" ref="G102">SUMPRODUCT((HY!$C$5:$C$496&lt;&gt;"")*(HY!$D$5:$D$496&lt;&gt;"")*(HY!$G$5:$G$496&lt;=$B102)*(HY!$K$5:$K$496="Pending")*(HY!$J$5:$J$496="AUR"))</f>
        <v>8</v>
      </c>
      <c r="H102" s="637" cm="1">
        <f t="array" ref="H102">SUMPRODUCT((HY!$C$5:$C$496&lt;&gt;"")*(HY!$D$5:$D$496&lt;&gt;"")*(HY!$G$5:$G$496&lt;=$B102)*(HY!$K$5:$K$496="Pending")*(HY!$J$5:$J$496="STT"))</f>
        <v>0</v>
      </c>
      <c r="I102" s="637" cm="1">
        <f t="array" ref="I102">SUMPRODUCT((HY!$C$5:$C$496&lt;&gt;"")*(HY!$D$5:$D$496&lt;&gt;"")*(HY!$G$5:$G$496&lt;=$B102)*(HY!$K$5:$K$496="A"))</f>
        <v>0</v>
      </c>
      <c r="J102" s="637" cm="1">
        <f t="array" ref="J102">SUMPRODUCT((HY!$C$5:$C$496&lt;&gt;"")*(HY!$D$5:$D$496&lt;&gt;"")*(HY!$G$5:$G$496&lt;=$B102)*(HY!$K$5:$K$496="B"))</f>
        <v>0</v>
      </c>
      <c r="K102" s="638" cm="1">
        <f t="array" ref="K102">SUMPRODUCT((HY!$C$5:$C$496&lt;&gt;"")*(HY!$D$5:$D$496&lt;&gt;"")*(HY!$G$5:$G$496&lt;=$B102)*(HY!$K$5:$K$496="C"))</f>
        <v>0</v>
      </c>
    </row>
    <row r="103" spans="2:11" ht="15" customHeight="1">
      <c r="B103" s="609">
        <f>B12</f>
        <v>46055</v>
      </c>
      <c r="C103" s="610" cm="1">
        <f t="array" ref="C103">SUMPRODUCT((HY!$C$5:$C$496&lt;&gt;"")*(HY!$D$5:$D$496&lt;&gt;"")*((HY!$F$5:$F$496&lt;=B103)+(HY!$F$5:$F$496&gt;B103)))</f>
        <v>31</v>
      </c>
      <c r="D103" s="610" cm="1">
        <f t="array" ref="D103">SUMPRODUCT((HY!$C$5:$C$496&lt;&gt;"")*(HY!$D$5:$D$496&lt;&gt;"")*(HY!$F$5:$F$496&lt;=B103))</f>
        <v>14</v>
      </c>
      <c r="E103" s="610" cm="1">
        <f t="array" ref="E103">SUMPRODUCT((HY!$C$5:$C$496&lt;&gt;"")*(HY!$D$5:$D$496&lt;&gt;"")*(HY!$G$5:$G$496&lt;&gt;"")*(HY!$G$5:$G$496&lt;=B103))</f>
        <v>11</v>
      </c>
      <c r="F103" s="610" cm="1">
        <f t="array" ref="F103">SUMPRODUCT((HY!$C$5:$C$496&lt;&gt;"")*(HY!$D$5:$D$496&lt;&gt;"")*(HY!$G$5:$G$496&lt;=$B103)*(HY!$K$5:$K$496="Pending")*(HY!$J$5:$J$496="CTA"))</f>
        <v>0</v>
      </c>
      <c r="G103" s="610" cm="1">
        <f t="array" ref="G103">SUMPRODUCT((HY!$C$5:$C$496&lt;&gt;"")*(HY!$D$5:$D$496&lt;&gt;"")*(HY!$G$5:$G$496&lt;=$B103)*(HY!$K$5:$K$496="Pending")*(HY!$J$5:$J$496="AUR"))</f>
        <v>11</v>
      </c>
      <c r="H103" s="610" cm="1">
        <f t="array" ref="H103">SUMPRODUCT((HY!$C$5:$C$496&lt;&gt;"")*(HY!$D$5:$D$496&lt;&gt;"")*(HY!$G$5:$G$496&lt;=$B103)*(HY!$K$5:$K$496="Pending")*(HY!$J$5:$J$496="STT"))</f>
        <v>0</v>
      </c>
      <c r="I103" s="610" cm="1">
        <f t="array" ref="I103">SUMPRODUCT((HY!$C$5:$C$496&lt;&gt;"")*(HY!$D$5:$D$496&lt;&gt;"")*(HY!$G$5:$G$496&lt;=$B103)*(HY!$K$5:$K$496="A"))</f>
        <v>0</v>
      </c>
      <c r="J103" s="610" cm="1">
        <f t="array" ref="J103">SUMPRODUCT((HY!$C$5:$C$496&lt;&gt;"")*(HY!$D$5:$D$496&lt;&gt;"")*(HY!$G$5:$G$496&lt;=$B103)*(HY!$K$5:$K$496="B"))</f>
        <v>0</v>
      </c>
      <c r="K103" s="611" cm="1">
        <f t="array" ref="K103">SUMPRODUCT((HY!$C$5:$C$496&lt;&gt;"")*(HY!$D$5:$D$496&lt;&gt;"")*(HY!$G$5:$G$496&lt;=$B103)*(HY!$K$5:$K$496="C"))</f>
        <v>0</v>
      </c>
    </row>
    <row r="104" spans="2:11" ht="15" customHeight="1">
      <c r="B104" s="247"/>
      <c r="C104" s="164"/>
      <c r="D104" s="164"/>
      <c r="E104" s="164"/>
      <c r="F104" s="164"/>
      <c r="G104" s="164"/>
      <c r="H104" s="164"/>
      <c r="I104" s="164"/>
      <c r="J104" s="164"/>
      <c r="K104" s="165"/>
    </row>
    <row r="105" spans="2:11" ht="15" customHeight="1">
      <c r="B105" s="247"/>
      <c r="C105" s="164"/>
      <c r="D105" s="164"/>
      <c r="E105" s="164"/>
      <c r="F105" s="164"/>
      <c r="G105" s="164"/>
      <c r="H105" s="164"/>
      <c r="I105" s="164"/>
      <c r="J105" s="164"/>
      <c r="K105" s="165"/>
    </row>
    <row r="106" spans="2:11" ht="15" customHeight="1">
      <c r="B106" s="247"/>
      <c r="C106" s="164"/>
      <c r="D106" s="164"/>
      <c r="E106" s="164"/>
      <c r="F106" s="164"/>
      <c r="G106" s="164"/>
      <c r="H106" s="164"/>
      <c r="I106" s="164"/>
      <c r="J106" s="164"/>
      <c r="K106" s="165"/>
    </row>
    <row r="107" spans="2:11" ht="15" customHeight="1">
      <c r="B107" s="247"/>
      <c r="C107" s="164"/>
      <c r="D107" s="164"/>
      <c r="E107" s="164"/>
      <c r="F107" s="164"/>
      <c r="G107" s="164"/>
      <c r="H107" s="164"/>
      <c r="I107" s="164"/>
      <c r="J107" s="164"/>
      <c r="K107" s="165"/>
    </row>
    <row r="108" spans="2:11" ht="15" customHeight="1">
      <c r="B108" s="247"/>
      <c r="C108" s="164"/>
      <c r="D108" s="164"/>
      <c r="E108" s="164"/>
      <c r="F108" s="164"/>
      <c r="G108" s="164"/>
      <c r="H108" s="164"/>
      <c r="I108" s="164"/>
      <c r="J108" s="164"/>
      <c r="K108" s="165"/>
    </row>
    <row r="109" spans="2:11" ht="15" customHeight="1">
      <c r="B109" s="289"/>
      <c r="C109" s="308"/>
      <c r="D109" s="308"/>
      <c r="E109" s="308"/>
      <c r="F109" s="308"/>
      <c r="G109" s="308"/>
      <c r="H109" s="308"/>
      <c r="I109" s="308"/>
      <c r="J109" s="308"/>
      <c r="K109" s="411"/>
    </row>
    <row r="115" spans="2:11" ht="15" customHeight="1">
      <c r="B115" s="868" t="s">
        <v>53</v>
      </c>
      <c r="C115" s="869"/>
      <c r="D115" s="869"/>
      <c r="E115" s="869"/>
      <c r="F115" s="869"/>
      <c r="G115" s="869"/>
      <c r="H115" s="869"/>
      <c r="I115" s="869"/>
      <c r="J115" s="869"/>
      <c r="K115" s="870"/>
    </row>
    <row r="116" spans="2:11" ht="15" customHeight="1">
      <c r="B116" s="871" t="s">
        <v>40</v>
      </c>
      <c r="C116" s="873" t="s">
        <v>41</v>
      </c>
      <c r="D116" s="873" t="s">
        <v>42</v>
      </c>
      <c r="E116" s="873" t="s">
        <v>43</v>
      </c>
      <c r="F116" s="873" t="s">
        <v>44</v>
      </c>
      <c r="G116" s="873"/>
      <c r="H116" s="873"/>
      <c r="I116" s="873"/>
      <c r="J116" s="873"/>
      <c r="K116" s="875"/>
    </row>
    <row r="117" spans="2:11" ht="15" customHeight="1">
      <c r="B117" s="871"/>
      <c r="C117" s="873"/>
      <c r="D117" s="873"/>
      <c r="E117" s="873"/>
      <c r="F117" s="873" t="s">
        <v>45</v>
      </c>
      <c r="G117" s="873"/>
      <c r="H117" s="873"/>
      <c r="I117" s="876" t="s">
        <v>46</v>
      </c>
      <c r="J117" s="878" t="s">
        <v>47</v>
      </c>
      <c r="K117" s="880" t="s">
        <v>48</v>
      </c>
    </row>
    <row r="118" spans="2:11" ht="15" customHeight="1">
      <c r="B118" s="872"/>
      <c r="C118" s="874"/>
      <c r="D118" s="874"/>
      <c r="E118" s="874"/>
      <c r="F118" s="254" t="s">
        <v>49</v>
      </c>
      <c r="G118" s="254" t="s">
        <v>50</v>
      </c>
      <c r="H118" s="254" t="s">
        <v>51</v>
      </c>
      <c r="I118" s="877"/>
      <c r="J118" s="879"/>
      <c r="K118" s="881"/>
    </row>
    <row r="119" spans="2:11" ht="15" customHeight="1">
      <c r="B119" s="247">
        <f>B8</f>
        <v>46027</v>
      </c>
      <c r="C119" s="164" cm="1">
        <f t="array" ref="C119">SUMPRODUCT((CSD!$C$4:$C$514&lt;&gt;"")*(CSD!$D$4:$D$514&lt;&gt;"")*((CSD!$F$4:$F$514&lt;=B119)+(CSD!$F$4:$F$514&gt;B119)))</f>
        <v>27</v>
      </c>
      <c r="D119" s="164" cm="1">
        <f t="array" ref="D119">SUMPRODUCT((CSD!$C$4:$C$514&lt;&gt;"")*(CSD!$D$4:$D$514&lt;&gt;"")*(CSD!$F$4:$F$514&lt;=B119))</f>
        <v>0</v>
      </c>
      <c r="E119" s="164" cm="1">
        <f t="array" ref="E119">SUMPRODUCT((CSD!$C$4:$C$514&lt;&gt;"")*(CSD!$D$4:$D$514&lt;&gt;"")*(CSD!$G$4:$G$514&lt;&gt;"")*(CSD!$G$4:$G$514&lt;=B119))</f>
        <v>0</v>
      </c>
      <c r="F119" s="164" cm="1">
        <f t="array" ref="F119">SUMPRODUCT((CSD!$C$4:$C$498&lt;&gt;"")*(CSD!$D$4:$D$498&lt;&gt;"")*(CSD!$G$4:$G$498&lt;=$B119)*(CSD!$K$4:$K$498="Pending")*(CSD!$J$4:$J$498="CTA"))</f>
        <v>0</v>
      </c>
      <c r="G119" s="164" cm="1">
        <f t="array" ref="G119">SUMPRODUCT((CSD!$C$4:$C$514&lt;&gt;"")*(CSD!$D$4:$D$514&lt;&gt;"")*(CSD!$G$4:$G$514&lt;=$B119)*(CSD!$K$4:$K$514="Pending")*(CSD!$J$4:$J$514="AUR"))</f>
        <v>0</v>
      </c>
      <c r="H119" s="164" cm="1">
        <f t="array" ref="H119">SUMPRODUCT((CSD!$C$4:$C$514&lt;&gt;"")*(CSD!$D$4:$D$514&lt;&gt;"")*(CSD!$G$4:$G$514&lt;=$B119)*(CSD!$K$4:$K$514="Pending")*(CSD!$J$4:$J$514="STT"))</f>
        <v>0</v>
      </c>
      <c r="I119" s="164" cm="1">
        <f t="array" ref="I119">SUMPRODUCT((CSD!$C$4:$C$514&lt;&gt;"")*(CSD!$D$4:$D$514&lt;&gt;"")*(CSD!$G$4:$G$514&lt;=$B119)*(CSD!$K$4:$K$514="A"))</f>
        <v>0</v>
      </c>
      <c r="J119" s="164" cm="1">
        <f t="array" ref="J119">SUMPRODUCT((CSD!$C$4:$C$514&lt;&gt;"")*(CSD!$D$4:$D$514&lt;&gt;"")*(CSD!$G$4:$G$514&lt;=$B119)*(CSD!$K$4:$K$514="B"))</f>
        <v>0</v>
      </c>
      <c r="K119" s="252" cm="1">
        <f t="array" ref="K119">SUMPRODUCT((CSD!$C$4:$C$514&lt;&gt;"")*(CSD!$D$4:$D$514&lt;&gt;"")*(CSD!$G$4:$G$514&lt;=$B119)*(CSD!$K$4:$K$514="C"))</f>
        <v>0</v>
      </c>
    </row>
    <row r="120" spans="2:11" ht="15" customHeight="1">
      <c r="B120" s="247">
        <f t="shared" ref="B120:B121" si="5">B9</f>
        <v>46034</v>
      </c>
      <c r="C120" s="164" cm="1">
        <f t="array" ref="C120">SUMPRODUCT((CSD!$C$4:$C$514&lt;&gt;"")*(CSD!$D$4:$D$514&lt;&gt;"")*((CSD!$F$4:$F$514&lt;=B120)+(CSD!$F$4:$F$514&gt;B120)))</f>
        <v>27</v>
      </c>
      <c r="D120" s="164" cm="1">
        <f t="array" ref="D120">SUMPRODUCT((CSD!$C$4:$C$514&lt;&gt;"")*(CSD!$D$4:$D$514&lt;&gt;"")*(CSD!$F$4:$F$514&lt;=B120))</f>
        <v>0</v>
      </c>
      <c r="E120" s="164" cm="1">
        <f t="array" ref="E120">SUMPRODUCT((CSD!$C$4:$C$514&lt;&gt;"")*(CSD!$D$4:$D$514&lt;&gt;"")*(CSD!$G$4:$G$514&lt;&gt;"")*(CSD!$G$4:$G$514&lt;=B120))</f>
        <v>0</v>
      </c>
      <c r="F120" s="164" cm="1">
        <f t="array" ref="F120">SUMPRODUCT((CSD!$C$4:$C$498&lt;&gt;"")*(CSD!$D$4:$D$498&lt;&gt;"")*(CSD!$G$4:$G$498&lt;=$B120)*(CSD!$K$4:$K$498="Pending")*(CSD!$J$4:$J$498="CTA"))</f>
        <v>0</v>
      </c>
      <c r="G120" s="164" cm="1">
        <f t="array" ref="G120">SUMPRODUCT((CSD!$C$4:$C$514&lt;&gt;"")*(CSD!$D$4:$D$514&lt;&gt;"")*(CSD!$G$4:$G$514&lt;=$B120)*(CSD!$K$4:$K$514="Pending")*(CSD!$J$4:$J$514="AUR"))</f>
        <v>0</v>
      </c>
      <c r="H120" s="164" cm="1">
        <f t="array" ref="H120">SUMPRODUCT((CSD!$C$4:$C$514&lt;&gt;"")*(CSD!$D$4:$D$514&lt;&gt;"")*(CSD!$G$4:$G$514&lt;=$B120)*(CSD!$K$4:$K$514="Pending")*(CSD!$J$4:$J$514="STT"))</f>
        <v>0</v>
      </c>
      <c r="I120" s="164" cm="1">
        <f t="array" ref="I120">SUMPRODUCT((CSD!$C$4:$C$514&lt;&gt;"")*(CSD!$D$4:$D$514&lt;&gt;"")*(CSD!$G$4:$G$514&lt;=$B120)*(CSD!$K$4:$K$514="A"))</f>
        <v>0</v>
      </c>
      <c r="J120" s="164" cm="1">
        <f t="array" ref="J120">SUMPRODUCT((CSD!$C$4:$C$514&lt;&gt;"")*(CSD!$D$4:$D$514&lt;&gt;"")*(CSD!$G$4:$G$514&lt;=$B120)*(CSD!$K$4:$K$514="B"))</f>
        <v>0</v>
      </c>
      <c r="K120" s="252" cm="1">
        <f t="array" ref="K120">SUMPRODUCT((CSD!$C$4:$C$514&lt;&gt;"")*(CSD!$D$4:$D$514&lt;&gt;"")*(CSD!$G$4:$G$514&lt;=$B120)*(CSD!$K$4:$K$514="C"))</f>
        <v>0</v>
      </c>
    </row>
    <row r="121" spans="2:11" ht="15" customHeight="1">
      <c r="B121" s="247">
        <f t="shared" si="5"/>
        <v>46041</v>
      </c>
      <c r="C121" s="164" cm="1">
        <f t="array" ref="C121">SUMPRODUCT((CSD!$C$4:$C$514&lt;&gt;"")*(CSD!$D$4:$D$514&lt;&gt;"")*((CSD!$F$4:$F$514&lt;=B121)+(CSD!$F$4:$F$514&gt;B121)))</f>
        <v>27</v>
      </c>
      <c r="D121" s="164" cm="1">
        <f t="array" ref="D121">SUMPRODUCT((CSD!$C$4:$C$514&lt;&gt;"")*(CSD!$D$4:$D$514&lt;&gt;"")*(CSD!$F$4:$F$514&lt;=B121))</f>
        <v>2</v>
      </c>
      <c r="E121" s="164" cm="1">
        <f t="array" ref="E121">SUMPRODUCT((CSD!$C$4:$C$514&lt;&gt;"")*(CSD!$D$4:$D$514&lt;&gt;"")*(CSD!$G$4:$G$514&lt;&gt;"")*(CSD!$G$4:$G$514&lt;=B121))</f>
        <v>0</v>
      </c>
      <c r="F121" s="164" cm="1">
        <f t="array" ref="F121">SUMPRODUCT((CSD!$C$4:$C$498&lt;&gt;"")*(CSD!$D$4:$D$498&lt;&gt;"")*(CSD!$G$4:$G$498&lt;=$B121)*(CSD!$K$4:$K$498="Pending")*(CSD!$J$4:$J$498="CTA"))</f>
        <v>0</v>
      </c>
      <c r="G121" s="164" cm="1">
        <f t="array" ref="G121">SUMPRODUCT((CSD!$C$4:$C$514&lt;&gt;"")*(CSD!$D$4:$D$514&lt;&gt;"")*(CSD!$G$4:$G$514&lt;=$B121)*(CSD!$K$4:$K$514="Pending")*(CSD!$J$4:$J$514="AUR"))</f>
        <v>0</v>
      </c>
      <c r="H121" s="164" cm="1">
        <f t="array" ref="H121">SUMPRODUCT((CSD!$C$4:$C$514&lt;&gt;"")*(CSD!$D$4:$D$514&lt;&gt;"")*(CSD!$G$4:$G$514&lt;=$B121)*(CSD!$K$4:$K$514="Pending")*(CSD!$J$4:$J$514="STT"))</f>
        <v>0</v>
      </c>
      <c r="I121" s="164" cm="1">
        <f t="array" ref="I121">SUMPRODUCT((CSD!$C$4:$C$514&lt;&gt;"")*(CSD!$D$4:$D$514&lt;&gt;"")*(CSD!$G$4:$G$514&lt;=$B121)*(CSD!$K$4:$K$514="A"))</f>
        <v>0</v>
      </c>
      <c r="J121" s="164" cm="1">
        <f t="array" ref="J121">SUMPRODUCT((CSD!$C$4:$C$514&lt;&gt;"")*(CSD!$D$4:$D$514&lt;&gt;"")*(CSD!$G$4:$G$514&lt;=$B121)*(CSD!$K$4:$K$514="B"))</f>
        <v>0</v>
      </c>
      <c r="K121" s="252" cm="1">
        <f t="array" ref="K121">SUMPRODUCT((CSD!$C$4:$C$514&lt;&gt;"")*(CSD!$D$4:$D$514&lt;&gt;"")*(CSD!$G$4:$G$514&lt;=$B121)*(CSD!$K$4:$K$514="C"))</f>
        <v>0</v>
      </c>
    </row>
    <row r="122" spans="2:11" ht="15" customHeight="1">
      <c r="B122" s="636">
        <f>B11</f>
        <v>46048</v>
      </c>
      <c r="C122" s="637" cm="1">
        <f t="array" ref="C122">SUMPRODUCT((CSD!$C$4:$C$514&lt;&gt;"")*(CSD!$D$4:$D$514&lt;&gt;"")*((CSD!$F$4:$F$514&lt;=B122)+(CSD!$F$4:$F$514&gt;B122)))</f>
        <v>27</v>
      </c>
      <c r="D122" s="637" cm="1">
        <f t="array" ref="D122">SUMPRODUCT((CSD!$C$4:$C$514&lt;&gt;"")*(CSD!$D$4:$D$514&lt;&gt;"")*(CSD!$F$4:$F$514&lt;=B122))</f>
        <v>2</v>
      </c>
      <c r="E122" s="637" cm="1">
        <f t="array" ref="E122">SUMPRODUCT((CSD!$C$4:$C$514&lt;&gt;"")*(CSD!$D$4:$D$514&lt;&gt;"")*(CSD!$G$4:$G$514&lt;&gt;"")*(CSD!$G$4:$G$514&lt;=B122))</f>
        <v>6</v>
      </c>
      <c r="F122" s="637" cm="1">
        <f t="array" ref="F122">SUMPRODUCT((CSD!$C$4:$C$498&lt;&gt;"")*(CSD!$D$4:$D$498&lt;&gt;"")*(CSD!$G$4:$G$498&lt;=$B122)*(CSD!$K$4:$K$498="Pending")*(CSD!$J$4:$J$498="CTA"))</f>
        <v>6</v>
      </c>
      <c r="G122" s="637" cm="1">
        <f t="array" ref="G122">SUMPRODUCT((CSD!$C$4:$C$514&lt;&gt;"")*(CSD!$D$4:$D$514&lt;&gt;"")*(CSD!$G$4:$G$514&lt;=$B122)*(CSD!$K$4:$K$514="Pending")*(CSD!$J$4:$J$514="AUR"))</f>
        <v>0</v>
      </c>
      <c r="H122" s="637" cm="1">
        <f t="array" ref="H122">SUMPRODUCT((CSD!$C$4:$C$514&lt;&gt;"")*(CSD!$D$4:$D$514&lt;&gt;"")*(CSD!$G$4:$G$514&lt;=$B122)*(CSD!$K$4:$K$514="Pending")*(CSD!$J$4:$J$514="STT"))</f>
        <v>0</v>
      </c>
      <c r="I122" s="637" cm="1">
        <f t="array" ref="I122">SUMPRODUCT((CSD!$C$4:$C$514&lt;&gt;"")*(CSD!$D$4:$D$514&lt;&gt;"")*(CSD!$G$4:$G$514&lt;=$B122)*(CSD!$K$4:$K$514="A"))</f>
        <v>0</v>
      </c>
      <c r="J122" s="637" cm="1">
        <f t="array" ref="J122">SUMPRODUCT((CSD!$C$4:$C$514&lt;&gt;"")*(CSD!$D$4:$D$514&lt;&gt;"")*(CSD!$G$4:$G$514&lt;=$B122)*(CSD!$K$4:$K$514="B"))</f>
        <v>0</v>
      </c>
      <c r="K122" s="638" cm="1">
        <f t="array" ref="K122">SUMPRODUCT((CSD!$C$4:$C$514&lt;&gt;"")*(CSD!$D$4:$D$514&lt;&gt;"")*(CSD!$G$4:$G$514&lt;=$B122)*(CSD!$K$4:$K$514="C"))</f>
        <v>0</v>
      </c>
    </row>
    <row r="123" spans="2:11" ht="15" customHeight="1">
      <c r="B123" s="609">
        <f>B12</f>
        <v>46055</v>
      </c>
      <c r="C123" s="610" cm="1">
        <f t="array" ref="C123">SUMPRODUCT((CSD!$C$4:$C$514&lt;&gt;"")*(CSD!$D$4:$D$514&lt;&gt;"")*((CSD!$F$4:$F$514&lt;=B123)+(CSD!$F$4:$F$514&gt;B123)))</f>
        <v>27</v>
      </c>
      <c r="D123" s="610" cm="1">
        <f t="array" ref="D123">SUMPRODUCT((CSD!$C$4:$C$514&lt;&gt;"")*(CSD!$D$4:$D$514&lt;&gt;"")*(CSD!$F$4:$F$514&lt;=B123))</f>
        <v>15</v>
      </c>
      <c r="E123" s="610" cm="1">
        <f t="array" ref="E123">SUMPRODUCT((CSD!$C$4:$C$514&lt;&gt;"")*(CSD!$D$4:$D$514&lt;&gt;"")*(CSD!$G$4:$G$514&lt;&gt;"")*(CSD!$G$4:$G$514&lt;=B123))</f>
        <v>9</v>
      </c>
      <c r="F123" s="610" cm="1">
        <f t="array" ref="F123">SUMPRODUCT((CSD!$C$4:$C$498&lt;&gt;"")*(CSD!$D$4:$D$498&lt;&gt;"")*(CSD!$G$4:$G$498&lt;=$B123)*(CSD!$K$4:$K$498="Pending")*(CSD!$J$4:$J$498="CTA"))</f>
        <v>9</v>
      </c>
      <c r="G123" s="610" cm="1">
        <f t="array" ref="G123">SUMPRODUCT((CSD!$C$4:$C$514&lt;&gt;"")*(CSD!$D$4:$D$514&lt;&gt;"")*(CSD!$G$4:$G$514&lt;=$B123)*(CSD!$K$4:$K$514="Pending")*(CSD!$J$4:$J$514="AUR"))</f>
        <v>0</v>
      </c>
      <c r="H123" s="610" cm="1">
        <f t="array" ref="H123">SUMPRODUCT((CSD!$C$4:$C$514&lt;&gt;"")*(CSD!$D$4:$D$514&lt;&gt;"")*(CSD!$G$4:$G$514&lt;=$B123)*(CSD!$K$4:$K$514="Pending")*(CSD!$J$4:$J$514="STT"))</f>
        <v>0</v>
      </c>
      <c r="I123" s="610" cm="1">
        <f t="array" ref="I123">SUMPRODUCT((CSD!$C$4:$C$514&lt;&gt;"")*(CSD!$D$4:$D$514&lt;&gt;"")*(CSD!$G$4:$G$514&lt;=$B123)*(CSD!$K$4:$K$514="A"))</f>
        <v>0</v>
      </c>
      <c r="J123" s="610" cm="1">
        <f t="array" ref="J123">SUMPRODUCT((CSD!$C$4:$C$514&lt;&gt;"")*(CSD!$D$4:$D$514&lt;&gt;"")*(CSD!$G$4:$G$514&lt;=$B123)*(CSD!$K$4:$K$514="B"))</f>
        <v>0</v>
      </c>
      <c r="K123" s="611" cm="1">
        <f t="array" ref="K123">SUMPRODUCT((CSD!$C$4:$C$514&lt;&gt;"")*(CSD!$D$4:$D$514&lt;&gt;"")*(CSD!$G$4:$G$514&lt;=$B123)*(CSD!$K$4:$K$514="C"))</f>
        <v>0</v>
      </c>
    </row>
    <row r="124" spans="2:11" ht="15" customHeight="1">
      <c r="B124" s="247"/>
      <c r="C124" s="164"/>
      <c r="D124" s="164"/>
      <c r="E124" s="164"/>
      <c r="F124" s="164"/>
      <c r="G124" s="164"/>
      <c r="H124" s="164"/>
      <c r="I124" s="164"/>
      <c r="J124" s="164"/>
      <c r="K124" s="252"/>
    </row>
    <row r="125" spans="2:11" ht="15" customHeight="1">
      <c r="B125" s="247"/>
      <c r="C125" s="164"/>
      <c r="D125" s="164"/>
      <c r="E125" s="164"/>
      <c r="F125" s="164"/>
      <c r="G125" s="164"/>
      <c r="H125" s="164"/>
      <c r="I125" s="164"/>
      <c r="J125" s="164"/>
      <c r="K125" s="252"/>
    </row>
    <row r="126" spans="2:11" ht="15" customHeight="1">
      <c r="B126" s="247"/>
      <c r="C126" s="164"/>
      <c r="D126" s="164"/>
      <c r="E126" s="164"/>
      <c r="F126" s="164"/>
      <c r="G126" s="164"/>
      <c r="H126" s="164"/>
      <c r="I126" s="164"/>
      <c r="J126" s="164"/>
      <c r="K126" s="252"/>
    </row>
    <row r="127" spans="2:11" ht="15" customHeight="1">
      <c r="B127" s="247"/>
      <c r="C127" s="164"/>
      <c r="D127" s="164"/>
      <c r="E127" s="164"/>
      <c r="F127" s="164"/>
      <c r="G127" s="164"/>
      <c r="H127" s="164"/>
      <c r="I127" s="164"/>
      <c r="J127" s="164"/>
      <c r="K127" s="252"/>
    </row>
    <row r="128" spans="2:11" ht="15" customHeight="1">
      <c r="B128" s="247"/>
      <c r="C128" s="164"/>
      <c r="D128" s="164"/>
      <c r="E128" s="164"/>
      <c r="F128" s="164"/>
      <c r="G128" s="164"/>
      <c r="H128" s="164"/>
      <c r="I128" s="164"/>
      <c r="J128" s="164"/>
      <c r="K128" s="252"/>
    </row>
    <row r="129" spans="2:11" ht="15" customHeight="1">
      <c r="B129" s="289"/>
      <c r="C129" s="308"/>
      <c r="D129" s="308"/>
      <c r="E129" s="308"/>
      <c r="F129" s="308"/>
      <c r="G129" s="308"/>
      <c r="H129" s="308"/>
      <c r="I129" s="308"/>
      <c r="J129" s="308"/>
      <c r="K129" s="412"/>
    </row>
    <row r="491" spans="6:6" ht="15" customHeight="1">
      <c r="F491" s="197">
        <v>45696</v>
      </c>
    </row>
    <row r="492" spans="6:6" ht="15" customHeight="1">
      <c r="F492" s="197">
        <v>45696</v>
      </c>
    </row>
    <row r="529" spans="6:6" ht="15" customHeight="1">
      <c r="F529" s="197">
        <v>45696</v>
      </c>
    </row>
  </sheetData>
  <mergeCells count="70">
    <mergeCell ref="B95:K95"/>
    <mergeCell ref="B96:B98"/>
    <mergeCell ref="C96:C98"/>
    <mergeCell ref="D96:D98"/>
    <mergeCell ref="E96:E98"/>
    <mergeCell ref="F96:K96"/>
    <mergeCell ref="F97:H97"/>
    <mergeCell ref="I97:I98"/>
    <mergeCell ref="J97:J98"/>
    <mergeCell ref="K97:K98"/>
    <mergeCell ref="B77:K77"/>
    <mergeCell ref="B78:B80"/>
    <mergeCell ref="C78:C80"/>
    <mergeCell ref="D78:D80"/>
    <mergeCell ref="E78:E80"/>
    <mergeCell ref="F78:K78"/>
    <mergeCell ref="F79:H79"/>
    <mergeCell ref="I79:I80"/>
    <mergeCell ref="J79:J80"/>
    <mergeCell ref="K79:K80"/>
    <mergeCell ref="B59:K59"/>
    <mergeCell ref="B60:B62"/>
    <mergeCell ref="C60:C62"/>
    <mergeCell ref="D60:D62"/>
    <mergeCell ref="E60:E62"/>
    <mergeCell ref="F60:K60"/>
    <mergeCell ref="F61:H61"/>
    <mergeCell ref="I61:I62"/>
    <mergeCell ref="J61:J62"/>
    <mergeCell ref="K61:K62"/>
    <mergeCell ref="B40:K40"/>
    <mergeCell ref="B41:B43"/>
    <mergeCell ref="C41:C43"/>
    <mergeCell ref="D41:D43"/>
    <mergeCell ref="E41:E43"/>
    <mergeCell ref="F41:K41"/>
    <mergeCell ref="F42:H42"/>
    <mergeCell ref="I42:I43"/>
    <mergeCell ref="J42:J43"/>
    <mergeCell ref="K42:K43"/>
    <mergeCell ref="B22:K22"/>
    <mergeCell ref="B23:B25"/>
    <mergeCell ref="C23:C25"/>
    <mergeCell ref="D23:D25"/>
    <mergeCell ref="E23:E25"/>
    <mergeCell ref="F23:K23"/>
    <mergeCell ref="F24:H24"/>
    <mergeCell ref="I24:I25"/>
    <mergeCell ref="J24:J25"/>
    <mergeCell ref="K24:K25"/>
    <mergeCell ref="B4:K4"/>
    <mergeCell ref="B5:B7"/>
    <mergeCell ref="C5:C7"/>
    <mergeCell ref="D5:D7"/>
    <mergeCell ref="E5:E7"/>
    <mergeCell ref="F5:K5"/>
    <mergeCell ref="F6:H6"/>
    <mergeCell ref="I6:I7"/>
    <mergeCell ref="J6:J7"/>
    <mergeCell ref="K6:K7"/>
    <mergeCell ref="B115:K115"/>
    <mergeCell ref="B116:B118"/>
    <mergeCell ref="C116:C118"/>
    <mergeCell ref="D116:D118"/>
    <mergeCell ref="E116:E118"/>
    <mergeCell ref="F116:K116"/>
    <mergeCell ref="F117:H117"/>
    <mergeCell ref="I117:I118"/>
    <mergeCell ref="J117:J118"/>
    <mergeCell ref="K117:K118"/>
  </mergeCells>
  <printOptions horizontalCentered="1" verticalCentered="1"/>
  <pageMargins left="0.7" right="0.7" top="0.75" bottom="0.75" header="0.3" footer="0.3"/>
  <pageSetup paperSize="8" scale="85" fitToWidth="0" fitToHeight="0" orientation="landscape" r:id="rId1"/>
  <headerFooter>
    <oddHeader>&amp;L&amp;G&amp;C&amp;20Project Terra BKK2 Shop Drawing Approval Submission List</oddHeader>
    <oddFooter>&amp;L&amp;D&amp;RPage &amp;P of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K135"/>
  <sheetViews>
    <sheetView zoomScale="70" zoomScaleNormal="70" zoomScaleSheetLayoutView="100" workbookViewId="0">
      <pane ySplit="3" topLeftCell="A21" activePane="bottomLeft" state="frozen"/>
      <selection pane="bottomLeft" activeCell="F77" sqref="F77"/>
      <selection activeCell="G17" sqref="G17"/>
    </sheetView>
  </sheetViews>
  <sheetFormatPr defaultColWidth="9.25" defaultRowHeight="13.9"/>
  <cols>
    <col min="1" max="1" width="4.25" style="1" customWidth="1"/>
    <col min="2" max="2" width="17" style="1" customWidth="1"/>
    <col min="3" max="3" width="32.625" style="1" bestFit="1" customWidth="1"/>
    <col min="4" max="4" width="71" style="10" customWidth="1"/>
    <col min="5" max="5" width="29.75" style="10" bestFit="1" customWidth="1"/>
    <col min="6" max="6" width="15.75" style="69" customWidth="1"/>
    <col min="7" max="7" width="12.75" style="11" customWidth="1"/>
    <col min="8" max="8" width="12.25" style="11" customWidth="1"/>
    <col min="9" max="9" width="5.125" style="1" customWidth="1"/>
    <col min="10" max="10" width="11.25" style="32" customWidth="1"/>
    <col min="11" max="11" width="8.75" style="32" customWidth="1"/>
    <col min="12" max="13" width="10.75" style="45" customWidth="1"/>
    <col min="14" max="14" width="36.75" style="32" customWidth="1"/>
    <col min="15" max="18" width="10.625" style="2" customWidth="1"/>
    <col min="19" max="19" width="10.625" style="1" customWidth="1"/>
    <col min="20" max="23" width="10.625" style="2" customWidth="1"/>
    <col min="24" max="24" width="10.625" style="1" customWidth="1"/>
    <col min="25" max="28" width="10.625" style="2" customWidth="1"/>
    <col min="29" max="54" width="10.625" style="1" customWidth="1"/>
    <col min="55" max="55" width="16.25" style="1" customWidth="1"/>
    <col min="56" max="16384" width="9.25" style="1"/>
  </cols>
  <sheetData>
    <row r="1" spans="1:55" ht="14.25">
      <c r="A1" s="33" t="s">
        <v>54</v>
      </c>
      <c r="B1" s="46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51" t="s">
        <v>55</v>
      </c>
      <c r="O1" s="54" t="s">
        <v>56</v>
      </c>
      <c r="P1" s="52" t="s">
        <v>49</v>
      </c>
      <c r="Q1" s="53" t="s">
        <v>50</v>
      </c>
      <c r="R1" s="4"/>
      <c r="S1" s="5"/>
      <c r="T1" s="4"/>
      <c r="U1" s="4"/>
      <c r="V1" s="4"/>
      <c r="W1" s="4"/>
      <c r="X1" s="5"/>
      <c r="Y1" s="4"/>
      <c r="Z1" s="4"/>
      <c r="AA1" s="4"/>
      <c r="AB1" s="4"/>
      <c r="AC1" s="5"/>
    </row>
    <row r="2" spans="1:55" s="3" customFormat="1" ht="55.15" customHeight="1">
      <c r="A2" s="6" t="s">
        <v>57</v>
      </c>
      <c r="B2" s="7" t="s">
        <v>1</v>
      </c>
      <c r="C2" s="7" t="s">
        <v>58</v>
      </c>
      <c r="D2" s="7" t="s">
        <v>59</v>
      </c>
      <c r="E2" s="7" t="s">
        <v>60</v>
      </c>
      <c r="F2" s="7" t="s">
        <v>42</v>
      </c>
      <c r="G2" s="8" t="s">
        <v>61</v>
      </c>
      <c r="H2" s="8" t="s">
        <v>62</v>
      </c>
      <c r="I2" s="7" t="s">
        <v>63</v>
      </c>
      <c r="J2" s="42" t="s">
        <v>64</v>
      </c>
      <c r="K2" s="42" t="s">
        <v>44</v>
      </c>
      <c r="L2" s="43" t="s">
        <v>65</v>
      </c>
      <c r="M2" s="652" t="s">
        <v>66</v>
      </c>
      <c r="N2" s="44" t="s">
        <v>67</v>
      </c>
      <c r="O2" s="889" t="s">
        <v>68</v>
      </c>
      <c r="P2" s="886"/>
      <c r="Q2" s="886"/>
      <c r="R2" s="886"/>
      <c r="S2" s="887"/>
      <c r="T2" s="882" t="s">
        <v>69</v>
      </c>
      <c r="U2" s="883"/>
      <c r="V2" s="883"/>
      <c r="W2" s="883"/>
      <c r="X2" s="888"/>
      <c r="Y2" s="885" t="s">
        <v>70</v>
      </c>
      <c r="Z2" s="886"/>
      <c r="AA2" s="886"/>
      <c r="AB2" s="886"/>
      <c r="AC2" s="887"/>
      <c r="AD2" s="882" t="s">
        <v>71</v>
      </c>
      <c r="AE2" s="883"/>
      <c r="AF2" s="883"/>
      <c r="AG2" s="883"/>
      <c r="AH2" s="888"/>
      <c r="AI2" s="885" t="s">
        <v>72</v>
      </c>
      <c r="AJ2" s="886"/>
      <c r="AK2" s="886"/>
      <c r="AL2" s="886"/>
      <c r="AM2" s="887"/>
      <c r="AN2" s="882" t="s">
        <v>73</v>
      </c>
      <c r="AO2" s="883"/>
      <c r="AP2" s="883"/>
      <c r="AQ2" s="883"/>
      <c r="AR2" s="888"/>
      <c r="AS2" s="885" t="s">
        <v>74</v>
      </c>
      <c r="AT2" s="886"/>
      <c r="AU2" s="886"/>
      <c r="AV2" s="886"/>
      <c r="AW2" s="887"/>
      <c r="AX2" s="882" t="s">
        <v>75</v>
      </c>
      <c r="AY2" s="883"/>
      <c r="AZ2" s="883"/>
      <c r="BA2" s="883"/>
      <c r="BB2" s="884"/>
      <c r="BC2" s="754" t="s">
        <v>76</v>
      </c>
    </row>
    <row r="3" spans="1:55" ht="13.9" customHeight="1">
      <c r="A3" s="74"/>
      <c r="B3" s="76"/>
      <c r="C3" s="76"/>
      <c r="D3" s="75"/>
      <c r="E3" s="75"/>
      <c r="F3" s="75"/>
      <c r="G3" s="77"/>
      <c r="H3" s="77"/>
      <c r="I3" s="75"/>
      <c r="J3" s="109"/>
      <c r="K3" s="109"/>
      <c r="L3" s="78"/>
      <c r="M3" s="653"/>
      <c r="N3" s="79"/>
      <c r="O3" s="81" t="s">
        <v>17</v>
      </c>
      <c r="P3" s="82" t="s">
        <v>49</v>
      </c>
      <c r="Q3" s="83" t="s">
        <v>50</v>
      </c>
      <c r="R3" s="84" t="s">
        <v>51</v>
      </c>
      <c r="S3" s="80" t="s">
        <v>44</v>
      </c>
      <c r="T3" s="758" t="s">
        <v>17</v>
      </c>
      <c r="U3" s="759" t="s">
        <v>49</v>
      </c>
      <c r="V3" s="760" t="s">
        <v>50</v>
      </c>
      <c r="W3" s="761" t="s">
        <v>51</v>
      </c>
      <c r="X3" s="762" t="s">
        <v>44</v>
      </c>
      <c r="Y3" s="81" t="s">
        <v>17</v>
      </c>
      <c r="Z3" s="82" t="s">
        <v>49</v>
      </c>
      <c r="AA3" s="83" t="s">
        <v>50</v>
      </c>
      <c r="AB3" s="84" t="s">
        <v>51</v>
      </c>
      <c r="AC3" s="80" t="s">
        <v>44</v>
      </c>
      <c r="AD3" s="758" t="s">
        <v>17</v>
      </c>
      <c r="AE3" s="759" t="s">
        <v>49</v>
      </c>
      <c r="AF3" s="760" t="s">
        <v>50</v>
      </c>
      <c r="AG3" s="761" t="s">
        <v>51</v>
      </c>
      <c r="AH3" s="762" t="s">
        <v>44</v>
      </c>
      <c r="AI3" s="81" t="s">
        <v>17</v>
      </c>
      <c r="AJ3" s="82" t="s">
        <v>49</v>
      </c>
      <c r="AK3" s="83" t="s">
        <v>50</v>
      </c>
      <c r="AL3" s="84" t="s">
        <v>51</v>
      </c>
      <c r="AM3" s="80" t="s">
        <v>44</v>
      </c>
      <c r="AN3" s="758" t="s">
        <v>17</v>
      </c>
      <c r="AO3" s="759" t="s">
        <v>49</v>
      </c>
      <c r="AP3" s="760" t="s">
        <v>50</v>
      </c>
      <c r="AQ3" s="761" t="s">
        <v>51</v>
      </c>
      <c r="AR3" s="762" t="s">
        <v>44</v>
      </c>
      <c r="AS3" s="81" t="s">
        <v>17</v>
      </c>
      <c r="AT3" s="82" t="s">
        <v>49</v>
      </c>
      <c r="AU3" s="83" t="s">
        <v>50</v>
      </c>
      <c r="AV3" s="84" t="s">
        <v>51</v>
      </c>
      <c r="AW3" s="80" t="s">
        <v>44</v>
      </c>
      <c r="AX3" s="758" t="s">
        <v>17</v>
      </c>
      <c r="AY3" s="759" t="s">
        <v>49</v>
      </c>
      <c r="AZ3" s="760" t="s">
        <v>50</v>
      </c>
      <c r="BA3" s="761" t="s">
        <v>51</v>
      </c>
      <c r="BB3" s="762" t="s">
        <v>44</v>
      </c>
      <c r="BC3" s="81"/>
    </row>
    <row r="4" spans="1:55" s="3" customFormat="1" ht="25.5" customHeight="1">
      <c r="A4" s="417">
        <v>1</v>
      </c>
      <c r="B4" s="418" t="s">
        <v>19</v>
      </c>
      <c r="C4" s="419" t="s">
        <v>77</v>
      </c>
      <c r="D4" s="420" t="s">
        <v>78</v>
      </c>
      <c r="E4" s="443" t="s">
        <v>79</v>
      </c>
      <c r="F4" s="97">
        <v>46034</v>
      </c>
      <c r="G4" s="97">
        <v>46034</v>
      </c>
      <c r="H4" s="214">
        <f t="shared" ref="H4:H10" si="0">G4+7</f>
        <v>46041</v>
      </c>
      <c r="I4" s="311">
        <v>0</v>
      </c>
      <c r="J4" s="103" t="s">
        <v>80</v>
      </c>
      <c r="K4" s="95" t="s">
        <v>47</v>
      </c>
      <c r="L4" s="101">
        <v>46050</v>
      </c>
      <c r="M4" s="101" t="s">
        <v>81</v>
      </c>
      <c r="N4" s="318"/>
      <c r="O4" s="214">
        <v>46034</v>
      </c>
      <c r="P4" s="214">
        <v>46043</v>
      </c>
      <c r="Q4" s="214">
        <v>46045</v>
      </c>
      <c r="R4" s="98">
        <v>46050</v>
      </c>
      <c r="S4" s="103" t="s">
        <v>47</v>
      </c>
      <c r="T4" s="96"/>
      <c r="U4" s="96"/>
      <c r="V4" s="97"/>
      <c r="W4" s="96"/>
      <c r="X4" s="104"/>
      <c r="Y4" s="96"/>
      <c r="Z4" s="96"/>
      <c r="AA4" s="96"/>
      <c r="AB4" s="96"/>
      <c r="AC4" s="104"/>
      <c r="AD4" s="96"/>
      <c r="AE4" s="96"/>
      <c r="AF4" s="96"/>
      <c r="AG4" s="96"/>
      <c r="AH4" s="104"/>
      <c r="AI4" s="96"/>
      <c r="AJ4" s="96"/>
      <c r="AK4" s="96"/>
      <c r="AL4" s="96"/>
      <c r="AM4" s="104"/>
      <c r="AN4" s="96"/>
      <c r="AO4" s="96"/>
      <c r="AP4" s="96"/>
      <c r="AQ4" s="96"/>
      <c r="AR4" s="104"/>
      <c r="AS4" s="96"/>
      <c r="AT4" s="96"/>
      <c r="AU4" s="96"/>
      <c r="AV4" s="96"/>
      <c r="AW4" s="104"/>
      <c r="AX4" s="96"/>
      <c r="AY4" s="96"/>
      <c r="AZ4" s="96"/>
      <c r="BA4" s="96"/>
      <c r="BB4" s="290"/>
      <c r="BC4" s="96" t="s">
        <v>82</v>
      </c>
    </row>
    <row r="5" spans="1:55" s="47" customFormat="1" ht="24.75" customHeight="1">
      <c r="A5" s="417">
        <v>2</v>
      </c>
      <c r="B5" s="418" t="s">
        <v>19</v>
      </c>
      <c r="C5" s="419" t="s">
        <v>83</v>
      </c>
      <c r="D5" s="420" t="s">
        <v>84</v>
      </c>
      <c r="E5" s="241" t="s">
        <v>85</v>
      </c>
      <c r="F5" s="231">
        <f>F6+7</f>
        <v>46041</v>
      </c>
      <c r="G5" s="97">
        <v>46041</v>
      </c>
      <c r="H5" s="214">
        <f t="shared" si="0"/>
        <v>46048</v>
      </c>
      <c r="I5" s="311">
        <v>0</v>
      </c>
      <c r="J5" s="103" t="s">
        <v>56</v>
      </c>
      <c r="K5" s="753" t="s">
        <v>48</v>
      </c>
      <c r="L5" s="101">
        <v>46050</v>
      </c>
      <c r="M5" s="101" t="s">
        <v>81</v>
      </c>
      <c r="N5" s="430"/>
      <c r="O5" s="97">
        <v>46041</v>
      </c>
      <c r="P5" s="214">
        <v>46043</v>
      </c>
      <c r="Q5" s="214">
        <v>46045</v>
      </c>
      <c r="R5" s="112">
        <v>46050</v>
      </c>
      <c r="S5" s="85" t="s">
        <v>48</v>
      </c>
      <c r="T5" s="92"/>
      <c r="U5" s="92"/>
      <c r="V5" s="92"/>
      <c r="W5" s="92"/>
      <c r="X5" s="103"/>
      <c r="Y5" s="92"/>
      <c r="Z5" s="92"/>
      <c r="AA5" s="92"/>
      <c r="AB5" s="92"/>
      <c r="AC5" s="103"/>
      <c r="AD5" s="92"/>
      <c r="AE5" s="92"/>
      <c r="AF5" s="92"/>
      <c r="AG5" s="92"/>
      <c r="AH5" s="103"/>
      <c r="AI5" s="92"/>
      <c r="AJ5" s="92"/>
      <c r="AK5" s="92"/>
      <c r="AL5" s="92"/>
      <c r="AM5" s="103"/>
      <c r="AN5" s="92"/>
      <c r="AO5" s="92"/>
      <c r="AP5" s="92"/>
      <c r="AQ5" s="92"/>
      <c r="AR5" s="103"/>
      <c r="AS5" s="92"/>
      <c r="AT5" s="92"/>
      <c r="AU5" s="92"/>
      <c r="AV5" s="92"/>
      <c r="AW5" s="103"/>
      <c r="AX5" s="92"/>
      <c r="AY5" s="92"/>
      <c r="AZ5" s="92"/>
      <c r="BA5" s="92"/>
      <c r="BB5" s="291"/>
      <c r="BC5" s="96" t="s">
        <v>82</v>
      </c>
    </row>
    <row r="6" spans="1:55" s="3" customFormat="1" ht="24.75" customHeight="1">
      <c r="A6" s="417">
        <v>3</v>
      </c>
      <c r="B6" s="418" t="s">
        <v>19</v>
      </c>
      <c r="C6" s="419" t="s">
        <v>86</v>
      </c>
      <c r="D6" s="420" t="s">
        <v>87</v>
      </c>
      <c r="E6" s="241" t="s">
        <v>88</v>
      </c>
      <c r="F6" s="234">
        <v>46034</v>
      </c>
      <c r="G6" s="97">
        <v>46039</v>
      </c>
      <c r="H6" s="214">
        <f t="shared" si="0"/>
        <v>46046</v>
      </c>
      <c r="I6" s="311">
        <v>0</v>
      </c>
      <c r="J6" s="103" t="s">
        <v>50</v>
      </c>
      <c r="K6" s="95" t="s">
        <v>89</v>
      </c>
      <c r="L6" s="101"/>
      <c r="M6" s="101" t="s">
        <v>81</v>
      </c>
      <c r="N6" s="445" t="s">
        <v>90</v>
      </c>
      <c r="O6" s="97">
        <v>46039</v>
      </c>
      <c r="P6" s="214">
        <v>46043</v>
      </c>
      <c r="Q6" s="97"/>
      <c r="R6" s="105"/>
      <c r="S6" s="103"/>
      <c r="T6" s="96"/>
      <c r="U6" s="96"/>
      <c r="V6" s="96"/>
      <c r="W6" s="96"/>
      <c r="X6" s="104"/>
      <c r="Y6" s="96"/>
      <c r="Z6" s="96"/>
      <c r="AA6" s="96"/>
      <c r="AB6" s="96"/>
      <c r="AC6" s="104"/>
      <c r="AD6" s="96"/>
      <c r="AE6" s="96"/>
      <c r="AF6" s="96"/>
      <c r="AG6" s="96"/>
      <c r="AH6" s="104"/>
      <c r="AI6" s="96"/>
      <c r="AJ6" s="96"/>
      <c r="AK6" s="96"/>
      <c r="AL6" s="96"/>
      <c r="AM6" s="104"/>
      <c r="AN6" s="96"/>
      <c r="AO6" s="96"/>
      <c r="AP6" s="96"/>
      <c r="AQ6" s="96"/>
      <c r="AR6" s="104"/>
      <c r="AS6" s="96"/>
      <c r="AT6" s="96"/>
      <c r="AU6" s="96"/>
      <c r="AV6" s="96"/>
      <c r="AW6" s="104"/>
      <c r="AX6" s="96"/>
      <c r="AY6" s="96"/>
      <c r="AZ6" s="96"/>
      <c r="BA6" s="96"/>
      <c r="BB6" s="290"/>
      <c r="BC6" s="96" t="s">
        <v>82</v>
      </c>
    </row>
    <row r="7" spans="1:55" s="3" customFormat="1" ht="24.75" customHeight="1">
      <c r="A7" s="417">
        <v>4</v>
      </c>
      <c r="B7" s="418" t="s">
        <v>19</v>
      </c>
      <c r="C7" s="419" t="s">
        <v>91</v>
      </c>
      <c r="D7" s="420" t="s">
        <v>92</v>
      </c>
      <c r="E7" s="241" t="s">
        <v>93</v>
      </c>
      <c r="F7" s="234">
        <f>F5</f>
        <v>46041</v>
      </c>
      <c r="G7" s="97">
        <v>46042</v>
      </c>
      <c r="H7" s="214">
        <f t="shared" si="0"/>
        <v>46049</v>
      </c>
      <c r="I7" s="311">
        <v>0</v>
      </c>
      <c r="J7" s="103" t="s">
        <v>80</v>
      </c>
      <c r="K7" s="95" t="s">
        <v>47</v>
      </c>
      <c r="L7" s="101">
        <v>46055</v>
      </c>
      <c r="M7" s="101" t="s">
        <v>81</v>
      </c>
      <c r="N7" s="430"/>
      <c r="O7" s="97">
        <v>46042</v>
      </c>
      <c r="P7" s="91">
        <v>46044</v>
      </c>
      <c r="Q7" s="91">
        <v>46050</v>
      </c>
      <c r="R7" s="91">
        <v>46055</v>
      </c>
      <c r="S7" s="103" t="s">
        <v>47</v>
      </c>
      <c r="T7" s="96"/>
      <c r="U7" s="96"/>
      <c r="V7" s="96"/>
      <c r="W7" s="96"/>
      <c r="X7" s="104"/>
      <c r="Y7" s="96"/>
      <c r="Z7" s="96"/>
      <c r="AA7" s="96"/>
      <c r="AB7" s="96"/>
      <c r="AC7" s="104"/>
      <c r="AD7" s="96"/>
      <c r="AE7" s="96"/>
      <c r="AF7" s="96"/>
      <c r="AG7" s="96"/>
      <c r="AH7" s="104"/>
      <c r="AI7" s="96"/>
      <c r="AJ7" s="96"/>
      <c r="AK7" s="96"/>
      <c r="AL7" s="96"/>
      <c r="AM7" s="104"/>
      <c r="AN7" s="96"/>
      <c r="AO7" s="96"/>
      <c r="AP7" s="96"/>
      <c r="AQ7" s="96"/>
      <c r="AR7" s="104"/>
      <c r="AS7" s="96"/>
      <c r="AT7" s="96"/>
      <c r="AU7" s="96"/>
      <c r="AV7" s="96"/>
      <c r="AW7" s="104"/>
      <c r="AX7" s="96"/>
      <c r="AY7" s="96"/>
      <c r="AZ7" s="96"/>
      <c r="BA7" s="96"/>
      <c r="BB7" s="290"/>
      <c r="BC7" s="96" t="s">
        <v>82</v>
      </c>
    </row>
    <row r="8" spans="1:55" s="3" customFormat="1" ht="24.75" customHeight="1">
      <c r="A8" s="417">
        <v>5</v>
      </c>
      <c r="B8" s="418" t="s">
        <v>19</v>
      </c>
      <c r="C8" s="419" t="s">
        <v>94</v>
      </c>
      <c r="D8" s="420" t="s">
        <v>95</v>
      </c>
      <c r="E8" s="241" t="s">
        <v>96</v>
      </c>
      <c r="F8" s="233">
        <f>F7+7</f>
        <v>46048</v>
      </c>
      <c r="G8" s="97">
        <v>46049</v>
      </c>
      <c r="H8" s="214">
        <f t="shared" si="0"/>
        <v>46056</v>
      </c>
      <c r="I8" s="311">
        <v>0</v>
      </c>
      <c r="J8" s="103" t="s">
        <v>80</v>
      </c>
      <c r="K8" s="95" t="s">
        <v>47</v>
      </c>
      <c r="L8" s="101">
        <v>46059</v>
      </c>
      <c r="M8" s="101" t="s">
        <v>81</v>
      </c>
      <c r="N8" s="102"/>
      <c r="O8" s="97">
        <v>46049</v>
      </c>
      <c r="P8" s="97">
        <v>46050</v>
      </c>
      <c r="Q8" s="97">
        <v>46052</v>
      </c>
      <c r="R8" s="110">
        <v>46059</v>
      </c>
      <c r="S8" s="103" t="s">
        <v>47</v>
      </c>
      <c r="T8" s="96"/>
      <c r="U8" s="96"/>
      <c r="V8" s="96"/>
      <c r="W8" s="96"/>
      <c r="X8" s="104"/>
      <c r="Y8" s="96"/>
      <c r="Z8" s="96"/>
      <c r="AA8" s="96"/>
      <c r="AB8" s="113"/>
      <c r="AC8" s="104"/>
      <c r="AD8" s="96"/>
      <c r="AE8" s="96"/>
      <c r="AF8" s="96"/>
      <c r="AG8" s="113"/>
      <c r="AH8" s="104"/>
      <c r="AI8" s="96"/>
      <c r="AJ8" s="96"/>
      <c r="AK8" s="96"/>
      <c r="AL8" s="113"/>
      <c r="AM8" s="104"/>
      <c r="AN8" s="96"/>
      <c r="AO8" s="96"/>
      <c r="AP8" s="96"/>
      <c r="AQ8" s="113"/>
      <c r="AR8" s="104"/>
      <c r="AS8" s="96"/>
      <c r="AT8" s="96"/>
      <c r="AU8" s="96"/>
      <c r="AV8" s="113"/>
      <c r="AW8" s="104"/>
      <c r="AX8" s="96"/>
      <c r="AY8" s="96"/>
      <c r="AZ8" s="96"/>
      <c r="BA8" s="113"/>
      <c r="BB8" s="290"/>
      <c r="BC8" s="96" t="s">
        <v>82</v>
      </c>
    </row>
    <row r="9" spans="1:55" s="126" customFormat="1" ht="24.75" customHeight="1">
      <c r="A9" s="417">
        <v>6</v>
      </c>
      <c r="B9" s="418" t="s">
        <v>19</v>
      </c>
      <c r="C9" s="419" t="s">
        <v>97</v>
      </c>
      <c r="D9" s="421" t="s">
        <v>98</v>
      </c>
      <c r="E9" s="241" t="s">
        <v>99</v>
      </c>
      <c r="F9" s="233">
        <f>F8</f>
        <v>46048</v>
      </c>
      <c r="G9" s="97">
        <v>46050</v>
      </c>
      <c r="H9" s="214">
        <f t="shared" si="0"/>
        <v>46057</v>
      </c>
      <c r="I9" s="311">
        <v>0</v>
      </c>
      <c r="J9" s="103" t="s">
        <v>51</v>
      </c>
      <c r="K9" s="95" t="s">
        <v>89</v>
      </c>
      <c r="L9" s="101"/>
      <c r="M9" s="101" t="s">
        <v>81</v>
      </c>
      <c r="N9" s="431"/>
      <c r="O9" s="97">
        <v>46050</v>
      </c>
      <c r="P9" s="101">
        <v>46053</v>
      </c>
      <c r="Q9" s="101">
        <v>46057</v>
      </c>
      <c r="R9" s="110"/>
      <c r="S9" s="114"/>
      <c r="T9" s="113"/>
      <c r="U9" s="113"/>
      <c r="V9" s="113"/>
      <c r="W9" s="113"/>
      <c r="X9" s="95"/>
      <c r="Y9" s="92"/>
      <c r="Z9" s="92"/>
      <c r="AA9" s="113"/>
      <c r="AB9" s="113"/>
      <c r="AC9" s="95"/>
      <c r="AD9" s="92"/>
      <c r="AE9" s="92"/>
      <c r="AF9" s="113"/>
      <c r="AG9" s="113"/>
      <c r="AH9" s="95"/>
      <c r="AI9" s="92"/>
      <c r="AJ9" s="92"/>
      <c r="AK9" s="113"/>
      <c r="AL9" s="113"/>
      <c r="AM9" s="95"/>
      <c r="AN9" s="92"/>
      <c r="AO9" s="92"/>
      <c r="AP9" s="113"/>
      <c r="AQ9" s="113"/>
      <c r="AR9" s="95"/>
      <c r="AS9" s="92"/>
      <c r="AT9" s="92"/>
      <c r="AU9" s="113"/>
      <c r="AV9" s="113"/>
      <c r="AW9" s="95"/>
      <c r="AX9" s="92"/>
      <c r="AY9" s="92"/>
      <c r="AZ9" s="113"/>
      <c r="BA9" s="113"/>
      <c r="BB9" s="292"/>
      <c r="BC9" s="96" t="s">
        <v>82</v>
      </c>
    </row>
    <row r="10" spans="1:55" s="126" customFormat="1" ht="24.75" customHeight="1">
      <c r="A10" s="417">
        <v>7</v>
      </c>
      <c r="B10" s="418" t="s">
        <v>19</v>
      </c>
      <c r="C10" s="419" t="s">
        <v>100</v>
      </c>
      <c r="D10" s="421" t="s">
        <v>101</v>
      </c>
      <c r="E10" s="241" t="s">
        <v>102</v>
      </c>
      <c r="F10" s="239">
        <f>F5</f>
        <v>46041</v>
      </c>
      <c r="G10" s="97">
        <v>46044</v>
      </c>
      <c r="H10" s="214">
        <f t="shared" si="0"/>
        <v>46051</v>
      </c>
      <c r="I10" s="311">
        <v>0</v>
      </c>
      <c r="J10" s="103" t="s">
        <v>80</v>
      </c>
      <c r="K10" s="95" t="s">
        <v>47</v>
      </c>
      <c r="L10" s="101">
        <v>46059</v>
      </c>
      <c r="M10" s="101" t="s">
        <v>81</v>
      </c>
      <c r="N10" s="430"/>
      <c r="O10" s="101">
        <v>46044</v>
      </c>
      <c r="P10" s="101">
        <v>46049</v>
      </c>
      <c r="Q10" s="101">
        <v>46052</v>
      </c>
      <c r="R10" s="110">
        <v>46059</v>
      </c>
      <c r="S10" s="103" t="s">
        <v>47</v>
      </c>
      <c r="T10" s="113"/>
      <c r="U10" s="113"/>
      <c r="V10" s="113"/>
      <c r="W10" s="113"/>
      <c r="X10" s="95"/>
      <c r="Y10" s="113"/>
      <c r="Z10" s="113"/>
      <c r="AA10" s="113"/>
      <c r="AB10" s="113"/>
      <c r="AC10" s="95"/>
      <c r="AD10" s="113"/>
      <c r="AE10" s="113"/>
      <c r="AF10" s="113"/>
      <c r="AG10" s="113"/>
      <c r="AH10" s="95"/>
      <c r="AI10" s="113"/>
      <c r="AJ10" s="113"/>
      <c r="AK10" s="113"/>
      <c r="AL10" s="113"/>
      <c r="AM10" s="95"/>
      <c r="AN10" s="113"/>
      <c r="AO10" s="113"/>
      <c r="AP10" s="113"/>
      <c r="AQ10" s="113"/>
      <c r="AR10" s="95"/>
      <c r="AS10" s="113"/>
      <c r="AT10" s="113"/>
      <c r="AU10" s="113"/>
      <c r="AV10" s="113"/>
      <c r="AW10" s="95"/>
      <c r="AX10" s="113"/>
      <c r="AY10" s="113"/>
      <c r="AZ10" s="113"/>
      <c r="BA10" s="113"/>
      <c r="BB10" s="292"/>
      <c r="BC10" s="96" t="s">
        <v>82</v>
      </c>
    </row>
    <row r="11" spans="1:55" s="126" customFormat="1" ht="24.75" customHeight="1">
      <c r="A11" s="417">
        <v>8</v>
      </c>
      <c r="B11" s="418" t="s">
        <v>19</v>
      </c>
      <c r="C11" s="419" t="s">
        <v>103</v>
      </c>
      <c r="D11" s="421" t="s">
        <v>104</v>
      </c>
      <c r="E11" s="241" t="s">
        <v>105</v>
      </c>
      <c r="F11" s="630">
        <f>F5</f>
        <v>46041</v>
      </c>
      <c r="G11" s="97">
        <v>46062</v>
      </c>
      <c r="H11" s="214">
        <f t="shared" ref="H11" si="1">G11+7</f>
        <v>46069</v>
      </c>
      <c r="I11" s="311">
        <v>0</v>
      </c>
      <c r="J11" s="103" t="s">
        <v>50</v>
      </c>
      <c r="K11" s="95" t="s">
        <v>89</v>
      </c>
      <c r="L11" s="101"/>
      <c r="M11" s="613" t="s">
        <v>81</v>
      </c>
      <c r="N11" s="431"/>
      <c r="O11" s="101">
        <v>46062</v>
      </c>
      <c r="P11" s="101">
        <v>46064</v>
      </c>
      <c r="Q11" s="101"/>
      <c r="R11" s="101"/>
      <c r="S11" s="95"/>
      <c r="T11" s="113"/>
      <c r="U11" s="113"/>
      <c r="V11" s="113"/>
      <c r="W11" s="113"/>
      <c r="X11" s="95"/>
      <c r="Y11" s="113"/>
      <c r="Z11" s="113"/>
      <c r="AA11" s="113"/>
      <c r="AB11" s="113"/>
      <c r="AC11" s="95"/>
      <c r="AD11" s="113"/>
      <c r="AE11" s="113"/>
      <c r="AF11" s="113"/>
      <c r="AG11" s="113"/>
      <c r="AH11" s="95"/>
      <c r="AI11" s="113"/>
      <c r="AJ11" s="113"/>
      <c r="AK11" s="113"/>
      <c r="AL11" s="113"/>
      <c r="AM11" s="95"/>
      <c r="AN11" s="113"/>
      <c r="AO11" s="113"/>
      <c r="AP11" s="113"/>
      <c r="AQ11" s="113"/>
      <c r="AR11" s="95"/>
      <c r="AS11" s="113"/>
      <c r="AT11" s="113"/>
      <c r="AU11" s="113"/>
      <c r="AV11" s="113"/>
      <c r="AW11" s="95"/>
      <c r="AX11" s="113"/>
      <c r="AY11" s="113"/>
      <c r="AZ11" s="113"/>
      <c r="BA11" s="113"/>
      <c r="BB11" s="292"/>
      <c r="BC11" s="96" t="s">
        <v>82</v>
      </c>
    </row>
    <row r="12" spans="1:55" s="3" customFormat="1" ht="24.75" customHeight="1">
      <c r="A12" s="417">
        <v>9</v>
      </c>
      <c r="B12" s="418" t="s">
        <v>19</v>
      </c>
      <c r="C12" s="419" t="s">
        <v>106</v>
      </c>
      <c r="D12" s="420" t="s">
        <v>107</v>
      </c>
      <c r="E12" s="241" t="s">
        <v>108</v>
      </c>
      <c r="F12" s="233">
        <f>F13+7</f>
        <v>46041</v>
      </c>
      <c r="G12" s="101">
        <v>46055</v>
      </c>
      <c r="H12" s="101">
        <f>G12+7</f>
        <v>46062</v>
      </c>
      <c r="I12" s="111">
        <v>0</v>
      </c>
      <c r="J12" s="103" t="s">
        <v>80</v>
      </c>
      <c r="K12" s="95" t="s">
        <v>47</v>
      </c>
      <c r="L12" s="113">
        <v>46059</v>
      </c>
      <c r="M12" s="613" t="s">
        <v>81</v>
      </c>
      <c r="N12" s="431"/>
      <c r="O12" s="101">
        <v>46055</v>
      </c>
      <c r="P12" s="91">
        <v>46057</v>
      </c>
      <c r="Q12" s="91">
        <v>46059</v>
      </c>
      <c r="R12" s="91">
        <v>46059</v>
      </c>
      <c r="S12" s="103" t="s">
        <v>47</v>
      </c>
      <c r="T12" s="96"/>
      <c r="U12" s="96"/>
      <c r="V12" s="96"/>
      <c r="W12" s="113"/>
      <c r="X12" s="104"/>
      <c r="Y12" s="96"/>
      <c r="Z12" s="96"/>
      <c r="AA12" s="96"/>
      <c r="AB12" s="96"/>
      <c r="AC12" s="104"/>
      <c r="AD12" s="96"/>
      <c r="AE12" s="96"/>
      <c r="AF12" s="96"/>
      <c r="AG12" s="96"/>
      <c r="AH12" s="104"/>
      <c r="AI12" s="96"/>
      <c r="AJ12" s="96"/>
      <c r="AK12" s="96"/>
      <c r="AL12" s="96"/>
      <c r="AM12" s="104"/>
      <c r="AN12" s="96"/>
      <c r="AO12" s="96"/>
      <c r="AP12" s="96"/>
      <c r="AQ12" s="96"/>
      <c r="AR12" s="104"/>
      <c r="AS12" s="96"/>
      <c r="AT12" s="96"/>
      <c r="AU12" s="96"/>
      <c r="AV12" s="96"/>
      <c r="AW12" s="104"/>
      <c r="AX12" s="96"/>
      <c r="AY12" s="96"/>
      <c r="AZ12" s="96"/>
      <c r="BA12" s="96"/>
      <c r="BB12" s="290"/>
      <c r="BC12" s="96" t="s">
        <v>82</v>
      </c>
    </row>
    <row r="13" spans="1:55" s="3" customFormat="1" ht="24.75" customHeight="1">
      <c r="A13" s="417">
        <v>10</v>
      </c>
      <c r="B13" s="418" t="s">
        <v>19</v>
      </c>
      <c r="C13" s="419" t="s">
        <v>109</v>
      </c>
      <c r="D13" s="420" t="s">
        <v>110</v>
      </c>
      <c r="E13" s="241" t="s">
        <v>111</v>
      </c>
      <c r="F13" s="234">
        <f>F6</f>
        <v>46034</v>
      </c>
      <c r="G13" s="97">
        <v>46045</v>
      </c>
      <c r="H13" s="214">
        <f>G13+7</f>
        <v>46052</v>
      </c>
      <c r="I13" s="311">
        <v>0</v>
      </c>
      <c r="J13" s="103" t="s">
        <v>80</v>
      </c>
      <c r="K13" s="95" t="s">
        <v>47</v>
      </c>
      <c r="L13" s="101">
        <v>46059</v>
      </c>
      <c r="M13" s="101" t="s">
        <v>81</v>
      </c>
      <c r="N13" s="465"/>
      <c r="O13" s="101">
        <v>46045</v>
      </c>
      <c r="P13" s="91">
        <v>46049</v>
      </c>
      <c r="Q13" s="91">
        <v>46052</v>
      </c>
      <c r="R13" s="110">
        <v>46059</v>
      </c>
      <c r="S13" s="103" t="s">
        <v>47</v>
      </c>
      <c r="T13" s="96"/>
      <c r="U13" s="96"/>
      <c r="V13" s="96"/>
      <c r="W13" s="96"/>
      <c r="X13" s="104"/>
      <c r="Y13" s="96"/>
      <c r="Z13" s="96"/>
      <c r="AA13" s="96"/>
      <c r="AB13" s="96"/>
      <c r="AC13" s="104"/>
      <c r="AD13" s="96"/>
      <c r="AE13" s="96"/>
      <c r="AF13" s="96"/>
      <c r="AG13" s="96"/>
      <c r="AH13" s="104"/>
      <c r="AI13" s="96"/>
      <c r="AJ13" s="96"/>
      <c r="AK13" s="96"/>
      <c r="AL13" s="96"/>
      <c r="AM13" s="104"/>
      <c r="AN13" s="96"/>
      <c r="AO13" s="96"/>
      <c r="AP13" s="96"/>
      <c r="AQ13" s="96"/>
      <c r="AR13" s="104"/>
      <c r="AS13" s="96"/>
      <c r="AT13" s="96"/>
      <c r="AU13" s="96"/>
      <c r="AV13" s="96"/>
      <c r="AW13" s="104"/>
      <c r="AX13" s="96"/>
      <c r="AY13" s="96"/>
      <c r="AZ13" s="96"/>
      <c r="BA13" s="96"/>
      <c r="BB13" s="290"/>
      <c r="BC13" s="96" t="s">
        <v>82</v>
      </c>
    </row>
    <row r="14" spans="1:55" s="3" customFormat="1" ht="24.75" customHeight="1">
      <c r="A14" s="417">
        <v>11</v>
      </c>
      <c r="B14" s="418" t="s">
        <v>19</v>
      </c>
      <c r="C14" s="419" t="s">
        <v>112</v>
      </c>
      <c r="D14" s="420" t="s">
        <v>113</v>
      </c>
      <c r="E14" s="241" t="s">
        <v>114</v>
      </c>
      <c r="F14" s="276">
        <f>F25</f>
        <v>46072</v>
      </c>
      <c r="G14" s="101">
        <v>46057</v>
      </c>
      <c r="H14" s="101">
        <f>G14+7</f>
        <v>46064</v>
      </c>
      <c r="I14" s="111">
        <v>0</v>
      </c>
      <c r="J14" s="103" t="s">
        <v>51</v>
      </c>
      <c r="K14" s="95" t="s">
        <v>89</v>
      </c>
      <c r="L14" s="101"/>
      <c r="M14" s="101" t="s">
        <v>81</v>
      </c>
      <c r="N14" s="102"/>
      <c r="O14" s="101">
        <v>46057</v>
      </c>
      <c r="P14" s="91">
        <v>46059</v>
      </c>
      <c r="Q14" s="91">
        <v>46062</v>
      </c>
      <c r="R14" s="91"/>
      <c r="S14" s="103"/>
      <c r="T14" s="96"/>
      <c r="U14" s="96"/>
      <c r="V14" s="96"/>
      <c r="W14" s="96"/>
      <c r="X14" s="104"/>
      <c r="Y14" s="96"/>
      <c r="Z14" s="96"/>
      <c r="AA14" s="96"/>
      <c r="AB14" s="96"/>
      <c r="AC14" s="104"/>
      <c r="AD14" s="96"/>
      <c r="AE14" s="96"/>
      <c r="AF14" s="96"/>
      <c r="AG14" s="96"/>
      <c r="AH14" s="104"/>
      <c r="AI14" s="96"/>
      <c r="AJ14" s="96"/>
      <c r="AK14" s="96"/>
      <c r="AL14" s="96"/>
      <c r="AM14" s="104"/>
      <c r="AN14" s="96"/>
      <c r="AO14" s="96"/>
      <c r="AP14" s="96"/>
      <c r="AQ14" s="96"/>
      <c r="AR14" s="104"/>
      <c r="AS14" s="96"/>
      <c r="AT14" s="96"/>
      <c r="AU14" s="96"/>
      <c r="AV14" s="96"/>
      <c r="AW14" s="104"/>
      <c r="AX14" s="96"/>
      <c r="AY14" s="96"/>
      <c r="AZ14" s="96"/>
      <c r="BA14" s="96"/>
      <c r="BB14" s="290"/>
      <c r="BC14" s="96" t="s">
        <v>82</v>
      </c>
    </row>
    <row r="15" spans="1:55" s="3" customFormat="1" ht="24.75" customHeight="1">
      <c r="A15" s="417">
        <v>12</v>
      </c>
      <c r="B15" s="418" t="s">
        <v>19</v>
      </c>
      <c r="C15" s="419" t="s">
        <v>115</v>
      </c>
      <c r="D15" s="422" t="s">
        <v>116</v>
      </c>
      <c r="E15" s="241" t="s">
        <v>117</v>
      </c>
      <c r="F15" s="780">
        <v>46044</v>
      </c>
      <c r="G15" s="101">
        <v>46056</v>
      </c>
      <c r="H15" s="101">
        <f>G15+7</f>
        <v>46063</v>
      </c>
      <c r="I15" s="111">
        <v>0</v>
      </c>
      <c r="J15" s="103" t="s">
        <v>51</v>
      </c>
      <c r="K15" s="95" t="s">
        <v>89</v>
      </c>
      <c r="L15" s="113"/>
      <c r="M15" s="613" t="s">
        <v>81</v>
      </c>
      <c r="N15" s="431"/>
      <c r="O15" s="101">
        <v>46056</v>
      </c>
      <c r="P15" s="91">
        <v>46059</v>
      </c>
      <c r="Q15" s="91">
        <v>46062</v>
      </c>
      <c r="R15" s="91"/>
      <c r="S15" s="103"/>
      <c r="T15" s="96"/>
      <c r="U15" s="96"/>
      <c r="V15" s="96"/>
      <c r="W15" s="96"/>
      <c r="X15" s="104"/>
      <c r="Y15" s="96"/>
      <c r="Z15" s="91"/>
      <c r="AA15" s="96"/>
      <c r="AB15" s="96"/>
      <c r="AC15" s="104"/>
      <c r="AD15" s="96"/>
      <c r="AE15" s="96"/>
      <c r="AF15" s="96"/>
      <c r="AG15" s="96"/>
      <c r="AH15" s="104"/>
      <c r="AI15" s="96"/>
      <c r="AJ15" s="96"/>
      <c r="AK15" s="96"/>
      <c r="AL15" s="96"/>
      <c r="AM15" s="104"/>
      <c r="AN15" s="96"/>
      <c r="AO15" s="96"/>
      <c r="AP15" s="96"/>
      <c r="AQ15" s="96"/>
      <c r="AR15" s="104"/>
      <c r="AS15" s="96"/>
      <c r="AT15" s="96"/>
      <c r="AU15" s="96"/>
      <c r="AV15" s="96"/>
      <c r="AW15" s="104"/>
      <c r="AX15" s="96"/>
      <c r="AY15" s="96"/>
      <c r="AZ15" s="96"/>
      <c r="BA15" s="96"/>
      <c r="BB15" s="290"/>
      <c r="BC15" s="96" t="s">
        <v>82</v>
      </c>
    </row>
    <row r="16" spans="1:55" s="3" customFormat="1" ht="24.75" customHeight="1">
      <c r="A16" s="417">
        <v>13</v>
      </c>
      <c r="B16" s="419" t="s">
        <v>19</v>
      </c>
      <c r="C16" s="419" t="s">
        <v>118</v>
      </c>
      <c r="D16" s="423" t="s">
        <v>119</v>
      </c>
      <c r="E16" s="241" t="s">
        <v>120</v>
      </c>
      <c r="F16" s="296">
        <f>F20+7</f>
        <v>46058</v>
      </c>
      <c r="G16" s="295"/>
      <c r="H16" s="232"/>
      <c r="I16" s="111"/>
      <c r="J16" s="103"/>
      <c r="K16" s="108"/>
      <c r="L16" s="101"/>
      <c r="M16" s="101" t="s">
        <v>81</v>
      </c>
      <c r="N16" s="431"/>
      <c r="O16" s="97"/>
      <c r="P16" s="91"/>
      <c r="Q16" s="91"/>
      <c r="R16" s="91"/>
      <c r="S16" s="103"/>
      <c r="T16" s="96"/>
      <c r="U16" s="91"/>
      <c r="V16" s="96"/>
      <c r="W16" s="96"/>
      <c r="X16" s="104"/>
      <c r="Y16" s="96"/>
      <c r="Z16" s="96"/>
      <c r="AA16" s="96"/>
      <c r="AB16" s="96"/>
      <c r="AC16" s="104"/>
      <c r="AD16" s="96"/>
      <c r="AE16" s="96"/>
      <c r="AF16" s="96"/>
      <c r="AG16" s="96"/>
      <c r="AH16" s="104"/>
      <c r="AI16" s="96"/>
      <c r="AJ16" s="96"/>
      <c r="AK16" s="96"/>
      <c r="AL16" s="96"/>
      <c r="AM16" s="104"/>
      <c r="AN16" s="96"/>
      <c r="AO16" s="96"/>
      <c r="AP16" s="96"/>
      <c r="AQ16" s="96"/>
      <c r="AR16" s="104"/>
      <c r="AS16" s="96"/>
      <c r="AT16" s="96"/>
      <c r="AU16" s="96"/>
      <c r="AV16" s="96"/>
      <c r="AW16" s="104"/>
      <c r="AX16" s="96"/>
      <c r="AY16" s="96"/>
      <c r="AZ16" s="96"/>
      <c r="BA16" s="96"/>
      <c r="BB16" s="290"/>
      <c r="BC16" s="96" t="s">
        <v>82</v>
      </c>
    </row>
    <row r="17" spans="1:55" s="3" customFormat="1" ht="24.75" customHeight="1">
      <c r="A17" s="417">
        <v>14</v>
      </c>
      <c r="B17" s="418" t="s">
        <v>19</v>
      </c>
      <c r="C17" s="419" t="s">
        <v>121</v>
      </c>
      <c r="D17" s="432" t="s">
        <v>122</v>
      </c>
      <c r="E17" s="241" t="s">
        <v>123</v>
      </c>
      <c r="F17" s="297">
        <f>F16</f>
        <v>46058</v>
      </c>
      <c r="G17" s="295"/>
      <c r="H17" s="232"/>
      <c r="I17" s="111"/>
      <c r="J17" s="103"/>
      <c r="K17" s="108"/>
      <c r="L17" s="101"/>
      <c r="M17" s="101" t="s">
        <v>81</v>
      </c>
      <c r="N17" s="431"/>
      <c r="O17" s="97"/>
      <c r="P17" s="91"/>
      <c r="Q17" s="91"/>
      <c r="R17" s="91"/>
      <c r="S17" s="103"/>
      <c r="T17" s="96"/>
      <c r="U17" s="91"/>
      <c r="V17" s="96"/>
      <c r="W17" s="96"/>
      <c r="X17" s="104"/>
      <c r="Y17" s="96"/>
      <c r="Z17" s="96"/>
      <c r="AA17" s="96"/>
      <c r="AB17" s="96"/>
      <c r="AC17" s="104"/>
      <c r="AD17" s="96"/>
      <c r="AE17" s="96"/>
      <c r="AF17" s="96"/>
      <c r="AG17" s="96"/>
      <c r="AH17" s="104"/>
      <c r="AI17" s="96"/>
      <c r="AJ17" s="96"/>
      <c r="AK17" s="96"/>
      <c r="AL17" s="96"/>
      <c r="AM17" s="104"/>
      <c r="AN17" s="96"/>
      <c r="AO17" s="96"/>
      <c r="AP17" s="96"/>
      <c r="AQ17" s="96"/>
      <c r="AR17" s="104"/>
      <c r="AS17" s="96"/>
      <c r="AT17" s="96"/>
      <c r="AU17" s="96"/>
      <c r="AV17" s="96"/>
      <c r="AW17" s="104"/>
      <c r="AX17" s="96"/>
      <c r="AY17" s="96"/>
      <c r="AZ17" s="96"/>
      <c r="BA17" s="96"/>
      <c r="BB17" s="290"/>
      <c r="BC17" s="96" t="s">
        <v>82</v>
      </c>
    </row>
    <row r="18" spans="1:55" s="3" customFormat="1" ht="24.75" customHeight="1">
      <c r="A18" s="417">
        <v>15</v>
      </c>
      <c r="B18" s="418" t="s">
        <v>19</v>
      </c>
      <c r="C18" s="419" t="s">
        <v>124</v>
      </c>
      <c r="D18" s="420" t="s">
        <v>125</v>
      </c>
      <c r="E18" s="241" t="s">
        <v>126</v>
      </c>
      <c r="F18" s="297">
        <f>F17</f>
        <v>46058</v>
      </c>
      <c r="G18" s="295"/>
      <c r="H18" s="232"/>
      <c r="I18" s="111"/>
      <c r="J18" s="103"/>
      <c r="K18" s="108"/>
      <c r="L18" s="101"/>
      <c r="M18" s="101" t="s">
        <v>81</v>
      </c>
      <c r="N18" s="431"/>
      <c r="O18" s="97"/>
      <c r="P18" s="91"/>
      <c r="Q18" s="91"/>
      <c r="R18" s="91"/>
      <c r="S18" s="103"/>
      <c r="T18" s="96"/>
      <c r="U18" s="91"/>
      <c r="V18" s="96"/>
      <c r="W18" s="96"/>
      <c r="X18" s="104"/>
      <c r="Y18" s="96"/>
      <c r="Z18" s="96"/>
      <c r="AA18" s="96"/>
      <c r="AB18" s="96"/>
      <c r="AC18" s="104"/>
      <c r="AD18" s="96"/>
      <c r="AE18" s="96"/>
      <c r="AF18" s="96"/>
      <c r="AG18" s="96"/>
      <c r="AH18" s="104"/>
      <c r="AI18" s="96"/>
      <c r="AJ18" s="96"/>
      <c r="AK18" s="96"/>
      <c r="AL18" s="96"/>
      <c r="AM18" s="104"/>
      <c r="AN18" s="96"/>
      <c r="AO18" s="96"/>
      <c r="AP18" s="96"/>
      <c r="AQ18" s="96"/>
      <c r="AR18" s="104"/>
      <c r="AS18" s="96"/>
      <c r="AT18" s="96"/>
      <c r="AU18" s="96"/>
      <c r="AV18" s="96"/>
      <c r="AW18" s="104"/>
      <c r="AX18" s="96"/>
      <c r="AY18" s="96"/>
      <c r="AZ18" s="96"/>
      <c r="BA18" s="96"/>
      <c r="BB18" s="290"/>
      <c r="BC18" s="96" t="s">
        <v>82</v>
      </c>
    </row>
    <row r="19" spans="1:55" s="3" customFormat="1" ht="24.75" customHeight="1">
      <c r="A19" s="417">
        <v>16</v>
      </c>
      <c r="B19" s="418" t="s">
        <v>19</v>
      </c>
      <c r="C19" s="419" t="s">
        <v>127</v>
      </c>
      <c r="D19" s="424" t="s">
        <v>128</v>
      </c>
      <c r="E19" s="241" t="s">
        <v>129</v>
      </c>
      <c r="F19" s="277">
        <v>46048</v>
      </c>
      <c r="G19" s="97">
        <v>46045</v>
      </c>
      <c r="H19" s="214">
        <f>G19+7</f>
        <v>46052</v>
      </c>
      <c r="I19" s="311">
        <v>0</v>
      </c>
      <c r="J19" s="103" t="s">
        <v>80</v>
      </c>
      <c r="K19" s="95" t="s">
        <v>47</v>
      </c>
      <c r="L19" s="101">
        <v>46059</v>
      </c>
      <c r="M19" s="101" t="s">
        <v>81</v>
      </c>
      <c r="N19" s="431"/>
      <c r="O19" s="97">
        <v>46045</v>
      </c>
      <c r="P19" s="91">
        <v>46048</v>
      </c>
      <c r="Q19" s="91">
        <v>46059</v>
      </c>
      <c r="R19" s="98">
        <v>46059</v>
      </c>
      <c r="S19" s="103" t="s">
        <v>47</v>
      </c>
      <c r="T19" s="96"/>
      <c r="U19" s="96"/>
      <c r="V19" s="96"/>
      <c r="W19" s="96"/>
      <c r="X19" s="104"/>
      <c r="Y19" s="96"/>
      <c r="Z19" s="96"/>
      <c r="AA19" s="96"/>
      <c r="AB19" s="96"/>
      <c r="AC19" s="104"/>
      <c r="AD19" s="96"/>
      <c r="AE19" s="96"/>
      <c r="AF19" s="96"/>
      <c r="AG19" s="96"/>
      <c r="AH19" s="104"/>
      <c r="AI19" s="96"/>
      <c r="AJ19" s="96"/>
      <c r="AK19" s="96"/>
      <c r="AL19" s="96"/>
      <c r="AM19" s="104"/>
      <c r="AN19" s="96"/>
      <c r="AO19" s="96"/>
      <c r="AP19" s="96"/>
      <c r="AQ19" s="96"/>
      <c r="AR19" s="104"/>
      <c r="AS19" s="96"/>
      <c r="AT19" s="96"/>
      <c r="AU19" s="96"/>
      <c r="AV19" s="96"/>
      <c r="AW19" s="104"/>
      <c r="AX19" s="96"/>
      <c r="AY19" s="96"/>
      <c r="AZ19" s="96"/>
      <c r="BA19" s="96"/>
      <c r="BB19" s="290"/>
      <c r="BC19" s="96" t="s">
        <v>82</v>
      </c>
    </row>
    <row r="20" spans="1:55" s="3" customFormat="1" ht="24.75" customHeight="1">
      <c r="A20" s="417">
        <v>17</v>
      </c>
      <c r="B20" s="418" t="s">
        <v>19</v>
      </c>
      <c r="C20" s="419" t="s">
        <v>130</v>
      </c>
      <c r="D20" s="429" t="s">
        <v>131</v>
      </c>
      <c r="E20" s="241" t="s">
        <v>132</v>
      </c>
      <c r="F20" s="277">
        <f>F15+7</f>
        <v>46051</v>
      </c>
      <c r="G20" s="97">
        <v>46045</v>
      </c>
      <c r="H20" s="214">
        <f t="shared" ref="H20:H21" si="2">G20+7</f>
        <v>46052</v>
      </c>
      <c r="I20" s="311">
        <v>0</v>
      </c>
      <c r="J20" s="103" t="s">
        <v>80</v>
      </c>
      <c r="K20" s="95" t="s">
        <v>47</v>
      </c>
      <c r="L20" s="101">
        <v>46059</v>
      </c>
      <c r="M20" s="101" t="s">
        <v>81</v>
      </c>
      <c r="N20" s="431"/>
      <c r="O20" s="97">
        <v>46045</v>
      </c>
      <c r="P20" s="91">
        <v>46048</v>
      </c>
      <c r="Q20" s="91">
        <v>46059</v>
      </c>
      <c r="R20" s="98">
        <v>46059</v>
      </c>
      <c r="S20" s="103" t="s">
        <v>47</v>
      </c>
      <c r="T20" s="96"/>
      <c r="U20" s="96"/>
      <c r="V20" s="96"/>
      <c r="W20" s="96"/>
      <c r="X20" s="104"/>
      <c r="Y20" s="96"/>
      <c r="Z20" s="96"/>
      <c r="AA20" s="96"/>
      <c r="AB20" s="96"/>
      <c r="AC20" s="104"/>
      <c r="AD20" s="96"/>
      <c r="AE20" s="96"/>
      <c r="AF20" s="96"/>
      <c r="AG20" s="96"/>
      <c r="AH20" s="104"/>
      <c r="AI20" s="96"/>
      <c r="AJ20" s="96"/>
      <c r="AK20" s="96"/>
      <c r="AL20" s="96"/>
      <c r="AM20" s="104"/>
      <c r="AN20" s="96"/>
      <c r="AO20" s="96"/>
      <c r="AP20" s="96"/>
      <c r="AQ20" s="96"/>
      <c r="AR20" s="104"/>
      <c r="AS20" s="96"/>
      <c r="AT20" s="96"/>
      <c r="AU20" s="96"/>
      <c r="AV20" s="96"/>
      <c r="AW20" s="104"/>
      <c r="AX20" s="96"/>
      <c r="AY20" s="96"/>
      <c r="AZ20" s="96"/>
      <c r="BA20" s="96"/>
      <c r="BB20" s="290"/>
      <c r="BC20" s="96" t="s">
        <v>82</v>
      </c>
    </row>
    <row r="21" spans="1:55" s="3" customFormat="1" ht="24.75" customHeight="1">
      <c r="A21" s="417">
        <v>18</v>
      </c>
      <c r="B21" s="418" t="s">
        <v>19</v>
      </c>
      <c r="C21" s="419" t="s">
        <v>133</v>
      </c>
      <c r="D21" s="420" t="s">
        <v>134</v>
      </c>
      <c r="E21" s="241" t="s">
        <v>135</v>
      </c>
      <c r="F21" s="277">
        <f>F20</f>
        <v>46051</v>
      </c>
      <c r="G21" s="97">
        <v>46045</v>
      </c>
      <c r="H21" s="214">
        <f t="shared" si="2"/>
        <v>46052</v>
      </c>
      <c r="I21" s="311">
        <v>0</v>
      </c>
      <c r="J21" s="103" t="s">
        <v>80</v>
      </c>
      <c r="K21" s="95" t="s">
        <v>47</v>
      </c>
      <c r="L21" s="101">
        <v>46059</v>
      </c>
      <c r="M21" s="101" t="s">
        <v>81</v>
      </c>
      <c r="N21" s="431"/>
      <c r="O21" s="97">
        <v>46045</v>
      </c>
      <c r="P21" s="91">
        <v>46048</v>
      </c>
      <c r="Q21" s="91">
        <v>46059</v>
      </c>
      <c r="R21" s="98">
        <v>46059</v>
      </c>
      <c r="S21" s="103" t="s">
        <v>47</v>
      </c>
      <c r="T21" s="96"/>
      <c r="U21" s="96"/>
      <c r="V21" s="96"/>
      <c r="W21" s="96"/>
      <c r="X21" s="104"/>
      <c r="Y21" s="96"/>
      <c r="Z21" s="96"/>
      <c r="AA21" s="96"/>
      <c r="AB21" s="96"/>
      <c r="AC21" s="104"/>
      <c r="AD21" s="96"/>
      <c r="AE21" s="96"/>
      <c r="AF21" s="96"/>
      <c r="AG21" s="96"/>
      <c r="AH21" s="104"/>
      <c r="AI21" s="96"/>
      <c r="AJ21" s="96"/>
      <c r="AK21" s="96"/>
      <c r="AL21" s="96"/>
      <c r="AM21" s="104"/>
      <c r="AN21" s="96"/>
      <c r="AO21" s="96"/>
      <c r="AP21" s="96"/>
      <c r="AQ21" s="96"/>
      <c r="AR21" s="104"/>
      <c r="AS21" s="96"/>
      <c r="AT21" s="96"/>
      <c r="AU21" s="96"/>
      <c r="AV21" s="96"/>
      <c r="AW21" s="104"/>
      <c r="AX21" s="96"/>
      <c r="AY21" s="96"/>
      <c r="AZ21" s="96"/>
      <c r="BA21" s="96"/>
      <c r="BB21" s="290"/>
      <c r="BC21" s="96" t="s">
        <v>82</v>
      </c>
    </row>
    <row r="22" spans="1:55" s="3" customFormat="1" ht="24.75" customHeight="1">
      <c r="A22" s="417">
        <v>19</v>
      </c>
      <c r="B22" s="418" t="s">
        <v>19</v>
      </c>
      <c r="C22" s="419" t="s">
        <v>136</v>
      </c>
      <c r="D22" s="420" t="s">
        <v>137</v>
      </c>
      <c r="E22" s="241" t="s">
        <v>138</v>
      </c>
      <c r="F22" s="665">
        <f>F21</f>
        <v>46051</v>
      </c>
      <c r="G22" s="101">
        <v>46059</v>
      </c>
      <c r="H22" s="101">
        <f>G22+7</f>
        <v>46066</v>
      </c>
      <c r="I22" s="111">
        <v>0</v>
      </c>
      <c r="J22" s="103" t="s">
        <v>51</v>
      </c>
      <c r="K22" s="95" t="s">
        <v>89</v>
      </c>
      <c r="L22" s="101"/>
      <c r="M22" s="101" t="s">
        <v>81</v>
      </c>
      <c r="N22" s="431"/>
      <c r="O22" s="97">
        <v>46059</v>
      </c>
      <c r="P22" s="91">
        <v>46062</v>
      </c>
      <c r="Q22" s="91">
        <v>46065</v>
      </c>
      <c r="R22" s="98"/>
      <c r="S22" s="103"/>
      <c r="T22" s="96"/>
      <c r="U22" s="96"/>
      <c r="V22" s="96"/>
      <c r="W22" s="96"/>
      <c r="X22" s="104"/>
      <c r="Y22" s="96"/>
      <c r="Z22" s="96"/>
      <c r="AA22" s="96"/>
      <c r="AB22" s="96"/>
      <c r="AC22" s="104"/>
      <c r="AD22" s="96"/>
      <c r="AE22" s="96"/>
      <c r="AF22" s="96"/>
      <c r="AG22" s="96"/>
      <c r="AH22" s="104"/>
      <c r="AI22" s="96"/>
      <c r="AJ22" s="96"/>
      <c r="AK22" s="96"/>
      <c r="AL22" s="96"/>
      <c r="AM22" s="104"/>
      <c r="AN22" s="96"/>
      <c r="AO22" s="96"/>
      <c r="AP22" s="96"/>
      <c r="AQ22" s="96"/>
      <c r="AR22" s="104"/>
      <c r="AS22" s="96"/>
      <c r="AT22" s="96"/>
      <c r="AU22" s="96"/>
      <c r="AV22" s="96"/>
      <c r="AW22" s="104"/>
      <c r="AX22" s="96"/>
      <c r="AY22" s="96"/>
      <c r="AZ22" s="96"/>
      <c r="BA22" s="96"/>
      <c r="BB22" s="290"/>
      <c r="BC22" s="96" t="s">
        <v>82</v>
      </c>
    </row>
    <row r="23" spans="1:55" s="3" customFormat="1" ht="24.75" customHeight="1">
      <c r="A23" s="417">
        <v>20</v>
      </c>
      <c r="B23" s="418" t="s">
        <v>19</v>
      </c>
      <c r="C23" s="419" t="s">
        <v>139</v>
      </c>
      <c r="D23" s="420" t="s">
        <v>140</v>
      </c>
      <c r="E23" s="241" t="s">
        <v>141</v>
      </c>
      <c r="F23" s="665">
        <f>F22</f>
        <v>46051</v>
      </c>
      <c r="G23" s="101">
        <v>46059</v>
      </c>
      <c r="H23" s="101">
        <f>G23+7</f>
        <v>46066</v>
      </c>
      <c r="I23" s="111">
        <v>1</v>
      </c>
      <c r="J23" s="103" t="s">
        <v>51</v>
      </c>
      <c r="K23" s="95" t="s">
        <v>89</v>
      </c>
      <c r="L23" s="91"/>
      <c r="M23" s="613" t="s">
        <v>81</v>
      </c>
      <c r="N23" s="431"/>
      <c r="O23" s="101">
        <v>46055</v>
      </c>
      <c r="P23" s="91">
        <v>46058</v>
      </c>
      <c r="Q23" s="91"/>
      <c r="R23" s="98"/>
      <c r="S23" s="103" t="s">
        <v>48</v>
      </c>
      <c r="T23" s="96">
        <v>46059</v>
      </c>
      <c r="U23" s="96">
        <v>46062</v>
      </c>
      <c r="V23" s="96">
        <v>46065</v>
      </c>
      <c r="W23" s="96"/>
      <c r="X23" s="104"/>
      <c r="Y23" s="96"/>
      <c r="Z23" s="96"/>
      <c r="AA23" s="96"/>
      <c r="AB23" s="96"/>
      <c r="AC23" s="104"/>
      <c r="AD23" s="96"/>
      <c r="AE23" s="96"/>
      <c r="AF23" s="96"/>
      <c r="AG23" s="96"/>
      <c r="AH23" s="104"/>
      <c r="AI23" s="96"/>
      <c r="AJ23" s="96"/>
      <c r="AK23" s="96"/>
      <c r="AL23" s="96"/>
      <c r="AM23" s="104"/>
      <c r="AN23" s="96"/>
      <c r="AO23" s="96"/>
      <c r="AP23" s="96"/>
      <c r="AQ23" s="96"/>
      <c r="AR23" s="104"/>
      <c r="AS23" s="96"/>
      <c r="AT23" s="96"/>
      <c r="AU23" s="96"/>
      <c r="AV23" s="96"/>
      <c r="AW23" s="104"/>
      <c r="AX23" s="96"/>
      <c r="AY23" s="96"/>
      <c r="AZ23" s="96"/>
      <c r="BA23" s="96"/>
      <c r="BB23" s="290"/>
      <c r="BC23" s="96" t="s">
        <v>82</v>
      </c>
    </row>
    <row r="24" spans="1:55" s="3" customFormat="1" ht="24.75" customHeight="1">
      <c r="A24" s="417">
        <v>21</v>
      </c>
      <c r="B24" s="418" t="s">
        <v>19</v>
      </c>
      <c r="C24" s="419" t="s">
        <v>142</v>
      </c>
      <c r="D24" s="420" t="s">
        <v>143</v>
      </c>
      <c r="E24" s="241" t="s">
        <v>144</v>
      </c>
      <c r="F24" s="277">
        <f>F23+7</f>
        <v>46058</v>
      </c>
      <c r="G24" s="97"/>
      <c r="H24" s="97"/>
      <c r="I24" s="111"/>
      <c r="J24" s="103"/>
      <c r="K24" s="108"/>
      <c r="L24" s="101"/>
      <c r="M24" s="101" t="s">
        <v>81</v>
      </c>
      <c r="N24" s="431"/>
      <c r="O24" s="97"/>
      <c r="P24" s="91"/>
      <c r="Q24" s="91"/>
      <c r="R24" s="98"/>
      <c r="S24" s="103"/>
      <c r="T24" s="96"/>
      <c r="U24" s="96"/>
      <c r="V24" s="96"/>
      <c r="W24" s="96"/>
      <c r="X24" s="104"/>
      <c r="Y24" s="96"/>
      <c r="Z24" s="96"/>
      <c r="AA24" s="96"/>
      <c r="AB24" s="96"/>
      <c r="AC24" s="104"/>
      <c r="AD24" s="96"/>
      <c r="AE24" s="96"/>
      <c r="AF24" s="96"/>
      <c r="AG24" s="96"/>
      <c r="AH24" s="104"/>
      <c r="AI24" s="96"/>
      <c r="AJ24" s="96"/>
      <c r="AK24" s="96"/>
      <c r="AL24" s="96"/>
      <c r="AM24" s="104"/>
      <c r="AN24" s="96"/>
      <c r="AO24" s="96"/>
      <c r="AP24" s="96"/>
      <c r="AQ24" s="96"/>
      <c r="AR24" s="104"/>
      <c r="AS24" s="96"/>
      <c r="AT24" s="96"/>
      <c r="AU24" s="96"/>
      <c r="AV24" s="96"/>
      <c r="AW24" s="104"/>
      <c r="AX24" s="96"/>
      <c r="AY24" s="96"/>
      <c r="AZ24" s="96"/>
      <c r="BA24" s="96"/>
      <c r="BB24" s="290"/>
      <c r="BC24" s="96" t="s">
        <v>82</v>
      </c>
    </row>
    <row r="25" spans="1:55" s="3" customFormat="1" ht="24.75" customHeight="1">
      <c r="A25" s="417">
        <v>22</v>
      </c>
      <c r="B25" s="418" t="s">
        <v>19</v>
      </c>
      <c r="C25" s="419" t="s">
        <v>145</v>
      </c>
      <c r="D25" s="420" t="s">
        <v>146</v>
      </c>
      <c r="E25" s="241" t="s">
        <v>147</v>
      </c>
      <c r="F25" s="234">
        <f>F39+7</f>
        <v>46072</v>
      </c>
      <c r="G25" s="97">
        <v>46048</v>
      </c>
      <c r="H25" s="214">
        <f>G25+7</f>
        <v>46055</v>
      </c>
      <c r="I25" s="311">
        <v>0</v>
      </c>
      <c r="J25" s="103" t="s">
        <v>80</v>
      </c>
      <c r="K25" s="95" t="s">
        <v>47</v>
      </c>
      <c r="L25" s="101">
        <v>46059</v>
      </c>
      <c r="M25" s="101" t="s">
        <v>81</v>
      </c>
      <c r="N25" s="465"/>
      <c r="O25" s="101">
        <v>46048</v>
      </c>
      <c r="P25" s="91">
        <v>46049</v>
      </c>
      <c r="Q25" s="91">
        <v>46052</v>
      </c>
      <c r="R25" s="98">
        <v>46059</v>
      </c>
      <c r="S25" s="103" t="s">
        <v>47</v>
      </c>
      <c r="T25" s="96"/>
      <c r="U25" s="96"/>
      <c r="V25" s="96"/>
      <c r="W25" s="96"/>
      <c r="X25" s="104"/>
      <c r="Y25" s="96"/>
      <c r="Z25" s="96"/>
      <c r="AA25" s="96"/>
      <c r="AB25" s="96"/>
      <c r="AC25" s="104"/>
      <c r="AD25" s="96"/>
      <c r="AE25" s="96"/>
      <c r="AF25" s="96"/>
      <c r="AG25" s="96"/>
      <c r="AH25" s="104"/>
      <c r="AI25" s="96"/>
      <c r="AJ25" s="96"/>
      <c r="AK25" s="96"/>
      <c r="AL25" s="96"/>
      <c r="AM25" s="104"/>
      <c r="AN25" s="96"/>
      <c r="AO25" s="96"/>
      <c r="AP25" s="96"/>
      <c r="AQ25" s="96"/>
      <c r="AR25" s="104"/>
      <c r="AS25" s="96"/>
      <c r="AT25" s="96"/>
      <c r="AU25" s="96"/>
      <c r="AV25" s="96"/>
      <c r="AW25" s="104"/>
      <c r="AX25" s="96"/>
      <c r="AY25" s="96"/>
      <c r="AZ25" s="96"/>
      <c r="BA25" s="96"/>
      <c r="BB25" s="290"/>
      <c r="BC25" s="96" t="s">
        <v>82</v>
      </c>
    </row>
    <row r="26" spans="1:55" s="3" customFormat="1" ht="24.75" customHeight="1">
      <c r="A26" s="417">
        <v>23</v>
      </c>
      <c r="B26" s="418" t="s">
        <v>19</v>
      </c>
      <c r="C26" s="419" t="s">
        <v>148</v>
      </c>
      <c r="D26" s="420" t="s">
        <v>149</v>
      </c>
      <c r="E26" s="241" t="s">
        <v>150</v>
      </c>
      <c r="F26" s="234">
        <f>F25</f>
        <v>46072</v>
      </c>
      <c r="G26" s="101"/>
      <c r="H26" s="101"/>
      <c r="I26" s="111"/>
      <c r="J26" s="103"/>
      <c r="K26" s="108"/>
      <c r="L26" s="91"/>
      <c r="M26" s="613" t="s">
        <v>81</v>
      </c>
      <c r="N26" s="431"/>
      <c r="O26" s="101"/>
      <c r="P26" s="91"/>
      <c r="Q26" s="91"/>
      <c r="R26" s="98"/>
      <c r="S26" s="103"/>
      <c r="T26" s="96"/>
      <c r="U26" s="96"/>
      <c r="V26" s="96"/>
      <c r="W26" s="96"/>
      <c r="X26" s="104"/>
      <c r="Y26" s="96"/>
      <c r="Z26" s="96"/>
      <c r="AA26" s="96"/>
      <c r="AB26" s="96"/>
      <c r="AC26" s="104"/>
      <c r="AD26" s="96"/>
      <c r="AE26" s="96"/>
      <c r="AF26" s="96"/>
      <c r="AG26" s="96"/>
      <c r="AH26" s="104"/>
      <c r="AI26" s="96"/>
      <c r="AJ26" s="96"/>
      <c r="AK26" s="96"/>
      <c r="AL26" s="96"/>
      <c r="AM26" s="104"/>
      <c r="AN26" s="96"/>
      <c r="AO26" s="96"/>
      <c r="AP26" s="96"/>
      <c r="AQ26" s="96"/>
      <c r="AR26" s="104"/>
      <c r="AS26" s="96"/>
      <c r="AT26" s="96"/>
      <c r="AU26" s="96"/>
      <c r="AV26" s="96"/>
      <c r="AW26" s="104"/>
      <c r="AX26" s="96"/>
      <c r="AY26" s="96"/>
      <c r="AZ26" s="96"/>
      <c r="BA26" s="96"/>
      <c r="BB26" s="290"/>
      <c r="BC26" s="96" t="s">
        <v>82</v>
      </c>
    </row>
    <row r="27" spans="1:55" s="3" customFormat="1" ht="24.75" customHeight="1">
      <c r="A27" s="417">
        <v>24</v>
      </c>
      <c r="B27" s="418" t="s">
        <v>19</v>
      </c>
      <c r="C27" s="419" t="s">
        <v>151</v>
      </c>
      <c r="D27" s="420" t="s">
        <v>152</v>
      </c>
      <c r="E27" s="241" t="s">
        <v>153</v>
      </c>
      <c r="F27" s="234">
        <f>F26</f>
        <v>46072</v>
      </c>
      <c r="G27" s="101"/>
      <c r="H27" s="101"/>
      <c r="I27" s="111"/>
      <c r="J27" s="103"/>
      <c r="K27" s="108"/>
      <c r="L27" s="91"/>
      <c r="M27" s="613" t="s">
        <v>81</v>
      </c>
      <c r="N27" s="431"/>
      <c r="O27" s="101"/>
      <c r="P27" s="91"/>
      <c r="Q27" s="91"/>
      <c r="R27" s="98"/>
      <c r="S27" s="103"/>
      <c r="T27" s="96"/>
      <c r="U27" s="96"/>
      <c r="V27" s="96"/>
      <c r="W27" s="96"/>
      <c r="X27" s="104"/>
      <c r="Y27" s="96"/>
      <c r="Z27" s="96"/>
      <c r="AA27" s="96"/>
      <c r="AB27" s="96"/>
      <c r="AC27" s="104"/>
      <c r="AD27" s="96"/>
      <c r="AE27" s="96"/>
      <c r="AF27" s="96"/>
      <c r="AG27" s="96"/>
      <c r="AH27" s="104"/>
      <c r="AI27" s="96"/>
      <c r="AJ27" s="96"/>
      <c r="AK27" s="96"/>
      <c r="AL27" s="96"/>
      <c r="AM27" s="104"/>
      <c r="AN27" s="96"/>
      <c r="AO27" s="96"/>
      <c r="AP27" s="96"/>
      <c r="AQ27" s="96"/>
      <c r="AR27" s="104"/>
      <c r="AS27" s="96"/>
      <c r="AT27" s="96"/>
      <c r="AU27" s="96"/>
      <c r="AV27" s="96"/>
      <c r="AW27" s="104"/>
      <c r="AX27" s="96"/>
      <c r="AY27" s="96"/>
      <c r="AZ27" s="96"/>
      <c r="BA27" s="96"/>
      <c r="BB27" s="290"/>
      <c r="BC27" s="96" t="s">
        <v>82</v>
      </c>
    </row>
    <row r="28" spans="1:55" s="3" customFormat="1" ht="24.75" customHeight="1">
      <c r="A28" s="417">
        <v>25</v>
      </c>
      <c r="B28" s="418" t="s">
        <v>19</v>
      </c>
      <c r="C28" s="419" t="s">
        <v>154</v>
      </c>
      <c r="D28" s="429" t="s">
        <v>155</v>
      </c>
      <c r="E28" s="241" t="s">
        <v>156</v>
      </c>
      <c r="F28" s="234">
        <f>F27</f>
        <v>46072</v>
      </c>
      <c r="G28" s="101">
        <v>46056</v>
      </c>
      <c r="H28" s="101">
        <f>G28+7</f>
        <v>46063</v>
      </c>
      <c r="I28" s="111">
        <v>0</v>
      </c>
      <c r="J28" s="103" t="s">
        <v>51</v>
      </c>
      <c r="K28" s="95" t="s">
        <v>89</v>
      </c>
      <c r="L28" s="91"/>
      <c r="M28" s="613" t="s">
        <v>81</v>
      </c>
      <c r="N28" s="431"/>
      <c r="O28" s="101">
        <v>46056</v>
      </c>
      <c r="P28" s="91">
        <v>46059</v>
      </c>
      <c r="Q28" s="91">
        <v>46062</v>
      </c>
      <c r="R28" s="98"/>
      <c r="S28" s="103"/>
      <c r="T28" s="96"/>
      <c r="U28" s="96"/>
      <c r="V28" s="96"/>
      <c r="W28" s="96"/>
      <c r="X28" s="104"/>
      <c r="Y28" s="96"/>
      <c r="Z28" s="96"/>
      <c r="AA28" s="96"/>
      <c r="AB28" s="96"/>
      <c r="AC28" s="104"/>
      <c r="AD28" s="96"/>
      <c r="AE28" s="96"/>
      <c r="AF28" s="96"/>
      <c r="AG28" s="96"/>
      <c r="AH28" s="104"/>
      <c r="AI28" s="96"/>
      <c r="AJ28" s="96"/>
      <c r="AK28" s="96"/>
      <c r="AL28" s="96"/>
      <c r="AM28" s="104"/>
      <c r="AN28" s="96"/>
      <c r="AO28" s="96"/>
      <c r="AP28" s="96"/>
      <c r="AQ28" s="96"/>
      <c r="AR28" s="104"/>
      <c r="AS28" s="96"/>
      <c r="AT28" s="96"/>
      <c r="AU28" s="96"/>
      <c r="AV28" s="96"/>
      <c r="AW28" s="104"/>
      <c r="AX28" s="96"/>
      <c r="AY28" s="96"/>
      <c r="AZ28" s="96"/>
      <c r="BA28" s="96"/>
      <c r="BB28" s="290"/>
      <c r="BC28" s="96" t="s">
        <v>82</v>
      </c>
    </row>
    <row r="29" spans="1:55" s="3" customFormat="1" ht="24.75" customHeight="1">
      <c r="A29" s="417">
        <v>26</v>
      </c>
      <c r="B29" s="418" t="s">
        <v>19</v>
      </c>
      <c r="C29" s="419" t="s">
        <v>157</v>
      </c>
      <c r="D29" s="420" t="s">
        <v>158</v>
      </c>
      <c r="E29" s="241" t="s">
        <v>159</v>
      </c>
      <c r="F29" s="234">
        <f>F28</f>
        <v>46072</v>
      </c>
      <c r="G29" s="97">
        <v>46050</v>
      </c>
      <c r="H29" s="214">
        <f>G29+7</f>
        <v>46057</v>
      </c>
      <c r="I29" s="311">
        <v>0</v>
      </c>
      <c r="J29" s="103" t="s">
        <v>51</v>
      </c>
      <c r="K29" s="95" t="s">
        <v>89</v>
      </c>
      <c r="L29" s="101"/>
      <c r="M29" s="101" t="s">
        <v>81</v>
      </c>
      <c r="N29" s="431"/>
      <c r="O29" s="97">
        <v>46050</v>
      </c>
      <c r="P29" s="91">
        <v>46053</v>
      </c>
      <c r="Q29" s="91">
        <v>46057</v>
      </c>
      <c r="R29" s="98"/>
      <c r="S29" s="103"/>
      <c r="T29" s="96"/>
      <c r="U29" s="96"/>
      <c r="V29" s="96"/>
      <c r="W29" s="96"/>
      <c r="X29" s="104"/>
      <c r="Y29" s="96"/>
      <c r="Z29" s="96"/>
      <c r="AA29" s="96"/>
      <c r="AB29" s="96"/>
      <c r="AC29" s="104"/>
      <c r="AD29" s="96"/>
      <c r="AE29" s="96"/>
      <c r="AF29" s="96"/>
      <c r="AG29" s="96"/>
      <c r="AH29" s="104"/>
      <c r="AI29" s="96"/>
      <c r="AJ29" s="96"/>
      <c r="AK29" s="96"/>
      <c r="AL29" s="96"/>
      <c r="AM29" s="104"/>
      <c r="AN29" s="96"/>
      <c r="AO29" s="96"/>
      <c r="AP29" s="96"/>
      <c r="AQ29" s="96"/>
      <c r="AR29" s="104"/>
      <c r="AS29" s="96"/>
      <c r="AT29" s="96"/>
      <c r="AU29" s="96"/>
      <c r="AV29" s="96"/>
      <c r="AW29" s="104"/>
      <c r="AX29" s="96"/>
      <c r="AY29" s="96"/>
      <c r="AZ29" s="96"/>
      <c r="BA29" s="96"/>
      <c r="BB29" s="290"/>
      <c r="BC29" s="96" t="s">
        <v>82</v>
      </c>
    </row>
    <row r="30" spans="1:55" s="3" customFormat="1" ht="24.75" customHeight="1">
      <c r="A30" s="417">
        <v>27</v>
      </c>
      <c r="B30" s="418" t="s">
        <v>19</v>
      </c>
      <c r="C30" s="419" t="s">
        <v>160</v>
      </c>
      <c r="D30" s="420" t="s">
        <v>161</v>
      </c>
      <c r="E30" s="241" t="s">
        <v>162</v>
      </c>
      <c r="F30" s="234">
        <f>F46+7</f>
        <v>46114</v>
      </c>
      <c r="G30" s="97"/>
      <c r="H30" s="97"/>
      <c r="I30" s="111"/>
      <c r="J30" s="103"/>
      <c r="K30" s="108"/>
      <c r="L30" s="101"/>
      <c r="M30" s="101" t="s">
        <v>81</v>
      </c>
      <c r="N30" s="102"/>
      <c r="O30" s="97"/>
      <c r="P30" s="96"/>
      <c r="Q30" s="96"/>
      <c r="R30" s="98"/>
      <c r="S30" s="103"/>
      <c r="T30" s="96"/>
      <c r="U30" s="96"/>
      <c r="V30" s="96"/>
      <c r="W30" s="101"/>
      <c r="X30" s="104"/>
      <c r="Y30" s="96"/>
      <c r="Z30" s="96"/>
      <c r="AA30" s="96"/>
      <c r="AB30" s="96"/>
      <c r="AC30" s="104"/>
      <c r="AD30" s="96"/>
      <c r="AE30" s="96"/>
      <c r="AF30" s="96"/>
      <c r="AG30" s="96"/>
      <c r="AH30" s="104"/>
      <c r="AI30" s="96"/>
      <c r="AJ30" s="96"/>
      <c r="AK30" s="96"/>
      <c r="AL30" s="96"/>
      <c r="AM30" s="104"/>
      <c r="AN30" s="96"/>
      <c r="AO30" s="96"/>
      <c r="AP30" s="96"/>
      <c r="AQ30" s="96"/>
      <c r="AR30" s="104"/>
      <c r="AS30" s="96"/>
      <c r="AT30" s="96"/>
      <c r="AU30" s="96"/>
      <c r="AV30" s="96"/>
      <c r="AW30" s="104"/>
      <c r="AX30" s="96"/>
      <c r="AY30" s="96"/>
      <c r="AZ30" s="96"/>
      <c r="BA30" s="96"/>
      <c r="BB30" s="290"/>
      <c r="BC30" s="96" t="s">
        <v>82</v>
      </c>
    </row>
    <row r="31" spans="1:55" s="3" customFormat="1" ht="24.75" customHeight="1">
      <c r="A31" s="417">
        <v>28</v>
      </c>
      <c r="B31" s="418" t="s">
        <v>19</v>
      </c>
      <c r="C31" s="419" t="s">
        <v>163</v>
      </c>
      <c r="D31" s="429" t="s">
        <v>164</v>
      </c>
      <c r="E31" s="241" t="s">
        <v>165</v>
      </c>
      <c r="F31" s="234">
        <f t="shared" ref="F31:F37" si="3">F30</f>
        <v>46114</v>
      </c>
      <c r="G31" s="97"/>
      <c r="H31" s="97"/>
      <c r="I31" s="111"/>
      <c r="J31" s="103"/>
      <c r="K31" s="108"/>
      <c r="L31" s="101"/>
      <c r="M31" s="101" t="s">
        <v>81</v>
      </c>
      <c r="N31" s="102"/>
      <c r="O31" s="97"/>
      <c r="P31" s="96"/>
      <c r="Q31" s="96"/>
      <c r="R31" s="98"/>
      <c r="S31" s="103"/>
      <c r="T31" s="96"/>
      <c r="U31" s="96"/>
      <c r="V31" s="96"/>
      <c r="W31" s="101"/>
      <c r="X31" s="104"/>
      <c r="Y31" s="96"/>
      <c r="Z31" s="96"/>
      <c r="AA31" s="96"/>
      <c r="AB31" s="96"/>
      <c r="AC31" s="104"/>
      <c r="AD31" s="96"/>
      <c r="AE31" s="96"/>
      <c r="AF31" s="96"/>
      <c r="AG31" s="96"/>
      <c r="AH31" s="104"/>
      <c r="AI31" s="96"/>
      <c r="AJ31" s="96"/>
      <c r="AK31" s="96"/>
      <c r="AL31" s="96"/>
      <c r="AM31" s="104"/>
      <c r="AN31" s="96"/>
      <c r="AO31" s="96"/>
      <c r="AP31" s="96"/>
      <c r="AQ31" s="96"/>
      <c r="AR31" s="104"/>
      <c r="AS31" s="96"/>
      <c r="AT31" s="96"/>
      <c r="AU31" s="96"/>
      <c r="AV31" s="96"/>
      <c r="AW31" s="104"/>
      <c r="AX31" s="96"/>
      <c r="AY31" s="96"/>
      <c r="AZ31" s="96"/>
      <c r="BA31" s="96"/>
      <c r="BB31" s="290"/>
      <c r="BC31" s="96" t="s">
        <v>82</v>
      </c>
    </row>
    <row r="32" spans="1:55" s="3" customFormat="1" ht="24.75" customHeight="1">
      <c r="A32" s="417">
        <v>29</v>
      </c>
      <c r="B32" s="418" t="s">
        <v>19</v>
      </c>
      <c r="C32" s="419" t="s">
        <v>166</v>
      </c>
      <c r="D32" s="420" t="s">
        <v>167</v>
      </c>
      <c r="E32" s="241" t="s">
        <v>168</v>
      </c>
      <c r="F32" s="234">
        <f t="shared" si="3"/>
        <v>46114</v>
      </c>
      <c r="G32" s="97"/>
      <c r="H32" s="97"/>
      <c r="I32" s="111"/>
      <c r="J32" s="103"/>
      <c r="K32" s="108"/>
      <c r="L32" s="101"/>
      <c r="M32" s="101" t="s">
        <v>81</v>
      </c>
      <c r="N32" s="102"/>
      <c r="O32" s="97"/>
      <c r="P32" s="96"/>
      <c r="Q32" s="96"/>
      <c r="R32" s="98"/>
      <c r="S32" s="103"/>
      <c r="T32" s="96"/>
      <c r="U32" s="96"/>
      <c r="V32" s="96"/>
      <c r="W32" s="101"/>
      <c r="X32" s="104"/>
      <c r="Y32" s="96"/>
      <c r="Z32" s="96"/>
      <c r="AA32" s="96"/>
      <c r="AB32" s="96"/>
      <c r="AC32" s="104"/>
      <c r="AD32" s="96"/>
      <c r="AE32" s="96"/>
      <c r="AF32" s="96"/>
      <c r="AG32" s="96"/>
      <c r="AH32" s="104"/>
      <c r="AI32" s="96"/>
      <c r="AJ32" s="96"/>
      <c r="AK32" s="96"/>
      <c r="AL32" s="96"/>
      <c r="AM32" s="104"/>
      <c r="AN32" s="96"/>
      <c r="AO32" s="96"/>
      <c r="AP32" s="96"/>
      <c r="AQ32" s="96"/>
      <c r="AR32" s="104"/>
      <c r="AS32" s="96"/>
      <c r="AT32" s="96"/>
      <c r="AU32" s="96"/>
      <c r="AV32" s="96"/>
      <c r="AW32" s="104"/>
      <c r="AX32" s="96"/>
      <c r="AY32" s="96"/>
      <c r="AZ32" s="96"/>
      <c r="BA32" s="96"/>
      <c r="BB32" s="290"/>
      <c r="BC32" s="96" t="s">
        <v>82</v>
      </c>
    </row>
    <row r="33" spans="1:55" s="3" customFormat="1" ht="24.75" customHeight="1">
      <c r="A33" s="417">
        <v>30</v>
      </c>
      <c r="B33" s="418" t="s">
        <v>19</v>
      </c>
      <c r="C33" s="419" t="s">
        <v>169</v>
      </c>
      <c r="D33" s="420" t="s">
        <v>170</v>
      </c>
      <c r="E33" s="241" t="s">
        <v>171</v>
      </c>
      <c r="F33" s="234">
        <f t="shared" si="3"/>
        <v>46114</v>
      </c>
      <c r="G33" s="97"/>
      <c r="H33" s="97"/>
      <c r="I33" s="111"/>
      <c r="J33" s="103"/>
      <c r="K33" s="108"/>
      <c r="L33" s="101"/>
      <c r="M33" s="101" t="s">
        <v>81</v>
      </c>
      <c r="N33" s="102"/>
      <c r="O33" s="97"/>
      <c r="P33" s="96"/>
      <c r="Q33" s="96"/>
      <c r="R33" s="98"/>
      <c r="S33" s="103"/>
      <c r="T33" s="96"/>
      <c r="U33" s="96"/>
      <c r="V33" s="96"/>
      <c r="W33" s="101"/>
      <c r="X33" s="104"/>
      <c r="Y33" s="96"/>
      <c r="Z33" s="96"/>
      <c r="AA33" s="96"/>
      <c r="AB33" s="96"/>
      <c r="AC33" s="104"/>
      <c r="AD33" s="96"/>
      <c r="AE33" s="96"/>
      <c r="AF33" s="96"/>
      <c r="AG33" s="96"/>
      <c r="AH33" s="104"/>
      <c r="AI33" s="96"/>
      <c r="AJ33" s="96"/>
      <c r="AK33" s="96"/>
      <c r="AL33" s="96"/>
      <c r="AM33" s="104"/>
      <c r="AN33" s="96"/>
      <c r="AO33" s="96"/>
      <c r="AP33" s="96"/>
      <c r="AQ33" s="96"/>
      <c r="AR33" s="104"/>
      <c r="AS33" s="96"/>
      <c r="AT33" s="96"/>
      <c r="AU33" s="96"/>
      <c r="AV33" s="96"/>
      <c r="AW33" s="104"/>
      <c r="AX33" s="96"/>
      <c r="AY33" s="96"/>
      <c r="AZ33" s="96"/>
      <c r="BA33" s="96"/>
      <c r="BB33" s="290"/>
      <c r="BC33" s="96" t="s">
        <v>82</v>
      </c>
    </row>
    <row r="34" spans="1:55" s="3" customFormat="1" ht="24.75" customHeight="1">
      <c r="A34" s="417">
        <v>31</v>
      </c>
      <c r="B34" s="418" t="s">
        <v>19</v>
      </c>
      <c r="C34" s="419" t="s">
        <v>172</v>
      </c>
      <c r="D34" s="420" t="s">
        <v>173</v>
      </c>
      <c r="E34" s="241" t="s">
        <v>174</v>
      </c>
      <c r="F34" s="234">
        <f t="shared" si="3"/>
        <v>46114</v>
      </c>
      <c r="G34" s="97"/>
      <c r="H34" s="97"/>
      <c r="I34" s="111"/>
      <c r="J34" s="103"/>
      <c r="K34" s="108"/>
      <c r="L34" s="101"/>
      <c r="M34" s="101" t="s">
        <v>81</v>
      </c>
      <c r="N34" s="102"/>
      <c r="O34" s="97"/>
      <c r="P34" s="96"/>
      <c r="Q34" s="96"/>
      <c r="R34" s="98"/>
      <c r="S34" s="103"/>
      <c r="T34" s="96"/>
      <c r="U34" s="96"/>
      <c r="V34" s="96"/>
      <c r="W34" s="96"/>
      <c r="X34" s="104"/>
      <c r="Y34" s="96"/>
      <c r="Z34" s="96"/>
      <c r="AA34" s="96"/>
      <c r="AB34" s="96"/>
      <c r="AC34" s="104"/>
      <c r="AD34" s="96"/>
      <c r="AE34" s="96"/>
      <c r="AF34" s="96"/>
      <c r="AG34" s="96"/>
      <c r="AH34" s="104"/>
      <c r="AI34" s="96"/>
      <c r="AJ34" s="96"/>
      <c r="AK34" s="96"/>
      <c r="AL34" s="96"/>
      <c r="AM34" s="104"/>
      <c r="AN34" s="96"/>
      <c r="AO34" s="96"/>
      <c r="AP34" s="96"/>
      <c r="AQ34" s="96"/>
      <c r="AR34" s="104"/>
      <c r="AS34" s="96"/>
      <c r="AT34" s="96"/>
      <c r="AU34" s="96"/>
      <c r="AV34" s="96"/>
      <c r="AW34" s="104"/>
      <c r="AX34" s="96"/>
      <c r="AY34" s="96"/>
      <c r="AZ34" s="96"/>
      <c r="BA34" s="96"/>
      <c r="BB34" s="290"/>
      <c r="BC34" s="96" t="s">
        <v>82</v>
      </c>
    </row>
    <row r="35" spans="1:55" s="3" customFormat="1" ht="24.75" customHeight="1">
      <c r="A35" s="417">
        <v>32</v>
      </c>
      <c r="B35" s="418" t="s">
        <v>19</v>
      </c>
      <c r="C35" s="419" t="s">
        <v>175</v>
      </c>
      <c r="D35" s="429" t="s">
        <v>176</v>
      </c>
      <c r="E35" s="241" t="s">
        <v>177</v>
      </c>
      <c r="F35" s="234">
        <f t="shared" si="3"/>
        <v>46114</v>
      </c>
      <c r="G35" s="97"/>
      <c r="H35" s="97"/>
      <c r="I35" s="111"/>
      <c r="J35" s="103"/>
      <c r="K35" s="108"/>
      <c r="L35" s="101"/>
      <c r="M35" s="101" t="s">
        <v>81</v>
      </c>
      <c r="N35" s="102"/>
      <c r="O35" s="97"/>
      <c r="P35" s="96"/>
      <c r="Q35" s="96"/>
      <c r="R35" s="98"/>
      <c r="S35" s="103"/>
      <c r="T35" s="96"/>
      <c r="U35" s="96"/>
      <c r="V35" s="96"/>
      <c r="W35" s="96"/>
      <c r="X35" s="104"/>
      <c r="Y35" s="96"/>
      <c r="Z35" s="96"/>
      <c r="AA35" s="96"/>
      <c r="AB35" s="96"/>
      <c r="AC35" s="104"/>
      <c r="AD35" s="96"/>
      <c r="AE35" s="96"/>
      <c r="AF35" s="96"/>
      <c r="AG35" s="96"/>
      <c r="AH35" s="104"/>
      <c r="AI35" s="96"/>
      <c r="AJ35" s="96"/>
      <c r="AK35" s="96"/>
      <c r="AL35" s="96"/>
      <c r="AM35" s="104"/>
      <c r="AN35" s="96"/>
      <c r="AO35" s="96"/>
      <c r="AP35" s="96"/>
      <c r="AQ35" s="96"/>
      <c r="AR35" s="104"/>
      <c r="AS35" s="96"/>
      <c r="AT35" s="96"/>
      <c r="AU35" s="96"/>
      <c r="AV35" s="96"/>
      <c r="AW35" s="104"/>
      <c r="AX35" s="96"/>
      <c r="AY35" s="96"/>
      <c r="AZ35" s="96"/>
      <c r="BA35" s="96"/>
      <c r="BB35" s="290"/>
      <c r="BC35" s="96" t="s">
        <v>82</v>
      </c>
    </row>
    <row r="36" spans="1:55" s="3" customFormat="1" ht="24.75" customHeight="1">
      <c r="A36" s="417">
        <v>33</v>
      </c>
      <c r="B36" s="418" t="s">
        <v>19</v>
      </c>
      <c r="C36" s="419" t="s">
        <v>178</v>
      </c>
      <c r="D36" s="420" t="s">
        <v>179</v>
      </c>
      <c r="E36" s="241" t="s">
        <v>180</v>
      </c>
      <c r="F36" s="234">
        <f t="shared" si="3"/>
        <v>46114</v>
      </c>
      <c r="G36" s="97"/>
      <c r="H36" s="97"/>
      <c r="I36" s="111"/>
      <c r="J36" s="103"/>
      <c r="K36" s="108"/>
      <c r="L36" s="101"/>
      <c r="M36" s="101" t="s">
        <v>81</v>
      </c>
      <c r="N36" s="102"/>
      <c r="O36" s="97"/>
      <c r="P36" s="96"/>
      <c r="Q36" s="96"/>
      <c r="R36" s="98"/>
      <c r="S36" s="103"/>
      <c r="T36" s="96"/>
      <c r="U36" s="96"/>
      <c r="V36" s="96"/>
      <c r="W36" s="96"/>
      <c r="X36" s="104"/>
      <c r="Y36" s="96"/>
      <c r="Z36" s="96"/>
      <c r="AA36" s="96"/>
      <c r="AB36" s="96"/>
      <c r="AC36" s="104"/>
      <c r="AD36" s="96"/>
      <c r="AE36" s="96"/>
      <c r="AF36" s="96"/>
      <c r="AG36" s="96"/>
      <c r="AH36" s="104"/>
      <c r="AI36" s="96"/>
      <c r="AJ36" s="96"/>
      <c r="AK36" s="96"/>
      <c r="AL36" s="96"/>
      <c r="AM36" s="104"/>
      <c r="AN36" s="96"/>
      <c r="AO36" s="96"/>
      <c r="AP36" s="96"/>
      <c r="AQ36" s="96"/>
      <c r="AR36" s="104"/>
      <c r="AS36" s="96"/>
      <c r="AT36" s="96"/>
      <c r="AU36" s="96"/>
      <c r="AV36" s="96"/>
      <c r="AW36" s="104"/>
      <c r="AX36" s="96"/>
      <c r="AY36" s="96"/>
      <c r="AZ36" s="96"/>
      <c r="BA36" s="96"/>
      <c r="BB36" s="290"/>
      <c r="BC36" s="96" t="s">
        <v>82</v>
      </c>
    </row>
    <row r="37" spans="1:55" s="3" customFormat="1" ht="24.75" customHeight="1">
      <c r="A37" s="417">
        <v>34</v>
      </c>
      <c r="B37" s="418" t="s">
        <v>19</v>
      </c>
      <c r="C37" s="419" t="s">
        <v>181</v>
      </c>
      <c r="D37" s="420" t="s">
        <v>182</v>
      </c>
      <c r="E37" s="241" t="s">
        <v>183</v>
      </c>
      <c r="F37" s="234">
        <f t="shared" si="3"/>
        <v>46114</v>
      </c>
      <c r="G37" s="97"/>
      <c r="H37" s="97"/>
      <c r="I37" s="111"/>
      <c r="J37" s="103"/>
      <c r="K37" s="108"/>
      <c r="L37" s="101"/>
      <c r="M37" s="101" t="s">
        <v>81</v>
      </c>
      <c r="N37" s="102"/>
      <c r="O37" s="97"/>
      <c r="P37" s="96"/>
      <c r="Q37" s="96"/>
      <c r="R37" s="98"/>
      <c r="S37" s="103"/>
      <c r="T37" s="96"/>
      <c r="U37" s="96"/>
      <c r="V37" s="96"/>
      <c r="W37" s="96"/>
      <c r="X37" s="104"/>
      <c r="Y37" s="96"/>
      <c r="Z37" s="96"/>
      <c r="AA37" s="96"/>
      <c r="AB37" s="96"/>
      <c r="AC37" s="104"/>
      <c r="AD37" s="96"/>
      <c r="AE37" s="96"/>
      <c r="AF37" s="96"/>
      <c r="AG37" s="96"/>
      <c r="AH37" s="104"/>
      <c r="AI37" s="96"/>
      <c r="AJ37" s="96"/>
      <c r="AK37" s="96"/>
      <c r="AL37" s="96"/>
      <c r="AM37" s="104"/>
      <c r="AN37" s="96"/>
      <c r="AO37" s="96"/>
      <c r="AP37" s="96"/>
      <c r="AQ37" s="96"/>
      <c r="AR37" s="104"/>
      <c r="AS37" s="96"/>
      <c r="AT37" s="96"/>
      <c r="AU37" s="96"/>
      <c r="AV37" s="96"/>
      <c r="AW37" s="104"/>
      <c r="AX37" s="96"/>
      <c r="AY37" s="96"/>
      <c r="AZ37" s="96"/>
      <c r="BA37" s="96"/>
      <c r="BB37" s="290"/>
      <c r="BC37" s="96" t="s">
        <v>82</v>
      </c>
    </row>
    <row r="38" spans="1:55" s="3" customFormat="1" ht="24.75" customHeight="1">
      <c r="A38" s="417">
        <v>35</v>
      </c>
      <c r="B38" s="418" t="s">
        <v>19</v>
      </c>
      <c r="C38" s="419" t="s">
        <v>184</v>
      </c>
      <c r="D38" s="420" t="s">
        <v>185</v>
      </c>
      <c r="E38" s="241" t="s">
        <v>186</v>
      </c>
      <c r="F38" s="233">
        <f>F39</f>
        <v>46065</v>
      </c>
      <c r="G38" s="97">
        <v>46048</v>
      </c>
      <c r="H38" s="214">
        <f>G38+7</f>
        <v>46055</v>
      </c>
      <c r="I38" s="311">
        <v>0</v>
      </c>
      <c r="J38" s="103" t="s">
        <v>80</v>
      </c>
      <c r="K38" s="95" t="s">
        <v>47</v>
      </c>
      <c r="L38" s="101">
        <v>46059</v>
      </c>
      <c r="M38" s="101" t="s">
        <v>81</v>
      </c>
      <c r="N38" s="465"/>
      <c r="O38" s="101">
        <v>46048</v>
      </c>
      <c r="P38" s="91">
        <v>46049</v>
      </c>
      <c r="Q38" s="91">
        <v>46052</v>
      </c>
      <c r="R38" s="98">
        <v>46059</v>
      </c>
      <c r="S38" s="103" t="s">
        <v>47</v>
      </c>
      <c r="T38" s="96"/>
      <c r="U38" s="96"/>
      <c r="V38" s="96"/>
      <c r="W38" s="96"/>
      <c r="X38" s="104"/>
      <c r="Y38" s="96"/>
      <c r="Z38" s="96"/>
      <c r="AA38" s="96"/>
      <c r="AB38" s="96"/>
      <c r="AC38" s="104"/>
      <c r="AD38" s="96"/>
      <c r="AE38" s="96"/>
      <c r="AF38" s="96"/>
      <c r="AG38" s="96"/>
      <c r="AH38" s="104"/>
      <c r="AI38" s="96"/>
      <c r="AJ38" s="96"/>
      <c r="AK38" s="96"/>
      <c r="AL38" s="96"/>
      <c r="AM38" s="104"/>
      <c r="AN38" s="96"/>
      <c r="AO38" s="96"/>
      <c r="AP38" s="96"/>
      <c r="AQ38" s="96"/>
      <c r="AR38" s="104"/>
      <c r="AS38" s="96"/>
      <c r="AT38" s="96"/>
      <c r="AU38" s="96"/>
      <c r="AV38" s="96"/>
      <c r="AW38" s="104"/>
      <c r="AX38" s="96"/>
      <c r="AY38" s="96"/>
      <c r="AZ38" s="96"/>
      <c r="BA38" s="96"/>
      <c r="BB38" s="290"/>
      <c r="BC38" s="96" t="s">
        <v>82</v>
      </c>
    </row>
    <row r="39" spans="1:55" s="3" customFormat="1" ht="24.75" customHeight="1">
      <c r="A39" s="417">
        <v>36</v>
      </c>
      <c r="B39" s="418" t="s">
        <v>19</v>
      </c>
      <c r="C39" s="419" t="s">
        <v>187</v>
      </c>
      <c r="D39" s="429" t="s">
        <v>188</v>
      </c>
      <c r="E39" s="241" t="s">
        <v>189</v>
      </c>
      <c r="F39" s="233">
        <f>F17+7</f>
        <v>46065</v>
      </c>
      <c r="G39" s="101">
        <v>46056</v>
      </c>
      <c r="H39" s="101">
        <f>G39+7</f>
        <v>46063</v>
      </c>
      <c r="I39" s="111">
        <v>0</v>
      </c>
      <c r="J39" s="103" t="s">
        <v>51</v>
      </c>
      <c r="K39" s="95" t="s">
        <v>89</v>
      </c>
      <c r="L39" s="101"/>
      <c r="M39" s="101" t="s">
        <v>81</v>
      </c>
      <c r="N39" s="431"/>
      <c r="O39" s="91">
        <v>46056</v>
      </c>
      <c r="P39" s="91">
        <v>46059</v>
      </c>
      <c r="Q39" s="91">
        <v>46062</v>
      </c>
      <c r="R39" s="91"/>
      <c r="S39" s="96"/>
      <c r="T39" s="96"/>
      <c r="U39" s="96"/>
      <c r="V39" s="96"/>
      <c r="W39" s="96"/>
      <c r="X39" s="104"/>
      <c r="Y39" s="96"/>
      <c r="Z39" s="96"/>
      <c r="AA39" s="96"/>
      <c r="AB39" s="96"/>
      <c r="AC39" s="104"/>
      <c r="AD39" s="96"/>
      <c r="AE39" s="96"/>
      <c r="AF39" s="96"/>
      <c r="AG39" s="96"/>
      <c r="AH39" s="104"/>
      <c r="AI39" s="96"/>
      <c r="AJ39" s="96"/>
      <c r="AK39" s="96"/>
      <c r="AL39" s="96"/>
      <c r="AM39" s="104"/>
      <c r="AN39" s="96"/>
      <c r="AO39" s="96"/>
      <c r="AP39" s="96"/>
      <c r="AQ39" s="96"/>
      <c r="AR39" s="104"/>
      <c r="AS39" s="96"/>
      <c r="AT39" s="96"/>
      <c r="AU39" s="96"/>
      <c r="AV39" s="96"/>
      <c r="AW39" s="104"/>
      <c r="AX39" s="96"/>
      <c r="AY39" s="96"/>
      <c r="AZ39" s="96"/>
      <c r="BA39" s="96"/>
      <c r="BB39" s="290"/>
      <c r="BC39" s="96" t="s">
        <v>82</v>
      </c>
    </row>
    <row r="40" spans="1:55" s="3" customFormat="1" ht="24.75" customHeight="1">
      <c r="A40" s="417">
        <v>37</v>
      </c>
      <c r="B40" s="418" t="s">
        <v>19</v>
      </c>
      <c r="C40" s="419" t="s">
        <v>190</v>
      </c>
      <c r="D40" s="420" t="s">
        <v>191</v>
      </c>
      <c r="E40" s="241" t="s">
        <v>192</v>
      </c>
      <c r="F40" s="233">
        <f>F39</f>
        <v>46065</v>
      </c>
      <c r="G40" s="97">
        <v>46050</v>
      </c>
      <c r="H40" s="214">
        <f>G40+7</f>
        <v>46057</v>
      </c>
      <c r="I40" s="311">
        <v>0</v>
      </c>
      <c r="J40" s="103" t="s">
        <v>51</v>
      </c>
      <c r="K40" s="95" t="s">
        <v>89</v>
      </c>
      <c r="L40" s="101"/>
      <c r="M40" s="101" t="s">
        <v>81</v>
      </c>
      <c r="N40" s="431"/>
      <c r="O40" s="97">
        <v>46050</v>
      </c>
      <c r="P40" s="91">
        <v>46053</v>
      </c>
      <c r="Q40" s="91">
        <v>46057</v>
      </c>
      <c r="R40" s="91"/>
      <c r="S40" s="96"/>
      <c r="T40" s="96"/>
      <c r="U40" s="96"/>
      <c r="V40" s="96"/>
      <c r="W40" s="96"/>
      <c r="X40" s="104"/>
      <c r="Y40" s="96"/>
      <c r="Z40" s="96"/>
      <c r="AA40" s="96"/>
      <c r="AB40" s="96"/>
      <c r="AC40" s="104"/>
      <c r="AD40" s="96"/>
      <c r="AE40" s="96"/>
      <c r="AF40" s="96"/>
      <c r="AG40" s="96"/>
      <c r="AH40" s="104"/>
      <c r="AI40" s="96"/>
      <c r="AJ40" s="96"/>
      <c r="AK40" s="96"/>
      <c r="AL40" s="96"/>
      <c r="AM40" s="104"/>
      <c r="AN40" s="96"/>
      <c r="AO40" s="96"/>
      <c r="AP40" s="96"/>
      <c r="AQ40" s="96"/>
      <c r="AR40" s="104"/>
      <c r="AS40" s="96"/>
      <c r="AT40" s="96"/>
      <c r="AU40" s="96"/>
      <c r="AV40" s="96"/>
      <c r="AW40" s="104"/>
      <c r="AX40" s="96"/>
      <c r="AY40" s="96"/>
      <c r="AZ40" s="96"/>
      <c r="BA40" s="96"/>
      <c r="BB40" s="290"/>
      <c r="BC40" s="96" t="s">
        <v>82</v>
      </c>
    </row>
    <row r="41" spans="1:55" s="3" customFormat="1" ht="24.75" customHeight="1">
      <c r="A41" s="417">
        <v>38</v>
      </c>
      <c r="B41" s="418" t="s">
        <v>19</v>
      </c>
      <c r="C41" s="419" t="s">
        <v>193</v>
      </c>
      <c r="D41" s="420" t="s">
        <v>194</v>
      </c>
      <c r="E41" s="241" t="s">
        <v>195</v>
      </c>
      <c r="F41" s="233">
        <f>F40</f>
        <v>46065</v>
      </c>
      <c r="G41" s="97"/>
      <c r="H41" s="97"/>
      <c r="I41" s="111"/>
      <c r="J41" s="103"/>
      <c r="K41" s="108"/>
      <c r="L41" s="101"/>
      <c r="M41" s="101" t="s">
        <v>81</v>
      </c>
      <c r="N41" s="431"/>
      <c r="O41" s="91"/>
      <c r="P41" s="91"/>
      <c r="Q41" s="91"/>
      <c r="R41" s="91"/>
      <c r="S41" s="96"/>
      <c r="T41" s="96"/>
      <c r="U41" s="96"/>
      <c r="V41" s="96"/>
      <c r="W41" s="96"/>
      <c r="X41" s="104"/>
      <c r="Y41" s="96"/>
      <c r="Z41" s="96"/>
      <c r="AA41" s="96"/>
      <c r="AB41" s="96"/>
      <c r="AC41" s="104"/>
      <c r="AD41" s="96"/>
      <c r="AE41" s="96"/>
      <c r="AF41" s="96"/>
      <c r="AG41" s="96"/>
      <c r="AH41" s="104"/>
      <c r="AI41" s="96"/>
      <c r="AJ41" s="96"/>
      <c r="AK41" s="96"/>
      <c r="AL41" s="96"/>
      <c r="AM41" s="104"/>
      <c r="AN41" s="96"/>
      <c r="AO41" s="96"/>
      <c r="AP41" s="96"/>
      <c r="AQ41" s="96"/>
      <c r="AR41" s="104"/>
      <c r="AS41" s="96"/>
      <c r="AT41" s="96"/>
      <c r="AU41" s="96"/>
      <c r="AV41" s="96"/>
      <c r="AW41" s="104"/>
      <c r="AX41" s="96"/>
      <c r="AY41" s="96"/>
      <c r="AZ41" s="96"/>
      <c r="BA41" s="96"/>
      <c r="BB41" s="290"/>
      <c r="BC41" s="96" t="s">
        <v>82</v>
      </c>
    </row>
    <row r="42" spans="1:55" s="3" customFormat="1" ht="24.75" customHeight="1">
      <c r="A42" s="417">
        <v>39</v>
      </c>
      <c r="B42" s="418" t="s">
        <v>19</v>
      </c>
      <c r="C42" s="419" t="s">
        <v>196</v>
      </c>
      <c r="D42" s="420" t="s">
        <v>197</v>
      </c>
      <c r="E42" s="241" t="s">
        <v>198</v>
      </c>
      <c r="F42" s="233">
        <f>F41</f>
        <v>46065</v>
      </c>
      <c r="G42" s="97"/>
      <c r="H42" s="97"/>
      <c r="I42" s="111"/>
      <c r="J42" s="103"/>
      <c r="K42" s="108"/>
      <c r="L42" s="101"/>
      <c r="M42" s="101" t="s">
        <v>81</v>
      </c>
      <c r="N42" s="431"/>
      <c r="O42" s="91"/>
      <c r="P42" s="91"/>
      <c r="Q42" s="91"/>
      <c r="R42" s="91"/>
      <c r="S42" s="96"/>
      <c r="T42" s="96"/>
      <c r="U42" s="96"/>
      <c r="V42" s="96"/>
      <c r="W42" s="96"/>
      <c r="X42" s="104"/>
      <c r="Y42" s="96"/>
      <c r="Z42" s="96"/>
      <c r="AA42" s="96"/>
      <c r="AB42" s="96"/>
      <c r="AC42" s="104"/>
      <c r="AD42" s="96"/>
      <c r="AE42" s="96"/>
      <c r="AF42" s="96"/>
      <c r="AG42" s="96"/>
      <c r="AH42" s="104"/>
      <c r="AI42" s="96"/>
      <c r="AJ42" s="96"/>
      <c r="AK42" s="96"/>
      <c r="AL42" s="96"/>
      <c r="AM42" s="104"/>
      <c r="AN42" s="96"/>
      <c r="AO42" s="96"/>
      <c r="AP42" s="96"/>
      <c r="AQ42" s="96"/>
      <c r="AR42" s="104"/>
      <c r="AS42" s="96"/>
      <c r="AT42" s="96"/>
      <c r="AU42" s="96"/>
      <c r="AV42" s="96"/>
      <c r="AW42" s="104"/>
      <c r="AX42" s="96"/>
      <c r="AY42" s="96"/>
      <c r="AZ42" s="96"/>
      <c r="BA42" s="96"/>
      <c r="BB42" s="290"/>
      <c r="BC42" s="96" t="s">
        <v>82</v>
      </c>
    </row>
    <row r="43" spans="1:55" s="3" customFormat="1" ht="24.75" customHeight="1">
      <c r="A43" s="417">
        <v>40</v>
      </c>
      <c r="B43" s="418" t="s">
        <v>19</v>
      </c>
      <c r="C43" s="419" t="s">
        <v>199</v>
      </c>
      <c r="D43" s="420" t="s">
        <v>200</v>
      </c>
      <c r="E43" s="241" t="s">
        <v>201</v>
      </c>
      <c r="F43" s="233">
        <f>F44+7</f>
        <v>46093</v>
      </c>
      <c r="G43" s="97"/>
      <c r="H43" s="97"/>
      <c r="I43" s="111"/>
      <c r="J43" s="103"/>
      <c r="K43" s="108"/>
      <c r="L43" s="101"/>
      <c r="M43" s="101" t="s">
        <v>81</v>
      </c>
      <c r="N43" s="431"/>
      <c r="O43" s="91"/>
      <c r="P43" s="91"/>
      <c r="Q43" s="91"/>
      <c r="R43" s="91"/>
      <c r="S43" s="96"/>
      <c r="T43" s="96"/>
      <c r="U43" s="96"/>
      <c r="V43" s="96"/>
      <c r="W43" s="96"/>
      <c r="X43" s="104"/>
      <c r="Y43" s="96"/>
      <c r="Z43" s="96"/>
      <c r="AA43" s="96"/>
      <c r="AB43" s="96"/>
      <c r="AC43" s="104"/>
      <c r="AD43" s="96"/>
      <c r="AE43" s="96"/>
      <c r="AF43" s="96"/>
      <c r="AG43" s="96"/>
      <c r="AH43" s="104"/>
      <c r="AI43" s="96"/>
      <c r="AJ43" s="96"/>
      <c r="AK43" s="96"/>
      <c r="AL43" s="96"/>
      <c r="AM43" s="104"/>
      <c r="AN43" s="96"/>
      <c r="AO43" s="96"/>
      <c r="AP43" s="96"/>
      <c r="AQ43" s="96"/>
      <c r="AR43" s="104"/>
      <c r="AS43" s="96"/>
      <c r="AT43" s="96"/>
      <c r="AU43" s="96"/>
      <c r="AV43" s="96"/>
      <c r="AW43" s="104"/>
      <c r="AX43" s="96"/>
      <c r="AY43" s="96"/>
      <c r="AZ43" s="96"/>
      <c r="BA43" s="96"/>
      <c r="BB43" s="290"/>
      <c r="BC43" s="96" t="s">
        <v>82</v>
      </c>
    </row>
    <row r="44" spans="1:55" s="3" customFormat="1" ht="24.75" customHeight="1">
      <c r="A44" s="417">
        <v>41</v>
      </c>
      <c r="B44" s="418" t="s">
        <v>19</v>
      </c>
      <c r="C44" s="419" t="s">
        <v>202</v>
      </c>
      <c r="D44" s="420" t="s">
        <v>203</v>
      </c>
      <c r="E44" s="241" t="s">
        <v>204</v>
      </c>
      <c r="F44" s="233">
        <f>F58</f>
        <v>46086</v>
      </c>
      <c r="G44" s="97"/>
      <c r="H44" s="97"/>
      <c r="I44" s="111"/>
      <c r="J44" s="103"/>
      <c r="K44" s="108"/>
      <c r="L44" s="101"/>
      <c r="M44" s="101" t="s">
        <v>81</v>
      </c>
      <c r="N44" s="431"/>
      <c r="O44" s="91"/>
      <c r="P44" s="91"/>
      <c r="Q44" s="91"/>
      <c r="R44" s="91"/>
      <c r="S44" s="96"/>
      <c r="T44" s="96"/>
      <c r="U44" s="96"/>
      <c r="V44" s="96"/>
      <c r="W44" s="96"/>
      <c r="X44" s="104"/>
      <c r="Y44" s="96"/>
      <c r="Z44" s="96"/>
      <c r="AA44" s="96"/>
      <c r="AB44" s="96"/>
      <c r="AC44" s="104"/>
      <c r="AD44" s="96"/>
      <c r="AE44" s="96"/>
      <c r="AF44" s="96"/>
      <c r="AG44" s="96"/>
      <c r="AH44" s="104"/>
      <c r="AI44" s="96"/>
      <c r="AJ44" s="96"/>
      <c r="AK44" s="96"/>
      <c r="AL44" s="96"/>
      <c r="AM44" s="104"/>
      <c r="AN44" s="96"/>
      <c r="AO44" s="96"/>
      <c r="AP44" s="96"/>
      <c r="AQ44" s="96"/>
      <c r="AR44" s="104"/>
      <c r="AS44" s="96"/>
      <c r="AT44" s="96"/>
      <c r="AU44" s="96"/>
      <c r="AV44" s="96"/>
      <c r="AW44" s="104"/>
      <c r="AX44" s="96"/>
      <c r="AY44" s="96"/>
      <c r="AZ44" s="96"/>
      <c r="BA44" s="96"/>
      <c r="BB44" s="290"/>
      <c r="BC44" s="96" t="s">
        <v>82</v>
      </c>
    </row>
    <row r="45" spans="1:55" s="3" customFormat="1" ht="24.75" customHeight="1">
      <c r="A45" s="417">
        <v>42</v>
      </c>
      <c r="B45" s="418" t="s">
        <v>19</v>
      </c>
      <c r="C45" s="419" t="s">
        <v>205</v>
      </c>
      <c r="D45" s="420" t="s">
        <v>206</v>
      </c>
      <c r="E45" s="241" t="s">
        <v>207</v>
      </c>
      <c r="F45" s="233">
        <f>F44</f>
        <v>46086</v>
      </c>
      <c r="G45" s="97"/>
      <c r="H45" s="97"/>
      <c r="I45" s="111"/>
      <c r="J45" s="103"/>
      <c r="K45" s="108"/>
      <c r="L45" s="101"/>
      <c r="M45" s="101" t="s">
        <v>81</v>
      </c>
      <c r="N45" s="431"/>
      <c r="O45" s="91"/>
      <c r="P45" s="91"/>
      <c r="Q45" s="91"/>
      <c r="R45" s="91"/>
      <c r="S45" s="96"/>
      <c r="T45" s="96"/>
      <c r="U45" s="96"/>
      <c r="V45" s="96"/>
      <c r="W45" s="96"/>
      <c r="X45" s="104"/>
      <c r="Y45" s="96"/>
      <c r="Z45" s="96"/>
      <c r="AA45" s="96"/>
      <c r="AB45" s="96"/>
      <c r="AC45" s="104"/>
      <c r="AD45" s="96"/>
      <c r="AE45" s="96"/>
      <c r="AF45" s="96"/>
      <c r="AG45" s="96"/>
      <c r="AH45" s="104"/>
      <c r="AI45" s="96"/>
      <c r="AJ45" s="96"/>
      <c r="AK45" s="96"/>
      <c r="AL45" s="96"/>
      <c r="AM45" s="104"/>
      <c r="AN45" s="96"/>
      <c r="AO45" s="96"/>
      <c r="AP45" s="96"/>
      <c r="AQ45" s="96"/>
      <c r="AR45" s="104"/>
      <c r="AS45" s="96"/>
      <c r="AT45" s="96"/>
      <c r="AU45" s="96"/>
      <c r="AV45" s="96"/>
      <c r="AW45" s="104"/>
      <c r="AX45" s="96"/>
      <c r="AY45" s="96"/>
      <c r="AZ45" s="96"/>
      <c r="BA45" s="96"/>
      <c r="BB45" s="290"/>
      <c r="BC45" s="96" t="s">
        <v>82</v>
      </c>
    </row>
    <row r="46" spans="1:55" s="3" customFormat="1" ht="24.75" customHeight="1">
      <c r="A46" s="417">
        <v>43</v>
      </c>
      <c r="B46" s="418" t="s">
        <v>19</v>
      </c>
      <c r="C46" s="419" t="s">
        <v>208</v>
      </c>
      <c r="D46" s="420" t="s">
        <v>209</v>
      </c>
      <c r="E46" s="241" t="s">
        <v>210</v>
      </c>
      <c r="F46" s="233">
        <f>F47+7</f>
        <v>46107</v>
      </c>
      <c r="G46" s="97"/>
      <c r="H46" s="125"/>
      <c r="I46" s="97"/>
      <c r="J46" s="103"/>
      <c r="K46" s="108"/>
      <c r="L46" s="101"/>
      <c r="M46" s="101" t="s">
        <v>81</v>
      </c>
      <c r="N46" s="431"/>
      <c r="O46" s="91"/>
      <c r="P46" s="91"/>
      <c r="Q46" s="91"/>
      <c r="R46" s="91"/>
      <c r="S46" s="96"/>
      <c r="T46" s="96"/>
      <c r="U46" s="96"/>
      <c r="V46" s="96"/>
      <c r="W46" s="96"/>
      <c r="X46" s="104"/>
      <c r="Y46" s="96"/>
      <c r="Z46" s="96"/>
      <c r="AA46" s="96"/>
      <c r="AB46" s="96"/>
      <c r="AC46" s="104"/>
      <c r="AD46" s="96"/>
      <c r="AE46" s="96"/>
      <c r="AF46" s="96"/>
      <c r="AG46" s="96"/>
      <c r="AH46" s="104"/>
      <c r="AI46" s="96"/>
      <c r="AJ46" s="96"/>
      <c r="AK46" s="96"/>
      <c r="AL46" s="96"/>
      <c r="AM46" s="104"/>
      <c r="AN46" s="96"/>
      <c r="AO46" s="96"/>
      <c r="AP46" s="96"/>
      <c r="AQ46" s="96"/>
      <c r="AR46" s="104"/>
      <c r="AS46" s="96"/>
      <c r="AT46" s="96"/>
      <c r="AU46" s="96"/>
      <c r="AV46" s="96"/>
      <c r="AW46" s="104"/>
      <c r="AX46" s="96"/>
      <c r="AY46" s="96"/>
      <c r="AZ46" s="96"/>
      <c r="BA46" s="96"/>
      <c r="BB46" s="290"/>
      <c r="BC46" s="96" t="s">
        <v>82</v>
      </c>
    </row>
    <row r="47" spans="1:55" s="3" customFormat="1" ht="24.75" customHeight="1">
      <c r="A47" s="417">
        <v>44</v>
      </c>
      <c r="B47" s="418" t="s">
        <v>19</v>
      </c>
      <c r="C47" s="419" t="s">
        <v>211</v>
      </c>
      <c r="D47" s="420" t="s">
        <v>212</v>
      </c>
      <c r="E47" s="241" t="s">
        <v>213</v>
      </c>
      <c r="F47" s="233">
        <f>F45+14</f>
        <v>46100</v>
      </c>
      <c r="G47" s="97"/>
      <c r="H47" s="97"/>
      <c r="I47" s="111"/>
      <c r="J47" s="103"/>
      <c r="K47" s="108"/>
      <c r="L47" s="101"/>
      <c r="M47" s="101" t="s">
        <v>81</v>
      </c>
      <c r="N47" s="431"/>
      <c r="O47" s="91"/>
      <c r="P47" s="91"/>
      <c r="Q47" s="91"/>
      <c r="R47" s="91"/>
      <c r="S47" s="96"/>
      <c r="T47" s="96"/>
      <c r="U47" s="96"/>
      <c r="V47" s="96"/>
      <c r="W47" s="96"/>
      <c r="X47" s="104"/>
      <c r="Y47" s="96"/>
      <c r="Z47" s="96"/>
      <c r="AA47" s="96"/>
      <c r="AB47" s="96"/>
      <c r="AC47" s="104"/>
      <c r="AD47" s="96"/>
      <c r="AE47" s="96"/>
      <c r="AF47" s="96"/>
      <c r="AG47" s="96"/>
      <c r="AH47" s="104"/>
      <c r="AI47" s="96"/>
      <c r="AJ47" s="96"/>
      <c r="AK47" s="96"/>
      <c r="AL47" s="96"/>
      <c r="AM47" s="104"/>
      <c r="AN47" s="96"/>
      <c r="AO47" s="96"/>
      <c r="AP47" s="96"/>
      <c r="AQ47" s="96"/>
      <c r="AR47" s="104"/>
      <c r="AS47" s="96"/>
      <c r="AT47" s="96"/>
      <c r="AU47" s="96"/>
      <c r="AV47" s="96"/>
      <c r="AW47" s="104"/>
      <c r="AX47" s="96"/>
      <c r="AY47" s="96"/>
      <c r="AZ47" s="96"/>
      <c r="BA47" s="96"/>
      <c r="BB47" s="290"/>
      <c r="BC47" s="96" t="s">
        <v>82</v>
      </c>
    </row>
    <row r="48" spans="1:55" s="3" customFormat="1" ht="24.75" customHeight="1">
      <c r="A48" s="417">
        <v>45</v>
      </c>
      <c r="B48" s="418" t="s">
        <v>19</v>
      </c>
      <c r="C48" s="419" t="s">
        <v>214</v>
      </c>
      <c r="D48" s="420" t="s">
        <v>215</v>
      </c>
      <c r="E48" s="241" t="s">
        <v>216</v>
      </c>
      <c r="F48" s="233">
        <v>46112</v>
      </c>
      <c r="G48" s="97"/>
      <c r="H48" s="97"/>
      <c r="I48" s="111"/>
      <c r="J48" s="103"/>
      <c r="K48" s="108"/>
      <c r="L48" s="101"/>
      <c r="M48" s="101" t="s">
        <v>81</v>
      </c>
      <c r="N48" s="431"/>
      <c r="O48" s="91"/>
      <c r="P48" s="91"/>
      <c r="Q48" s="91"/>
      <c r="R48" s="91"/>
      <c r="S48" s="96"/>
      <c r="T48" s="96"/>
      <c r="U48" s="96"/>
      <c r="V48" s="96"/>
      <c r="W48" s="96"/>
      <c r="X48" s="104"/>
      <c r="Y48" s="96"/>
      <c r="Z48" s="96"/>
      <c r="AA48" s="96"/>
      <c r="AB48" s="96"/>
      <c r="AC48" s="104"/>
      <c r="AD48" s="96"/>
      <c r="AE48" s="96"/>
      <c r="AF48" s="96"/>
      <c r="AG48" s="96"/>
      <c r="AH48" s="104"/>
      <c r="AI48" s="96"/>
      <c r="AJ48" s="96"/>
      <c r="AK48" s="96"/>
      <c r="AL48" s="96"/>
      <c r="AM48" s="104"/>
      <c r="AN48" s="96"/>
      <c r="AO48" s="96"/>
      <c r="AP48" s="96"/>
      <c r="AQ48" s="96"/>
      <c r="AR48" s="104"/>
      <c r="AS48" s="96"/>
      <c r="AT48" s="96"/>
      <c r="AU48" s="96"/>
      <c r="AV48" s="96"/>
      <c r="AW48" s="104"/>
      <c r="AX48" s="96"/>
      <c r="AY48" s="96"/>
      <c r="AZ48" s="96"/>
      <c r="BA48" s="96"/>
      <c r="BB48" s="290"/>
      <c r="BC48" s="96" t="s">
        <v>82</v>
      </c>
    </row>
    <row r="49" spans="1:55" s="3" customFormat="1" ht="24.75" customHeight="1">
      <c r="A49" s="417">
        <v>46</v>
      </c>
      <c r="B49" s="418" t="s">
        <v>19</v>
      </c>
      <c r="C49" s="419" t="s">
        <v>217</v>
      </c>
      <c r="D49" s="425" t="s">
        <v>218</v>
      </c>
      <c r="E49" s="241" t="s">
        <v>219</v>
      </c>
      <c r="F49" s="234">
        <f>F47+7</f>
        <v>46107</v>
      </c>
      <c r="G49" s="97"/>
      <c r="H49" s="97"/>
      <c r="I49" s="111"/>
      <c r="J49" s="103"/>
      <c r="K49" s="108"/>
      <c r="L49" s="101"/>
      <c r="M49" s="101" t="s">
        <v>81</v>
      </c>
      <c r="N49" s="431"/>
      <c r="O49" s="91"/>
      <c r="P49" s="91"/>
      <c r="Q49" s="91"/>
      <c r="R49" s="91"/>
      <c r="S49" s="96"/>
      <c r="T49" s="96"/>
      <c r="U49" s="96"/>
      <c r="V49" s="96"/>
      <c r="W49" s="96"/>
      <c r="X49" s="104"/>
      <c r="Y49" s="96"/>
      <c r="Z49" s="96"/>
      <c r="AA49" s="96"/>
      <c r="AB49" s="96"/>
      <c r="AC49" s="104"/>
      <c r="AD49" s="96"/>
      <c r="AE49" s="96"/>
      <c r="AF49" s="96"/>
      <c r="AG49" s="96"/>
      <c r="AH49" s="104"/>
      <c r="AI49" s="96"/>
      <c r="AJ49" s="96"/>
      <c r="AK49" s="96"/>
      <c r="AL49" s="96"/>
      <c r="AM49" s="104"/>
      <c r="AN49" s="96"/>
      <c r="AO49" s="96"/>
      <c r="AP49" s="96"/>
      <c r="AQ49" s="96"/>
      <c r="AR49" s="104"/>
      <c r="AS49" s="96"/>
      <c r="AT49" s="96"/>
      <c r="AU49" s="96"/>
      <c r="AV49" s="96"/>
      <c r="AW49" s="104"/>
      <c r="AX49" s="96"/>
      <c r="AY49" s="96"/>
      <c r="AZ49" s="96"/>
      <c r="BA49" s="96"/>
      <c r="BB49" s="290"/>
      <c r="BC49" s="96" t="s">
        <v>82</v>
      </c>
    </row>
    <row r="50" spans="1:55" s="3" customFormat="1" ht="24.75" customHeight="1">
      <c r="A50" s="417">
        <v>47</v>
      </c>
      <c r="B50" s="418" t="s">
        <v>19</v>
      </c>
      <c r="C50" s="419" t="s">
        <v>220</v>
      </c>
      <c r="D50" s="420" t="s">
        <v>221</v>
      </c>
      <c r="E50" s="241" t="s">
        <v>222</v>
      </c>
      <c r="F50" s="234">
        <f>F52+14</f>
        <v>46065</v>
      </c>
      <c r="G50" s="97"/>
      <c r="H50" s="97"/>
      <c r="I50" s="111"/>
      <c r="J50" s="103"/>
      <c r="K50" s="108"/>
      <c r="L50" s="101"/>
      <c r="M50" s="101" t="s">
        <v>81</v>
      </c>
      <c r="N50" s="431"/>
      <c r="O50" s="91"/>
      <c r="P50" s="91"/>
      <c r="Q50" s="91"/>
      <c r="R50" s="91"/>
      <c r="S50" s="96"/>
      <c r="T50" s="96"/>
      <c r="U50" s="96"/>
      <c r="V50" s="96"/>
      <c r="W50" s="96"/>
      <c r="X50" s="104"/>
      <c r="Y50" s="96"/>
      <c r="Z50" s="96"/>
      <c r="AA50" s="96"/>
      <c r="AB50" s="96"/>
      <c r="AC50" s="104"/>
      <c r="AD50" s="96"/>
      <c r="AE50" s="96"/>
      <c r="AF50" s="96"/>
      <c r="AG50" s="96"/>
      <c r="AH50" s="104"/>
      <c r="AI50" s="96"/>
      <c r="AJ50" s="96"/>
      <c r="AK50" s="96"/>
      <c r="AL50" s="96"/>
      <c r="AM50" s="104"/>
      <c r="AN50" s="96"/>
      <c r="AO50" s="96"/>
      <c r="AP50" s="96"/>
      <c r="AQ50" s="96"/>
      <c r="AR50" s="104"/>
      <c r="AS50" s="96"/>
      <c r="AT50" s="96"/>
      <c r="AU50" s="96"/>
      <c r="AV50" s="96"/>
      <c r="AW50" s="104"/>
      <c r="AX50" s="96"/>
      <c r="AY50" s="96"/>
      <c r="AZ50" s="96"/>
      <c r="BA50" s="96"/>
      <c r="BB50" s="290"/>
      <c r="BC50" s="96" t="s">
        <v>82</v>
      </c>
    </row>
    <row r="51" spans="1:55" s="58" customFormat="1" ht="24.75" customHeight="1">
      <c r="A51" s="417">
        <v>48</v>
      </c>
      <c r="B51" s="418" t="s">
        <v>19</v>
      </c>
      <c r="C51" s="419" t="s">
        <v>223</v>
      </c>
      <c r="D51" s="424" t="s">
        <v>224</v>
      </c>
      <c r="E51" s="241" t="s">
        <v>225</v>
      </c>
      <c r="F51" s="234">
        <f>F50</f>
        <v>46065</v>
      </c>
      <c r="G51" s="97"/>
      <c r="H51" s="97"/>
      <c r="I51" s="111"/>
      <c r="J51" s="103"/>
      <c r="K51" s="108"/>
      <c r="L51" s="101"/>
      <c r="M51" s="101" t="s">
        <v>81</v>
      </c>
      <c r="N51" s="431"/>
      <c r="O51" s="91"/>
      <c r="P51" s="115"/>
      <c r="Q51" s="115"/>
      <c r="R51" s="116"/>
      <c r="S51" s="103"/>
      <c r="T51" s="106"/>
      <c r="U51" s="106"/>
      <c r="V51" s="106"/>
      <c r="W51" s="106"/>
      <c r="X51" s="107"/>
      <c r="Y51" s="106"/>
      <c r="Z51" s="106"/>
      <c r="AA51" s="106"/>
      <c r="AB51" s="106"/>
      <c r="AC51" s="107"/>
      <c r="AD51" s="106"/>
      <c r="AE51" s="106"/>
      <c r="AF51" s="106"/>
      <c r="AG51" s="106"/>
      <c r="AH51" s="107"/>
      <c r="AI51" s="106"/>
      <c r="AJ51" s="106"/>
      <c r="AK51" s="106"/>
      <c r="AL51" s="106"/>
      <c r="AM51" s="107"/>
      <c r="AN51" s="106"/>
      <c r="AO51" s="106"/>
      <c r="AP51" s="106"/>
      <c r="AQ51" s="106"/>
      <c r="AR51" s="107"/>
      <c r="AS51" s="106"/>
      <c r="AT51" s="106"/>
      <c r="AU51" s="106"/>
      <c r="AV51" s="106"/>
      <c r="AW51" s="107"/>
      <c r="AX51" s="106"/>
      <c r="AY51" s="106"/>
      <c r="AZ51" s="106"/>
      <c r="BA51" s="106"/>
      <c r="BB51" s="293"/>
      <c r="BC51" s="96" t="s">
        <v>82</v>
      </c>
    </row>
    <row r="52" spans="1:55" s="58" customFormat="1" ht="24.75" customHeight="1">
      <c r="A52" s="417">
        <v>49</v>
      </c>
      <c r="B52" s="418" t="s">
        <v>19</v>
      </c>
      <c r="C52" s="419" t="s">
        <v>226</v>
      </c>
      <c r="D52" s="420" t="s">
        <v>227</v>
      </c>
      <c r="E52" s="241" t="s">
        <v>228</v>
      </c>
      <c r="F52" s="234">
        <f>F21</f>
        <v>46051</v>
      </c>
      <c r="G52" s="97">
        <v>46045</v>
      </c>
      <c r="H52" s="214">
        <f>G52+7</f>
        <v>46052</v>
      </c>
      <c r="I52" s="311">
        <v>0</v>
      </c>
      <c r="J52" s="103" t="s">
        <v>80</v>
      </c>
      <c r="K52" s="95" t="s">
        <v>47</v>
      </c>
      <c r="L52" s="101">
        <v>46059</v>
      </c>
      <c r="M52" s="101" t="s">
        <v>81</v>
      </c>
      <c r="N52" s="465"/>
      <c r="O52" s="101">
        <v>46045</v>
      </c>
      <c r="P52" s="115">
        <v>46049</v>
      </c>
      <c r="Q52" s="97">
        <v>46052</v>
      </c>
      <c r="R52" s="98">
        <v>46059</v>
      </c>
      <c r="S52" s="103" t="s">
        <v>47</v>
      </c>
      <c r="T52" s="96"/>
      <c r="U52" s="106"/>
      <c r="V52" s="106"/>
      <c r="W52" s="106"/>
      <c r="X52" s="107"/>
      <c r="Y52" s="106"/>
      <c r="Z52" s="106"/>
      <c r="AA52" s="106"/>
      <c r="AB52" s="106"/>
      <c r="AC52" s="107"/>
      <c r="AD52" s="106"/>
      <c r="AE52" s="106"/>
      <c r="AF52" s="106"/>
      <c r="AG52" s="106"/>
      <c r="AH52" s="107"/>
      <c r="AI52" s="106"/>
      <c r="AJ52" s="106"/>
      <c r="AK52" s="106"/>
      <c r="AL52" s="106"/>
      <c r="AM52" s="107"/>
      <c r="AN52" s="106"/>
      <c r="AO52" s="106"/>
      <c r="AP52" s="106"/>
      <c r="AQ52" s="106"/>
      <c r="AR52" s="107"/>
      <c r="AS52" s="106"/>
      <c r="AT52" s="106"/>
      <c r="AU52" s="106"/>
      <c r="AV52" s="106"/>
      <c r="AW52" s="107"/>
      <c r="AX52" s="106"/>
      <c r="AY52" s="106"/>
      <c r="AZ52" s="106"/>
      <c r="BA52" s="106"/>
      <c r="BB52" s="293"/>
      <c r="BC52" s="96" t="s">
        <v>82</v>
      </c>
    </row>
    <row r="53" spans="1:55" s="3" customFormat="1" ht="24.75" customHeight="1">
      <c r="A53" s="417">
        <v>50</v>
      </c>
      <c r="B53" s="418" t="s">
        <v>19</v>
      </c>
      <c r="C53" s="419" t="s">
        <v>229</v>
      </c>
      <c r="D53" s="420" t="s">
        <v>230</v>
      </c>
      <c r="E53" s="241" t="s">
        <v>231</v>
      </c>
      <c r="F53" s="234">
        <f>F52</f>
        <v>46051</v>
      </c>
      <c r="G53" s="97">
        <v>46048</v>
      </c>
      <c r="H53" s="214">
        <f>G53+7</f>
        <v>46055</v>
      </c>
      <c r="I53" s="311">
        <v>0</v>
      </c>
      <c r="J53" s="103" t="s">
        <v>80</v>
      </c>
      <c r="K53" s="95" t="s">
        <v>47</v>
      </c>
      <c r="L53" s="101">
        <v>46059</v>
      </c>
      <c r="M53" s="101" t="s">
        <v>81</v>
      </c>
      <c r="N53" s="465"/>
      <c r="O53" s="101">
        <v>46048</v>
      </c>
      <c r="P53" s="115">
        <v>46049</v>
      </c>
      <c r="Q53" s="97">
        <v>46052</v>
      </c>
      <c r="R53" s="98">
        <v>46059</v>
      </c>
      <c r="S53" s="103" t="s">
        <v>47</v>
      </c>
      <c r="T53" s="96"/>
      <c r="U53" s="96"/>
      <c r="V53" s="96"/>
      <c r="W53" s="96"/>
      <c r="X53" s="104"/>
      <c r="Y53" s="96"/>
      <c r="Z53" s="96"/>
      <c r="AA53" s="96"/>
      <c r="AB53" s="96"/>
      <c r="AC53" s="104"/>
      <c r="AD53" s="96"/>
      <c r="AE53" s="96"/>
      <c r="AF53" s="96"/>
      <c r="AG53" s="96"/>
      <c r="AH53" s="104"/>
      <c r="AI53" s="96"/>
      <c r="AJ53" s="96"/>
      <c r="AK53" s="96"/>
      <c r="AL53" s="96"/>
      <c r="AM53" s="104"/>
      <c r="AN53" s="96"/>
      <c r="AO53" s="96"/>
      <c r="AP53" s="96"/>
      <c r="AQ53" s="96"/>
      <c r="AR53" s="104"/>
      <c r="AS53" s="96"/>
      <c r="AT53" s="96"/>
      <c r="AU53" s="96"/>
      <c r="AV53" s="96"/>
      <c r="AW53" s="104"/>
      <c r="AX53" s="96"/>
      <c r="AY53" s="96"/>
      <c r="AZ53" s="96"/>
      <c r="BA53" s="96"/>
      <c r="BB53" s="290"/>
      <c r="BC53" s="96" t="s">
        <v>82</v>
      </c>
    </row>
    <row r="54" spans="1:55" s="3" customFormat="1" ht="24.75" customHeight="1">
      <c r="A54" s="417">
        <v>51</v>
      </c>
      <c r="B54" s="418" t="s">
        <v>19</v>
      </c>
      <c r="C54" s="419" t="s">
        <v>232</v>
      </c>
      <c r="D54" s="420" t="s">
        <v>233</v>
      </c>
      <c r="E54" s="241" t="s">
        <v>234</v>
      </c>
      <c r="F54" s="234">
        <f>F57</f>
        <v>46086</v>
      </c>
      <c r="G54" s="612">
        <v>46048</v>
      </c>
      <c r="H54" s="214">
        <f>G54+7</f>
        <v>46055</v>
      </c>
      <c r="I54" s="311">
        <v>0</v>
      </c>
      <c r="J54" s="103" t="s">
        <v>80</v>
      </c>
      <c r="K54" s="95" t="s">
        <v>47</v>
      </c>
      <c r="L54" s="101">
        <v>46059</v>
      </c>
      <c r="M54" s="613" t="s">
        <v>81</v>
      </c>
      <c r="N54" s="614"/>
      <c r="O54" s="101">
        <v>46048</v>
      </c>
      <c r="P54" s="115">
        <v>46049</v>
      </c>
      <c r="Q54" s="97">
        <v>46052</v>
      </c>
      <c r="R54" s="98">
        <v>46059</v>
      </c>
      <c r="S54" s="103" t="s">
        <v>47</v>
      </c>
      <c r="T54" s="96"/>
      <c r="U54" s="96"/>
      <c r="V54" s="96"/>
      <c r="W54" s="96"/>
      <c r="X54" s="104"/>
      <c r="Y54" s="96"/>
      <c r="Z54" s="96"/>
      <c r="AA54" s="96"/>
      <c r="AB54" s="96"/>
      <c r="AC54" s="104"/>
      <c r="AD54" s="96"/>
      <c r="AE54" s="96"/>
      <c r="AF54" s="96"/>
      <c r="AG54" s="96"/>
      <c r="AH54" s="104"/>
      <c r="AI54" s="96"/>
      <c r="AJ54" s="96"/>
      <c r="AK54" s="96"/>
      <c r="AL54" s="96"/>
      <c r="AM54" s="104"/>
      <c r="AN54" s="96"/>
      <c r="AO54" s="96"/>
      <c r="AP54" s="96"/>
      <c r="AQ54" s="96"/>
      <c r="AR54" s="104"/>
      <c r="AS54" s="96"/>
      <c r="AT54" s="96"/>
      <c r="AU54" s="96"/>
      <c r="AV54" s="96"/>
      <c r="AW54" s="104"/>
      <c r="AX54" s="96"/>
      <c r="AY54" s="96"/>
      <c r="AZ54" s="96"/>
      <c r="BA54" s="96"/>
      <c r="BB54" s="290"/>
      <c r="BC54" s="96" t="s">
        <v>82</v>
      </c>
    </row>
    <row r="55" spans="1:55" s="3" customFormat="1" ht="24.75" customHeight="1">
      <c r="A55" s="417">
        <v>52</v>
      </c>
      <c r="B55" s="418" t="s">
        <v>19</v>
      </c>
      <c r="C55" s="419" t="s">
        <v>235</v>
      </c>
      <c r="D55" s="420" t="s">
        <v>236</v>
      </c>
      <c r="E55" s="241" t="s">
        <v>237</v>
      </c>
      <c r="F55" s="272">
        <f>F54+14</f>
        <v>46100</v>
      </c>
      <c r="G55" s="101"/>
      <c r="H55" s="101"/>
      <c r="I55" s="111"/>
      <c r="J55" s="103"/>
      <c r="K55" s="108"/>
      <c r="L55" s="113"/>
      <c r="M55" s="613" t="s">
        <v>81</v>
      </c>
      <c r="N55" s="102"/>
      <c r="O55" s="101"/>
      <c r="P55" s="91"/>
      <c r="Q55" s="91"/>
      <c r="R55" s="91"/>
      <c r="S55" s="103"/>
      <c r="T55" s="96"/>
      <c r="U55" s="96"/>
      <c r="V55" s="96"/>
      <c r="W55" s="96"/>
      <c r="X55" s="104"/>
      <c r="Y55" s="96"/>
      <c r="Z55" s="96"/>
      <c r="AA55" s="96"/>
      <c r="AB55" s="96"/>
      <c r="AC55" s="104"/>
      <c r="AD55" s="96"/>
      <c r="AE55" s="96"/>
      <c r="AF55" s="96"/>
      <c r="AG55" s="96"/>
      <c r="AH55" s="104"/>
      <c r="AI55" s="96"/>
      <c r="AJ55" s="96"/>
      <c r="AK55" s="96"/>
      <c r="AL55" s="96"/>
      <c r="AM55" s="104"/>
      <c r="AN55" s="96"/>
      <c r="AO55" s="96"/>
      <c r="AP55" s="96"/>
      <c r="AQ55" s="96"/>
      <c r="AR55" s="104"/>
      <c r="AS55" s="96"/>
      <c r="AT55" s="96"/>
      <c r="AU55" s="96"/>
      <c r="AV55" s="96"/>
      <c r="AW55" s="104"/>
      <c r="AX55" s="96"/>
      <c r="AY55" s="96"/>
      <c r="AZ55" s="96"/>
      <c r="BA55" s="96"/>
      <c r="BB55" s="290"/>
      <c r="BC55" s="96" t="s">
        <v>82</v>
      </c>
    </row>
    <row r="56" spans="1:55" s="3" customFormat="1" ht="24.75" customHeight="1">
      <c r="A56" s="417">
        <v>53</v>
      </c>
      <c r="B56" s="418" t="s">
        <v>19</v>
      </c>
      <c r="C56" s="419" t="s">
        <v>238</v>
      </c>
      <c r="D56" s="420" t="s">
        <v>239</v>
      </c>
      <c r="E56" s="241" t="s">
        <v>240</v>
      </c>
      <c r="F56" s="235">
        <f>F53+7</f>
        <v>46058</v>
      </c>
      <c r="G56" s="101"/>
      <c r="H56" s="97"/>
      <c r="I56" s="111"/>
      <c r="J56" s="103"/>
      <c r="K56" s="108"/>
      <c r="L56" s="113"/>
      <c r="M56" s="613" t="s">
        <v>81</v>
      </c>
      <c r="N56" s="102"/>
      <c r="O56" s="101"/>
      <c r="P56" s="91"/>
      <c r="Q56" s="91"/>
      <c r="R56" s="91"/>
      <c r="S56" s="103"/>
      <c r="T56" s="96"/>
      <c r="U56" s="96"/>
      <c r="V56" s="96"/>
      <c r="W56" s="96"/>
      <c r="X56" s="104"/>
      <c r="Y56" s="96"/>
      <c r="Z56" s="96"/>
      <c r="AA56" s="96"/>
      <c r="AB56" s="96"/>
      <c r="AC56" s="104"/>
      <c r="AD56" s="96"/>
      <c r="AE56" s="96"/>
      <c r="AF56" s="96"/>
      <c r="AG56" s="96"/>
      <c r="AH56" s="104"/>
      <c r="AI56" s="96"/>
      <c r="AJ56" s="96"/>
      <c r="AK56" s="96"/>
      <c r="AL56" s="96"/>
      <c r="AM56" s="104"/>
      <c r="AN56" s="96"/>
      <c r="AO56" s="96"/>
      <c r="AP56" s="96"/>
      <c r="AQ56" s="96"/>
      <c r="AR56" s="104"/>
      <c r="AS56" s="96"/>
      <c r="AT56" s="96"/>
      <c r="AU56" s="96"/>
      <c r="AV56" s="96"/>
      <c r="AW56" s="104"/>
      <c r="AX56" s="96"/>
      <c r="AY56" s="96"/>
      <c r="AZ56" s="96"/>
      <c r="BA56" s="96"/>
      <c r="BB56" s="290"/>
      <c r="BC56" s="96" t="s">
        <v>82</v>
      </c>
    </row>
    <row r="57" spans="1:55" s="3" customFormat="1" ht="24.75" customHeight="1">
      <c r="A57" s="417">
        <v>54</v>
      </c>
      <c r="B57" s="418" t="s">
        <v>19</v>
      </c>
      <c r="C57" s="419" t="s">
        <v>241</v>
      </c>
      <c r="D57" s="420" t="s">
        <v>242</v>
      </c>
      <c r="E57" s="241" t="s">
        <v>243</v>
      </c>
      <c r="F57" s="234">
        <f>F58</f>
        <v>46086</v>
      </c>
      <c r="G57" s="97"/>
      <c r="H57" s="97"/>
      <c r="I57" s="111"/>
      <c r="J57" s="103"/>
      <c r="K57" s="108"/>
      <c r="L57" s="101"/>
      <c r="M57" s="101" t="s">
        <v>81</v>
      </c>
      <c r="N57" s="102"/>
      <c r="O57" s="97"/>
      <c r="P57" s="91"/>
      <c r="Q57" s="91"/>
      <c r="R57" s="97"/>
      <c r="S57" s="96"/>
      <c r="T57" s="96"/>
      <c r="U57" s="96"/>
      <c r="V57" s="96"/>
      <c r="W57" s="96"/>
      <c r="X57" s="104"/>
      <c r="Y57" s="96"/>
      <c r="Z57" s="96"/>
      <c r="AA57" s="96"/>
      <c r="AB57" s="96"/>
      <c r="AC57" s="104"/>
      <c r="AD57" s="96"/>
      <c r="AE57" s="96"/>
      <c r="AF57" s="96"/>
      <c r="AG57" s="96"/>
      <c r="AH57" s="104"/>
      <c r="AI57" s="96"/>
      <c r="AJ57" s="96"/>
      <c r="AK57" s="96"/>
      <c r="AL57" s="96"/>
      <c r="AM57" s="104"/>
      <c r="AN57" s="96"/>
      <c r="AO57" s="96"/>
      <c r="AP57" s="96"/>
      <c r="AQ57" s="96"/>
      <c r="AR57" s="104"/>
      <c r="AS57" s="96"/>
      <c r="AT57" s="96"/>
      <c r="AU57" s="96"/>
      <c r="AV57" s="96"/>
      <c r="AW57" s="104"/>
      <c r="AX57" s="96"/>
      <c r="AY57" s="96"/>
      <c r="AZ57" s="96"/>
      <c r="BA57" s="96"/>
      <c r="BB57" s="290"/>
      <c r="BC57" s="96" t="s">
        <v>82</v>
      </c>
    </row>
    <row r="58" spans="1:55" s="3" customFormat="1" ht="24.75" customHeight="1">
      <c r="A58" s="417">
        <v>55</v>
      </c>
      <c r="B58" s="418" t="s">
        <v>19</v>
      </c>
      <c r="C58" s="419" t="s">
        <v>244</v>
      </c>
      <c r="D58" s="420" t="s">
        <v>245</v>
      </c>
      <c r="E58" s="241" t="s">
        <v>246</v>
      </c>
      <c r="F58" s="234">
        <f>F29+14</f>
        <v>46086</v>
      </c>
      <c r="G58" s="91"/>
      <c r="H58" s="91"/>
      <c r="I58" s="111"/>
      <c r="J58" s="103"/>
      <c r="K58" s="108"/>
      <c r="L58" s="101"/>
      <c r="M58" s="101" t="s">
        <v>81</v>
      </c>
      <c r="N58" s="102"/>
      <c r="O58" s="97"/>
      <c r="P58" s="96"/>
      <c r="Q58" s="97"/>
      <c r="R58" s="97"/>
      <c r="S58" s="96"/>
      <c r="T58" s="96"/>
      <c r="U58" s="96"/>
      <c r="V58" s="96"/>
      <c r="W58" s="96"/>
      <c r="X58" s="104"/>
      <c r="Y58" s="96"/>
      <c r="Z58" s="96"/>
      <c r="AA58" s="96"/>
      <c r="AB58" s="96"/>
      <c r="AC58" s="104"/>
      <c r="AD58" s="96"/>
      <c r="AE58" s="96"/>
      <c r="AF58" s="96"/>
      <c r="AG58" s="96"/>
      <c r="AH58" s="104"/>
      <c r="AI58" s="96"/>
      <c r="AJ58" s="96"/>
      <c r="AK58" s="96"/>
      <c r="AL58" s="96"/>
      <c r="AM58" s="104"/>
      <c r="AN58" s="96"/>
      <c r="AO58" s="96"/>
      <c r="AP58" s="96"/>
      <c r="AQ58" s="96"/>
      <c r="AR58" s="104"/>
      <c r="AS58" s="96"/>
      <c r="AT58" s="96"/>
      <c r="AU58" s="96"/>
      <c r="AV58" s="96"/>
      <c r="AW58" s="104"/>
      <c r="AX58" s="96"/>
      <c r="AY58" s="96"/>
      <c r="AZ58" s="96"/>
      <c r="BA58" s="96"/>
      <c r="BB58" s="290"/>
      <c r="BC58" s="96" t="s">
        <v>82</v>
      </c>
    </row>
    <row r="59" spans="1:55" s="3" customFormat="1" ht="24.75" customHeight="1">
      <c r="A59" s="417">
        <v>56</v>
      </c>
      <c r="B59" s="418" t="s">
        <v>19</v>
      </c>
      <c r="C59" s="419" t="s">
        <v>247</v>
      </c>
      <c r="D59" s="420" t="s">
        <v>248</v>
      </c>
      <c r="E59" s="241" t="s">
        <v>249</v>
      </c>
      <c r="F59" s="234">
        <f>F58</f>
        <v>46086</v>
      </c>
      <c r="G59" s="91"/>
      <c r="H59" s="91"/>
      <c r="I59" s="111"/>
      <c r="J59" s="103"/>
      <c r="K59" s="108"/>
      <c r="L59" s="101"/>
      <c r="M59" s="101" t="s">
        <v>81</v>
      </c>
      <c r="N59" s="102"/>
      <c r="O59" s="97"/>
      <c r="P59" s="96"/>
      <c r="Q59" s="97"/>
      <c r="R59" s="97"/>
      <c r="S59" s="96"/>
      <c r="T59" s="96"/>
      <c r="U59" s="96"/>
      <c r="V59" s="96"/>
      <c r="W59" s="96"/>
      <c r="X59" s="104"/>
      <c r="Y59" s="96"/>
      <c r="Z59" s="96"/>
      <c r="AA59" s="96"/>
      <c r="AB59" s="96"/>
      <c r="AC59" s="104"/>
      <c r="AD59" s="96"/>
      <c r="AE59" s="96"/>
      <c r="AF59" s="96"/>
      <c r="AG59" s="96"/>
      <c r="AH59" s="104"/>
      <c r="AI59" s="96"/>
      <c r="AJ59" s="96"/>
      <c r="AK59" s="96"/>
      <c r="AL59" s="96"/>
      <c r="AM59" s="104"/>
      <c r="AN59" s="96"/>
      <c r="AO59" s="96"/>
      <c r="AP59" s="96"/>
      <c r="AQ59" s="96"/>
      <c r="AR59" s="104"/>
      <c r="AS59" s="96"/>
      <c r="AT59" s="96"/>
      <c r="AU59" s="96"/>
      <c r="AV59" s="96"/>
      <c r="AW59" s="104"/>
      <c r="AX59" s="96"/>
      <c r="AY59" s="96"/>
      <c r="AZ59" s="96"/>
      <c r="BA59" s="96"/>
      <c r="BB59" s="290"/>
      <c r="BC59" s="96" t="s">
        <v>82</v>
      </c>
    </row>
    <row r="60" spans="1:55" s="3" customFormat="1" ht="24.75" customHeight="1">
      <c r="A60" s="417">
        <v>57</v>
      </c>
      <c r="B60" s="418" t="s">
        <v>19</v>
      </c>
      <c r="C60" s="419" t="s">
        <v>250</v>
      </c>
      <c r="D60" s="420" t="s">
        <v>251</v>
      </c>
      <c r="E60" s="241" t="s">
        <v>252</v>
      </c>
      <c r="F60" s="234">
        <f>F59+7</f>
        <v>46093</v>
      </c>
      <c r="G60" s="91"/>
      <c r="H60" s="91"/>
      <c r="I60" s="111"/>
      <c r="J60" s="103"/>
      <c r="K60" s="108"/>
      <c r="L60" s="101"/>
      <c r="M60" s="101" t="s">
        <v>81</v>
      </c>
      <c r="N60" s="102"/>
      <c r="O60" s="97"/>
      <c r="P60" s="97"/>
      <c r="Q60" s="97"/>
      <c r="R60" s="97"/>
      <c r="S60" s="96"/>
      <c r="T60" s="96"/>
      <c r="U60" s="96"/>
      <c r="V60" s="96"/>
      <c r="W60" s="96"/>
      <c r="X60" s="104"/>
      <c r="Y60" s="96"/>
      <c r="Z60" s="96"/>
      <c r="AA60" s="96"/>
      <c r="AB60" s="96"/>
      <c r="AC60" s="104"/>
      <c r="AD60" s="96"/>
      <c r="AE60" s="96"/>
      <c r="AF60" s="96"/>
      <c r="AG60" s="96"/>
      <c r="AH60" s="104"/>
      <c r="AI60" s="96"/>
      <c r="AJ60" s="96"/>
      <c r="AK60" s="96"/>
      <c r="AL60" s="96"/>
      <c r="AM60" s="104"/>
      <c r="AN60" s="96"/>
      <c r="AO60" s="96"/>
      <c r="AP60" s="96"/>
      <c r="AQ60" s="96"/>
      <c r="AR60" s="104"/>
      <c r="AS60" s="96"/>
      <c r="AT60" s="96"/>
      <c r="AU60" s="96"/>
      <c r="AV60" s="96"/>
      <c r="AW60" s="104"/>
      <c r="AX60" s="96"/>
      <c r="AY60" s="96"/>
      <c r="AZ60" s="96"/>
      <c r="BA60" s="96"/>
      <c r="BB60" s="290"/>
      <c r="BC60" s="96" t="s">
        <v>253</v>
      </c>
    </row>
    <row r="61" spans="1:55" s="3" customFormat="1" ht="24.75" customHeight="1">
      <c r="A61" s="417">
        <v>58</v>
      </c>
      <c r="B61" s="418" t="s">
        <v>19</v>
      </c>
      <c r="C61" s="419" t="s">
        <v>254</v>
      </c>
      <c r="D61" s="420" t="s">
        <v>255</v>
      </c>
      <c r="E61" s="241" t="s">
        <v>256</v>
      </c>
      <c r="F61" s="234">
        <f>F60</f>
        <v>46093</v>
      </c>
      <c r="G61" s="91"/>
      <c r="H61" s="91"/>
      <c r="I61" s="111"/>
      <c r="J61" s="103"/>
      <c r="K61" s="108"/>
      <c r="L61" s="101"/>
      <c r="M61" s="101" t="s">
        <v>81</v>
      </c>
      <c r="N61" s="102"/>
      <c r="O61" s="97"/>
      <c r="P61" s="97"/>
      <c r="Q61" s="97"/>
      <c r="R61" s="97"/>
      <c r="S61" s="96"/>
      <c r="T61" s="96"/>
      <c r="U61" s="96"/>
      <c r="V61" s="96"/>
      <c r="W61" s="96"/>
      <c r="X61" s="104"/>
      <c r="Y61" s="96"/>
      <c r="Z61" s="96"/>
      <c r="AA61" s="96"/>
      <c r="AB61" s="96"/>
      <c r="AC61" s="104"/>
      <c r="AD61" s="96"/>
      <c r="AE61" s="96"/>
      <c r="AF61" s="96"/>
      <c r="AG61" s="96"/>
      <c r="AH61" s="104"/>
      <c r="AI61" s="96"/>
      <c r="AJ61" s="96"/>
      <c r="AK61" s="96"/>
      <c r="AL61" s="96"/>
      <c r="AM61" s="104"/>
      <c r="AN61" s="96"/>
      <c r="AO61" s="96"/>
      <c r="AP61" s="96"/>
      <c r="AQ61" s="96"/>
      <c r="AR61" s="104"/>
      <c r="AS61" s="96"/>
      <c r="AT61" s="96"/>
      <c r="AU61" s="96"/>
      <c r="AV61" s="96"/>
      <c r="AW61" s="104"/>
      <c r="AX61" s="96"/>
      <c r="AY61" s="96"/>
      <c r="AZ61" s="96"/>
      <c r="BA61" s="96"/>
      <c r="BB61" s="290"/>
      <c r="BC61" s="96" t="s">
        <v>253</v>
      </c>
    </row>
    <row r="62" spans="1:55" s="3" customFormat="1" ht="24.75" customHeight="1">
      <c r="A62" s="417">
        <v>59</v>
      </c>
      <c r="B62" s="418" t="s">
        <v>19</v>
      </c>
      <c r="C62" s="419" t="s">
        <v>257</v>
      </c>
      <c r="D62" s="420" t="s">
        <v>258</v>
      </c>
      <c r="E62" s="241" t="s">
        <v>259</v>
      </c>
      <c r="F62" s="234">
        <f>F61+7</f>
        <v>46100</v>
      </c>
      <c r="G62" s="91"/>
      <c r="H62" s="91"/>
      <c r="I62" s="111"/>
      <c r="J62" s="103"/>
      <c r="K62" s="108"/>
      <c r="L62" s="101"/>
      <c r="M62" s="101" t="s">
        <v>81</v>
      </c>
      <c r="N62" s="102"/>
      <c r="O62" s="97"/>
      <c r="P62" s="97"/>
      <c r="Q62" s="96"/>
      <c r="R62" s="98"/>
      <c r="S62" s="103"/>
      <c r="T62" s="96"/>
      <c r="U62" s="96"/>
      <c r="V62" s="96"/>
      <c r="W62" s="96"/>
      <c r="X62" s="104"/>
      <c r="Y62" s="96"/>
      <c r="Z62" s="96"/>
      <c r="AA62" s="96"/>
      <c r="AB62" s="96"/>
      <c r="AC62" s="104"/>
      <c r="AD62" s="96"/>
      <c r="AE62" s="96"/>
      <c r="AF62" s="96"/>
      <c r="AG62" s="96"/>
      <c r="AH62" s="104"/>
      <c r="AI62" s="96"/>
      <c r="AJ62" s="96"/>
      <c r="AK62" s="96"/>
      <c r="AL62" s="96"/>
      <c r="AM62" s="104"/>
      <c r="AN62" s="96"/>
      <c r="AO62" s="96"/>
      <c r="AP62" s="96"/>
      <c r="AQ62" s="96"/>
      <c r="AR62" s="104"/>
      <c r="AS62" s="96"/>
      <c r="AT62" s="96"/>
      <c r="AU62" s="96"/>
      <c r="AV62" s="96"/>
      <c r="AW62" s="104"/>
      <c r="AX62" s="96"/>
      <c r="AY62" s="96"/>
      <c r="AZ62" s="96"/>
      <c r="BA62" s="96"/>
      <c r="BB62" s="290"/>
      <c r="BC62" s="96" t="s">
        <v>82</v>
      </c>
    </row>
    <row r="63" spans="1:55" s="3" customFormat="1" ht="24.75" customHeight="1">
      <c r="A63" s="417">
        <v>60</v>
      </c>
      <c r="B63" s="418" t="s">
        <v>19</v>
      </c>
      <c r="C63" s="419" t="s">
        <v>260</v>
      </c>
      <c r="D63" s="420" t="s">
        <v>261</v>
      </c>
      <c r="E63" s="241" t="s">
        <v>262</v>
      </c>
      <c r="F63" s="234">
        <f>F62</f>
        <v>46100</v>
      </c>
      <c r="G63" s="91"/>
      <c r="H63" s="91"/>
      <c r="I63" s="111"/>
      <c r="J63" s="103"/>
      <c r="K63" s="108"/>
      <c r="L63" s="101"/>
      <c r="M63" s="101" t="s">
        <v>81</v>
      </c>
      <c r="N63" s="102"/>
      <c r="O63" s="97"/>
      <c r="P63" s="97"/>
      <c r="Q63" s="96"/>
      <c r="R63" s="98"/>
      <c r="S63" s="103"/>
      <c r="T63" s="96"/>
      <c r="U63" s="96"/>
      <c r="V63" s="96"/>
      <c r="W63" s="96"/>
      <c r="X63" s="104"/>
      <c r="Y63" s="96"/>
      <c r="Z63" s="96"/>
      <c r="AA63" s="96"/>
      <c r="AB63" s="96"/>
      <c r="AC63" s="104"/>
      <c r="AD63" s="96"/>
      <c r="AE63" s="96"/>
      <c r="AF63" s="96"/>
      <c r="AG63" s="96"/>
      <c r="AH63" s="104"/>
      <c r="AI63" s="96"/>
      <c r="AJ63" s="96"/>
      <c r="AK63" s="96"/>
      <c r="AL63" s="96"/>
      <c r="AM63" s="104"/>
      <c r="AN63" s="96"/>
      <c r="AO63" s="96"/>
      <c r="AP63" s="96"/>
      <c r="AQ63" s="96"/>
      <c r="AR63" s="104"/>
      <c r="AS63" s="96"/>
      <c r="AT63" s="96"/>
      <c r="AU63" s="96"/>
      <c r="AV63" s="96"/>
      <c r="AW63" s="104"/>
      <c r="AX63" s="96"/>
      <c r="AY63" s="96"/>
      <c r="AZ63" s="96"/>
      <c r="BA63" s="96"/>
      <c r="BB63" s="290"/>
      <c r="BC63" s="96" t="s">
        <v>253</v>
      </c>
    </row>
    <row r="64" spans="1:55" s="3" customFormat="1" ht="24.75" customHeight="1">
      <c r="A64" s="417">
        <v>61</v>
      </c>
      <c r="B64" s="418" t="s">
        <v>19</v>
      </c>
      <c r="C64" s="419" t="s">
        <v>263</v>
      </c>
      <c r="D64" s="420" t="s">
        <v>264</v>
      </c>
      <c r="E64" s="241" t="s">
        <v>265</v>
      </c>
      <c r="F64" s="234">
        <f>F63</f>
        <v>46100</v>
      </c>
      <c r="G64" s="91"/>
      <c r="H64" s="91"/>
      <c r="I64" s="111"/>
      <c r="J64" s="103"/>
      <c r="K64" s="108"/>
      <c r="L64" s="101"/>
      <c r="M64" s="101" t="s">
        <v>81</v>
      </c>
      <c r="N64" s="102"/>
      <c r="O64" s="97"/>
      <c r="P64" s="97"/>
      <c r="Q64" s="97"/>
      <c r="R64" s="97"/>
      <c r="S64" s="96"/>
      <c r="T64" s="96"/>
      <c r="U64" s="96"/>
      <c r="V64" s="96"/>
      <c r="W64" s="96"/>
      <c r="X64" s="104"/>
      <c r="Y64" s="96"/>
      <c r="Z64" s="96"/>
      <c r="AA64" s="96"/>
      <c r="AB64" s="96"/>
      <c r="AC64" s="104"/>
      <c r="AD64" s="96"/>
      <c r="AE64" s="96"/>
      <c r="AF64" s="96"/>
      <c r="AG64" s="96"/>
      <c r="AH64" s="104"/>
      <c r="AI64" s="96"/>
      <c r="AJ64" s="96"/>
      <c r="AK64" s="96"/>
      <c r="AL64" s="96"/>
      <c r="AM64" s="104"/>
      <c r="AN64" s="96"/>
      <c r="AO64" s="96"/>
      <c r="AP64" s="96"/>
      <c r="AQ64" s="96"/>
      <c r="AR64" s="104"/>
      <c r="AS64" s="96"/>
      <c r="AT64" s="96"/>
      <c r="AU64" s="96"/>
      <c r="AV64" s="96"/>
      <c r="AW64" s="104"/>
      <c r="AX64" s="96"/>
      <c r="AY64" s="96"/>
      <c r="AZ64" s="96"/>
      <c r="BA64" s="96"/>
      <c r="BB64" s="290"/>
      <c r="BC64" s="96" t="s">
        <v>82</v>
      </c>
    </row>
    <row r="65" spans="1:89" s="3" customFormat="1" ht="24.75" customHeight="1">
      <c r="A65" s="417">
        <v>62</v>
      </c>
      <c r="B65" s="418" t="s">
        <v>19</v>
      </c>
      <c r="C65" s="419" t="s">
        <v>266</v>
      </c>
      <c r="D65" s="420" t="s">
        <v>267</v>
      </c>
      <c r="E65" s="241" t="s">
        <v>268</v>
      </c>
      <c r="F65" s="236"/>
      <c r="G65" s="91"/>
      <c r="H65" s="91"/>
      <c r="I65" s="111"/>
      <c r="J65" s="103"/>
      <c r="K65" s="108"/>
      <c r="L65" s="101"/>
      <c r="M65" s="101" t="s">
        <v>81</v>
      </c>
      <c r="N65" s="102"/>
      <c r="O65" s="97"/>
      <c r="P65" s="115"/>
      <c r="Q65" s="97"/>
      <c r="R65" s="97"/>
      <c r="S65" s="96"/>
      <c r="T65" s="96"/>
      <c r="U65" s="96"/>
      <c r="V65" s="96"/>
      <c r="W65" s="96"/>
      <c r="X65" s="104"/>
      <c r="Y65" s="96"/>
      <c r="Z65" s="96"/>
      <c r="AA65" s="96"/>
      <c r="AB65" s="96"/>
      <c r="AC65" s="104"/>
      <c r="AD65" s="96"/>
      <c r="AE65" s="96"/>
      <c r="AF65" s="96"/>
      <c r="AG65" s="96"/>
      <c r="AH65" s="104"/>
      <c r="AI65" s="96"/>
      <c r="AJ65" s="96"/>
      <c r="AK65" s="96"/>
      <c r="AL65" s="96"/>
      <c r="AM65" s="104"/>
      <c r="AN65" s="96"/>
      <c r="AO65" s="96"/>
      <c r="AP65" s="96"/>
      <c r="AQ65" s="96"/>
      <c r="AR65" s="104"/>
      <c r="AS65" s="96"/>
      <c r="AT65" s="96"/>
      <c r="AU65" s="96"/>
      <c r="AV65" s="96"/>
      <c r="AW65" s="104"/>
      <c r="AX65" s="96"/>
      <c r="AY65" s="96"/>
      <c r="AZ65" s="96"/>
      <c r="BA65" s="96"/>
      <c r="BB65" s="290"/>
      <c r="BC65" s="96" t="s">
        <v>82</v>
      </c>
    </row>
    <row r="66" spans="1:89" s="3" customFormat="1" ht="24.75" customHeight="1">
      <c r="A66" s="417">
        <v>63</v>
      </c>
      <c r="B66" s="418" t="s">
        <v>19</v>
      </c>
      <c r="C66" s="419" t="s">
        <v>269</v>
      </c>
      <c r="D66" s="420" t="s">
        <v>270</v>
      </c>
      <c r="E66" s="241" t="s">
        <v>271</v>
      </c>
      <c r="F66" s="236">
        <f>F41+7</f>
        <v>46072</v>
      </c>
      <c r="G66" s="91"/>
      <c r="H66" s="91"/>
      <c r="I66" s="111"/>
      <c r="J66" s="103"/>
      <c r="K66" s="108"/>
      <c r="L66" s="101"/>
      <c r="M66" s="101" t="s">
        <v>81</v>
      </c>
      <c r="N66" s="102"/>
      <c r="O66" s="97"/>
      <c r="P66" s="96"/>
      <c r="Q66" s="96"/>
      <c r="R66" s="98"/>
      <c r="S66" s="103"/>
      <c r="T66" s="96"/>
      <c r="U66" s="96"/>
      <c r="V66" s="96"/>
      <c r="W66" s="96"/>
      <c r="X66" s="104"/>
      <c r="Y66" s="96"/>
      <c r="Z66" s="96"/>
      <c r="AA66" s="96"/>
      <c r="AB66" s="96"/>
      <c r="AC66" s="104"/>
      <c r="AD66" s="96"/>
      <c r="AE66" s="96"/>
      <c r="AF66" s="96"/>
      <c r="AG66" s="96"/>
      <c r="AH66" s="104"/>
      <c r="AI66" s="96"/>
      <c r="AJ66" s="96"/>
      <c r="AK66" s="96"/>
      <c r="AL66" s="96"/>
      <c r="AM66" s="104"/>
      <c r="AN66" s="96"/>
      <c r="AO66" s="96"/>
      <c r="AP66" s="96"/>
      <c r="AQ66" s="96"/>
      <c r="AR66" s="104"/>
      <c r="AS66" s="96"/>
      <c r="AT66" s="96"/>
      <c r="AU66" s="96"/>
      <c r="AV66" s="96"/>
      <c r="AW66" s="104"/>
      <c r="AX66" s="96"/>
      <c r="AY66" s="96"/>
      <c r="AZ66" s="96"/>
      <c r="BA66" s="96"/>
      <c r="BB66" s="290"/>
      <c r="BC66" s="96" t="s">
        <v>82</v>
      </c>
    </row>
    <row r="67" spans="1:89" s="3" customFormat="1" ht="24.75" customHeight="1">
      <c r="A67" s="417">
        <v>64</v>
      </c>
      <c r="B67" s="418" t="s">
        <v>19</v>
      </c>
      <c r="C67" s="419" t="s">
        <v>272</v>
      </c>
      <c r="D67" s="420" t="s">
        <v>273</v>
      </c>
      <c r="E67" s="241" t="s">
        <v>274</v>
      </c>
      <c r="F67" s="236">
        <f>F66</f>
        <v>46072</v>
      </c>
      <c r="G67" s="91"/>
      <c r="H67" s="91"/>
      <c r="I67" s="111"/>
      <c r="J67" s="103"/>
      <c r="K67" s="108"/>
      <c r="L67" s="101"/>
      <c r="M67" s="101" t="s">
        <v>81</v>
      </c>
      <c r="N67" s="102"/>
      <c r="O67" s="97"/>
      <c r="P67" s="97"/>
      <c r="Q67" s="97"/>
      <c r="R67" s="97"/>
      <c r="S67" s="96"/>
      <c r="T67" s="96"/>
      <c r="U67" s="96"/>
      <c r="V67" s="96"/>
      <c r="W67" s="96"/>
      <c r="X67" s="104"/>
      <c r="Y67" s="96"/>
      <c r="Z67" s="96"/>
      <c r="AA67" s="96"/>
      <c r="AB67" s="96"/>
      <c r="AC67" s="104"/>
      <c r="AD67" s="96"/>
      <c r="AE67" s="96"/>
      <c r="AF67" s="96"/>
      <c r="AG67" s="96"/>
      <c r="AH67" s="104"/>
      <c r="AI67" s="96"/>
      <c r="AJ67" s="96"/>
      <c r="AK67" s="96"/>
      <c r="AL67" s="96"/>
      <c r="AM67" s="104"/>
      <c r="AN67" s="96"/>
      <c r="AO67" s="96"/>
      <c r="AP67" s="96"/>
      <c r="AQ67" s="96"/>
      <c r="AR67" s="104"/>
      <c r="AS67" s="96"/>
      <c r="AT67" s="96"/>
      <c r="AU67" s="96"/>
      <c r="AV67" s="96"/>
      <c r="AW67" s="104"/>
      <c r="AX67" s="96"/>
      <c r="AY67" s="96"/>
      <c r="AZ67" s="96"/>
      <c r="BA67" s="96"/>
      <c r="BB67" s="290"/>
      <c r="BC67" s="96" t="s">
        <v>82</v>
      </c>
    </row>
    <row r="68" spans="1:89" s="3" customFormat="1" ht="24.75" customHeight="1">
      <c r="A68" s="417">
        <v>65</v>
      </c>
      <c r="B68" s="418" t="s">
        <v>19</v>
      </c>
      <c r="C68" s="419" t="s">
        <v>275</v>
      </c>
      <c r="D68" s="420" t="s">
        <v>276</v>
      </c>
      <c r="E68" s="241" t="s">
        <v>277</v>
      </c>
      <c r="F68" s="236">
        <f>F67</f>
        <v>46072</v>
      </c>
      <c r="G68" s="91"/>
      <c r="H68" s="91"/>
      <c r="I68" s="111"/>
      <c r="J68" s="103"/>
      <c r="K68" s="108"/>
      <c r="L68" s="101"/>
      <c r="M68" s="101" t="s">
        <v>81</v>
      </c>
      <c r="N68" s="102"/>
      <c r="O68" s="97"/>
      <c r="P68" s="97"/>
      <c r="Q68" s="97"/>
      <c r="R68" s="97"/>
      <c r="S68" s="96"/>
      <c r="T68" s="96"/>
      <c r="U68" s="96"/>
      <c r="V68" s="96"/>
      <c r="W68" s="96"/>
      <c r="X68" s="104"/>
      <c r="Y68" s="96"/>
      <c r="Z68" s="96"/>
      <c r="AA68" s="96"/>
      <c r="AB68" s="96"/>
      <c r="AC68" s="104"/>
      <c r="AD68" s="96"/>
      <c r="AE68" s="96"/>
      <c r="AF68" s="96"/>
      <c r="AG68" s="96"/>
      <c r="AH68" s="104"/>
      <c r="AI68" s="96"/>
      <c r="AJ68" s="96"/>
      <c r="AK68" s="96"/>
      <c r="AL68" s="96"/>
      <c r="AM68" s="104"/>
      <c r="AN68" s="96"/>
      <c r="AO68" s="96"/>
      <c r="AP68" s="96"/>
      <c r="AQ68" s="96"/>
      <c r="AR68" s="104"/>
      <c r="AS68" s="96"/>
      <c r="AT68" s="96"/>
      <c r="AU68" s="96"/>
      <c r="AV68" s="96"/>
      <c r="AW68" s="104"/>
      <c r="AX68" s="96"/>
      <c r="AY68" s="96"/>
      <c r="AZ68" s="96"/>
      <c r="BA68" s="96"/>
      <c r="BB68" s="290"/>
      <c r="BC68" s="96" t="s">
        <v>82</v>
      </c>
    </row>
    <row r="69" spans="1:89" s="3" customFormat="1" ht="24.75" customHeight="1">
      <c r="A69" s="417">
        <v>66</v>
      </c>
      <c r="B69" s="418" t="s">
        <v>19</v>
      </c>
      <c r="C69" s="419" t="s">
        <v>278</v>
      </c>
      <c r="D69" s="420" t="s">
        <v>279</v>
      </c>
      <c r="E69" s="241" t="s">
        <v>280</v>
      </c>
      <c r="F69" s="236">
        <f>F67+14</f>
        <v>46086</v>
      </c>
      <c r="G69" s="91"/>
      <c r="H69" s="91"/>
      <c r="I69" s="111"/>
      <c r="J69" s="103"/>
      <c r="K69" s="108"/>
      <c r="L69" s="101"/>
      <c r="M69" s="101" t="s">
        <v>81</v>
      </c>
      <c r="N69" s="102"/>
      <c r="O69" s="97"/>
      <c r="P69" s="97"/>
      <c r="Q69" s="97"/>
      <c r="R69" s="97"/>
      <c r="S69" s="96"/>
      <c r="T69" s="96"/>
      <c r="U69" s="96"/>
      <c r="V69" s="96"/>
      <c r="W69" s="96"/>
      <c r="X69" s="104"/>
      <c r="Y69" s="96"/>
      <c r="Z69" s="96"/>
      <c r="AA69" s="96"/>
      <c r="AB69" s="96"/>
      <c r="AC69" s="104"/>
      <c r="AD69" s="96"/>
      <c r="AE69" s="96"/>
      <c r="AF69" s="96"/>
      <c r="AG69" s="96"/>
      <c r="AH69" s="104"/>
      <c r="AI69" s="96"/>
      <c r="AJ69" s="96"/>
      <c r="AK69" s="96"/>
      <c r="AL69" s="96"/>
      <c r="AM69" s="104"/>
      <c r="AN69" s="96"/>
      <c r="AO69" s="96"/>
      <c r="AP69" s="96"/>
      <c r="AQ69" s="96"/>
      <c r="AR69" s="104"/>
      <c r="AS69" s="96"/>
      <c r="AT69" s="96"/>
      <c r="AU69" s="96"/>
      <c r="AV69" s="96"/>
      <c r="AW69" s="104"/>
      <c r="AX69" s="96"/>
      <c r="AY69" s="96"/>
      <c r="AZ69" s="96"/>
      <c r="BA69" s="96"/>
      <c r="BB69" s="290"/>
      <c r="BC69" s="96" t="s">
        <v>253</v>
      </c>
    </row>
    <row r="70" spans="1:89" s="3" customFormat="1" ht="24.75" customHeight="1">
      <c r="A70" s="417">
        <v>67</v>
      </c>
      <c r="B70" s="418" t="s">
        <v>19</v>
      </c>
      <c r="C70" s="419" t="s">
        <v>281</v>
      </c>
      <c r="D70" s="420" t="s">
        <v>282</v>
      </c>
      <c r="E70" s="241" t="s">
        <v>283</v>
      </c>
      <c r="F70" s="236">
        <f>F67+7</f>
        <v>46079</v>
      </c>
      <c r="G70" s="91"/>
      <c r="H70" s="91"/>
      <c r="I70" s="111"/>
      <c r="J70" s="103"/>
      <c r="K70" s="108"/>
      <c r="L70" s="101"/>
      <c r="M70" s="101" t="s">
        <v>81</v>
      </c>
      <c r="N70" s="102"/>
      <c r="O70" s="97"/>
      <c r="P70" s="97"/>
      <c r="Q70" s="97"/>
      <c r="R70" s="97"/>
      <c r="S70" s="96"/>
      <c r="T70" s="96"/>
      <c r="U70" s="96"/>
      <c r="V70" s="96"/>
      <c r="W70" s="96"/>
      <c r="X70" s="104"/>
      <c r="Y70" s="96"/>
      <c r="Z70" s="96"/>
      <c r="AA70" s="96"/>
      <c r="AB70" s="96"/>
      <c r="AC70" s="104"/>
      <c r="AD70" s="96"/>
      <c r="AE70" s="96"/>
      <c r="AF70" s="96"/>
      <c r="AG70" s="96"/>
      <c r="AH70" s="104"/>
      <c r="AI70" s="96"/>
      <c r="AJ70" s="96"/>
      <c r="AK70" s="96"/>
      <c r="AL70" s="96"/>
      <c r="AM70" s="104"/>
      <c r="AN70" s="96"/>
      <c r="AO70" s="96"/>
      <c r="AP70" s="96"/>
      <c r="AQ70" s="96"/>
      <c r="AR70" s="104"/>
      <c r="AS70" s="96"/>
      <c r="AT70" s="96"/>
      <c r="AU70" s="96"/>
      <c r="AV70" s="96"/>
      <c r="AW70" s="104"/>
      <c r="AX70" s="96"/>
      <c r="AY70" s="96"/>
      <c r="AZ70" s="96"/>
      <c r="BA70" s="96"/>
      <c r="BB70" s="290"/>
      <c r="BC70" s="96" t="s">
        <v>82</v>
      </c>
    </row>
    <row r="71" spans="1:89" s="3" customFormat="1" ht="24.75" customHeight="1">
      <c r="A71" s="417">
        <v>68</v>
      </c>
      <c r="B71" s="418" t="s">
        <v>19</v>
      </c>
      <c r="C71" s="419" t="s">
        <v>284</v>
      </c>
      <c r="D71" s="420" t="s">
        <v>285</v>
      </c>
      <c r="E71" s="241" t="s">
        <v>286</v>
      </c>
      <c r="F71" s="236">
        <f>F70</f>
        <v>46079</v>
      </c>
      <c r="G71" s="91"/>
      <c r="H71" s="91"/>
      <c r="I71" s="111"/>
      <c r="J71" s="103"/>
      <c r="K71" s="108"/>
      <c r="L71" s="101"/>
      <c r="M71" s="101" t="s">
        <v>81</v>
      </c>
      <c r="N71" s="102"/>
      <c r="O71" s="97"/>
      <c r="P71" s="97"/>
      <c r="Q71" s="97"/>
      <c r="R71" s="97"/>
      <c r="S71" s="96"/>
      <c r="T71" s="96"/>
      <c r="U71" s="96"/>
      <c r="V71" s="96"/>
      <c r="W71" s="96"/>
      <c r="X71" s="104"/>
      <c r="Y71" s="96"/>
      <c r="Z71" s="96"/>
      <c r="AA71" s="96"/>
      <c r="AB71" s="96"/>
      <c r="AC71" s="104"/>
      <c r="AD71" s="96"/>
      <c r="AE71" s="96"/>
      <c r="AF71" s="96"/>
      <c r="AG71" s="96"/>
      <c r="AH71" s="104"/>
      <c r="AI71" s="96"/>
      <c r="AJ71" s="96"/>
      <c r="AK71" s="96"/>
      <c r="AL71" s="96"/>
      <c r="AM71" s="104"/>
      <c r="AN71" s="96"/>
      <c r="AO71" s="96"/>
      <c r="AP71" s="96"/>
      <c r="AQ71" s="96"/>
      <c r="AR71" s="104"/>
      <c r="AS71" s="96"/>
      <c r="AT71" s="96"/>
      <c r="AU71" s="96"/>
      <c r="AV71" s="96"/>
      <c r="AW71" s="104"/>
      <c r="AX71" s="96"/>
      <c r="AY71" s="96"/>
      <c r="AZ71" s="96"/>
      <c r="BA71" s="96"/>
      <c r="BB71" s="290"/>
      <c r="BC71" s="96" t="s">
        <v>82</v>
      </c>
    </row>
    <row r="72" spans="1:89" s="67" customFormat="1" ht="24.75" customHeight="1">
      <c r="A72" s="417">
        <v>69</v>
      </c>
      <c r="B72" s="418" t="s">
        <v>19</v>
      </c>
      <c r="C72" s="419" t="s">
        <v>287</v>
      </c>
      <c r="D72" s="420" t="s">
        <v>288</v>
      </c>
      <c r="E72" s="241" t="s">
        <v>289</v>
      </c>
      <c r="F72" s="307">
        <f>F73+7</f>
        <v>46093</v>
      </c>
      <c r="G72" s="433"/>
      <c r="H72" s="434"/>
      <c r="I72" s="111"/>
      <c r="J72" s="103"/>
      <c r="K72" s="108"/>
      <c r="L72" s="435"/>
      <c r="M72" s="613" t="s">
        <v>81</v>
      </c>
      <c r="N72" s="436"/>
      <c r="O72" s="437"/>
      <c r="P72" s="437"/>
      <c r="Q72" s="437"/>
      <c r="R72" s="438"/>
      <c r="S72" s="96"/>
      <c r="T72" s="168"/>
      <c r="U72" s="96"/>
      <c r="V72" s="96"/>
      <c r="W72" s="439"/>
      <c r="X72" s="440"/>
      <c r="Y72" s="441"/>
      <c r="Z72" s="439"/>
      <c r="AA72" s="439"/>
      <c r="AB72" s="442"/>
      <c r="AC72" s="169"/>
      <c r="AD72" s="168"/>
      <c r="AE72" s="168"/>
      <c r="AF72" s="168"/>
      <c r="AG72" s="168"/>
      <c r="AH72" s="169"/>
      <c r="AI72" s="168"/>
      <c r="AJ72" s="168"/>
      <c r="AK72" s="168"/>
      <c r="AL72" s="168"/>
      <c r="AN72" s="168"/>
      <c r="AO72" s="168"/>
      <c r="AP72" s="168"/>
      <c r="AQ72" s="168"/>
      <c r="AR72" s="169"/>
      <c r="AS72" s="168"/>
      <c r="AT72" s="168"/>
      <c r="AU72" s="168"/>
      <c r="AV72" s="168"/>
      <c r="AW72" s="169"/>
      <c r="AX72" s="168"/>
      <c r="AY72" s="168"/>
      <c r="AZ72" s="168"/>
      <c r="BA72" s="168"/>
      <c r="BB72" s="294"/>
      <c r="BC72" s="168" t="s">
        <v>82</v>
      </c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</row>
    <row r="73" spans="1:89" s="67" customFormat="1" ht="24.75" customHeight="1">
      <c r="A73" s="417">
        <v>70</v>
      </c>
      <c r="B73" s="418" t="s">
        <v>19</v>
      </c>
      <c r="C73" s="419" t="s">
        <v>290</v>
      </c>
      <c r="D73" s="420" t="s">
        <v>291</v>
      </c>
      <c r="E73" s="241" t="s">
        <v>292</v>
      </c>
      <c r="F73" s="307">
        <f>F70+7</f>
        <v>46086</v>
      </c>
      <c r="G73" s="433"/>
      <c r="H73" s="434"/>
      <c r="I73" s="111"/>
      <c r="J73" s="103"/>
      <c r="K73" s="108"/>
      <c r="L73" s="435"/>
      <c r="M73" s="613" t="s">
        <v>81</v>
      </c>
      <c r="N73" s="436"/>
      <c r="O73" s="437"/>
      <c r="P73" s="437"/>
      <c r="Q73" s="437"/>
      <c r="R73" s="437"/>
      <c r="S73" s="96"/>
      <c r="T73" s="168"/>
      <c r="U73" s="96"/>
      <c r="V73" s="96"/>
      <c r="W73" s="439"/>
      <c r="X73" s="440"/>
      <c r="Y73" s="441"/>
      <c r="Z73" s="439"/>
      <c r="AA73" s="439"/>
      <c r="AB73" s="442"/>
      <c r="AC73" s="169"/>
      <c r="AD73" s="168"/>
      <c r="AE73" s="168"/>
      <c r="AF73" s="168"/>
      <c r="AG73" s="168"/>
      <c r="AH73" s="169"/>
      <c r="AI73" s="168"/>
      <c r="AJ73" s="168"/>
      <c r="AK73" s="168"/>
      <c r="AL73" s="168"/>
      <c r="AN73" s="168"/>
      <c r="AO73" s="168"/>
      <c r="AP73" s="168"/>
      <c r="AQ73" s="168"/>
      <c r="AR73" s="169"/>
      <c r="AS73" s="168"/>
      <c r="AT73" s="168"/>
      <c r="AU73" s="168"/>
      <c r="AV73" s="168"/>
      <c r="AW73" s="169"/>
      <c r="AX73" s="168"/>
      <c r="AY73" s="168"/>
      <c r="AZ73" s="168"/>
      <c r="BA73" s="168"/>
      <c r="BB73" s="294"/>
      <c r="BC73" s="168" t="s">
        <v>82</v>
      </c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</row>
    <row r="74" spans="1:89" s="67" customFormat="1" ht="24.75" customHeight="1">
      <c r="A74" s="417">
        <v>71</v>
      </c>
      <c r="B74" s="418" t="s">
        <v>19</v>
      </c>
      <c r="C74" s="419" t="s">
        <v>293</v>
      </c>
      <c r="D74" s="420" t="s">
        <v>294</v>
      </c>
      <c r="E74" s="241" t="s">
        <v>295</v>
      </c>
      <c r="F74" s="307"/>
      <c r="G74" s="433"/>
      <c r="H74" s="434"/>
      <c r="I74" s="111"/>
      <c r="J74" s="103"/>
      <c r="K74" s="108"/>
      <c r="L74" s="435"/>
      <c r="M74" s="613" t="s">
        <v>81</v>
      </c>
      <c r="N74" s="436"/>
      <c r="O74" s="437"/>
      <c r="P74" s="437"/>
      <c r="Q74" s="437"/>
      <c r="R74" s="437"/>
      <c r="S74" s="96"/>
      <c r="T74" s="168"/>
      <c r="U74" s="96"/>
      <c r="V74" s="96"/>
      <c r="W74" s="439"/>
      <c r="X74" s="440"/>
      <c r="Y74" s="441"/>
      <c r="Z74" s="439"/>
      <c r="AA74" s="439"/>
      <c r="AB74" s="442"/>
      <c r="AC74" s="169"/>
      <c r="AD74" s="168"/>
      <c r="AE74" s="168"/>
      <c r="AF74" s="168"/>
      <c r="AG74" s="168"/>
      <c r="AH74" s="169"/>
      <c r="AI74" s="168"/>
      <c r="AJ74" s="168"/>
      <c r="AK74" s="168"/>
      <c r="AL74" s="168"/>
      <c r="AN74" s="168"/>
      <c r="AO74" s="168"/>
      <c r="AP74" s="168"/>
      <c r="AQ74" s="168"/>
      <c r="AR74" s="169"/>
      <c r="AS74" s="168"/>
      <c r="AT74" s="168"/>
      <c r="AU74" s="168"/>
      <c r="AV74" s="168"/>
      <c r="AW74" s="169"/>
      <c r="AX74" s="168"/>
      <c r="AY74" s="168"/>
      <c r="AZ74" s="168"/>
      <c r="BA74" s="168"/>
      <c r="BB74" s="294"/>
      <c r="BC74" s="168" t="s">
        <v>82</v>
      </c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</row>
    <row r="75" spans="1:89" s="67" customFormat="1" ht="24.75" customHeight="1">
      <c r="A75" s="417">
        <v>72</v>
      </c>
      <c r="B75" s="418" t="s">
        <v>19</v>
      </c>
      <c r="C75" s="419" t="s">
        <v>296</v>
      </c>
      <c r="D75" s="420" t="s">
        <v>297</v>
      </c>
      <c r="E75" s="241" t="s">
        <v>298</v>
      </c>
      <c r="F75" s="307">
        <f>F72</f>
        <v>46093</v>
      </c>
      <c r="G75" s="433"/>
      <c r="H75" s="434"/>
      <c r="I75" s="111"/>
      <c r="J75" s="103"/>
      <c r="K75" s="108"/>
      <c r="L75" s="435"/>
      <c r="M75" s="613" t="s">
        <v>81</v>
      </c>
      <c r="N75" s="436"/>
      <c r="O75" s="437"/>
      <c r="P75" s="437"/>
      <c r="Q75" s="437"/>
      <c r="R75" s="437"/>
      <c r="S75" s="96"/>
      <c r="T75" s="168"/>
      <c r="U75" s="96"/>
      <c r="V75" s="96"/>
      <c r="W75" s="439"/>
      <c r="X75" s="440"/>
      <c r="Y75" s="441"/>
      <c r="Z75" s="439"/>
      <c r="AA75" s="439"/>
      <c r="AB75" s="442"/>
      <c r="AC75" s="169"/>
      <c r="AD75" s="168"/>
      <c r="AE75" s="168"/>
      <c r="AF75" s="168"/>
      <c r="AG75" s="168"/>
      <c r="AH75" s="169"/>
      <c r="AI75" s="168"/>
      <c r="AJ75" s="168"/>
      <c r="AK75" s="168"/>
      <c r="AL75" s="168"/>
      <c r="AN75" s="168"/>
      <c r="AO75" s="168"/>
      <c r="AP75" s="168"/>
      <c r="AQ75" s="168"/>
      <c r="AR75" s="169"/>
      <c r="AS75" s="168"/>
      <c r="AT75" s="168"/>
      <c r="AU75" s="168"/>
      <c r="AV75" s="168"/>
      <c r="AW75" s="169"/>
      <c r="AX75" s="168"/>
      <c r="AY75" s="168"/>
      <c r="AZ75" s="168"/>
      <c r="BA75" s="168"/>
      <c r="BB75" s="294"/>
      <c r="BC75" s="168" t="s">
        <v>82</v>
      </c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</row>
    <row r="76" spans="1:89" s="67" customFormat="1" ht="24.75" customHeight="1">
      <c r="A76" s="417">
        <v>73</v>
      </c>
      <c r="B76" s="418" t="s">
        <v>19</v>
      </c>
      <c r="C76" s="419" t="s">
        <v>299</v>
      </c>
      <c r="D76" s="420" t="s">
        <v>300</v>
      </c>
      <c r="E76" s="241" t="s">
        <v>301</v>
      </c>
      <c r="F76" s="307">
        <f>F77+14</f>
        <v>46076</v>
      </c>
      <c r="G76" s="433"/>
      <c r="H76" s="434"/>
      <c r="I76" s="111"/>
      <c r="J76" s="103"/>
      <c r="K76" s="108"/>
      <c r="L76" s="435"/>
      <c r="M76" s="613" t="s">
        <v>81</v>
      </c>
      <c r="N76" s="436"/>
      <c r="O76" s="437"/>
      <c r="P76" s="437"/>
      <c r="Q76" s="437"/>
      <c r="R76" s="437"/>
      <c r="S76" s="96"/>
      <c r="T76" s="168"/>
      <c r="U76" s="96"/>
      <c r="V76" s="96"/>
      <c r="W76" s="439"/>
      <c r="X76" s="440"/>
      <c r="Y76" s="441"/>
      <c r="Z76" s="439"/>
      <c r="AA76" s="439"/>
      <c r="AB76" s="442"/>
      <c r="AC76" s="169"/>
      <c r="AD76" s="168"/>
      <c r="AE76" s="168"/>
      <c r="AF76" s="168"/>
      <c r="AG76" s="168"/>
      <c r="AH76" s="169"/>
      <c r="AI76" s="168"/>
      <c r="AJ76" s="168"/>
      <c r="AK76" s="168"/>
      <c r="AL76" s="168"/>
      <c r="AN76" s="168"/>
      <c r="AO76" s="168"/>
      <c r="AP76" s="168"/>
      <c r="AQ76" s="168"/>
      <c r="AR76" s="169"/>
      <c r="AS76" s="168"/>
      <c r="AT76" s="168"/>
      <c r="AU76" s="168"/>
      <c r="AV76" s="168"/>
      <c r="AW76" s="169"/>
      <c r="AX76" s="168"/>
      <c r="AY76" s="168"/>
      <c r="AZ76" s="168"/>
      <c r="BA76" s="168"/>
      <c r="BB76" s="294"/>
      <c r="BC76" s="168" t="s">
        <v>82</v>
      </c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</row>
    <row r="77" spans="1:89" s="67" customFormat="1" ht="24.75" customHeight="1">
      <c r="A77" s="417">
        <v>74</v>
      </c>
      <c r="B77" s="418" t="s">
        <v>19</v>
      </c>
      <c r="C77" s="419" t="s">
        <v>302</v>
      </c>
      <c r="D77" s="420" t="s">
        <v>303</v>
      </c>
      <c r="E77" s="241" t="s">
        <v>304</v>
      </c>
      <c r="F77" s="805">
        <v>46062</v>
      </c>
      <c r="G77" s="433"/>
      <c r="H77" s="434"/>
      <c r="I77" s="111"/>
      <c r="J77" s="103"/>
      <c r="K77" s="108"/>
      <c r="L77" s="435"/>
      <c r="M77" s="613" t="s">
        <v>81</v>
      </c>
      <c r="N77" s="436"/>
      <c r="O77" s="437"/>
      <c r="P77" s="437"/>
      <c r="Q77" s="437"/>
      <c r="R77" s="437"/>
      <c r="S77" s="96"/>
      <c r="T77" s="168"/>
      <c r="U77" s="96"/>
      <c r="V77" s="96"/>
      <c r="W77" s="439"/>
      <c r="X77" s="440"/>
      <c r="Y77" s="441"/>
      <c r="Z77" s="439"/>
      <c r="AA77" s="439"/>
      <c r="AB77" s="442"/>
      <c r="AC77" s="169"/>
      <c r="AD77" s="168"/>
      <c r="AE77" s="168"/>
      <c r="AF77" s="168"/>
      <c r="AG77" s="168"/>
      <c r="AH77" s="169"/>
      <c r="AI77" s="168"/>
      <c r="AJ77" s="168"/>
      <c r="AK77" s="168"/>
      <c r="AL77" s="168"/>
      <c r="AN77" s="168"/>
      <c r="AO77" s="168"/>
      <c r="AP77" s="168"/>
      <c r="AQ77" s="168"/>
      <c r="AR77" s="169"/>
      <c r="AS77" s="168"/>
      <c r="AT77" s="168"/>
      <c r="AU77" s="168"/>
      <c r="AV77" s="168"/>
      <c r="AW77" s="169"/>
      <c r="AX77" s="168"/>
      <c r="AY77" s="168"/>
      <c r="AZ77" s="168"/>
      <c r="BA77" s="168"/>
      <c r="BB77" s="294"/>
      <c r="BC77" s="168" t="s">
        <v>82</v>
      </c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</row>
    <row r="78" spans="1:89" s="67" customFormat="1" ht="24.75" customHeight="1">
      <c r="A78" s="417">
        <v>75</v>
      </c>
      <c r="B78" s="418" t="s">
        <v>19</v>
      </c>
      <c r="C78" s="419" t="s">
        <v>305</v>
      </c>
      <c r="D78" s="420" t="s">
        <v>306</v>
      </c>
      <c r="E78" s="241" t="s">
        <v>307</v>
      </c>
      <c r="F78" s="805"/>
      <c r="G78" s="433"/>
      <c r="H78" s="434"/>
      <c r="I78" s="111"/>
      <c r="J78" s="103"/>
      <c r="K78" s="108"/>
      <c r="L78" s="435"/>
      <c r="M78" s="613"/>
      <c r="N78" s="436"/>
      <c r="O78" s="437"/>
      <c r="P78" s="437"/>
      <c r="Q78" s="437"/>
      <c r="R78" s="437"/>
      <c r="S78" s="96"/>
      <c r="T78" s="168"/>
      <c r="U78" s="96"/>
      <c r="V78" s="96"/>
      <c r="W78" s="439"/>
      <c r="X78" s="440"/>
      <c r="Y78" s="441"/>
      <c r="Z78" s="439"/>
      <c r="AA78" s="439"/>
      <c r="AB78" s="442"/>
      <c r="AC78" s="169"/>
      <c r="AD78" s="168"/>
      <c r="AE78" s="168"/>
      <c r="AF78" s="168"/>
      <c r="AG78" s="168"/>
      <c r="AH78" s="169"/>
      <c r="AI78" s="168"/>
      <c r="AJ78" s="168"/>
      <c r="AK78" s="168"/>
      <c r="AL78" s="168"/>
      <c r="AN78" s="168"/>
      <c r="AO78" s="168"/>
      <c r="AP78" s="168"/>
      <c r="AQ78" s="168"/>
      <c r="AR78" s="169"/>
      <c r="AS78" s="168"/>
      <c r="AT78" s="168"/>
      <c r="AU78" s="168"/>
      <c r="AV78" s="168"/>
      <c r="AW78" s="169"/>
      <c r="AX78" s="168"/>
      <c r="AY78" s="168"/>
      <c r="AZ78" s="168"/>
      <c r="BA78" s="168"/>
      <c r="BB78" s="294"/>
      <c r="BC78" s="168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</row>
    <row r="79" spans="1:89" s="67" customFormat="1" ht="24.75" customHeight="1">
      <c r="A79" s="417">
        <v>76</v>
      </c>
      <c r="B79" s="418" t="s">
        <v>19</v>
      </c>
      <c r="C79" s="419" t="s">
        <v>308</v>
      </c>
      <c r="D79" s="420" t="s">
        <v>309</v>
      </c>
      <c r="E79" s="241" t="s">
        <v>310</v>
      </c>
      <c r="F79" s="805"/>
      <c r="G79" s="433"/>
      <c r="H79" s="434"/>
      <c r="I79" s="111"/>
      <c r="J79" s="103"/>
      <c r="K79" s="108"/>
      <c r="L79" s="435"/>
      <c r="M79" s="613"/>
      <c r="N79" s="436"/>
      <c r="O79" s="437"/>
      <c r="P79" s="437"/>
      <c r="Q79" s="437"/>
      <c r="R79" s="437"/>
      <c r="S79" s="96"/>
      <c r="T79" s="168"/>
      <c r="U79" s="96"/>
      <c r="V79" s="96"/>
      <c r="W79" s="439"/>
      <c r="X79" s="440"/>
      <c r="Y79" s="441"/>
      <c r="Z79" s="439"/>
      <c r="AA79" s="439"/>
      <c r="AB79" s="442"/>
      <c r="AC79" s="169"/>
      <c r="AD79" s="168"/>
      <c r="AE79" s="168"/>
      <c r="AF79" s="168"/>
      <c r="AG79" s="168"/>
      <c r="AH79" s="169"/>
      <c r="AI79" s="168"/>
      <c r="AJ79" s="168"/>
      <c r="AK79" s="168"/>
      <c r="AL79" s="168"/>
      <c r="AN79" s="168"/>
      <c r="AO79" s="168"/>
      <c r="AP79" s="168"/>
      <c r="AQ79" s="168"/>
      <c r="AR79" s="169"/>
      <c r="AS79" s="168"/>
      <c r="AT79" s="168"/>
      <c r="AU79" s="168"/>
      <c r="AV79" s="168"/>
      <c r="AW79" s="169"/>
      <c r="AX79" s="168"/>
      <c r="AY79" s="168"/>
      <c r="AZ79" s="168"/>
      <c r="BA79" s="168"/>
      <c r="BB79" s="294"/>
      <c r="BC79" s="168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</row>
    <row r="80" spans="1:89" s="67" customFormat="1" ht="24.75" customHeight="1">
      <c r="A80" s="417">
        <v>77</v>
      </c>
      <c r="B80" s="418" t="s">
        <v>19</v>
      </c>
      <c r="C80" s="419" t="s">
        <v>311</v>
      </c>
      <c r="D80" s="420" t="s">
        <v>312</v>
      </c>
      <c r="E80" s="241" t="s">
        <v>313</v>
      </c>
      <c r="F80" s="805"/>
      <c r="G80" s="433"/>
      <c r="H80" s="434"/>
      <c r="I80" s="111"/>
      <c r="J80" s="103"/>
      <c r="K80" s="108"/>
      <c r="L80" s="435"/>
      <c r="M80" s="613"/>
      <c r="N80" s="436"/>
      <c r="O80" s="437"/>
      <c r="P80" s="437"/>
      <c r="Q80" s="437"/>
      <c r="R80" s="437"/>
      <c r="S80" s="96"/>
      <c r="T80" s="168"/>
      <c r="U80" s="96"/>
      <c r="V80" s="96"/>
      <c r="W80" s="439"/>
      <c r="X80" s="440"/>
      <c r="Y80" s="441"/>
      <c r="Z80" s="439"/>
      <c r="AA80" s="439"/>
      <c r="AB80" s="442"/>
      <c r="AC80" s="169"/>
      <c r="AD80" s="168"/>
      <c r="AE80" s="168"/>
      <c r="AF80" s="168"/>
      <c r="AG80" s="168"/>
      <c r="AH80" s="169"/>
      <c r="AI80" s="168"/>
      <c r="AJ80" s="168"/>
      <c r="AK80" s="168"/>
      <c r="AL80" s="168"/>
      <c r="AN80" s="168"/>
      <c r="AO80" s="168"/>
      <c r="AP80" s="168"/>
      <c r="AQ80" s="168"/>
      <c r="AR80" s="169"/>
      <c r="AS80" s="168"/>
      <c r="AT80" s="168"/>
      <c r="AU80" s="168"/>
      <c r="AV80" s="168"/>
      <c r="AW80" s="169"/>
      <c r="AX80" s="168"/>
      <c r="AY80" s="168"/>
      <c r="AZ80" s="168"/>
      <c r="BA80" s="168"/>
      <c r="BB80" s="294"/>
      <c r="BC80" s="168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</row>
    <row r="81" spans="1:89" s="67" customFormat="1" ht="24.75" customHeight="1">
      <c r="A81" s="417">
        <v>78</v>
      </c>
      <c r="B81" s="418" t="s">
        <v>19</v>
      </c>
      <c r="C81" s="419" t="s">
        <v>314</v>
      </c>
      <c r="D81" s="420" t="s">
        <v>315</v>
      </c>
      <c r="E81" s="241" t="s">
        <v>316</v>
      </c>
      <c r="F81" s="805"/>
      <c r="G81" s="433"/>
      <c r="H81" s="434"/>
      <c r="I81" s="111"/>
      <c r="J81" s="103"/>
      <c r="K81" s="108"/>
      <c r="L81" s="435"/>
      <c r="M81" s="613"/>
      <c r="N81" s="436"/>
      <c r="O81" s="437"/>
      <c r="P81" s="437"/>
      <c r="Q81" s="437"/>
      <c r="R81" s="437"/>
      <c r="S81" s="96"/>
      <c r="T81" s="168"/>
      <c r="U81" s="96"/>
      <c r="V81" s="96"/>
      <c r="W81" s="439"/>
      <c r="X81" s="440"/>
      <c r="Y81" s="441"/>
      <c r="Z81" s="439"/>
      <c r="AA81" s="439"/>
      <c r="AB81" s="442"/>
      <c r="AC81" s="169"/>
      <c r="AD81" s="168"/>
      <c r="AE81" s="168"/>
      <c r="AF81" s="168"/>
      <c r="AG81" s="168"/>
      <c r="AH81" s="169"/>
      <c r="AI81" s="168"/>
      <c r="AJ81" s="168"/>
      <c r="AK81" s="168"/>
      <c r="AL81" s="168"/>
      <c r="AN81" s="168"/>
      <c r="AO81" s="168"/>
      <c r="AP81" s="168"/>
      <c r="AQ81" s="168"/>
      <c r="AR81" s="169"/>
      <c r="AS81" s="168"/>
      <c r="AT81" s="168"/>
      <c r="AU81" s="168"/>
      <c r="AV81" s="168"/>
      <c r="AW81" s="169"/>
      <c r="AX81" s="168"/>
      <c r="AY81" s="168"/>
      <c r="AZ81" s="168"/>
      <c r="BA81" s="168"/>
      <c r="BB81" s="294"/>
      <c r="BC81" s="168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</row>
    <row r="82" spans="1:89" s="67" customFormat="1" ht="24.75" customHeight="1">
      <c r="A82" s="417">
        <v>79</v>
      </c>
      <c r="B82" s="418" t="s">
        <v>19</v>
      </c>
      <c r="C82" s="419" t="s">
        <v>317</v>
      </c>
      <c r="D82" s="420" t="s">
        <v>318</v>
      </c>
      <c r="E82" s="241" t="s">
        <v>319</v>
      </c>
      <c r="F82" s="805"/>
      <c r="G82" s="433"/>
      <c r="H82" s="434"/>
      <c r="I82" s="111"/>
      <c r="J82" s="103"/>
      <c r="K82" s="108"/>
      <c r="L82" s="435"/>
      <c r="M82" s="613"/>
      <c r="N82" s="436"/>
      <c r="O82" s="437"/>
      <c r="P82" s="437"/>
      <c r="Q82" s="437"/>
      <c r="R82" s="437"/>
      <c r="S82" s="96"/>
      <c r="T82" s="168"/>
      <c r="U82" s="96"/>
      <c r="V82" s="96"/>
      <c r="W82" s="439"/>
      <c r="X82" s="440"/>
      <c r="Y82" s="441"/>
      <c r="Z82" s="439"/>
      <c r="AA82" s="439"/>
      <c r="AB82" s="442"/>
      <c r="AC82" s="169"/>
      <c r="AD82" s="168"/>
      <c r="AE82" s="168"/>
      <c r="AF82" s="168"/>
      <c r="AG82" s="168"/>
      <c r="AH82" s="169"/>
      <c r="AI82" s="168"/>
      <c r="AJ82" s="168"/>
      <c r="AK82" s="168"/>
      <c r="AL82" s="168"/>
      <c r="AN82" s="168"/>
      <c r="AO82" s="168"/>
      <c r="AP82" s="168"/>
      <c r="AQ82" s="168"/>
      <c r="AR82" s="169"/>
      <c r="AS82" s="168"/>
      <c r="AT82" s="168"/>
      <c r="AU82" s="168"/>
      <c r="AV82" s="168"/>
      <c r="AW82" s="169"/>
      <c r="AX82" s="168"/>
      <c r="AY82" s="168"/>
      <c r="AZ82" s="168"/>
      <c r="BA82" s="168"/>
      <c r="BB82" s="294"/>
      <c r="BC82" s="168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</row>
    <row r="83" spans="1:89" s="67" customFormat="1" ht="24.75" customHeight="1">
      <c r="A83" s="417">
        <v>80</v>
      </c>
      <c r="B83" s="418" t="s">
        <v>19</v>
      </c>
      <c r="C83" s="419" t="s">
        <v>320</v>
      </c>
      <c r="D83" s="420" t="s">
        <v>321</v>
      </c>
      <c r="E83" s="241" t="s">
        <v>322</v>
      </c>
      <c r="F83" s="307">
        <f>F84+7</f>
        <v>46097</v>
      </c>
      <c r="G83" s="433"/>
      <c r="H83" s="434"/>
      <c r="I83" s="111"/>
      <c r="J83" s="103"/>
      <c r="K83" s="108"/>
      <c r="L83" s="435"/>
      <c r="M83" s="613" t="s">
        <v>81</v>
      </c>
      <c r="N83" s="436"/>
      <c r="O83" s="437"/>
      <c r="P83" s="437"/>
      <c r="Q83" s="437"/>
      <c r="R83" s="437"/>
      <c r="S83" s="96"/>
      <c r="T83" s="168"/>
      <c r="U83" s="96"/>
      <c r="V83" s="96"/>
      <c r="W83" s="439"/>
      <c r="X83" s="440"/>
      <c r="Y83" s="441"/>
      <c r="Z83" s="439"/>
      <c r="AA83" s="439"/>
      <c r="AB83" s="442"/>
      <c r="AC83" s="169"/>
      <c r="AD83" s="168"/>
      <c r="AE83" s="168"/>
      <c r="AF83" s="168"/>
      <c r="AG83" s="168"/>
      <c r="AH83" s="169"/>
      <c r="AI83" s="168"/>
      <c r="AJ83" s="168"/>
      <c r="AK83" s="168"/>
      <c r="AL83" s="168"/>
      <c r="AN83" s="168"/>
      <c r="AO83" s="168"/>
      <c r="AP83" s="168"/>
      <c r="AQ83" s="168"/>
      <c r="AR83" s="169"/>
      <c r="AS83" s="168"/>
      <c r="AT83" s="168"/>
      <c r="AU83" s="168"/>
      <c r="AV83" s="168"/>
      <c r="AW83" s="169"/>
      <c r="AX83" s="168"/>
      <c r="AY83" s="168"/>
      <c r="AZ83" s="168"/>
      <c r="BA83" s="168"/>
      <c r="BB83" s="294"/>
      <c r="BC83" s="168" t="s">
        <v>82</v>
      </c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</row>
    <row r="84" spans="1:89" s="67" customFormat="1" ht="24.75" customHeight="1">
      <c r="A84" s="417">
        <v>81</v>
      </c>
      <c r="B84" s="670" t="s">
        <v>19</v>
      </c>
      <c r="C84" s="419" t="s">
        <v>323</v>
      </c>
      <c r="D84" s="425" t="s">
        <v>324</v>
      </c>
      <c r="E84" s="241" t="s">
        <v>325</v>
      </c>
      <c r="F84" s="681">
        <f>F76+14</f>
        <v>46090</v>
      </c>
      <c r="G84" s="682"/>
      <c r="H84" s="683"/>
      <c r="I84" s="684"/>
      <c r="J84" s="333"/>
      <c r="K84" s="685"/>
      <c r="L84" s="686"/>
      <c r="M84" s="687" t="s">
        <v>81</v>
      </c>
      <c r="N84" s="688"/>
      <c r="O84" s="689"/>
      <c r="P84" s="689"/>
      <c r="Q84" s="689"/>
      <c r="R84" s="689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C84" s="168" t="s">
        <v>82</v>
      </c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</row>
    <row r="85" spans="1:89" s="3" customFormat="1" ht="24.75" customHeight="1">
      <c r="A85" s="417">
        <v>82</v>
      </c>
      <c r="B85" s="670" t="s">
        <v>19</v>
      </c>
      <c r="C85" s="419" t="s">
        <v>326</v>
      </c>
      <c r="D85" s="425" t="s">
        <v>327</v>
      </c>
      <c r="E85" s="241" t="s">
        <v>328</v>
      </c>
      <c r="F85" s="810"/>
      <c r="G85" s="125"/>
      <c r="H85" s="125"/>
      <c r="I85" s="256"/>
      <c r="J85" s="47"/>
      <c r="K85" s="811"/>
      <c r="L85" s="127"/>
      <c r="M85" s="812"/>
      <c r="N85" s="126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</row>
    <row r="86" spans="1:89" s="3" customFormat="1" ht="24.75" customHeight="1">
      <c r="A86" s="417">
        <v>83</v>
      </c>
      <c r="B86" s="418" t="s">
        <v>19</v>
      </c>
      <c r="C86" s="671" t="s">
        <v>329</v>
      </c>
      <c r="D86" s="427" t="s">
        <v>330</v>
      </c>
      <c r="E86" s="680"/>
      <c r="F86" s="672"/>
      <c r="G86" s="673"/>
      <c r="H86" s="673"/>
      <c r="I86" s="674"/>
      <c r="J86" s="325"/>
      <c r="K86" s="675"/>
      <c r="L86" s="676"/>
      <c r="M86" s="677"/>
      <c r="N86" s="678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79"/>
      <c r="AB86" s="679"/>
      <c r="AC86" s="679"/>
      <c r="AD86" s="679"/>
      <c r="AE86" s="679"/>
      <c r="AF86" s="679"/>
      <c r="AG86" s="679"/>
      <c r="AH86" s="679"/>
      <c r="AI86" s="679"/>
      <c r="AJ86" s="679"/>
      <c r="AK86" s="679"/>
      <c r="AL86" s="679"/>
      <c r="AM86" s="679"/>
      <c r="AN86" s="679"/>
      <c r="AO86" s="679"/>
      <c r="AP86" s="679"/>
      <c r="AQ86" s="679"/>
      <c r="AR86" s="679"/>
      <c r="AS86" s="679"/>
      <c r="AT86" s="679"/>
      <c r="AU86" s="679"/>
      <c r="AV86" s="679"/>
      <c r="AW86" s="679"/>
      <c r="AX86" s="679"/>
      <c r="AY86" s="679"/>
      <c r="AZ86" s="679"/>
      <c r="BA86" s="679"/>
      <c r="BB86" s="679"/>
      <c r="BC86" s="679"/>
    </row>
    <row r="87" spans="1:89" ht="14.45">
      <c r="A87" s="426"/>
      <c r="S87" s="2"/>
    </row>
    <row r="90" spans="1:89">
      <c r="D90" s="267"/>
    </row>
    <row r="91" spans="1:89">
      <c r="D91" s="273"/>
    </row>
    <row r="92" spans="1:89">
      <c r="D92" s="274"/>
    </row>
    <row r="93" spans="1:89">
      <c r="D93" s="274"/>
    </row>
    <row r="94" spans="1:89">
      <c r="D94" s="275"/>
    </row>
    <row r="95" spans="1:89">
      <c r="D95" s="267"/>
    </row>
    <row r="96" spans="1:89">
      <c r="D96" s="267"/>
    </row>
    <row r="97" spans="4:4">
      <c r="D97" s="267"/>
    </row>
    <row r="98" spans="4:4">
      <c r="D98" s="267"/>
    </row>
    <row r="99" spans="4:4">
      <c r="D99" s="267"/>
    </row>
    <row r="100" spans="4:4">
      <c r="D100" s="258"/>
    </row>
    <row r="101" spans="4:4">
      <c r="D101" s="267"/>
    </row>
    <row r="102" spans="4:4">
      <c r="D102" s="159"/>
    </row>
    <row r="103" spans="4:4">
      <c r="D103" s="267"/>
    </row>
    <row r="104" spans="4:4">
      <c r="D104" s="267"/>
    </row>
    <row r="105" spans="4:4">
      <c r="D105" s="159"/>
    </row>
    <row r="106" spans="4:4">
      <c r="D106" s="159"/>
    </row>
    <row r="107" spans="4:4">
      <c r="D107" s="142"/>
    </row>
    <row r="108" spans="4:4">
      <c r="D108" s="142"/>
    </row>
    <row r="109" spans="4:4">
      <c r="D109" s="142"/>
    </row>
    <row r="110" spans="4:4">
      <c r="D110" s="159"/>
    </row>
    <row r="111" spans="4:4">
      <c r="D111" s="159"/>
    </row>
    <row r="129" spans="1:18">
      <c r="I129" s="59" t="s">
        <v>331</v>
      </c>
    </row>
    <row r="130" spans="1:18">
      <c r="D130" s="159"/>
      <c r="J130" s="32" t="s">
        <v>56</v>
      </c>
    </row>
    <row r="131" spans="1:18">
      <c r="A131" s="3"/>
      <c r="D131" s="159"/>
      <c r="J131" s="32" t="s">
        <v>49</v>
      </c>
      <c r="O131" s="48"/>
      <c r="P131" s="48"/>
      <c r="Q131" s="48"/>
      <c r="R131" s="48"/>
    </row>
    <row r="132" spans="1:18">
      <c r="A132" s="3"/>
      <c r="D132" s="159"/>
      <c r="J132" s="32" t="s">
        <v>50</v>
      </c>
      <c r="O132" s="48"/>
      <c r="P132" s="48"/>
      <c r="Q132" s="48"/>
      <c r="R132" s="48"/>
    </row>
    <row r="133" spans="1:18">
      <c r="A133" s="3"/>
      <c r="D133" s="1"/>
      <c r="J133" s="32" t="s">
        <v>51</v>
      </c>
      <c r="O133" s="48"/>
      <c r="P133" s="48"/>
      <c r="Q133" s="48"/>
      <c r="R133" s="48"/>
    </row>
    <row r="134" spans="1:18">
      <c r="A134" s="3"/>
      <c r="D134" s="1"/>
      <c r="J134" s="32" t="s">
        <v>80</v>
      </c>
      <c r="O134" s="48"/>
      <c r="P134" s="48"/>
      <c r="Q134" s="48"/>
      <c r="R134" s="48"/>
    </row>
    <row r="135" spans="1:18" ht="14.25"/>
  </sheetData>
  <autoFilter ref="A2:CK84" xr:uid="{00000000-0001-0000-0000-000000000000}"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4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7" showButton="0"/>
    <filterColumn colId="49" showButton="0"/>
    <filterColumn colId="50" showButton="0"/>
    <filterColumn colId="51" showButton="0"/>
    <filterColumn colId="52" showButton="0"/>
  </autoFilter>
  <sortState xmlns:xlrd2="http://schemas.microsoft.com/office/spreadsheetml/2017/richdata2" ref="C4:D51">
    <sortCondition ref="C4"/>
  </sortState>
  <mergeCells count="8">
    <mergeCell ref="AX2:BB2"/>
    <mergeCell ref="AS2:AW2"/>
    <mergeCell ref="AN2:AR2"/>
    <mergeCell ref="O2:S2"/>
    <mergeCell ref="T2:X2"/>
    <mergeCell ref="Y2:AC2"/>
    <mergeCell ref="AD2:AH2"/>
    <mergeCell ref="AI2:AM2"/>
  </mergeCells>
  <phoneticPr fontId="11" type="noConversion"/>
  <conditionalFormatting sqref="A4:XFD87">
    <cfRule type="expression" dxfId="667" priority="145">
      <formula>$J4="AUR"</formula>
    </cfRule>
  </conditionalFormatting>
  <conditionalFormatting sqref="A4:XFD88">
    <cfRule type="expression" dxfId="666" priority="432">
      <formula>$J4="GAA"</formula>
    </cfRule>
  </conditionalFormatting>
  <conditionalFormatting sqref="B17">
    <cfRule type="expression" dxfId="665" priority="6307">
      <formula>$J38="GAA"</formula>
    </cfRule>
    <cfRule type="expression" dxfId="664" priority="6317">
      <formula>$J38="AUR"</formula>
    </cfRule>
  </conditionalFormatting>
  <conditionalFormatting sqref="B18">
    <cfRule type="expression" dxfId="663" priority="5314">
      <formula>$J63="AUR"</formula>
    </cfRule>
    <cfRule type="expression" dxfId="662" priority="5317">
      <formula>$J63="CTA"</formula>
    </cfRule>
    <cfRule type="expression" dxfId="661" priority="5318">
      <formula>$J63="GAA"</formula>
    </cfRule>
  </conditionalFormatting>
  <conditionalFormatting sqref="B20">
    <cfRule type="expression" dxfId="660" priority="6694">
      <formula>$J49="AUR"</formula>
    </cfRule>
    <cfRule type="expression" dxfId="659" priority="6695">
      <formula>$J49="CTA"</formula>
    </cfRule>
    <cfRule type="expression" dxfId="658" priority="6696">
      <formula>$J49="GAA"</formula>
    </cfRule>
  </conditionalFormatting>
  <conditionalFormatting sqref="B21 D21">
    <cfRule type="expression" dxfId="657" priority="3000">
      <formula>#REF!="AUR"</formula>
    </cfRule>
    <cfRule type="expression" dxfId="656" priority="3002">
      <formula>#REF!="GAA"</formula>
    </cfRule>
  </conditionalFormatting>
  <conditionalFormatting sqref="B22">
    <cfRule type="expression" dxfId="655" priority="5181">
      <formula>$J61="AUR"</formula>
    </cfRule>
    <cfRule type="expression" dxfId="654" priority="5185">
      <formula>$J61="GAA"</formula>
    </cfRule>
  </conditionalFormatting>
  <conditionalFormatting sqref="B23">
    <cfRule type="expression" dxfId="653" priority="5402">
      <formula>$J64="AUR"</formula>
    </cfRule>
    <cfRule type="expression" dxfId="652" priority="5406">
      <formula>$J64="GAA"</formula>
    </cfRule>
  </conditionalFormatting>
  <conditionalFormatting sqref="B28:B29">
    <cfRule type="expression" dxfId="651" priority="6337">
      <formula>$J20="GAA"</formula>
    </cfRule>
  </conditionalFormatting>
  <conditionalFormatting sqref="B30">
    <cfRule type="expression" dxfId="650" priority="6329">
      <formula>$J25="AUR"</formula>
    </cfRule>
    <cfRule type="expression" dxfId="649" priority="6331">
      <formula>$J25="GAA"</formula>
    </cfRule>
  </conditionalFormatting>
  <conditionalFormatting sqref="B40">
    <cfRule type="expression" dxfId="648" priority="5123">
      <formula>$J59="AUR"</formula>
    </cfRule>
    <cfRule type="expression" dxfId="647" priority="5125">
      <formula>$J59="GAA"</formula>
    </cfRule>
  </conditionalFormatting>
  <conditionalFormatting sqref="B41:B42">
    <cfRule type="expression" dxfId="646" priority="4898">
      <formula>#REF!="AUR"</formula>
    </cfRule>
    <cfRule type="expression" dxfId="645" priority="4900">
      <formula>#REF!="GAA"</formula>
    </cfRule>
  </conditionalFormatting>
  <conditionalFormatting sqref="B43:B48">
    <cfRule type="expression" dxfId="644" priority="6386">
      <formula>$J65="AUR"</formula>
    </cfRule>
    <cfRule type="expression" dxfId="643" priority="6387">
      <formula>$J65="CTA"</formula>
    </cfRule>
    <cfRule type="expression" dxfId="642" priority="6388">
      <formula>$J65="GAA"</formula>
    </cfRule>
  </conditionalFormatting>
  <conditionalFormatting sqref="B49 B51 B54">
    <cfRule type="expression" dxfId="641" priority="6004">
      <formula>$J70="AUR"</formula>
    </cfRule>
    <cfRule type="expression" dxfId="640" priority="6005">
      <formula>$J70="CTA"</formula>
    </cfRule>
    <cfRule type="expression" dxfId="639" priority="6006">
      <formula>$J70="GAA"</formula>
    </cfRule>
  </conditionalFormatting>
  <conditionalFormatting sqref="B52">
    <cfRule type="expression" dxfId="638" priority="6900">
      <formula>$J71="AUR"</formula>
    </cfRule>
    <cfRule type="expression" dxfId="637" priority="6901">
      <formula>$J71="CTA"</formula>
    </cfRule>
    <cfRule type="expression" dxfId="636" priority="6902">
      <formula>$J71="GAA"</formula>
    </cfRule>
  </conditionalFormatting>
  <conditionalFormatting sqref="B53">
    <cfRule type="expression" dxfId="635" priority="6685">
      <formula>$J73="AUR"</formula>
    </cfRule>
    <cfRule type="expression" dxfId="634" priority="6686">
      <formula>$J73="CTA"</formula>
    </cfRule>
    <cfRule type="expression" dxfId="633" priority="6687">
      <formula>$J73="GAA"</formula>
    </cfRule>
  </conditionalFormatting>
  <conditionalFormatting sqref="B56:B57">
    <cfRule type="expression" dxfId="632" priority="6642">
      <formula>#REF!="AUR"</formula>
    </cfRule>
    <cfRule type="expression" dxfId="631" priority="6643">
      <formula>#REF!="CTA"</formula>
    </cfRule>
    <cfRule type="expression" dxfId="630" priority="6644">
      <formula>#REF!="GAA"</formula>
    </cfRule>
  </conditionalFormatting>
  <conditionalFormatting sqref="B58">
    <cfRule type="expression" dxfId="629" priority="283">
      <formula>$J76="GAA"</formula>
    </cfRule>
  </conditionalFormatting>
  <conditionalFormatting sqref="B66">
    <cfRule type="expression" dxfId="628" priority="6119">
      <formula>$J77="AUR"</formula>
    </cfRule>
    <cfRule type="expression" dxfId="627" priority="6120">
      <formula>$J77="CTA"</formula>
    </cfRule>
    <cfRule type="expression" dxfId="626" priority="6121">
      <formula>$J77="GAA"</formula>
    </cfRule>
  </conditionalFormatting>
  <conditionalFormatting sqref="B70">
    <cfRule type="expression" dxfId="625" priority="6227">
      <formula>$J84="AUR"</formula>
    </cfRule>
    <cfRule type="expression" dxfId="624" priority="6228">
      <formula>$J84="CTA"</formula>
    </cfRule>
    <cfRule type="expression" dxfId="623" priority="6229">
      <formula>$J84="GAA"</formula>
    </cfRule>
  </conditionalFormatting>
  <conditionalFormatting sqref="B50:C50">
    <cfRule type="expression" dxfId="622" priority="6788">
      <formula>#REF!="AUR"</formula>
    </cfRule>
    <cfRule type="expression" dxfId="621" priority="6789">
      <formula>#REF!="CTA"</formula>
    </cfRule>
    <cfRule type="expression" dxfId="620" priority="6790">
      <formula>#REF!="GAA"</formula>
    </cfRule>
  </conditionalFormatting>
  <conditionalFormatting sqref="B39:D39">
    <cfRule type="expression" dxfId="619" priority="187">
      <formula>#REF!="GAA"</formula>
    </cfRule>
  </conditionalFormatting>
  <conditionalFormatting sqref="C17">
    <cfRule type="expression" dxfId="618" priority="203">
      <formula>$J49="AUR"</formula>
    </cfRule>
    <cfRule type="expression" dxfId="617" priority="204">
      <formula>$J49="CTA"</formula>
    </cfRule>
    <cfRule type="expression" dxfId="616" priority="205">
      <formula>$J49="GAA"</formula>
    </cfRule>
  </conditionalFormatting>
  <conditionalFormatting sqref="C19:C21 C25:C28 C30:C31 C34 C38:C45">
    <cfRule type="expression" dxfId="615" priority="184">
      <formula>$J19="GAA"</formula>
    </cfRule>
  </conditionalFormatting>
  <conditionalFormatting sqref="C20">
    <cfRule type="expression" dxfId="614" priority="206">
      <formula>$J50="AUR"</formula>
    </cfRule>
    <cfRule type="expression" dxfId="613" priority="207">
      <formula>$J50="CTA"</formula>
    </cfRule>
    <cfRule type="expression" dxfId="612" priority="208">
      <formula>$J50="GAA"</formula>
    </cfRule>
  </conditionalFormatting>
  <conditionalFormatting sqref="C21">
    <cfRule type="expression" dxfId="611" priority="230">
      <formula>$J56="AUR"</formula>
    </cfRule>
    <cfRule type="expression" dxfId="610" priority="231">
      <formula>$J56="CTA"</formula>
    </cfRule>
    <cfRule type="expression" dxfId="609" priority="232">
      <formula>$J56="GAA"</formula>
    </cfRule>
  </conditionalFormatting>
  <conditionalFormatting sqref="C22:C23 C39:C40">
    <cfRule type="expression" dxfId="608" priority="199">
      <formula>#REF!="GAA"</formula>
    </cfRule>
  </conditionalFormatting>
  <conditionalFormatting sqref="C24">
    <cfRule type="expression" dxfId="607" priority="256">
      <formula>$J66="GAA"</formula>
    </cfRule>
  </conditionalFormatting>
  <conditionalFormatting sqref="C28">
    <cfRule type="expression" dxfId="606" priority="214">
      <formula>$J51="GAA"</formula>
    </cfRule>
  </conditionalFormatting>
  <conditionalFormatting sqref="C31 B41">
    <cfRule type="expression" dxfId="605" priority="217">
      <formula>$J52="GAA"</formula>
    </cfRule>
  </conditionalFormatting>
  <conditionalFormatting sqref="C36:C37">
    <cfRule type="expression" dxfId="604" priority="220">
      <formula>$J60="GAA"</formula>
    </cfRule>
    <cfRule type="expression" dxfId="603" priority="244">
      <formula>$J59="GAA"</formula>
    </cfRule>
  </conditionalFormatting>
  <conditionalFormatting sqref="C40">
    <cfRule type="expression" dxfId="602" priority="229">
      <formula>$J61="GAA"</formula>
    </cfRule>
  </conditionalFormatting>
  <conditionalFormatting sqref="C41:C42">
    <cfRule type="expression" dxfId="601" priority="193">
      <formula>$J64="GAA"</formula>
    </cfRule>
  </conditionalFormatting>
  <conditionalFormatting sqref="C43:C46">
    <cfRule type="expression" dxfId="600" priority="7183">
      <formula>$J67="CTA"</formula>
    </cfRule>
  </conditionalFormatting>
  <conditionalFormatting sqref="C44:C46">
    <cfRule type="expression" dxfId="599" priority="7182">
      <formula>$J68="AUR"</formula>
    </cfRule>
  </conditionalFormatting>
  <conditionalFormatting sqref="C47 D130">
    <cfRule type="expression" dxfId="598" priority="6886">
      <formula>#REF!="CTA"</formula>
    </cfRule>
    <cfRule type="expression" dxfId="597" priority="6887">
      <formula>#REF!="GAA"</formula>
    </cfRule>
  </conditionalFormatting>
  <conditionalFormatting sqref="C48">
    <cfRule type="expression" dxfId="596" priority="5992">
      <formula>$J71="AUR"</formula>
    </cfRule>
    <cfRule type="expression" dxfId="595" priority="5993">
      <formula>$J71="CTA"</formula>
    </cfRule>
    <cfRule type="expression" dxfId="594" priority="5994">
      <formula>$J71="GAA"</formula>
    </cfRule>
  </conditionalFormatting>
  <conditionalFormatting sqref="C49">
    <cfRule type="expression" dxfId="593" priority="5482">
      <formula>$J71="AUR"</formula>
    </cfRule>
    <cfRule type="expression" dxfId="592" priority="5485">
      <formula>$J71="CTA"</formula>
    </cfRule>
    <cfRule type="expression" dxfId="591" priority="5486">
      <formula>$J71="GAA"</formula>
    </cfRule>
  </conditionalFormatting>
  <conditionalFormatting sqref="C51">
    <cfRule type="expression" dxfId="590" priority="6691">
      <formula>$J75="AUR"</formula>
    </cfRule>
    <cfRule type="expression" dxfId="589" priority="6692">
      <formula>$J75="CTA"</formula>
    </cfRule>
    <cfRule type="expression" dxfId="588" priority="6693">
      <formula>$J75="GAA"</formula>
    </cfRule>
  </conditionalFormatting>
  <conditionalFormatting sqref="C52">
    <cfRule type="expression" dxfId="587" priority="6675">
      <formula>#REF!="CTA"</formula>
    </cfRule>
    <cfRule type="expression" dxfId="586" priority="6676">
      <formula>#REF!="GAA"</formula>
    </cfRule>
    <cfRule type="expression" dxfId="585" priority="6677">
      <formula>#REF!="AUR"</formula>
    </cfRule>
  </conditionalFormatting>
  <conditionalFormatting sqref="C56:C57">
    <cfRule type="expression" dxfId="584" priority="202">
      <formula>$J72="GAA"</formula>
    </cfRule>
  </conditionalFormatting>
  <conditionalFormatting sqref="C86">
    <cfRule type="expression" dxfId="583" priority="7281">
      <formula>$J88="GAA"</formula>
    </cfRule>
  </conditionalFormatting>
  <conditionalFormatting sqref="D12:D14 B19:B21">
    <cfRule type="expression" dxfId="582" priority="1217">
      <formula>$J9="GAA"</formula>
    </cfRule>
  </conditionalFormatting>
  <conditionalFormatting sqref="D18">
    <cfRule type="expression" dxfId="581" priority="4257">
      <formula>$J52="AUR"</formula>
    </cfRule>
    <cfRule type="expression" dxfId="580" priority="4259">
      <formula>$J52="GAA"</formula>
    </cfRule>
  </conditionalFormatting>
  <conditionalFormatting sqref="D22">
    <cfRule type="expression" dxfId="579" priority="1379">
      <formula>$J34="GAA"</formula>
    </cfRule>
  </conditionalFormatting>
  <conditionalFormatting sqref="D29 D32:D33">
    <cfRule type="expression" dxfId="578" priority="4491">
      <formula>$J16="GAA"</formula>
    </cfRule>
  </conditionalFormatting>
  <conditionalFormatting sqref="D34:D35">
    <cfRule type="expression" dxfId="577" priority="1271">
      <formula>$J15="GAA"</formula>
    </cfRule>
  </conditionalFormatting>
  <conditionalFormatting sqref="D36:D37">
    <cfRule type="expression" dxfId="576" priority="4545">
      <formula>$J25="AUR"</formula>
    </cfRule>
    <cfRule type="expression" dxfId="575" priority="4547">
      <formula>$J25="GAA"</formula>
    </cfRule>
  </conditionalFormatting>
  <conditionalFormatting sqref="D38:D40">
    <cfRule type="expression" dxfId="574" priority="5586">
      <formula>$J16="AUR"</formula>
    </cfRule>
    <cfRule type="expression" dxfId="573" priority="5588">
      <formula>$J16="GAA"</formula>
    </cfRule>
  </conditionalFormatting>
  <conditionalFormatting sqref="D40">
    <cfRule type="expression" dxfId="572" priority="1407">
      <formula>$J16="AUR"</formula>
    </cfRule>
    <cfRule type="expression" dxfId="571" priority="1409">
      <formula>$J16="GAA"</formula>
    </cfRule>
  </conditionalFormatting>
  <conditionalFormatting sqref="D41">
    <cfRule type="expression" dxfId="570" priority="5271">
      <formula>$J51="AUR"</formula>
    </cfRule>
    <cfRule type="expression" dxfId="569" priority="5273">
      <formula>$J51="GAA"</formula>
    </cfRule>
  </conditionalFormatting>
  <conditionalFormatting sqref="D43:D44">
    <cfRule type="expression" dxfId="568" priority="1241">
      <formula>$J50="GAA"</formula>
    </cfRule>
  </conditionalFormatting>
  <conditionalFormatting sqref="D45:D46">
    <cfRule type="expression" dxfId="567" priority="4302">
      <formula>#REF!="AUR"</formula>
    </cfRule>
    <cfRule type="expression" dxfId="566" priority="4304">
      <formula>#REF!="GAA"</formula>
    </cfRule>
  </conditionalFormatting>
  <conditionalFormatting sqref="D47:D48">
    <cfRule type="expression" dxfId="565" priority="4350">
      <formula>$J53="AUR"</formula>
    </cfRule>
    <cfRule type="expression" dxfId="564" priority="4352">
      <formula>$J53="GAA"</formula>
    </cfRule>
  </conditionalFormatting>
  <conditionalFormatting sqref="D50">
    <cfRule type="expression" dxfId="563" priority="5942">
      <formula>$J54="GAA"</formula>
    </cfRule>
    <cfRule type="expression" dxfId="562" priority="5943">
      <formula>$J54="AUR"</formula>
    </cfRule>
  </conditionalFormatting>
  <conditionalFormatting sqref="D51">
    <cfRule type="expression" dxfId="561" priority="5975">
      <formula>$J56="CTA"</formula>
    </cfRule>
    <cfRule type="expression" dxfId="560" priority="5976">
      <formula>$J56="GAA"</formula>
    </cfRule>
    <cfRule type="expression" dxfId="559" priority="6390">
      <formula>$J56="AUR"</formula>
    </cfRule>
  </conditionalFormatting>
  <conditionalFormatting sqref="D54">
    <cfRule type="expression" dxfId="558" priority="4190">
      <formula>$J59="AUR"</formula>
    </cfRule>
    <cfRule type="expression" dxfId="557" priority="4191">
      <formula>$J59="CTA"</formula>
    </cfRule>
    <cfRule type="expression" dxfId="556" priority="4192">
      <formula>$J59="GAA"</formula>
    </cfRule>
  </conditionalFormatting>
  <conditionalFormatting sqref="D64">
    <cfRule type="expression" dxfId="555" priority="196">
      <formula>$J65="GAA"</formula>
    </cfRule>
  </conditionalFormatting>
  <conditionalFormatting sqref="D66">
    <cfRule type="expression" dxfId="554" priority="6107">
      <formula>$J61="AUR"</formula>
    </cfRule>
    <cfRule type="expression" dxfId="553" priority="6108">
      <formula>$J61="CTA"</formula>
    </cfRule>
    <cfRule type="expression" dxfId="552" priority="6109">
      <formula>$J61="GAA"</formula>
    </cfRule>
  </conditionalFormatting>
  <conditionalFormatting sqref="D70">
    <cfRule type="expression" dxfId="551" priority="4480">
      <formula>$J62="AUR"</formula>
    </cfRule>
    <cfRule type="expression" dxfId="550" priority="4481">
      <formula>$J62="CTA"</formula>
    </cfRule>
    <cfRule type="expression" dxfId="549" priority="4482">
      <formula>$J62="GAA"</formula>
    </cfRule>
  </conditionalFormatting>
  <conditionalFormatting sqref="D75">
    <cfRule type="expression" dxfId="548" priority="6254">
      <formula>$J65="AUR"</formula>
    </cfRule>
    <cfRule type="expression" dxfId="547" priority="6255">
      <formula>$J65="CTA"</formula>
    </cfRule>
    <cfRule type="expression" dxfId="546" priority="6256">
      <formula>$J65="GAA"</formula>
    </cfRule>
  </conditionalFormatting>
  <conditionalFormatting sqref="D76">
    <cfRule type="expression" dxfId="545" priority="286">
      <formula>$J60="GAA"</formula>
    </cfRule>
  </conditionalFormatting>
  <conditionalFormatting sqref="D77:D81">
    <cfRule type="expression" dxfId="544" priority="6649">
      <formula>$J60="AUR"</formula>
    </cfRule>
    <cfRule type="expression" dxfId="543" priority="6650">
      <formula>$J60="CTA"</formula>
    </cfRule>
    <cfRule type="expression" dxfId="542" priority="6651">
      <formula>$J60="GAA"</formula>
    </cfRule>
  </conditionalFormatting>
  <conditionalFormatting sqref="D84:D85">
    <cfRule type="expression" dxfId="541" priority="6652">
      <formula>$J61="CTA"</formula>
    </cfRule>
    <cfRule type="expression" dxfId="540" priority="6653">
      <formula>$J61="GAA"</formula>
    </cfRule>
    <cfRule type="expression" dxfId="539" priority="6665">
      <formula>$J61="AUR"</formula>
    </cfRule>
  </conditionalFormatting>
  <conditionalFormatting sqref="D94:D95">
    <cfRule type="expression" dxfId="538" priority="2073">
      <formula>$J65="AUR"</formula>
    </cfRule>
    <cfRule type="expression" dxfId="537" priority="2075">
      <formula>$J65="GAA"</formula>
    </cfRule>
  </conditionalFormatting>
  <conditionalFormatting sqref="D99:D101">
    <cfRule type="expression" dxfId="536" priority="2154">
      <formula>$J67="AUR"</formula>
    </cfRule>
    <cfRule type="expression" dxfId="535" priority="2156">
      <formula>$J67="GAA"</formula>
    </cfRule>
  </conditionalFormatting>
  <conditionalFormatting sqref="D102:D104">
    <cfRule type="expression" dxfId="534" priority="3241">
      <formula>#REF!="CTA"</formula>
    </cfRule>
    <cfRule type="expression" dxfId="533" priority="3242">
      <formula>#REF!="GAA"</formula>
    </cfRule>
  </conditionalFormatting>
  <conditionalFormatting sqref="D102:D105">
    <cfRule type="expression" dxfId="532" priority="3251">
      <formula>#REF!="AUR"</formula>
    </cfRule>
  </conditionalFormatting>
  <conditionalFormatting sqref="D105">
    <cfRule type="expression" dxfId="531" priority="3739">
      <formula>#REF!="CTA"</formula>
    </cfRule>
    <cfRule type="expression" dxfId="530" priority="3740">
      <formula>#REF!="GAA"</formula>
    </cfRule>
    <cfRule type="expression" dxfId="529" priority="3741">
      <formula>$J70="AUR"</formula>
    </cfRule>
    <cfRule type="expression" dxfId="528" priority="3742">
      <formula>$J70="CTA"</formula>
    </cfRule>
    <cfRule type="expression" dxfId="527" priority="3743">
      <formula>$J70="GAA"</formula>
    </cfRule>
  </conditionalFormatting>
  <conditionalFormatting sqref="D106">
    <cfRule type="expression" dxfId="526" priority="6933">
      <formula>$J73="AUR"</formula>
    </cfRule>
    <cfRule type="expression" dxfId="525" priority="6934">
      <formula>$J73="CTA"</formula>
    </cfRule>
    <cfRule type="expression" dxfId="524" priority="6935">
      <formula>$J73="GAA"</formula>
    </cfRule>
    <cfRule type="expression" dxfId="523" priority="6936">
      <formula>#REF!="AUR"</formula>
    </cfRule>
    <cfRule type="expression" dxfId="522" priority="6937">
      <formula>#REF!="CTA"</formula>
    </cfRule>
    <cfRule type="expression" dxfId="521" priority="6938">
      <formula>#REF!="GAA"</formula>
    </cfRule>
    <cfRule type="expression" dxfId="520" priority="6939">
      <formula>#REF!="AUR"</formula>
    </cfRule>
    <cfRule type="expression" dxfId="519" priority="6940">
      <formula>#REF!="CTA"</formula>
    </cfRule>
    <cfRule type="expression" dxfId="518" priority="6941">
      <formula>#REF!="GAA"</formula>
    </cfRule>
  </conditionalFormatting>
  <conditionalFormatting sqref="D110:D111">
    <cfRule type="expression" dxfId="517" priority="1662">
      <formula>#REF!="AUR"</formula>
    </cfRule>
    <cfRule type="expression" dxfId="516" priority="1664">
      <formula>#REF!="GAA"</formula>
    </cfRule>
    <cfRule type="expression" dxfId="515" priority="1749">
      <formula>$J133="AUR"</formula>
    </cfRule>
    <cfRule type="expression" dxfId="514" priority="1751">
      <formula>$J133="GAA"</formula>
    </cfRule>
  </conditionalFormatting>
  <conditionalFormatting sqref="D130 C47">
    <cfRule type="expression" dxfId="513" priority="6885">
      <formula>#REF!="AUR"</formula>
    </cfRule>
  </conditionalFormatting>
  <conditionalFormatting sqref="D130:D131">
    <cfRule type="expression" dxfId="512" priority="3634">
      <formula>#REF!="AUR"</formula>
    </cfRule>
    <cfRule type="expression" dxfId="511" priority="3635">
      <formula>#REF!="CTA"</formula>
    </cfRule>
    <cfRule type="expression" dxfId="510" priority="3636">
      <formula>#REF!="GAA"</formula>
    </cfRule>
  </conditionalFormatting>
  <conditionalFormatting sqref="D130:D132">
    <cfRule type="expression" dxfId="509" priority="1479">
      <formula>$J107="AUR"</formula>
    </cfRule>
    <cfRule type="expression" dxfId="508" priority="1480">
      <formula>$J107="CTA"</formula>
    </cfRule>
    <cfRule type="expression" dxfId="507" priority="1481">
      <formula>$J107="GAA"</formula>
    </cfRule>
  </conditionalFormatting>
  <conditionalFormatting sqref="D131">
    <cfRule type="expression" dxfId="506" priority="3631">
      <formula>$J71="AUR"</formula>
    </cfRule>
    <cfRule type="expression" dxfId="505" priority="3632">
      <formula>$J71="CTA"</formula>
    </cfRule>
    <cfRule type="expression" dxfId="504" priority="3633">
      <formula>$J71="GAA"</formula>
    </cfRule>
  </conditionalFormatting>
  <conditionalFormatting sqref="D132">
    <cfRule type="expression" dxfId="503" priority="2241">
      <formula>#REF!="AUR"</formula>
    </cfRule>
    <cfRule type="expression" dxfId="502" priority="2243">
      <formula>#REF!="GAA"</formula>
    </cfRule>
    <cfRule type="expression" dxfId="501" priority="2244">
      <formula>#REF!="AUR"</formula>
    </cfRule>
    <cfRule type="expression" dxfId="500" priority="2246">
      <formula>#REF!="GAA"</formula>
    </cfRule>
  </conditionalFormatting>
  <conditionalFormatting sqref="D4:I4 K4:L4 N4:BB86">
    <cfRule type="expression" dxfId="499" priority="178">
      <formula>$J4="GAA"</formula>
    </cfRule>
  </conditionalFormatting>
  <conditionalFormatting sqref="G93:H93 G95:H95">
    <cfRule type="expression" dxfId="498" priority="1858">
      <formula>$J92="AUR"</formula>
    </cfRule>
    <cfRule type="expression" dxfId="497" priority="1861">
      <formula>$J92="CTA"</formula>
    </cfRule>
    <cfRule type="expression" dxfId="496" priority="1862">
      <formula>$J92="GAA"</formula>
    </cfRule>
  </conditionalFormatting>
  <conditionalFormatting sqref="H5:I6">
    <cfRule type="expression" dxfId="495" priority="167">
      <formula>$J5="AUR"</formula>
    </cfRule>
    <cfRule type="expression" dxfId="494" priority="168">
      <formula>$J5="GAA"</formula>
    </cfRule>
  </conditionalFormatting>
  <conditionalFormatting sqref="J4:J6">
    <cfRule type="expression" dxfId="493" priority="149">
      <formula>$J4="GAA"</formula>
    </cfRule>
  </conditionalFormatting>
  <conditionalFormatting sqref="K4">
    <cfRule type="expression" dxfId="492" priority="162">
      <formula>$J4="AUR"</formula>
    </cfRule>
    <cfRule type="expression" dxfId="491" priority="163">
      <formula>$J4="GAA"</formula>
    </cfRule>
  </conditionalFormatting>
  <conditionalFormatting sqref="K4">
    <cfRule type="expression" dxfId="490" priority="165">
      <formula>$J4="GAA"</formula>
    </cfRule>
  </conditionalFormatting>
  <conditionalFormatting sqref="K4 K6">
    <cfRule type="expression" dxfId="489" priority="164">
      <formula>$J4="AUR"</formula>
    </cfRule>
  </conditionalFormatting>
  <conditionalFormatting sqref="K4 K6:K7">
    <cfRule type="expression" dxfId="488" priority="169">
      <formula>$K4="Pending"</formula>
    </cfRule>
    <cfRule type="expression" dxfId="487" priority="172">
      <formula>SUMPRODUCT(($K4="A")+($K4="B"))</formula>
    </cfRule>
    <cfRule type="expression" dxfId="486" priority="174">
      <formula>$K4="Pending"</formula>
    </cfRule>
  </conditionalFormatting>
  <conditionalFormatting sqref="K4 K6:K11">
    <cfRule type="expression" dxfId="485" priority="112">
      <formula>$K4="Pending"</formula>
    </cfRule>
  </conditionalFormatting>
  <conditionalFormatting sqref="K112:K129 K135:K467 K4 K17:K86 K6:K15">
    <cfRule type="expression" dxfId="484" priority="339">
      <formula>SUMPRODUCT(($D4&lt;&gt;"")*($K4="")+($K4="C"))</formula>
    </cfRule>
    <cfRule type="expression" dxfId="483" priority="415">
      <formula>SUMPRODUCT(($K4="A")+($K4="B"))</formula>
    </cfRule>
    <cfRule type="expression" dxfId="482" priority="416">
      <formula>$K4="Pending"</formula>
    </cfRule>
  </conditionalFormatting>
  <conditionalFormatting sqref="K6">
    <cfRule type="expression" dxfId="481" priority="171">
      <formula>$J6="GAA"</formula>
    </cfRule>
  </conditionalFormatting>
  <conditionalFormatting sqref="K8:K11">
    <cfRule type="expression" dxfId="480" priority="109">
      <formula>$K8="Pending"</formula>
    </cfRule>
    <cfRule type="expression" dxfId="479" priority="110">
      <formula>SUMPRODUCT(($K8="A")+($K8="B"))</formula>
    </cfRule>
  </conditionalFormatting>
  <conditionalFormatting sqref="K10">
    <cfRule type="expression" dxfId="478" priority="141">
      <formula>SUMPRODUCT(($K10="A")+($K10="B"))</formula>
    </cfRule>
    <cfRule type="expression" dxfId="477" priority="143">
      <formula>$K10="Pending"</formula>
    </cfRule>
  </conditionalFormatting>
  <conditionalFormatting sqref="K12">
    <cfRule type="expression" dxfId="476" priority="97">
      <formula>$K12="Pending"</formula>
    </cfRule>
    <cfRule type="expression" dxfId="475" priority="98">
      <formula>SUMPRODUCT(($K12="A")+($K12="B"))</formula>
    </cfRule>
  </conditionalFormatting>
  <conditionalFormatting sqref="K12:K13">
    <cfRule type="expression" dxfId="474" priority="100">
      <formula>$K12="Pending"</formula>
    </cfRule>
  </conditionalFormatting>
  <conditionalFormatting sqref="K13">
    <cfRule type="expression" dxfId="473" priority="128">
      <formula>SUMPRODUCT(($K13="A")+($K13="B"))</formula>
    </cfRule>
    <cfRule type="expression" dxfId="472" priority="130">
      <formula>$K13="Pending"</formula>
    </cfRule>
  </conditionalFormatting>
  <conditionalFormatting sqref="K14:K15">
    <cfRule type="expression" dxfId="471" priority="89">
      <formula>$K14="Pending"</formula>
    </cfRule>
    <cfRule type="expression" dxfId="470" priority="90">
      <formula>SUMPRODUCT(($K14="A")+($K14="B"))</formula>
    </cfRule>
    <cfRule type="expression" dxfId="469" priority="92">
      <formula>$K14="Pending"</formula>
    </cfRule>
    <cfRule type="expression" dxfId="468" priority="1921">
      <formula>SUMPRODUCT(($K14="A")+($K14="B"))</formula>
    </cfRule>
    <cfRule type="expression" dxfId="467" priority="1922">
      <formula>$K14="Pending"</formula>
    </cfRule>
    <cfRule type="expression" dxfId="466" priority="1932">
      <formula>SUMPRODUCT((#REF!&lt;&gt;"")*($K14="")+($K14="C"))</formula>
    </cfRule>
    <cfRule type="expression" dxfId="465" priority="4790">
      <formula>SUMPRODUCT(($D24&lt;&gt;"")*($K14="")+($K14="C"))</formula>
    </cfRule>
  </conditionalFormatting>
  <conditionalFormatting sqref="K14:K16">
    <cfRule type="expression" dxfId="464" priority="1933">
      <formula>SUMPRODUCT(($K14="A")+($K14="B"))</formula>
    </cfRule>
    <cfRule type="expression" dxfId="463" priority="1934">
      <formula>$K14="Pending"</formula>
    </cfRule>
  </conditionalFormatting>
  <conditionalFormatting sqref="K16">
    <cfRule type="expression" dxfId="462" priority="5793">
      <formula>SUMPRODUCT(($D34&lt;&gt;"")*($K16="")+($K16="C"))</formula>
    </cfRule>
    <cfRule type="expression" dxfId="461" priority="5856">
      <formula>SUMPRODUCT(($D40&lt;&gt;"")*($K16="")+($K16="C"))</formula>
    </cfRule>
    <cfRule type="expression" dxfId="460" priority="5857">
      <formula>SUMPRODUCT(($K16="A")+($K16="B"))</formula>
    </cfRule>
    <cfRule type="expression" dxfId="459" priority="5858">
      <formula>$K16="Pending"</formula>
    </cfRule>
  </conditionalFormatting>
  <conditionalFormatting sqref="K19:K21">
    <cfRule type="expression" dxfId="458" priority="131">
      <formula>$K19="Pending"</formula>
    </cfRule>
    <cfRule type="expression" dxfId="457" priority="133">
      <formula>SUMPRODUCT(($K19="A")+($K19="B"))</formula>
    </cfRule>
    <cfRule type="expression" dxfId="456" priority="135">
      <formula>$K19="Pending"</formula>
    </cfRule>
  </conditionalFormatting>
  <conditionalFormatting sqref="K22:K23">
    <cfRule type="expression" dxfId="455" priority="93">
      <formula>$K22="Pending"</formula>
    </cfRule>
    <cfRule type="expression" dxfId="454" priority="94">
      <formula>SUMPRODUCT(($K22="A")+($K22="B"))</formula>
    </cfRule>
    <cfRule type="expression" dxfId="453" priority="96">
      <formula>$K22="Pending"</formula>
    </cfRule>
  </conditionalFormatting>
  <conditionalFormatting sqref="K25">
    <cfRule type="expression" dxfId="452" priority="113">
      <formula>$K25="Pending"</formula>
    </cfRule>
    <cfRule type="expression" dxfId="451" priority="114">
      <formula>SUMPRODUCT(($K25="A")+($K25="B"))</formula>
    </cfRule>
    <cfRule type="expression" dxfId="450" priority="116">
      <formula>$K25="Pending"</formula>
    </cfRule>
  </conditionalFormatting>
  <conditionalFormatting sqref="K28">
    <cfRule type="expression" dxfId="449" priority="79">
      <formula>$K28="Pending"</formula>
    </cfRule>
    <cfRule type="expression" dxfId="448" priority="80">
      <formula>SUMPRODUCT(($K28="A")+($K28="B"))</formula>
    </cfRule>
    <cfRule type="expression" dxfId="447" priority="82">
      <formula>$K28="Pending"</formula>
    </cfRule>
    <cfRule type="expression" dxfId="446" priority="83">
      <formula>SUMPRODUCT(($K28="A")+($K28="B"))</formula>
    </cfRule>
    <cfRule type="expression" dxfId="445" priority="84">
      <formula>$K28="Pending"</formula>
    </cfRule>
    <cfRule type="expression" dxfId="444" priority="85">
      <formula>SUMPRODUCT((#REF!&lt;&gt;"")*($K28="")+($K28="C"))</formula>
    </cfRule>
    <cfRule type="expression" dxfId="443" priority="86">
      <formula>SUMPRODUCT(($K28="A")+($K28="B"))</formula>
    </cfRule>
    <cfRule type="expression" dxfId="442" priority="88">
      <formula>SUMPRODUCT(($D38&lt;&gt;"")*($K28="")+($K28="C"))</formula>
    </cfRule>
  </conditionalFormatting>
  <conditionalFormatting sqref="K28:K29">
    <cfRule type="expression" dxfId="441" priority="87">
      <formula>$K28="Pending"</formula>
    </cfRule>
  </conditionalFormatting>
  <conditionalFormatting sqref="K29">
    <cfRule type="expression" dxfId="440" priority="106">
      <formula>SUMPRODUCT(($K29="A")+($K29="B"))</formula>
    </cfRule>
    <cfRule type="expression" dxfId="439" priority="108">
      <formula>$K29="Pending"</formula>
    </cfRule>
  </conditionalFormatting>
  <conditionalFormatting sqref="K38">
    <cfRule type="expression" dxfId="438" priority="118">
      <formula>SUMPRODUCT(($K38="A")+($K38="B"))</formula>
    </cfRule>
    <cfRule type="expression" dxfId="437" priority="120">
      <formula>$K38="Pending"</formula>
    </cfRule>
  </conditionalFormatting>
  <conditionalFormatting sqref="K38:K40">
    <cfRule type="expression" dxfId="436" priority="77">
      <formula>$K38="Pending"</formula>
    </cfRule>
  </conditionalFormatting>
  <conditionalFormatting sqref="K39">
    <cfRule type="expression" dxfId="435" priority="69">
      <formula>$K39="Pending"</formula>
    </cfRule>
    <cfRule type="expression" dxfId="434" priority="70">
      <formula>SUMPRODUCT(($K39="A")+($K39="B"))</formula>
    </cfRule>
    <cfRule type="expression" dxfId="433" priority="72">
      <formula>$K39="Pending"</formula>
    </cfRule>
    <cfRule type="expression" dxfId="432" priority="73">
      <formula>SUMPRODUCT(($K39="A")+($K39="B"))</formula>
    </cfRule>
    <cfRule type="expression" dxfId="431" priority="74">
      <formula>$K39="Pending"</formula>
    </cfRule>
    <cfRule type="expression" dxfId="430" priority="75">
      <formula>SUMPRODUCT((#REF!&lt;&gt;"")*($K39="")+($K39="C"))</formula>
    </cfRule>
    <cfRule type="expression" dxfId="429" priority="76">
      <formula>SUMPRODUCT(($K39="A")+($K39="B"))</formula>
    </cfRule>
    <cfRule type="expression" dxfId="428" priority="78">
      <formula>SUMPRODUCT(($D49&lt;&gt;"")*($K39="")+($K39="C"))</formula>
    </cfRule>
  </conditionalFormatting>
  <conditionalFormatting sqref="K40">
    <cfRule type="expression" dxfId="427" priority="102">
      <formula>SUMPRODUCT(($K40="A")+($K40="B"))</formula>
    </cfRule>
    <cfRule type="expression" dxfId="426" priority="104">
      <formula>$K40="Pending"</formula>
    </cfRule>
  </conditionalFormatting>
  <conditionalFormatting sqref="K52:K54">
    <cfRule type="expression" dxfId="425" priority="121">
      <formula>$K52="Pending"</formula>
    </cfRule>
    <cfRule type="expression" dxfId="424" priority="123">
      <formula>SUMPRODUCT(($K52="A")+($K52="B"))</formula>
    </cfRule>
    <cfRule type="expression" dxfId="423" priority="125">
      <formula>$K52="Pending"</formula>
    </cfRule>
  </conditionalFormatting>
  <conditionalFormatting sqref="K84:K111">
    <cfRule type="expression" dxfId="422" priority="3798">
      <formula>SUMPRODUCT((#REF!&lt;&gt;"")*($K84="")+($K84="C"))</formula>
    </cfRule>
    <cfRule type="expression" dxfId="421" priority="3799">
      <formula>SUMPRODUCT(($K84="A")+($K84="B"))</formula>
    </cfRule>
    <cfRule type="expression" dxfId="420" priority="3800">
      <formula>$K84="Pending"</formula>
    </cfRule>
  </conditionalFormatting>
  <conditionalFormatting sqref="K130:K134">
    <cfRule type="expression" dxfId="419" priority="1227">
      <formula>SUMPRODUCT((#REF!&lt;&gt;"")*($K130="")+($K130="C"))</formula>
    </cfRule>
    <cfRule type="expression" dxfId="418" priority="1228">
      <formula>SUMPRODUCT(($K130="A")+($K130="B"))</formula>
    </cfRule>
    <cfRule type="expression" dxfId="417" priority="1229">
      <formula>$K130="Pending"</formula>
    </cfRule>
  </conditionalFormatting>
  <conditionalFormatting sqref="K4:L4">
    <cfRule type="expression" dxfId="416" priority="179">
      <formula>SUMPRODUCT(($K4="A")+($K4="B"))</formula>
    </cfRule>
  </conditionalFormatting>
  <conditionalFormatting sqref="A4:I6 BD4:XFD86 BC86 N87:XFD87 K4:L4 K6:L6 L5 N4:BB86 A7:L87">
    <cfRule type="expression" dxfId="415" priority="177">
      <formula>$J4="CTA"</formula>
    </cfRule>
  </conditionalFormatting>
  <conditionalFormatting sqref="P5:P6">
    <cfRule type="expression" dxfId="414" priority="153">
      <formula>$J5="AUR"</formula>
    </cfRule>
    <cfRule type="expression" dxfId="413" priority="155">
      <formula>$J5="GAA"</formula>
    </cfRule>
  </conditionalFormatting>
  <conditionalFormatting sqref="Q5">
    <cfRule type="expression" dxfId="412" priority="136">
      <formula>$J5="AUR"</formula>
    </cfRule>
    <cfRule type="expression" dxfId="411" priority="138">
      <formula>$J5="GAA"</formula>
    </cfRule>
  </conditionalFormatting>
  <conditionalFormatting sqref="BC4:BC85">
    <cfRule type="expression" dxfId="410" priority="66">
      <formula>#REF!="AUR"</formula>
    </cfRule>
    <cfRule type="expression" dxfId="409" priority="67">
      <formula>#REF!="GAA"</formula>
    </cfRule>
    <cfRule type="expression" dxfId="408" priority="68">
      <formula>#REF!="CTA"</formula>
    </cfRule>
  </conditionalFormatting>
  <conditionalFormatting sqref="K4 K6:K7">
    <cfRule type="expression" dxfId="407" priority="173">
      <formula>SUMPRODUCT((AR4&lt;&gt;"")*($K4="")+($K4="C"))</formula>
    </cfRule>
  </conditionalFormatting>
  <conditionalFormatting sqref="K5">
    <cfRule type="expression" dxfId="406" priority="61">
      <formula>$M5="AUR"</formula>
    </cfRule>
    <cfRule type="expression" dxfId="405" priority="62">
      <formula>$M5="STT"</formula>
    </cfRule>
  </conditionalFormatting>
  <conditionalFormatting sqref="K5">
    <cfRule type="expression" dxfId="404" priority="53">
      <formula>$N5="Pending"</formula>
    </cfRule>
    <cfRule type="expression" dxfId="403" priority="54">
      <formula>$M5="STT"</formula>
    </cfRule>
    <cfRule type="expression" dxfId="402" priority="55">
      <formula>$M5="CTA"</formula>
    </cfRule>
    <cfRule type="expression" priority="56">
      <formula>$M5="Closed"</formula>
    </cfRule>
    <cfRule type="expression" dxfId="401" priority="57">
      <formula>$N5="Pending"</formula>
    </cfRule>
    <cfRule type="expression" dxfId="400" priority="58">
      <formula>$M5="AUR"</formula>
    </cfRule>
    <cfRule type="expression" dxfId="399" priority="59">
      <formula>SUMPRODUCT(($N5="A")+($N5="B"))</formula>
    </cfRule>
    <cfRule type="expression" dxfId="398" priority="60">
      <formula>SUMPRODUCT(($I5&lt;&gt;"")*($N5="")+($N5="C"))</formula>
    </cfRule>
    <cfRule type="expression" dxfId="397" priority="63">
      <formula>$M5="CTA"</formula>
    </cfRule>
    <cfRule type="expression" dxfId="396" priority="64">
      <formula>$M5="GAA"</formula>
    </cfRule>
  </conditionalFormatting>
  <conditionalFormatting sqref="K5">
    <cfRule type="expression" dxfId="395" priority="65">
      <formula>$N5="Pending"</formula>
    </cfRule>
  </conditionalFormatting>
  <conditionalFormatting sqref="A4:XFD88">
    <cfRule type="expression" dxfId="394" priority="147">
      <formula>$J4="CTA"</formula>
    </cfRule>
  </conditionalFormatting>
  <conditionalFormatting sqref="K22:K23">
    <cfRule type="expression" dxfId="393" priority="41">
      <formula>$K22="Pending"</formula>
    </cfRule>
    <cfRule type="expression" dxfId="392" priority="42">
      <formula>SUMPRODUCT(($K22="A")+($K22="B"))</formula>
    </cfRule>
    <cfRule type="expression" dxfId="391" priority="44">
      <formula>$K22="Pending"</formula>
    </cfRule>
    <cfRule type="expression" dxfId="390" priority="45">
      <formula>SUMPRODUCT(($K22="A")+($K22="B"))</formula>
    </cfRule>
    <cfRule type="expression" dxfId="389" priority="46">
      <formula>$K22="Pending"</formula>
    </cfRule>
    <cfRule type="expression" dxfId="388" priority="47">
      <formula>SUMPRODUCT((#REF!&lt;&gt;"")*($K22="")+($K22="C"))</formula>
    </cfRule>
    <cfRule type="expression" dxfId="387" priority="48">
      <formula>SUMPRODUCT(($K22="A")+($K22="B"))</formula>
    </cfRule>
    <cfRule type="expression" dxfId="386" priority="50">
      <formula>SUMPRODUCT(($D32&lt;&gt;"")*($K22="")+($K22="C"))</formula>
    </cfRule>
  </conditionalFormatting>
  <conditionalFormatting sqref="K22:K23">
    <cfRule type="expression" dxfId="385" priority="49">
      <formula>$K22="Pending"</formula>
    </cfRule>
  </conditionalFormatting>
  <conditionalFormatting sqref="K13">
    <cfRule type="expression" dxfId="384" priority="40">
      <formula>$K13="Pending"</formula>
    </cfRule>
  </conditionalFormatting>
  <conditionalFormatting sqref="K13">
    <cfRule type="expression" dxfId="383" priority="37">
      <formula>$K13="Pending"</formula>
    </cfRule>
    <cfRule type="expression" dxfId="382" priority="38">
      <formula>SUMPRODUCT(($K13="A")+($K13="B"))</formula>
    </cfRule>
  </conditionalFormatting>
  <conditionalFormatting sqref="K25">
    <cfRule type="expression" dxfId="381" priority="33">
      <formula>$K25="Pending"</formula>
    </cfRule>
  </conditionalFormatting>
  <conditionalFormatting sqref="K25">
    <cfRule type="expression" dxfId="380" priority="34">
      <formula>SUMPRODUCT(($K25="A")+($K25="B"))</formula>
    </cfRule>
    <cfRule type="expression" dxfId="379" priority="36">
      <formula>$K25="Pending"</formula>
    </cfRule>
  </conditionalFormatting>
  <conditionalFormatting sqref="K25">
    <cfRule type="expression" dxfId="378" priority="32">
      <formula>$K25="Pending"</formula>
    </cfRule>
  </conditionalFormatting>
  <conditionalFormatting sqref="K25">
    <cfRule type="expression" dxfId="377" priority="29">
      <formula>$K25="Pending"</formula>
    </cfRule>
    <cfRule type="expression" dxfId="376" priority="30">
      <formula>SUMPRODUCT(($K25="A")+($K25="B"))</formula>
    </cfRule>
  </conditionalFormatting>
  <conditionalFormatting sqref="K38">
    <cfRule type="expression" dxfId="375" priority="25">
      <formula>$K38="Pending"</formula>
    </cfRule>
    <cfRule type="expression" dxfId="374" priority="26">
      <formula>SUMPRODUCT(($K38="A")+($K38="B"))</formula>
    </cfRule>
    <cfRule type="expression" dxfId="373" priority="28">
      <formula>$K38="Pending"</formula>
    </cfRule>
  </conditionalFormatting>
  <conditionalFormatting sqref="K38">
    <cfRule type="expression" dxfId="372" priority="21">
      <formula>$K38="Pending"</formula>
    </cfRule>
  </conditionalFormatting>
  <conditionalFormatting sqref="K38">
    <cfRule type="expression" dxfId="371" priority="22">
      <formula>SUMPRODUCT(($K38="A")+($K38="B"))</formula>
    </cfRule>
    <cfRule type="expression" dxfId="370" priority="24">
      <formula>$K38="Pending"</formula>
    </cfRule>
  </conditionalFormatting>
  <conditionalFormatting sqref="K38">
    <cfRule type="expression" dxfId="369" priority="20">
      <formula>$K38="Pending"</formula>
    </cfRule>
  </conditionalFormatting>
  <conditionalFormatting sqref="K38">
    <cfRule type="expression" dxfId="368" priority="17">
      <formula>$K38="Pending"</formula>
    </cfRule>
    <cfRule type="expression" dxfId="367" priority="18">
      <formula>SUMPRODUCT(($K38="A")+($K38="B"))</formula>
    </cfRule>
  </conditionalFormatting>
  <conditionalFormatting sqref="K52:K54">
    <cfRule type="expression" dxfId="366" priority="14">
      <formula>SUMPRODUCT(($K52="A")+($K52="B"))</formula>
    </cfRule>
    <cfRule type="expression" dxfId="365" priority="16">
      <formula>$K52="Pending"</formula>
    </cfRule>
  </conditionalFormatting>
  <conditionalFormatting sqref="K52:K54">
    <cfRule type="expression" dxfId="364" priority="13">
      <formula>$K52="Pending"</formula>
    </cfRule>
  </conditionalFormatting>
  <conditionalFormatting sqref="K52:K54">
    <cfRule type="expression" dxfId="363" priority="9">
      <formula>$K52="Pending"</formula>
    </cfRule>
    <cfRule type="expression" dxfId="362" priority="10">
      <formula>SUMPRODUCT(($K52="A")+($K52="B"))</formula>
    </cfRule>
    <cfRule type="expression" dxfId="361" priority="12">
      <formula>$K52="Pending"</formula>
    </cfRule>
  </conditionalFormatting>
  <conditionalFormatting sqref="K52:K54">
    <cfRule type="expression" dxfId="360" priority="5">
      <formula>$K52="Pending"</formula>
    </cfRule>
  </conditionalFormatting>
  <conditionalFormatting sqref="K52:K54">
    <cfRule type="expression" dxfId="359" priority="6">
      <formula>SUMPRODUCT(($K52="A")+($K52="B"))</formula>
    </cfRule>
    <cfRule type="expression" dxfId="358" priority="8">
      <formula>$K52="Pending"</formula>
    </cfRule>
  </conditionalFormatting>
  <conditionalFormatting sqref="K52:K54">
    <cfRule type="expression" dxfId="357" priority="4">
      <formula>$K52="Pending"</formula>
    </cfRule>
  </conditionalFormatting>
  <conditionalFormatting sqref="K52:K54">
    <cfRule type="expression" dxfId="356" priority="1">
      <formula>$K52="Pending"</formula>
    </cfRule>
    <cfRule type="expression" dxfId="355" priority="2">
      <formula>SUMPRODUCT(($K52="A")+($K52="B"))</formula>
    </cfRule>
  </conditionalFormatting>
  <conditionalFormatting sqref="D83">
    <cfRule type="expression" dxfId="354" priority="7358">
      <formula>$J61="AUR"</formula>
    </cfRule>
    <cfRule type="expression" dxfId="353" priority="7359">
      <formula>$J61="CTA"</formula>
    </cfRule>
    <cfRule type="expression" dxfId="352" priority="7360">
      <formula>$J61="GAA"</formula>
    </cfRule>
  </conditionalFormatting>
  <conditionalFormatting sqref="D82">
    <cfRule type="expression" dxfId="351" priority="7364">
      <formula>$J62="AUR"</formula>
    </cfRule>
    <cfRule type="expression" dxfId="350" priority="7365">
      <formula>$J62="CTA"</formula>
    </cfRule>
    <cfRule type="expression" dxfId="349" priority="7366">
      <formula>$J62="GAA"</formula>
    </cfRule>
  </conditionalFormatting>
  <conditionalFormatting sqref="D80:D81">
    <cfRule type="expression" dxfId="348" priority="7370">
      <formula>$J62="AUR"</formula>
    </cfRule>
    <cfRule type="expression" dxfId="347" priority="7371">
      <formula>$J62="CTA"</formula>
    </cfRule>
    <cfRule type="expression" dxfId="346" priority="7372">
      <formula>$J62="GAA"</formula>
    </cfRule>
  </conditionalFormatting>
  <conditionalFormatting sqref="C84:C85">
    <cfRule type="expression" dxfId="345" priority="7373">
      <formula>$J87="GAA"</formula>
    </cfRule>
  </conditionalFormatting>
  <conditionalFormatting sqref="D86">
    <cfRule type="expression" dxfId="344" priority="7378">
      <formula>$J62="CTA"</formula>
    </cfRule>
    <cfRule type="expression" dxfId="343" priority="7379">
      <formula>$J62="GAA"</formula>
    </cfRule>
    <cfRule type="expression" dxfId="342" priority="7380">
      <formula>$J62="AUR"</formula>
    </cfRule>
  </conditionalFormatting>
  <dataValidations count="4">
    <dataValidation type="list" allowBlank="1" showInputMessage="1" showErrorMessage="1" sqref="K3 J87:K1048576 K1 J1:J3" xr:uid="{BB5834C6-5D45-4375-800C-2EF70CDCBD53}">
      <formula1>$J$130:$J$134</formula1>
    </dataValidation>
    <dataValidation type="list" allowBlank="1" showInputMessage="1" showErrorMessage="1" sqref="K4 K6:K86" xr:uid="{C3B42B85-9C4A-427A-86B3-E357E1054B0B}">
      <formula1>"A,B,C,Pending,"</formula1>
    </dataValidation>
    <dataValidation type="list" allowBlank="1" showInputMessage="1" showErrorMessage="1" sqref="K5" xr:uid="{4D5CA6C1-C207-4E67-B7C8-14D70A4EF5B2}">
      <formula1>"A,B,C,Pending"</formula1>
    </dataValidation>
    <dataValidation type="list" allowBlank="1" showInputMessage="1" showErrorMessage="1" sqref="J4:J86" xr:uid="{A2191973-61A5-441C-AF75-315D664D712D}">
      <formula1>"CTA,GAA,AUR,STT,Closed"</formula1>
    </dataValidation>
  </dataValidations>
  <pageMargins left="0.23622047244094499" right="0.23622047244094499" top="0.74803149606299202" bottom="0.74803149606299202" header="0.31496062992126" footer="0.31496062992126"/>
  <pageSetup paperSize="9" scale="26" fitToHeight="0" orientation="landscape" r:id="rId1"/>
  <headerFooter>
    <oddHeader>&amp;L&amp;G&amp;CProject Terra Phase 9 + 2MW Shop Drawing Approval Submission List</oddHeader>
    <oddFooter>&amp;L&amp;D&amp;RPage &amp;P of &amp;N</oddFooter>
  </headerFooter>
  <colBreaks count="1" manualBreakCount="1">
    <brk id="14" max="1048575" man="1"/>
  </colBreaks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1" id="{92A825D8-5857-4136-AFC1-A45B7F544094}">
            <xm:f>SUMPRODUCT((FI!#REF!&lt;&gt;"")*($K8="")+($K8="C"))</xm:f>
            <x14:dxf>
              <fill>
                <patternFill>
                  <bgColor rgb="FFFF0000"/>
                </patternFill>
              </fill>
            </x14:dxf>
          </x14:cfRule>
          <xm:sqref>K8:K11</xm:sqref>
        </x14:conditionalFormatting>
        <x14:conditionalFormatting xmlns:xm="http://schemas.microsoft.com/office/excel/2006/main">
          <x14:cfRule type="expression" priority="142" id="{8E5DD536-CE51-4497-8D5D-513A9C353EA7}">
            <xm:f>SUMPRODUCT((FI!#REF!&lt;&gt;"")*($K10="")+($K10="C"))</xm:f>
            <x14:dxf>
              <fill>
                <patternFill>
                  <bgColor rgb="FFFF0000"/>
                </patternFill>
              </fill>
            </x14:dxf>
          </x14:cfRule>
          <xm:sqref>K10</xm:sqref>
        </x14:conditionalFormatting>
        <x14:conditionalFormatting xmlns:xm="http://schemas.microsoft.com/office/excel/2006/main">
          <x14:cfRule type="expression" priority="99" id="{8B854C83-4F64-4AB8-AA0C-8D3A8F9B7357}">
            <xm:f>SUMPRODUCT((FI!#REF!&lt;&gt;"")*($K12="")+($K12="C"))</xm:f>
            <x14:dxf>
              <fill>
                <patternFill>
                  <bgColor rgb="FFFF0000"/>
                </patternFill>
              </fill>
            </x14:dxf>
          </x14:cfRule>
          <xm:sqref>K12</xm:sqref>
        </x14:conditionalFormatting>
        <x14:conditionalFormatting xmlns:xm="http://schemas.microsoft.com/office/excel/2006/main">
          <x14:cfRule type="expression" priority="129" id="{98898812-B7BD-4850-9214-2EB1985B1501}">
            <xm:f>SUMPRODUCT((FI!#REF!&lt;&gt;"")*($K13="")+($K13="C"))</xm:f>
            <x14:dxf>
              <fill>
                <patternFill>
                  <bgColor rgb="FFFF0000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expression" priority="91" id="{463B29F1-4FED-463A-AF8A-92420CA7945D}">
            <xm:f>SUMPRODUCT((FI!#REF!&lt;&gt;"")*($K14="")+($K14="C"))</xm:f>
            <x14:dxf>
              <fill>
                <patternFill>
                  <bgColor rgb="FFFF0000"/>
                </patternFill>
              </fill>
            </x14:dxf>
          </x14:cfRule>
          <xm:sqref>K14:K15</xm:sqref>
        </x14:conditionalFormatting>
        <x14:conditionalFormatting xmlns:xm="http://schemas.microsoft.com/office/excel/2006/main">
          <x14:cfRule type="expression" priority="134" id="{C8B5822A-20C0-4F8A-B672-3F14D690FA58}">
            <xm:f>SUMPRODUCT((FI!#REF!&lt;&gt;"")*($K19="")+($K19="C"))</xm:f>
            <x14:dxf>
              <fill>
                <patternFill>
                  <bgColor rgb="FFFF0000"/>
                </patternFill>
              </fill>
            </x14:dxf>
          </x14:cfRule>
          <xm:sqref>K19:K21</xm:sqref>
        </x14:conditionalFormatting>
        <x14:conditionalFormatting xmlns:xm="http://schemas.microsoft.com/office/excel/2006/main">
          <x14:cfRule type="expression" priority="95" id="{BFBD9E75-93DB-4F1F-9231-042857AEDFF4}">
            <xm:f>SUMPRODUCT((FI!#REF!&lt;&gt;"")*($K22="")+($K22="C"))</xm:f>
            <x14:dxf>
              <fill>
                <patternFill>
                  <bgColor rgb="FFFF0000"/>
                </patternFill>
              </fill>
            </x14:dxf>
          </x14:cfRule>
          <xm:sqref>K22:K23</xm:sqref>
        </x14:conditionalFormatting>
        <x14:conditionalFormatting xmlns:xm="http://schemas.microsoft.com/office/excel/2006/main">
          <x14:cfRule type="expression" priority="115" id="{95A0FC33-CD67-411F-A26C-869083D8857B}">
            <xm:f>SUMPRODUCT((FI!#REF!&lt;&gt;"")*($K25="")+($K25="C"))</xm:f>
            <x14:dxf>
              <fill>
                <patternFill>
                  <bgColor rgb="FFFF0000"/>
                </patternFill>
              </fill>
            </x14:dxf>
          </x14:cfRule>
          <xm:sqref>K25</xm:sqref>
        </x14:conditionalFormatting>
        <x14:conditionalFormatting xmlns:xm="http://schemas.microsoft.com/office/excel/2006/main">
          <x14:cfRule type="expression" priority="81" id="{F41FAAF9-6203-4BB9-90FA-658C9952367E}">
            <xm:f>SUMPRODUCT((FI!#REF!&lt;&gt;"")*($K28="")+($K28="C"))</xm:f>
            <x14:dxf>
              <fill>
                <patternFill>
                  <bgColor rgb="FFFF0000"/>
                </patternFill>
              </fill>
            </x14:dxf>
          </x14:cfRule>
          <xm:sqref>K28</xm:sqref>
        </x14:conditionalFormatting>
        <x14:conditionalFormatting xmlns:xm="http://schemas.microsoft.com/office/excel/2006/main">
          <x14:cfRule type="expression" priority="107" id="{7E8B0E95-690D-44D0-A03B-4008B4310932}">
            <xm:f>SUMPRODUCT((FI!#REF!&lt;&gt;"")*($K29="")+($K29="C"))</xm:f>
            <x14:dxf>
              <fill>
                <patternFill>
                  <bgColor rgb="FFFF0000"/>
                </patternFill>
              </fill>
            </x14:dxf>
          </x14:cfRule>
          <xm:sqref>K29</xm:sqref>
        </x14:conditionalFormatting>
        <x14:conditionalFormatting xmlns:xm="http://schemas.microsoft.com/office/excel/2006/main">
          <x14:cfRule type="expression" priority="119" id="{4D306E4F-5151-44AF-AB44-17B38B8893B6}">
            <xm:f>SUMPRODUCT((FI!#REF!&lt;&gt;"")*($K38="")+($K38="C"))</xm:f>
            <x14:dxf>
              <fill>
                <patternFill>
                  <bgColor rgb="FFFF0000"/>
                </patternFill>
              </fill>
            </x14:dxf>
          </x14:cfRule>
          <xm:sqref>K38</xm:sqref>
        </x14:conditionalFormatting>
        <x14:conditionalFormatting xmlns:xm="http://schemas.microsoft.com/office/excel/2006/main">
          <x14:cfRule type="expression" priority="71" id="{7705D2DC-8851-413F-8CB6-6C30690BFA0B}">
            <xm:f>SUMPRODUCT((FI!#REF!&lt;&gt;"")*($K39="")+($K39="C"))</xm:f>
            <x14:dxf>
              <fill>
                <patternFill>
                  <bgColor rgb="FFFF0000"/>
                </patternFill>
              </fill>
            </x14:dxf>
          </x14:cfRule>
          <xm:sqref>K39</xm:sqref>
        </x14:conditionalFormatting>
        <x14:conditionalFormatting xmlns:xm="http://schemas.microsoft.com/office/excel/2006/main">
          <x14:cfRule type="expression" priority="103" id="{DFB371F3-22DD-4ED9-BFF0-DD97328F1509}">
            <xm:f>SUMPRODUCT((FI!#REF!&lt;&gt;"")*($K40="")+($K40="C"))</xm:f>
            <x14:dxf>
              <fill>
                <patternFill>
                  <bgColor rgb="FFFF0000"/>
                </patternFill>
              </fill>
            </x14:dxf>
          </x14:cfRule>
          <xm:sqref>K40</xm:sqref>
        </x14:conditionalFormatting>
        <x14:conditionalFormatting xmlns:xm="http://schemas.microsoft.com/office/excel/2006/main">
          <x14:cfRule type="expression" priority="124" id="{1BC2A755-412C-4469-8D72-DA702B9C6D4D}">
            <xm:f>SUMPRODUCT((FI!#REF!&lt;&gt;"")*($K52="")+($K52="C"))</xm:f>
            <x14:dxf>
              <fill>
                <patternFill>
                  <bgColor rgb="FFFF0000"/>
                </patternFill>
              </fill>
            </x14:dxf>
          </x14:cfRule>
          <xm:sqref>K52:K54</xm:sqref>
        </x14:conditionalFormatting>
        <x14:conditionalFormatting xmlns:xm="http://schemas.microsoft.com/office/excel/2006/main">
          <x14:cfRule type="expression" priority="180" id="{3FDB0180-8D37-4600-B561-11B36D3E0C7A}">
            <xm:f>SUMPRODUCT((FI!#REF!&lt;&gt;"")*($K4="")+($K4="C"))</xm:f>
            <x14:dxf>
              <fill>
                <patternFill>
                  <bgColor rgb="FFFF0000"/>
                </patternFill>
              </fill>
            </x14:dxf>
          </x14:cfRule>
          <xm:sqref>K4:L4</xm:sqref>
        </x14:conditionalFormatting>
        <x14:conditionalFormatting xmlns:xm="http://schemas.microsoft.com/office/excel/2006/main">
          <x14:cfRule type="expression" priority="43" id="{BDC5D32B-A356-4C39-99C3-3C2CBF58E592}">
            <xm:f>SUMPRODUCT((FI!#REF!&lt;&gt;"")*($K22="")+($K22="C"))</xm:f>
            <x14:dxf>
              <fill>
                <patternFill>
                  <bgColor rgb="FFFF0000"/>
                </patternFill>
              </fill>
            </x14:dxf>
          </x14:cfRule>
          <xm:sqref>K22:K23</xm:sqref>
        </x14:conditionalFormatting>
        <x14:conditionalFormatting xmlns:xm="http://schemas.microsoft.com/office/excel/2006/main">
          <x14:cfRule type="expression" priority="39" id="{934464F2-F316-4E32-B724-90CB8C661262}">
            <xm:f>SUMPRODUCT((FI!#REF!&lt;&gt;"")*($K13="")+($K13="C"))</xm:f>
            <x14:dxf>
              <fill>
                <patternFill>
                  <bgColor rgb="FFFF0000"/>
                </patternFill>
              </fill>
            </x14:dxf>
          </x14:cfRule>
          <xm:sqref>K13</xm:sqref>
        </x14:conditionalFormatting>
        <x14:conditionalFormatting xmlns:xm="http://schemas.microsoft.com/office/excel/2006/main">
          <x14:cfRule type="expression" priority="35" id="{1DB6ACF0-CD28-4E73-A56C-280DBB7FCB6E}">
            <xm:f>SUMPRODUCT((FI!#REF!&lt;&gt;"")*($K25="")+($K25="C"))</xm:f>
            <x14:dxf>
              <fill>
                <patternFill>
                  <bgColor rgb="FFFF0000"/>
                </patternFill>
              </fill>
            </x14:dxf>
          </x14:cfRule>
          <xm:sqref>K25</xm:sqref>
        </x14:conditionalFormatting>
        <x14:conditionalFormatting xmlns:xm="http://schemas.microsoft.com/office/excel/2006/main">
          <x14:cfRule type="expression" priority="31" id="{672C4151-39D5-40F6-B5A9-FE7739C062D7}">
            <xm:f>SUMPRODUCT((FI!#REF!&lt;&gt;"")*($K25="")+($K25="C"))</xm:f>
            <x14:dxf>
              <fill>
                <patternFill>
                  <bgColor rgb="FFFF0000"/>
                </patternFill>
              </fill>
            </x14:dxf>
          </x14:cfRule>
          <xm:sqref>K25</xm:sqref>
        </x14:conditionalFormatting>
        <x14:conditionalFormatting xmlns:xm="http://schemas.microsoft.com/office/excel/2006/main">
          <x14:cfRule type="expression" priority="27" id="{EA49FC75-8296-4B80-A036-4980E55F3C58}">
            <xm:f>SUMPRODUCT((FI!#REF!&lt;&gt;"")*($K38="")+($K38="C"))</xm:f>
            <x14:dxf>
              <fill>
                <patternFill>
                  <bgColor rgb="FFFF0000"/>
                </patternFill>
              </fill>
            </x14:dxf>
          </x14:cfRule>
          <xm:sqref>K38</xm:sqref>
        </x14:conditionalFormatting>
        <x14:conditionalFormatting xmlns:xm="http://schemas.microsoft.com/office/excel/2006/main">
          <x14:cfRule type="expression" priority="23" id="{4824539C-A0EB-4C5A-81D7-2AB24ACD4B1A}">
            <xm:f>SUMPRODUCT((FI!#REF!&lt;&gt;"")*($K38="")+($K38="C"))</xm:f>
            <x14:dxf>
              <fill>
                <patternFill>
                  <bgColor rgb="FFFF0000"/>
                </patternFill>
              </fill>
            </x14:dxf>
          </x14:cfRule>
          <xm:sqref>K38</xm:sqref>
        </x14:conditionalFormatting>
        <x14:conditionalFormatting xmlns:xm="http://schemas.microsoft.com/office/excel/2006/main">
          <x14:cfRule type="expression" priority="19" id="{6517D981-B20E-4FBB-B554-4774B89D4564}">
            <xm:f>SUMPRODUCT((FI!#REF!&lt;&gt;"")*($K38="")+($K38="C"))</xm:f>
            <x14:dxf>
              <fill>
                <patternFill>
                  <bgColor rgb="FFFF0000"/>
                </patternFill>
              </fill>
            </x14:dxf>
          </x14:cfRule>
          <xm:sqref>K38</xm:sqref>
        </x14:conditionalFormatting>
        <x14:conditionalFormatting xmlns:xm="http://schemas.microsoft.com/office/excel/2006/main">
          <x14:cfRule type="expression" priority="15" id="{ACC19424-FEAD-4775-8622-D6AB954C73FF}">
            <xm:f>SUMPRODUCT((FI!#REF!&lt;&gt;"")*($K52="")+($K52="C"))</xm:f>
            <x14:dxf>
              <fill>
                <patternFill>
                  <bgColor rgb="FFFF0000"/>
                </patternFill>
              </fill>
            </x14:dxf>
          </x14:cfRule>
          <xm:sqref>K52:K54</xm:sqref>
        </x14:conditionalFormatting>
        <x14:conditionalFormatting xmlns:xm="http://schemas.microsoft.com/office/excel/2006/main">
          <x14:cfRule type="expression" priority="11" id="{7D28B07F-DC9C-4BD9-99D7-339CA744C1C2}">
            <xm:f>SUMPRODUCT((FI!#REF!&lt;&gt;"")*($K52="")+($K52="C"))</xm:f>
            <x14:dxf>
              <fill>
                <patternFill>
                  <bgColor rgb="FFFF0000"/>
                </patternFill>
              </fill>
            </x14:dxf>
          </x14:cfRule>
          <xm:sqref>K52:K54</xm:sqref>
        </x14:conditionalFormatting>
        <x14:conditionalFormatting xmlns:xm="http://schemas.microsoft.com/office/excel/2006/main">
          <x14:cfRule type="expression" priority="7" id="{034643F1-80C9-48D2-BD3E-E9866AA61F8D}">
            <xm:f>SUMPRODUCT((FI!#REF!&lt;&gt;"")*($K52="")+($K52="C"))</xm:f>
            <x14:dxf>
              <fill>
                <patternFill>
                  <bgColor rgb="FFFF0000"/>
                </patternFill>
              </fill>
            </x14:dxf>
          </x14:cfRule>
          <xm:sqref>K52:K54</xm:sqref>
        </x14:conditionalFormatting>
        <x14:conditionalFormatting xmlns:xm="http://schemas.microsoft.com/office/excel/2006/main">
          <x14:cfRule type="expression" priority="3" id="{3BB6E8B3-60DB-458C-85D7-DE1846838585}">
            <xm:f>SUMPRODUCT((FI!#REF!&lt;&gt;"")*($K52="")+($K52="C"))</xm:f>
            <x14:dxf>
              <fill>
                <patternFill>
                  <bgColor rgb="FFFF0000"/>
                </patternFill>
              </fill>
            </x14:dxf>
          </x14:cfRule>
          <xm:sqref>K52:K54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S31"/>
  <sheetViews>
    <sheetView view="pageBreakPreview" zoomScale="55" zoomScaleNormal="100" zoomScaleSheetLayoutView="55" workbookViewId="0">
      <pane ySplit="3" topLeftCell="O4" activePane="bottomLeft" state="frozen"/>
      <selection pane="bottomLeft" activeCell="O1" sqref="O1"/>
    </sheetView>
  </sheetViews>
  <sheetFormatPr defaultColWidth="9.25" defaultRowHeight="15" customHeight="1"/>
  <cols>
    <col min="1" max="1" width="4.25" style="3" customWidth="1"/>
    <col min="2" max="2" width="18.75" style="3" customWidth="1"/>
    <col min="3" max="3" width="29.375" style="3" customWidth="1"/>
    <col min="4" max="4" width="47.375" style="3" customWidth="1"/>
    <col min="5" max="5" width="36.125" style="69" customWidth="1"/>
    <col min="6" max="6" width="14.125" style="69" customWidth="1"/>
    <col min="7" max="7" width="15.875" style="69" customWidth="1"/>
    <col min="8" max="8" width="11.25" style="125" bestFit="1" customWidth="1"/>
    <col min="9" max="9" width="6.375" style="125" customWidth="1"/>
    <col min="10" max="10" width="8.25" style="3" customWidth="1"/>
    <col min="11" max="11" width="9.125" style="126" customWidth="1"/>
    <col min="12" max="13" width="10.25" style="126" customWidth="1"/>
    <col min="14" max="14" width="13.375" style="127" bestFit="1" customWidth="1"/>
    <col min="15" max="15" width="10.625" style="126" customWidth="1"/>
    <col min="16" max="19" width="10.625" style="48" customWidth="1"/>
    <col min="20" max="20" width="10.625" style="3" customWidth="1"/>
    <col min="21" max="24" width="10.625" style="48" customWidth="1"/>
    <col min="25" max="25" width="10.625" style="3" customWidth="1"/>
    <col min="26" max="29" width="10.625" style="48" customWidth="1"/>
    <col min="30" max="44" width="10.625" style="3" customWidth="1"/>
    <col min="45" max="45" width="17.875" style="3" customWidth="1"/>
    <col min="46" max="16384" width="9.25" style="3"/>
  </cols>
  <sheetData>
    <row r="1" spans="1:45" ht="14.25">
      <c r="A1" s="50" t="s">
        <v>54</v>
      </c>
      <c r="B1" s="33"/>
      <c r="C1" s="33"/>
      <c r="D1" s="46"/>
      <c r="E1" s="33"/>
      <c r="F1" s="33"/>
      <c r="G1" s="33"/>
      <c r="H1" s="46"/>
      <c r="I1" s="46"/>
      <c r="J1" s="33"/>
      <c r="K1" s="46"/>
      <c r="L1" s="46"/>
      <c r="M1" s="46"/>
      <c r="N1" s="33"/>
      <c r="O1" s="51" t="s">
        <v>55</v>
      </c>
      <c r="P1" s="122" t="s">
        <v>56</v>
      </c>
      <c r="Q1" s="123" t="s">
        <v>49</v>
      </c>
      <c r="R1" s="124" t="s">
        <v>50</v>
      </c>
    </row>
    <row r="2" spans="1:45" ht="55.15" customHeight="1">
      <c r="A2" s="63" t="s">
        <v>57</v>
      </c>
      <c r="B2" s="63" t="s">
        <v>1</v>
      </c>
      <c r="C2" s="7" t="s">
        <v>58</v>
      </c>
      <c r="D2" s="63"/>
      <c r="E2" s="63" t="s">
        <v>60</v>
      </c>
      <c r="F2" s="63" t="s">
        <v>42</v>
      </c>
      <c r="G2" s="172" t="s">
        <v>61</v>
      </c>
      <c r="H2" s="172" t="s">
        <v>62</v>
      </c>
      <c r="I2" s="63" t="s">
        <v>63</v>
      </c>
      <c r="J2" s="173" t="s">
        <v>64</v>
      </c>
      <c r="K2" s="173" t="s">
        <v>44</v>
      </c>
      <c r="L2" s="174" t="s">
        <v>65</v>
      </c>
      <c r="M2" s="174" t="s">
        <v>66</v>
      </c>
      <c r="N2" s="173" t="s">
        <v>67</v>
      </c>
      <c r="O2" s="890" t="s">
        <v>68</v>
      </c>
      <c r="P2" s="890"/>
      <c r="Q2" s="890"/>
      <c r="R2" s="890"/>
      <c r="S2" s="890"/>
      <c r="T2" s="891" t="s">
        <v>69</v>
      </c>
      <c r="U2" s="883"/>
      <c r="V2" s="883"/>
      <c r="W2" s="883"/>
      <c r="X2" s="888"/>
      <c r="Y2" s="885" t="s">
        <v>70</v>
      </c>
      <c r="Z2" s="886"/>
      <c r="AA2" s="886"/>
      <c r="AB2" s="886"/>
      <c r="AC2" s="887"/>
      <c r="AD2" s="892" t="s">
        <v>71</v>
      </c>
      <c r="AE2" s="893"/>
      <c r="AF2" s="893"/>
      <c r="AG2" s="893"/>
      <c r="AH2" s="894"/>
      <c r="AI2" s="885" t="s">
        <v>72</v>
      </c>
      <c r="AJ2" s="886"/>
      <c r="AK2" s="886"/>
      <c r="AL2" s="886"/>
      <c r="AM2" s="887"/>
      <c r="AN2" s="882" t="s">
        <v>73</v>
      </c>
      <c r="AO2" s="883"/>
      <c r="AP2" s="883"/>
      <c r="AQ2" s="883"/>
      <c r="AR2" s="884"/>
      <c r="AS2" s="755" t="s">
        <v>76</v>
      </c>
    </row>
    <row r="3" spans="1:45" ht="13.9" customHeight="1">
      <c r="A3" s="64"/>
      <c r="B3" s="175"/>
      <c r="C3" s="175"/>
      <c r="D3" s="175"/>
      <c r="E3" s="175"/>
      <c r="F3" s="175"/>
      <c r="G3" s="65"/>
      <c r="H3" s="65"/>
      <c r="I3" s="175"/>
      <c r="J3" s="176"/>
      <c r="K3" s="176"/>
      <c r="L3" s="177"/>
      <c r="M3" s="177"/>
      <c r="N3" s="178"/>
      <c r="O3" s="179" t="s">
        <v>17</v>
      </c>
      <c r="P3" s="179" t="s">
        <v>49</v>
      </c>
      <c r="Q3" s="179" t="s">
        <v>50</v>
      </c>
      <c r="R3" s="179" t="s">
        <v>51</v>
      </c>
      <c r="S3" s="180" t="s">
        <v>44</v>
      </c>
      <c r="T3" s="758" t="s">
        <v>17</v>
      </c>
      <c r="U3" s="759" t="s">
        <v>49</v>
      </c>
      <c r="V3" s="760" t="s">
        <v>50</v>
      </c>
      <c r="W3" s="761" t="s">
        <v>51</v>
      </c>
      <c r="X3" s="762" t="s">
        <v>44</v>
      </c>
      <c r="Y3" s="81" t="s">
        <v>17</v>
      </c>
      <c r="Z3" s="82" t="s">
        <v>49</v>
      </c>
      <c r="AA3" s="83" t="s">
        <v>50</v>
      </c>
      <c r="AB3" s="84" t="s">
        <v>51</v>
      </c>
      <c r="AC3" s="80" t="s">
        <v>44</v>
      </c>
      <c r="AD3" s="758" t="s">
        <v>17</v>
      </c>
      <c r="AE3" s="759" t="s">
        <v>49</v>
      </c>
      <c r="AF3" s="760" t="s">
        <v>50</v>
      </c>
      <c r="AG3" s="761" t="s">
        <v>51</v>
      </c>
      <c r="AH3" s="762" t="s">
        <v>44</v>
      </c>
      <c r="AI3" s="81" t="s">
        <v>17</v>
      </c>
      <c r="AJ3" s="82" t="s">
        <v>49</v>
      </c>
      <c r="AK3" s="83" t="s">
        <v>50</v>
      </c>
      <c r="AL3" s="84" t="s">
        <v>51</v>
      </c>
      <c r="AM3" s="80" t="s">
        <v>44</v>
      </c>
      <c r="AN3" s="758" t="s">
        <v>17</v>
      </c>
      <c r="AO3" s="759" t="s">
        <v>49</v>
      </c>
      <c r="AP3" s="760" t="s">
        <v>50</v>
      </c>
      <c r="AQ3" s="761" t="s">
        <v>51</v>
      </c>
      <c r="AR3" s="762" t="s">
        <v>44</v>
      </c>
      <c r="AS3" s="756"/>
    </row>
    <row r="4" spans="1:45" s="163" customFormat="1" ht="27" customHeight="1">
      <c r="A4" s="85">
        <v>1</v>
      </c>
      <c r="B4" s="370" t="s">
        <v>332</v>
      </c>
      <c r="C4" s="104" t="s">
        <v>333</v>
      </c>
      <c r="D4" s="345" t="s">
        <v>334</v>
      </c>
      <c r="E4" s="104" t="s">
        <v>335</v>
      </c>
      <c r="F4" s="346"/>
      <c r="G4" s="347"/>
      <c r="H4" s="347">
        <f>G4+7</f>
        <v>7</v>
      </c>
      <c r="I4" s="348"/>
      <c r="J4" s="85"/>
      <c r="K4" s="85"/>
      <c r="L4" s="347"/>
      <c r="M4" s="347" t="s">
        <v>81</v>
      </c>
      <c r="N4" s="349"/>
      <c r="O4" s="347"/>
      <c r="P4" s="86"/>
      <c r="Q4" s="347"/>
      <c r="R4" s="347"/>
      <c r="S4" s="87"/>
      <c r="T4" s="347"/>
      <c r="U4" s="86"/>
      <c r="V4" s="86"/>
      <c r="W4" s="347"/>
      <c r="X4" s="85"/>
      <c r="Y4" s="347"/>
      <c r="Z4" s="86"/>
      <c r="AA4" s="86"/>
      <c r="AB4" s="347"/>
      <c r="AC4" s="85"/>
      <c r="AD4" s="96"/>
      <c r="AE4" s="96"/>
      <c r="AF4" s="96"/>
      <c r="AG4" s="96"/>
      <c r="AH4" s="104"/>
      <c r="AI4" s="96"/>
      <c r="AJ4" s="96"/>
      <c r="AK4" s="96"/>
      <c r="AL4" s="96"/>
      <c r="AM4" s="104"/>
      <c r="AN4" s="96"/>
      <c r="AO4" s="96"/>
      <c r="AP4" s="96"/>
      <c r="AQ4" s="96"/>
      <c r="AR4" s="104"/>
      <c r="AS4" s="693" t="s">
        <v>82</v>
      </c>
    </row>
    <row r="5" spans="1:45" s="355" customFormat="1" ht="27" customHeight="1">
      <c r="A5" s="350">
        <v>2</v>
      </c>
      <c r="B5" s="370" t="s">
        <v>332</v>
      </c>
      <c r="C5" s="104" t="s">
        <v>336</v>
      </c>
      <c r="D5" s="373" t="s">
        <v>337</v>
      </c>
      <c r="E5" s="104" t="s">
        <v>338</v>
      </c>
      <c r="F5" s="346">
        <f>F6+14</f>
        <v>46082</v>
      </c>
      <c r="G5" s="319"/>
      <c r="H5" s="347">
        <f t="shared" ref="H5:H22" si="0">G5+7</f>
        <v>7</v>
      </c>
      <c r="I5" s="348"/>
      <c r="J5" s="88"/>
      <c r="K5" s="85"/>
      <c r="L5" s="352"/>
      <c r="M5" s="347" t="s">
        <v>81</v>
      </c>
      <c r="N5" s="353"/>
      <c r="O5" s="351"/>
      <c r="P5" s="351"/>
      <c r="Q5" s="351"/>
      <c r="R5" s="351"/>
      <c r="S5" s="87"/>
      <c r="T5" s="354"/>
      <c r="U5" s="354"/>
      <c r="V5" s="354"/>
      <c r="W5" s="354"/>
      <c r="X5" s="350"/>
      <c r="Y5" s="354"/>
      <c r="Z5" s="354"/>
      <c r="AA5" s="354"/>
      <c r="AB5" s="354"/>
      <c r="AC5" s="350"/>
      <c r="AD5" s="92"/>
      <c r="AE5" s="92"/>
      <c r="AF5" s="92"/>
      <c r="AG5" s="92"/>
      <c r="AH5" s="103"/>
      <c r="AI5" s="92"/>
      <c r="AJ5" s="92"/>
      <c r="AK5" s="92"/>
      <c r="AL5" s="92"/>
      <c r="AM5" s="103"/>
      <c r="AN5" s="92"/>
      <c r="AO5" s="92"/>
      <c r="AP5" s="92"/>
      <c r="AQ5" s="92"/>
      <c r="AR5" s="103"/>
      <c r="AS5" s="693" t="s">
        <v>82</v>
      </c>
    </row>
    <row r="6" spans="1:45" s="359" customFormat="1" ht="27" customHeight="1">
      <c r="A6" s="85">
        <v>3</v>
      </c>
      <c r="B6" s="370" t="s">
        <v>332</v>
      </c>
      <c r="C6" s="104" t="s">
        <v>339</v>
      </c>
      <c r="D6" s="345" t="s">
        <v>340</v>
      </c>
      <c r="E6" s="104" t="s">
        <v>341</v>
      </c>
      <c r="F6" s="346">
        <v>46068</v>
      </c>
      <c r="G6" s="319"/>
      <c r="H6" s="347">
        <f t="shared" si="0"/>
        <v>7</v>
      </c>
      <c r="I6" s="348"/>
      <c r="J6" s="88"/>
      <c r="K6" s="85"/>
      <c r="L6" s="352"/>
      <c r="M6" s="347" t="s">
        <v>81</v>
      </c>
      <c r="N6" s="353"/>
      <c r="O6" s="351"/>
      <c r="P6" s="356"/>
      <c r="Q6" s="356"/>
      <c r="R6" s="356"/>
      <c r="S6" s="87"/>
      <c r="T6" s="357"/>
      <c r="U6" s="357"/>
      <c r="V6" s="357"/>
      <c r="W6" s="357"/>
      <c r="X6" s="358"/>
      <c r="Y6" s="357"/>
      <c r="Z6" s="357"/>
      <c r="AA6" s="357"/>
      <c r="AB6" s="357"/>
      <c r="AC6" s="358"/>
      <c r="AD6" s="96"/>
      <c r="AE6" s="96"/>
      <c r="AF6" s="96"/>
      <c r="AG6" s="96"/>
      <c r="AH6" s="104"/>
      <c r="AI6" s="96"/>
      <c r="AJ6" s="96"/>
      <c r="AK6" s="96"/>
      <c r="AL6" s="96"/>
      <c r="AM6" s="104"/>
      <c r="AN6" s="96"/>
      <c r="AO6" s="96"/>
      <c r="AP6" s="96"/>
      <c r="AQ6" s="96"/>
      <c r="AR6" s="104"/>
      <c r="AS6" s="693" t="s">
        <v>82</v>
      </c>
    </row>
    <row r="7" spans="1:45" s="359" customFormat="1" ht="27" customHeight="1">
      <c r="A7" s="350">
        <v>4</v>
      </c>
      <c r="B7" s="370" t="s">
        <v>332</v>
      </c>
      <c r="C7" s="104" t="s">
        <v>342</v>
      </c>
      <c r="D7" s="345" t="s">
        <v>343</v>
      </c>
      <c r="E7" s="104" t="s">
        <v>344</v>
      </c>
      <c r="F7" s="346">
        <f>F6</f>
        <v>46068</v>
      </c>
      <c r="G7" s="319"/>
      <c r="H7" s="347">
        <f t="shared" si="0"/>
        <v>7</v>
      </c>
      <c r="I7" s="348"/>
      <c r="J7" s="88"/>
      <c r="K7" s="85"/>
      <c r="L7" s="352"/>
      <c r="M7" s="347" t="s">
        <v>81</v>
      </c>
      <c r="N7" s="353"/>
      <c r="O7" s="351"/>
      <c r="P7" s="356"/>
      <c r="Q7" s="356"/>
      <c r="R7" s="356"/>
      <c r="S7" s="87"/>
      <c r="T7" s="357"/>
      <c r="U7" s="357"/>
      <c r="V7" s="357"/>
      <c r="W7" s="357"/>
      <c r="X7" s="358"/>
      <c r="Y7" s="357"/>
      <c r="Z7" s="357"/>
      <c r="AA7" s="357"/>
      <c r="AB7" s="357"/>
      <c r="AC7" s="358"/>
      <c r="AD7" s="96"/>
      <c r="AE7" s="96"/>
      <c r="AF7" s="96"/>
      <c r="AG7" s="96"/>
      <c r="AH7" s="104"/>
      <c r="AI7" s="96"/>
      <c r="AJ7" s="96"/>
      <c r="AK7" s="96"/>
      <c r="AL7" s="96"/>
      <c r="AM7" s="104"/>
      <c r="AN7" s="96"/>
      <c r="AO7" s="96"/>
      <c r="AP7" s="96"/>
      <c r="AQ7" s="96"/>
      <c r="AR7" s="104"/>
      <c r="AS7" s="693" t="s">
        <v>82</v>
      </c>
    </row>
    <row r="8" spans="1:45" s="47" customFormat="1" ht="27" customHeight="1">
      <c r="A8" s="85">
        <v>5</v>
      </c>
      <c r="B8" s="370" t="s">
        <v>332</v>
      </c>
      <c r="C8" s="104" t="s">
        <v>345</v>
      </c>
      <c r="D8" s="345" t="s">
        <v>346</v>
      </c>
      <c r="E8" s="104" t="s">
        <v>347</v>
      </c>
      <c r="F8" s="346">
        <v>46096</v>
      </c>
      <c r="G8" s="319"/>
      <c r="H8" s="347">
        <f t="shared" si="0"/>
        <v>7</v>
      </c>
      <c r="I8" s="348"/>
      <c r="J8" s="88"/>
      <c r="K8" s="85"/>
      <c r="L8" s="352"/>
      <c r="M8" s="347" t="s">
        <v>81</v>
      </c>
      <c r="N8" s="353"/>
      <c r="O8" s="351"/>
      <c r="P8" s="351"/>
      <c r="Q8" s="351"/>
      <c r="R8" s="351"/>
      <c r="S8" s="87"/>
      <c r="T8" s="92"/>
      <c r="U8" s="92"/>
      <c r="V8" s="92"/>
      <c r="W8" s="92"/>
      <c r="X8" s="103"/>
      <c r="Y8" s="92"/>
      <c r="Z8" s="92"/>
      <c r="AA8" s="92"/>
      <c r="AB8" s="92"/>
      <c r="AC8" s="103"/>
      <c r="AD8" s="96"/>
      <c r="AE8" s="96"/>
      <c r="AF8" s="96"/>
      <c r="AG8" s="96"/>
      <c r="AH8" s="104"/>
      <c r="AI8" s="96"/>
      <c r="AJ8" s="96"/>
      <c r="AK8" s="96"/>
      <c r="AL8" s="96"/>
      <c r="AM8" s="104"/>
      <c r="AN8" s="96"/>
      <c r="AO8" s="96"/>
      <c r="AP8" s="96"/>
      <c r="AQ8" s="96"/>
      <c r="AR8" s="104"/>
      <c r="AS8" s="693" t="s">
        <v>82</v>
      </c>
    </row>
    <row r="9" spans="1:45" s="47" customFormat="1" ht="27" customHeight="1">
      <c r="A9" s="350">
        <v>6</v>
      </c>
      <c r="B9" s="370" t="s">
        <v>332</v>
      </c>
      <c r="C9" s="104" t="s">
        <v>348</v>
      </c>
      <c r="D9" s="345" t="s">
        <v>349</v>
      </c>
      <c r="E9" s="104" t="s">
        <v>350</v>
      </c>
      <c r="F9" s="346">
        <v>46098</v>
      </c>
      <c r="G9" s="319"/>
      <c r="H9" s="347">
        <f t="shared" si="0"/>
        <v>7</v>
      </c>
      <c r="I9" s="348"/>
      <c r="J9" s="88"/>
      <c r="K9" s="85"/>
      <c r="L9" s="352"/>
      <c r="M9" s="347" t="s">
        <v>81</v>
      </c>
      <c r="N9" s="353"/>
      <c r="O9" s="351"/>
      <c r="P9" s="351"/>
      <c r="Q9" s="351"/>
      <c r="R9" s="351"/>
      <c r="S9" s="87"/>
      <c r="T9" s="92"/>
      <c r="U9" s="92"/>
      <c r="V9" s="92"/>
      <c r="W9" s="92"/>
      <c r="X9" s="103"/>
      <c r="Y9" s="92"/>
      <c r="Z9" s="92"/>
      <c r="AA9" s="92"/>
      <c r="AB9" s="92"/>
      <c r="AC9" s="103"/>
      <c r="AD9" s="96"/>
      <c r="AE9" s="96"/>
      <c r="AF9" s="96"/>
      <c r="AG9" s="96"/>
      <c r="AH9" s="104"/>
      <c r="AI9" s="96"/>
      <c r="AJ9" s="96"/>
      <c r="AK9" s="96"/>
      <c r="AL9" s="96"/>
      <c r="AM9" s="104"/>
      <c r="AN9" s="96"/>
      <c r="AO9" s="96"/>
      <c r="AP9" s="96"/>
      <c r="AQ9" s="96"/>
      <c r="AR9" s="104"/>
      <c r="AS9" s="693" t="s">
        <v>82</v>
      </c>
    </row>
    <row r="10" spans="1:45" ht="27" customHeight="1">
      <c r="A10" s="85">
        <v>7</v>
      </c>
      <c r="B10" s="370" t="s">
        <v>332</v>
      </c>
      <c r="C10" s="104" t="s">
        <v>351</v>
      </c>
      <c r="D10" s="345" t="s">
        <v>352</v>
      </c>
      <c r="E10" s="104" t="s">
        <v>353</v>
      </c>
      <c r="F10" s="346">
        <v>46102</v>
      </c>
      <c r="G10" s="319"/>
      <c r="H10" s="347">
        <f t="shared" si="0"/>
        <v>7</v>
      </c>
      <c r="I10" s="348"/>
      <c r="J10" s="88"/>
      <c r="K10" s="85"/>
      <c r="L10" s="352"/>
      <c r="M10" s="347" t="s">
        <v>81</v>
      </c>
      <c r="N10" s="353"/>
      <c r="O10" s="351"/>
      <c r="P10" s="351"/>
      <c r="Q10" s="351"/>
      <c r="R10" s="351"/>
      <c r="S10" s="87"/>
      <c r="T10" s="96"/>
      <c r="U10" s="96"/>
      <c r="V10" s="96"/>
      <c r="W10" s="96"/>
      <c r="X10" s="104"/>
      <c r="Y10" s="96"/>
      <c r="Z10" s="96"/>
      <c r="AA10" s="96"/>
      <c r="AB10" s="96"/>
      <c r="AC10" s="104"/>
      <c r="AD10" s="96"/>
      <c r="AE10" s="96"/>
      <c r="AF10" s="96"/>
      <c r="AG10" s="113"/>
      <c r="AH10" s="104"/>
      <c r="AI10" s="96"/>
      <c r="AJ10" s="96"/>
      <c r="AK10" s="96"/>
      <c r="AL10" s="113"/>
      <c r="AM10" s="104"/>
      <c r="AN10" s="96"/>
      <c r="AO10" s="96"/>
      <c r="AP10" s="96"/>
      <c r="AQ10" s="113"/>
      <c r="AR10" s="104"/>
      <c r="AS10" s="693" t="s">
        <v>82</v>
      </c>
    </row>
    <row r="11" spans="1:45" ht="27" customHeight="1">
      <c r="A11" s="350">
        <v>8</v>
      </c>
      <c r="B11" s="370" t="s">
        <v>332</v>
      </c>
      <c r="C11" s="104" t="s">
        <v>354</v>
      </c>
      <c r="D11" s="345" t="s">
        <v>355</v>
      </c>
      <c r="E11" s="104" t="s">
        <v>356</v>
      </c>
      <c r="F11" s="346">
        <v>46102</v>
      </c>
      <c r="G11" s="319"/>
      <c r="H11" s="347">
        <f t="shared" si="0"/>
        <v>7</v>
      </c>
      <c r="I11" s="348"/>
      <c r="J11" s="88"/>
      <c r="K11" s="85"/>
      <c r="L11" s="352"/>
      <c r="M11" s="347" t="s">
        <v>81</v>
      </c>
      <c r="N11" s="353"/>
      <c r="O11" s="351"/>
      <c r="P11" s="351"/>
      <c r="Q11" s="351"/>
      <c r="R11" s="351"/>
      <c r="S11" s="87"/>
      <c r="T11" s="96"/>
      <c r="U11" s="96"/>
      <c r="V11" s="96"/>
      <c r="W11" s="96"/>
      <c r="X11" s="104"/>
      <c r="Y11" s="96"/>
      <c r="Z11" s="96"/>
      <c r="AA11" s="96"/>
      <c r="AB11" s="96"/>
      <c r="AC11" s="104"/>
      <c r="AD11" s="96"/>
      <c r="AE11" s="96"/>
      <c r="AF11" s="96"/>
      <c r="AG11" s="113"/>
      <c r="AH11" s="104"/>
      <c r="AI11" s="96"/>
      <c r="AJ11" s="96"/>
      <c r="AK11" s="96"/>
      <c r="AL11" s="113"/>
      <c r="AM11" s="104"/>
      <c r="AN11" s="96"/>
      <c r="AO11" s="96"/>
      <c r="AP11" s="96"/>
      <c r="AQ11" s="113"/>
      <c r="AR11" s="104"/>
      <c r="AS11" s="693" t="s">
        <v>82</v>
      </c>
    </row>
    <row r="12" spans="1:45" s="47" customFormat="1" ht="27" customHeight="1">
      <c r="A12" s="85">
        <v>9</v>
      </c>
      <c r="B12" s="370" t="s">
        <v>332</v>
      </c>
      <c r="C12" s="104" t="s">
        <v>357</v>
      </c>
      <c r="D12" s="345" t="s">
        <v>358</v>
      </c>
      <c r="E12" s="104" t="s">
        <v>359</v>
      </c>
      <c r="F12" s="346">
        <v>46106</v>
      </c>
      <c r="G12" s="319"/>
      <c r="H12" s="347">
        <f t="shared" si="0"/>
        <v>7</v>
      </c>
      <c r="I12" s="348"/>
      <c r="J12" s="88"/>
      <c r="K12" s="85"/>
      <c r="L12" s="352"/>
      <c r="M12" s="347" t="s">
        <v>81</v>
      </c>
      <c r="N12" s="353"/>
      <c r="O12" s="351"/>
      <c r="P12" s="351"/>
      <c r="Q12" s="351"/>
      <c r="R12" s="351"/>
      <c r="S12" s="87"/>
      <c r="T12" s="92"/>
      <c r="U12" s="92"/>
      <c r="V12" s="92"/>
      <c r="W12" s="92"/>
      <c r="X12" s="103"/>
      <c r="Y12" s="92"/>
      <c r="Z12" s="92"/>
      <c r="AA12" s="92"/>
      <c r="AB12" s="92"/>
      <c r="AC12" s="103"/>
      <c r="AD12" s="92"/>
      <c r="AE12" s="92"/>
      <c r="AF12" s="113"/>
      <c r="AG12" s="113"/>
      <c r="AH12" s="95"/>
      <c r="AI12" s="92"/>
      <c r="AJ12" s="92"/>
      <c r="AK12" s="113"/>
      <c r="AL12" s="113"/>
      <c r="AM12" s="95"/>
      <c r="AN12" s="92"/>
      <c r="AO12" s="92"/>
      <c r="AP12" s="113"/>
      <c r="AQ12" s="113"/>
      <c r="AR12" s="95"/>
      <c r="AS12" s="693" t="s">
        <v>82</v>
      </c>
    </row>
    <row r="13" spans="1:45" s="47" customFormat="1" ht="27" customHeight="1">
      <c r="A13" s="350">
        <v>10</v>
      </c>
      <c r="B13" s="370" t="s">
        <v>332</v>
      </c>
      <c r="C13" s="104" t="s">
        <v>360</v>
      </c>
      <c r="D13" s="345" t="s">
        <v>361</v>
      </c>
      <c r="E13" s="104" t="s">
        <v>362</v>
      </c>
      <c r="F13" s="346">
        <v>46108</v>
      </c>
      <c r="G13" s="319"/>
      <c r="H13" s="347">
        <f t="shared" si="0"/>
        <v>7</v>
      </c>
      <c r="I13" s="348"/>
      <c r="J13" s="88"/>
      <c r="K13" s="85"/>
      <c r="L13" s="352"/>
      <c r="M13" s="347" t="s">
        <v>81</v>
      </c>
      <c r="N13" s="353"/>
      <c r="O13" s="351"/>
      <c r="P13" s="351"/>
      <c r="Q13" s="351"/>
      <c r="R13" s="351"/>
      <c r="S13" s="87"/>
      <c r="T13" s="92"/>
      <c r="U13" s="92"/>
      <c r="V13" s="92"/>
      <c r="W13" s="92"/>
      <c r="X13" s="103"/>
      <c r="Y13" s="92"/>
      <c r="Z13" s="92"/>
      <c r="AA13" s="92"/>
      <c r="AB13" s="92"/>
      <c r="AC13" s="103"/>
      <c r="AD13" s="92"/>
      <c r="AE13" s="92"/>
      <c r="AF13" s="113"/>
      <c r="AG13" s="113"/>
      <c r="AH13" s="95"/>
      <c r="AI13" s="92"/>
      <c r="AJ13" s="92"/>
      <c r="AK13" s="113"/>
      <c r="AL13" s="113"/>
      <c r="AM13" s="95"/>
      <c r="AN13" s="92"/>
      <c r="AO13" s="92"/>
      <c r="AP13" s="113"/>
      <c r="AQ13" s="113"/>
      <c r="AR13" s="95"/>
      <c r="AS13" s="693" t="s">
        <v>82</v>
      </c>
    </row>
    <row r="14" spans="1:45" ht="27" customHeight="1">
      <c r="A14" s="85">
        <v>11</v>
      </c>
      <c r="B14" s="370" t="s">
        <v>332</v>
      </c>
      <c r="C14" s="104" t="s">
        <v>345</v>
      </c>
      <c r="D14" s="345" t="s">
        <v>363</v>
      </c>
      <c r="E14" s="104" t="s">
        <v>364</v>
      </c>
      <c r="F14" s="346">
        <f>F5+7</f>
        <v>46089</v>
      </c>
      <c r="G14" s="319"/>
      <c r="H14" s="347">
        <f t="shared" si="0"/>
        <v>7</v>
      </c>
      <c r="I14" s="348"/>
      <c r="J14" s="88"/>
      <c r="K14" s="85"/>
      <c r="L14" s="352"/>
      <c r="M14" s="347" t="s">
        <v>81</v>
      </c>
      <c r="N14" s="353"/>
      <c r="O14" s="351"/>
      <c r="P14" s="351"/>
      <c r="Q14" s="351"/>
      <c r="R14" s="351"/>
      <c r="S14" s="87"/>
      <c r="T14" s="96"/>
      <c r="U14" s="96"/>
      <c r="V14" s="96"/>
      <c r="W14" s="96"/>
      <c r="X14" s="104"/>
      <c r="Y14" s="96"/>
      <c r="Z14" s="96"/>
      <c r="AA14" s="96"/>
      <c r="AB14" s="96"/>
      <c r="AC14" s="104"/>
      <c r="AD14" s="113"/>
      <c r="AE14" s="113"/>
      <c r="AF14" s="113"/>
      <c r="AG14" s="113"/>
      <c r="AH14" s="95"/>
      <c r="AI14" s="113"/>
      <c r="AJ14" s="113"/>
      <c r="AK14" s="113"/>
      <c r="AL14" s="113"/>
      <c r="AM14" s="95"/>
      <c r="AN14" s="113"/>
      <c r="AO14" s="113"/>
      <c r="AP14" s="113"/>
      <c r="AQ14" s="113"/>
      <c r="AR14" s="95"/>
      <c r="AS14" s="693" t="s">
        <v>82</v>
      </c>
    </row>
    <row r="15" spans="1:45" ht="27" customHeight="1">
      <c r="A15" s="350">
        <v>12</v>
      </c>
      <c r="B15" s="370" t="s">
        <v>332</v>
      </c>
      <c r="C15" s="104" t="s">
        <v>365</v>
      </c>
      <c r="D15" s="345" t="s">
        <v>366</v>
      </c>
      <c r="E15" s="104" t="s">
        <v>367</v>
      </c>
      <c r="F15" s="346">
        <f>F5+7</f>
        <v>46089</v>
      </c>
      <c r="G15" s="319"/>
      <c r="H15" s="347">
        <f t="shared" si="0"/>
        <v>7</v>
      </c>
      <c r="I15" s="348"/>
      <c r="J15" s="88"/>
      <c r="K15" s="85"/>
      <c r="L15" s="352"/>
      <c r="M15" s="347" t="s">
        <v>81</v>
      </c>
      <c r="N15" s="353"/>
      <c r="O15" s="351"/>
      <c r="P15" s="351"/>
      <c r="Q15" s="351"/>
      <c r="R15" s="351"/>
      <c r="S15" s="87"/>
      <c r="T15" s="96"/>
      <c r="U15" s="96"/>
      <c r="V15" s="96"/>
      <c r="W15" s="96"/>
      <c r="X15" s="104"/>
      <c r="Y15" s="96"/>
      <c r="Z15" s="96"/>
      <c r="AA15" s="96"/>
      <c r="AB15" s="96"/>
      <c r="AC15" s="104"/>
      <c r="AD15" s="113"/>
      <c r="AE15" s="113"/>
      <c r="AF15" s="113"/>
      <c r="AG15" s="113"/>
      <c r="AH15" s="95"/>
      <c r="AI15" s="113"/>
      <c r="AJ15" s="113"/>
      <c r="AK15" s="113"/>
      <c r="AL15" s="113"/>
      <c r="AM15" s="95"/>
      <c r="AN15" s="113"/>
      <c r="AO15" s="113"/>
      <c r="AP15" s="113"/>
      <c r="AQ15" s="113"/>
      <c r="AR15" s="95"/>
      <c r="AS15" s="693" t="s">
        <v>82</v>
      </c>
    </row>
    <row r="16" spans="1:45" ht="27" customHeight="1">
      <c r="A16" s="85">
        <v>13</v>
      </c>
      <c r="B16" s="370" t="s">
        <v>332</v>
      </c>
      <c r="C16" s="104" t="s">
        <v>368</v>
      </c>
      <c r="D16" s="345" t="s">
        <v>369</v>
      </c>
      <c r="E16" s="104" t="s">
        <v>370</v>
      </c>
      <c r="F16" s="346">
        <f>F7+7</f>
        <v>46075</v>
      </c>
      <c r="G16" s="319"/>
      <c r="H16" s="347">
        <f t="shared" si="0"/>
        <v>7</v>
      </c>
      <c r="I16" s="348"/>
      <c r="J16" s="95"/>
      <c r="K16" s="85"/>
      <c r="L16" s="327"/>
      <c r="M16" s="347" t="s">
        <v>81</v>
      </c>
      <c r="N16" s="360"/>
      <c r="O16" s="319"/>
      <c r="P16" s="319"/>
      <c r="Q16" s="319"/>
      <c r="R16" s="361"/>
      <c r="S16" s="103"/>
      <c r="T16" s="96"/>
      <c r="U16" s="96"/>
      <c r="V16" s="96"/>
      <c r="W16" s="96"/>
      <c r="X16" s="104"/>
      <c r="Y16" s="96"/>
      <c r="Z16" s="96"/>
      <c r="AA16" s="96"/>
      <c r="AB16" s="96"/>
      <c r="AC16" s="104"/>
      <c r="AD16" s="96"/>
      <c r="AE16" s="96"/>
      <c r="AF16" s="96"/>
      <c r="AG16" s="96"/>
      <c r="AH16" s="104"/>
      <c r="AI16" s="96"/>
      <c r="AJ16" s="96"/>
      <c r="AK16" s="96"/>
      <c r="AL16" s="96"/>
      <c r="AM16" s="104"/>
      <c r="AN16" s="96"/>
      <c r="AO16" s="96"/>
      <c r="AP16" s="96"/>
      <c r="AQ16" s="96"/>
      <c r="AR16" s="104"/>
      <c r="AS16" s="693" t="s">
        <v>82</v>
      </c>
    </row>
    <row r="17" spans="1:45" s="58" customFormat="1" ht="27" customHeight="1">
      <c r="A17" s="350">
        <v>14</v>
      </c>
      <c r="B17" s="370" t="s">
        <v>332</v>
      </c>
      <c r="C17" s="104" t="s">
        <v>371</v>
      </c>
      <c r="D17" s="345" t="s">
        <v>372</v>
      </c>
      <c r="E17" s="104" t="s">
        <v>373</v>
      </c>
      <c r="F17" s="346">
        <v>46100</v>
      </c>
      <c r="G17" s="319"/>
      <c r="H17" s="347">
        <f t="shared" si="0"/>
        <v>7</v>
      </c>
      <c r="I17" s="348"/>
      <c r="J17" s="95"/>
      <c r="K17" s="85"/>
      <c r="L17" s="327"/>
      <c r="M17" s="347" t="s">
        <v>81</v>
      </c>
      <c r="N17" s="362"/>
      <c r="O17" s="319"/>
      <c r="P17" s="319"/>
      <c r="Q17" s="319"/>
      <c r="R17" s="361"/>
      <c r="S17" s="103"/>
      <c r="T17" s="106"/>
      <c r="U17" s="106"/>
      <c r="V17" s="106"/>
      <c r="W17" s="106"/>
      <c r="X17" s="104"/>
      <c r="Y17" s="106"/>
      <c r="Z17" s="106"/>
      <c r="AA17" s="106"/>
      <c r="AB17" s="106"/>
      <c r="AC17" s="107"/>
      <c r="AD17" s="96"/>
      <c r="AE17" s="96"/>
      <c r="AF17" s="96"/>
      <c r="AG17" s="96"/>
      <c r="AH17" s="104"/>
      <c r="AI17" s="96"/>
      <c r="AJ17" s="96"/>
      <c r="AK17" s="96"/>
      <c r="AL17" s="96"/>
      <c r="AM17" s="104"/>
      <c r="AN17" s="96"/>
      <c r="AO17" s="96"/>
      <c r="AP17" s="96"/>
      <c r="AQ17" s="96"/>
      <c r="AR17" s="104"/>
      <c r="AS17" s="693" t="s">
        <v>82</v>
      </c>
    </row>
    <row r="18" spans="1:45" s="58" customFormat="1" ht="27" customHeight="1">
      <c r="A18" s="85">
        <v>15</v>
      </c>
      <c r="B18" s="370" t="s">
        <v>332</v>
      </c>
      <c r="C18" s="104" t="s">
        <v>374</v>
      </c>
      <c r="D18" s="345" t="s">
        <v>375</v>
      </c>
      <c r="E18" s="104" t="s">
        <v>376</v>
      </c>
      <c r="F18" s="346">
        <v>46104</v>
      </c>
      <c r="G18" s="319"/>
      <c r="H18" s="347">
        <f t="shared" si="0"/>
        <v>7</v>
      </c>
      <c r="I18" s="348"/>
      <c r="J18" s="95"/>
      <c r="K18" s="85"/>
      <c r="L18" s="327"/>
      <c r="M18" s="347" t="s">
        <v>81</v>
      </c>
      <c r="N18" s="360"/>
      <c r="O18" s="319"/>
      <c r="P18" s="319"/>
      <c r="Q18" s="319"/>
      <c r="R18" s="361"/>
      <c r="S18" s="103"/>
      <c r="T18" s="106"/>
      <c r="U18" s="106"/>
      <c r="V18" s="106"/>
      <c r="W18" s="106"/>
      <c r="X18" s="104"/>
      <c r="Y18" s="106"/>
      <c r="Z18" s="106"/>
      <c r="AA18" s="106"/>
      <c r="AB18" s="106"/>
      <c r="AC18" s="107"/>
      <c r="AD18" s="96"/>
      <c r="AE18" s="96"/>
      <c r="AF18" s="96"/>
      <c r="AG18" s="96"/>
      <c r="AH18" s="104"/>
      <c r="AI18" s="96"/>
      <c r="AJ18" s="96"/>
      <c r="AK18" s="96"/>
      <c r="AL18" s="96"/>
      <c r="AM18" s="104"/>
      <c r="AN18" s="96"/>
      <c r="AO18" s="96"/>
      <c r="AP18" s="96"/>
      <c r="AQ18" s="96"/>
      <c r="AR18" s="104"/>
      <c r="AS18" s="693" t="s">
        <v>82</v>
      </c>
    </row>
    <row r="19" spans="1:45" s="47" customFormat="1" ht="27" customHeight="1">
      <c r="A19" s="350">
        <v>16</v>
      </c>
      <c r="B19" s="370" t="s">
        <v>332</v>
      </c>
      <c r="C19" s="104" t="s">
        <v>377</v>
      </c>
      <c r="D19" s="345" t="s">
        <v>378</v>
      </c>
      <c r="E19" s="104" t="s">
        <v>379</v>
      </c>
      <c r="F19" s="346">
        <v>46109</v>
      </c>
      <c r="G19" s="319"/>
      <c r="H19" s="347">
        <f t="shared" si="0"/>
        <v>7</v>
      </c>
      <c r="I19" s="348"/>
      <c r="J19" s="95"/>
      <c r="K19" s="85"/>
      <c r="L19" s="327"/>
      <c r="M19" s="347" t="s">
        <v>81</v>
      </c>
      <c r="N19" s="362"/>
      <c r="O19" s="319"/>
      <c r="P19" s="319"/>
      <c r="Q19" s="319"/>
      <c r="R19" s="361"/>
      <c r="S19" s="103"/>
      <c r="T19" s="92"/>
      <c r="U19" s="92"/>
      <c r="V19" s="92"/>
      <c r="W19" s="96"/>
      <c r="X19" s="104"/>
      <c r="Y19" s="92"/>
      <c r="Z19" s="92"/>
      <c r="AA19" s="92"/>
      <c r="AB19" s="92"/>
      <c r="AC19" s="103"/>
      <c r="AD19" s="96"/>
      <c r="AE19" s="96"/>
      <c r="AF19" s="96"/>
      <c r="AG19" s="96"/>
      <c r="AH19" s="104"/>
      <c r="AI19" s="96"/>
      <c r="AJ19" s="96"/>
      <c r="AK19" s="96"/>
      <c r="AL19" s="96"/>
      <c r="AM19" s="104"/>
      <c r="AN19" s="96"/>
      <c r="AO19" s="96"/>
      <c r="AP19" s="96"/>
      <c r="AQ19" s="96"/>
      <c r="AR19" s="104"/>
      <c r="AS19" s="693" t="s">
        <v>82</v>
      </c>
    </row>
    <row r="20" spans="1:45" s="163" customFormat="1" ht="27" customHeight="1">
      <c r="A20" s="85">
        <v>17</v>
      </c>
      <c r="B20" s="370" t="s">
        <v>332</v>
      </c>
      <c r="C20" s="104" t="s">
        <v>380</v>
      </c>
      <c r="D20" s="345" t="s">
        <v>381</v>
      </c>
      <c r="E20" s="104" t="s">
        <v>382</v>
      </c>
      <c r="F20" s="346">
        <f>F15+7</f>
        <v>46096</v>
      </c>
      <c r="G20" s="319"/>
      <c r="H20" s="347">
        <f t="shared" si="0"/>
        <v>7</v>
      </c>
      <c r="I20" s="348"/>
      <c r="J20" s="95"/>
      <c r="K20" s="85"/>
      <c r="L20" s="327"/>
      <c r="M20" s="347" t="s">
        <v>81</v>
      </c>
      <c r="N20" s="360"/>
      <c r="O20" s="319"/>
      <c r="P20" s="319"/>
      <c r="Q20" s="86"/>
      <c r="R20" s="86"/>
      <c r="S20" s="103"/>
      <c r="T20" s="86"/>
      <c r="U20" s="86"/>
      <c r="V20" s="86"/>
      <c r="W20" s="106"/>
      <c r="X20" s="104"/>
      <c r="Y20" s="86"/>
      <c r="Z20" s="86"/>
      <c r="AA20" s="86"/>
      <c r="AB20" s="86"/>
      <c r="AC20" s="85"/>
      <c r="AD20" s="96"/>
      <c r="AE20" s="96"/>
      <c r="AF20" s="96"/>
      <c r="AG20" s="96"/>
      <c r="AH20" s="104"/>
      <c r="AI20" s="96"/>
      <c r="AJ20" s="96"/>
      <c r="AK20" s="96"/>
      <c r="AL20" s="96"/>
      <c r="AM20" s="104"/>
      <c r="AN20" s="96"/>
      <c r="AO20" s="96"/>
      <c r="AP20" s="96"/>
      <c r="AQ20" s="96"/>
      <c r="AR20" s="104"/>
      <c r="AS20" s="693" t="s">
        <v>82</v>
      </c>
    </row>
    <row r="21" spans="1:45" ht="27" customHeight="1">
      <c r="A21" s="350">
        <v>18</v>
      </c>
      <c r="B21" s="370" t="s">
        <v>332</v>
      </c>
      <c r="C21" s="104" t="s">
        <v>383</v>
      </c>
      <c r="D21" s="416" t="s">
        <v>384</v>
      </c>
      <c r="E21" s="104" t="s">
        <v>385</v>
      </c>
      <c r="F21" s="346">
        <f>F20+7</f>
        <v>46103</v>
      </c>
      <c r="G21" s="363"/>
      <c r="H21" s="347">
        <f t="shared" si="0"/>
        <v>7</v>
      </c>
      <c r="I21" s="348"/>
      <c r="J21" s="95"/>
      <c r="K21" s="85"/>
      <c r="L21" s="113"/>
      <c r="M21" s="347" t="s">
        <v>81</v>
      </c>
      <c r="N21" s="95"/>
      <c r="O21" s="96"/>
      <c r="P21" s="96"/>
      <c r="Q21" s="96"/>
      <c r="R21" s="96"/>
      <c r="S21" s="246"/>
      <c r="T21" s="96"/>
      <c r="U21" s="96"/>
      <c r="V21" s="96"/>
      <c r="W21" s="96"/>
      <c r="X21" s="104"/>
      <c r="Y21" s="96"/>
      <c r="Z21" s="96"/>
      <c r="AA21" s="96"/>
      <c r="AB21" s="96"/>
      <c r="AC21" s="104"/>
      <c r="AD21" s="96"/>
      <c r="AE21" s="96"/>
      <c r="AF21" s="96"/>
      <c r="AG21" s="96"/>
      <c r="AH21" s="104"/>
      <c r="AI21" s="96"/>
      <c r="AJ21" s="96"/>
      <c r="AK21" s="96"/>
      <c r="AL21" s="96"/>
      <c r="AM21" s="104"/>
      <c r="AN21" s="96"/>
      <c r="AO21" s="96"/>
      <c r="AP21" s="96"/>
      <c r="AQ21" s="96"/>
      <c r="AR21" s="104"/>
      <c r="AS21" s="693" t="s">
        <v>82</v>
      </c>
    </row>
    <row r="22" spans="1:45" ht="27" customHeight="1">
      <c r="A22" s="304">
        <v>19</v>
      </c>
      <c r="B22" s="371" t="s">
        <v>332</v>
      </c>
      <c r="C22" s="414" t="s">
        <v>386</v>
      </c>
      <c r="D22" s="413" t="s">
        <v>387</v>
      </c>
      <c r="E22" s="415" t="s">
        <v>388</v>
      </c>
      <c r="F22" s="365">
        <v>46086</v>
      </c>
      <c r="G22" s="366"/>
      <c r="H22" s="347">
        <f t="shared" si="0"/>
        <v>7</v>
      </c>
      <c r="I22" s="367"/>
      <c r="J22" s="303"/>
      <c r="K22" s="304"/>
      <c r="L22" s="305"/>
      <c r="M22" s="347" t="s">
        <v>81</v>
      </c>
      <c r="N22" s="303"/>
      <c r="O22" s="368"/>
      <c r="P22" s="368"/>
      <c r="Q22" s="368"/>
      <c r="R22" s="368"/>
      <c r="S22" s="306"/>
      <c r="T22" s="368"/>
      <c r="U22" s="368"/>
      <c r="V22" s="368"/>
      <c r="W22" s="368"/>
      <c r="X22" s="364"/>
      <c r="Y22" s="368"/>
      <c r="Z22" s="368"/>
      <c r="AA22" s="368"/>
      <c r="AB22" s="368"/>
      <c r="AC22" s="364"/>
      <c r="AD22" s="368"/>
      <c r="AE22" s="368"/>
      <c r="AF22" s="368"/>
      <c r="AG22" s="368"/>
      <c r="AH22" s="364"/>
      <c r="AI22" s="368"/>
      <c r="AJ22" s="368"/>
      <c r="AK22" s="368"/>
      <c r="AL22" s="368"/>
      <c r="AM22" s="364"/>
      <c r="AN22" s="368"/>
      <c r="AO22" s="368"/>
      <c r="AP22" s="368"/>
      <c r="AQ22" s="368"/>
      <c r="AR22" s="364"/>
      <c r="AS22" s="693" t="s">
        <v>82</v>
      </c>
    </row>
    <row r="23" spans="1:45" ht="13.9">
      <c r="A23" s="163"/>
      <c r="B23" s="372"/>
      <c r="C23" s="372"/>
      <c r="E23" s="159"/>
      <c r="F23" s="3"/>
      <c r="G23" s="66"/>
      <c r="H23" s="66"/>
      <c r="I23" s="66"/>
      <c r="J23" s="374"/>
      <c r="N23" s="369"/>
      <c r="S23" s="251"/>
    </row>
    <row r="24" spans="1:45" ht="14.45">
      <c r="A24" s="248"/>
      <c r="B24" s="249"/>
      <c r="C24" s="249"/>
      <c r="E24" s="159"/>
      <c r="F24" s="3"/>
      <c r="G24" s="66"/>
      <c r="H24" s="262"/>
      <c r="I24" s="262"/>
      <c r="J24" s="375"/>
      <c r="S24" s="251"/>
    </row>
    <row r="26" spans="1:45" ht="13.9">
      <c r="K26" s="128" t="s">
        <v>331</v>
      </c>
      <c r="L26" s="128"/>
      <c r="M26" s="128"/>
    </row>
    <row r="27" spans="1:45" ht="13.9">
      <c r="K27" s="126" t="s">
        <v>56</v>
      </c>
    </row>
    <row r="28" spans="1:45" ht="13.9">
      <c r="K28" s="126" t="s">
        <v>49</v>
      </c>
    </row>
    <row r="29" spans="1:45" ht="13.9">
      <c r="K29" s="126" t="s">
        <v>50</v>
      </c>
    </row>
    <row r="30" spans="1:45" ht="13.9">
      <c r="K30" s="126" t="s">
        <v>51</v>
      </c>
    </row>
    <row r="31" spans="1:45" ht="13.9">
      <c r="K31" s="126" t="s">
        <v>80</v>
      </c>
    </row>
  </sheetData>
  <autoFilter ref="A1:AD21" xr:uid="{7796A23A-9241-48A6-9F98-5D29A79B5525}"/>
  <mergeCells count="6">
    <mergeCell ref="AN2:AR2"/>
    <mergeCell ref="O2:S2"/>
    <mergeCell ref="T2:X2"/>
    <mergeCell ref="Y2:AC2"/>
    <mergeCell ref="AD2:AH2"/>
    <mergeCell ref="AI2:AM2"/>
  </mergeCells>
  <phoneticPr fontId="11" type="noConversion"/>
  <conditionalFormatting sqref="A23:AS452 D22 F22">
    <cfRule type="expression" dxfId="315" priority="3015">
      <formula>$K22="CTA"</formula>
    </cfRule>
  </conditionalFormatting>
  <conditionalFormatting sqref="B22:C22">
    <cfRule type="expression" dxfId="314" priority="6">
      <formula>$J22="CTA"</formula>
    </cfRule>
    <cfRule type="expression" dxfId="313" priority="7">
      <formula>$J22="GAA"</formula>
    </cfRule>
  </conditionalFormatting>
  <conditionalFormatting sqref="D22 F22 A23:AS452">
    <cfRule type="expression" dxfId="312" priority="3016">
      <formula>$K22="GAA"</formula>
    </cfRule>
    <cfRule type="expression" dxfId="311" priority="3024">
      <formula>$K22="AUR"</formula>
    </cfRule>
  </conditionalFormatting>
  <conditionalFormatting sqref="D4:AR4 A4:B5 C4:C21 F5:L21 E5:E22 M5:AR22 B6:B21 D6:D21 A6:A22 G22:L22">
    <cfRule type="expression" dxfId="310" priority="124">
      <formula>$J4="CTA"</formula>
    </cfRule>
    <cfRule type="expression" dxfId="309" priority="125">
      <formula>$J4="GAA"</formula>
    </cfRule>
  </conditionalFormatting>
  <conditionalFormatting sqref="D4:AR4 F5:L21 G22:L22 A4:C22 E5:E22 M5:AR22 D6:D21">
    <cfRule type="expression" dxfId="308" priority="5">
      <formula>$J4="AUR"</formula>
    </cfRule>
  </conditionalFormatting>
  <conditionalFormatting sqref="K4:K22">
    <cfRule type="expression" dxfId="307" priority="4">
      <formula>$K4="Pending"</formula>
    </cfRule>
    <cfRule type="expression" dxfId="306" priority="6372">
      <formula>SUMPRODUCT((#REF!&lt;&gt;"")*($K4="")+($K4="C"))</formula>
    </cfRule>
    <cfRule type="expression" dxfId="305" priority="6373">
      <formula>SUMPRODUCT(($K4="A")+($K4="B"))</formula>
    </cfRule>
    <cfRule type="expression" dxfId="304" priority="6374">
      <formula>$K4="Pending"</formula>
    </cfRule>
  </conditionalFormatting>
  <conditionalFormatting sqref="L23:M452">
    <cfRule type="expression" dxfId="303" priority="20">
      <formula>SUMPRODUCT(($E23&lt;&gt;"")*($L23="")+($L23="C"))</formula>
    </cfRule>
    <cfRule type="expression" dxfId="302" priority="53">
      <formula>SUMPRODUCT(($L23="A")+($L23="B"))</formula>
    </cfRule>
    <cfRule type="expression" dxfId="301" priority="122">
      <formula>$L23="Pending"</formula>
    </cfRule>
  </conditionalFormatting>
  <conditionalFormatting sqref="AS4:AS22">
    <cfRule type="expression" dxfId="300" priority="1">
      <formula>#REF!="CTA"</formula>
    </cfRule>
    <cfRule type="expression" dxfId="299" priority="2">
      <formula>#REF!="GAA"</formula>
    </cfRule>
    <cfRule type="expression" dxfId="298" priority="3">
      <formula>#REF!="AUR"</formula>
    </cfRule>
  </conditionalFormatting>
  <dataValidations disablePrompts="1" count="3">
    <dataValidation type="list" allowBlank="1" showInputMessage="1" showErrorMessage="1" sqref="K28:M1048576 K1:M1 J2:J3" xr:uid="{A14A9C11-44EF-476B-A402-0CEFF8B5E333}">
      <formula1>$K$27:$K$30</formula1>
    </dataValidation>
    <dataValidation type="list" allowBlank="1" showInputMessage="1" showErrorMessage="1" sqref="K23:K25 J4:J22" xr:uid="{EB4C5821-1999-4DF7-B636-6A78C6DFE29C}">
      <formula1>$K$27:$K$31</formula1>
    </dataValidation>
    <dataValidation type="list" allowBlank="1" showInputMessage="1" showErrorMessage="1" sqref="L23:M25 K4:K22" xr:uid="{E4045BE9-E47B-4D43-A44C-F35A8DFF331C}">
      <formula1>"A,B,C,Pending,"</formula1>
    </dataValidation>
  </dataValidations>
  <pageMargins left="0.23622047244094499" right="0.23622047244094499" top="0.74803149606299202" bottom="0.74803149606299202" header="0.31496062992126" footer="0.31496062992126"/>
  <pageSetup paperSize="8" scale="33" fitToHeight="0" orientation="landscape" r:id="rId1"/>
  <headerFooter>
    <oddHeader>&amp;L&amp;G&amp;CProject Terra Phase 9 + 2MW Shop Drawing Approval Submission List</oddHeader>
    <oddFooter>&amp;L&amp;D&amp;RPage &amp;P of &amp;N</oddFooter>
  </headerFooter>
  <colBreaks count="1" manualBreakCount="1">
    <brk id="15" max="1048575" man="1"/>
  </col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CED9-E5FA-44F5-B652-998456F0541A}">
  <sheetPr>
    <pageSetUpPr fitToPage="1"/>
  </sheetPr>
  <dimension ref="A1:BJ282"/>
  <sheetViews>
    <sheetView tabSelected="1" view="pageBreakPreview" topLeftCell="B1" zoomScale="55" zoomScaleNormal="85" zoomScaleSheetLayoutView="55" workbookViewId="0">
      <pane ySplit="3" topLeftCell="A177" activePane="bottomLeft" state="frozen"/>
      <selection pane="bottomLeft" activeCell="H201" sqref="H201"/>
      <selection activeCell="G17" sqref="G17"/>
    </sheetView>
  </sheetViews>
  <sheetFormatPr defaultColWidth="9.25" defaultRowHeight="15" customHeight="1"/>
  <cols>
    <col min="1" max="1" width="5.875" style="1" customWidth="1"/>
    <col min="2" max="2" width="14.25" style="1" customWidth="1"/>
    <col min="3" max="3" width="33.875" style="1" customWidth="1"/>
    <col min="4" max="4" width="82.875" style="142" customWidth="1"/>
    <col min="5" max="5" width="25.875" style="603" bestFit="1" customWidth="1"/>
    <col min="6" max="6" width="17.125" style="142" customWidth="1"/>
    <col min="7" max="7" width="10.125" style="142" customWidth="1"/>
    <col min="8" max="8" width="15.25" style="142" customWidth="1"/>
    <col min="9" max="10" width="11.75" style="11" customWidth="1"/>
    <col min="11" max="11" width="4.25" style="1" customWidth="1"/>
    <col min="12" max="12" width="9" style="1" customWidth="1"/>
    <col min="13" max="13" width="9.75" style="1" customWidth="1"/>
    <col min="14" max="15" width="10" style="11" customWidth="1"/>
    <col min="16" max="16" width="45.5" style="49" customWidth="1"/>
    <col min="17" max="19" width="10.625" style="2" customWidth="1"/>
    <col min="20" max="20" width="10.625" style="226" customWidth="1"/>
    <col min="21" max="21" width="10.625" style="1" customWidth="1"/>
    <col min="22" max="25" width="10.625" style="2" customWidth="1"/>
    <col min="26" max="26" width="10.625" style="1" customWidth="1"/>
    <col min="27" max="30" width="10.625" style="2" customWidth="1"/>
    <col min="31" max="61" width="10.625" style="1" customWidth="1"/>
    <col min="62" max="62" width="17" style="1" customWidth="1"/>
    <col min="63" max="16384" width="9.25" style="1"/>
  </cols>
  <sheetData>
    <row r="1" spans="1:62">
      <c r="A1" s="282" t="s">
        <v>54</v>
      </c>
      <c r="B1" s="33"/>
      <c r="C1" s="46"/>
      <c r="D1" s="50"/>
      <c r="E1" s="600"/>
      <c r="F1" s="50"/>
      <c r="G1" s="50"/>
      <c r="H1" s="50"/>
      <c r="I1" s="33"/>
      <c r="J1" s="33"/>
      <c r="K1" s="33"/>
      <c r="L1" s="33"/>
      <c r="M1" s="33"/>
      <c r="N1" s="33"/>
      <c r="O1" s="33"/>
      <c r="P1" s="61" t="s">
        <v>55</v>
      </c>
      <c r="Q1" s="54" t="s">
        <v>56</v>
      </c>
      <c r="R1" s="52" t="s">
        <v>49</v>
      </c>
      <c r="S1" s="53" t="s">
        <v>50</v>
      </c>
      <c r="T1" s="224"/>
      <c r="U1" s="5"/>
      <c r="V1" s="4"/>
      <c r="W1" s="4"/>
      <c r="X1" s="4"/>
      <c r="Y1" s="4"/>
      <c r="Z1" s="5"/>
      <c r="AA1" s="4"/>
      <c r="AB1" s="4"/>
      <c r="AC1" s="4"/>
      <c r="AD1" s="4"/>
      <c r="AE1" s="5"/>
    </row>
    <row r="2" spans="1:62" s="3" customFormat="1" ht="55.15" customHeight="1">
      <c r="A2" s="6" t="s">
        <v>57</v>
      </c>
      <c r="B2" s="7" t="s">
        <v>1</v>
      </c>
      <c r="C2" s="7" t="s">
        <v>58</v>
      </c>
      <c r="D2" s="7"/>
      <c r="E2" s="532" t="s">
        <v>60</v>
      </c>
      <c r="F2" s="7" t="s">
        <v>389</v>
      </c>
      <c r="G2" s="7" t="s">
        <v>390</v>
      </c>
      <c r="H2" s="7" t="s">
        <v>42</v>
      </c>
      <c r="I2" s="8" t="s">
        <v>61</v>
      </c>
      <c r="J2" s="8" t="s">
        <v>62</v>
      </c>
      <c r="K2" s="7" t="s">
        <v>63</v>
      </c>
      <c r="L2" s="173" t="s">
        <v>64</v>
      </c>
      <c r="M2" s="7" t="s">
        <v>44</v>
      </c>
      <c r="N2" s="8" t="s">
        <v>65</v>
      </c>
      <c r="O2" s="654" t="s">
        <v>66</v>
      </c>
      <c r="P2" s="9" t="s">
        <v>67</v>
      </c>
      <c r="Q2" s="887" t="s">
        <v>68</v>
      </c>
      <c r="R2" s="887"/>
      <c r="S2" s="887"/>
      <c r="T2" s="887"/>
      <c r="U2" s="887"/>
      <c r="V2" s="891" t="s">
        <v>69</v>
      </c>
      <c r="W2" s="883"/>
      <c r="X2" s="883"/>
      <c r="Y2" s="883"/>
      <c r="Z2" s="884"/>
      <c r="AA2" s="889" t="s">
        <v>70</v>
      </c>
      <c r="AB2" s="886"/>
      <c r="AC2" s="886"/>
      <c r="AD2" s="886"/>
      <c r="AE2" s="919"/>
      <c r="AF2" s="891" t="s">
        <v>71</v>
      </c>
      <c r="AG2" s="883"/>
      <c r="AH2" s="883"/>
      <c r="AI2" s="883"/>
      <c r="AJ2" s="884"/>
      <c r="AK2" s="889" t="s">
        <v>72</v>
      </c>
      <c r="AL2" s="886"/>
      <c r="AM2" s="886"/>
      <c r="AN2" s="886"/>
      <c r="AO2" s="919"/>
      <c r="AP2" s="891" t="s">
        <v>73</v>
      </c>
      <c r="AQ2" s="883"/>
      <c r="AR2" s="883"/>
      <c r="AS2" s="883"/>
      <c r="AT2" s="884"/>
      <c r="AU2" s="889" t="s">
        <v>74</v>
      </c>
      <c r="AV2" s="886"/>
      <c r="AW2" s="886"/>
      <c r="AX2" s="886"/>
      <c r="AY2" s="919"/>
      <c r="AZ2" s="891" t="s">
        <v>75</v>
      </c>
      <c r="BA2" s="883"/>
      <c r="BB2" s="883"/>
      <c r="BC2" s="883"/>
      <c r="BD2" s="884"/>
      <c r="BE2" s="918" t="s">
        <v>391</v>
      </c>
      <c r="BF2" s="918"/>
      <c r="BG2" s="918"/>
      <c r="BH2" s="918"/>
      <c r="BI2" s="918"/>
      <c r="BJ2" s="755" t="s">
        <v>76</v>
      </c>
    </row>
    <row r="3" spans="1:62">
      <c r="A3" s="117"/>
      <c r="B3" s="75"/>
      <c r="C3" s="76"/>
      <c r="D3" s="141"/>
      <c r="E3" s="601"/>
      <c r="F3" s="141"/>
      <c r="G3" s="141"/>
      <c r="H3" s="141"/>
      <c r="I3" s="118"/>
      <c r="J3" s="118"/>
      <c r="K3" s="75"/>
      <c r="L3" s="75"/>
      <c r="M3" s="75"/>
      <c r="N3" s="118"/>
      <c r="O3" s="655"/>
      <c r="P3" s="119"/>
      <c r="Q3" s="81" t="s">
        <v>17</v>
      </c>
      <c r="R3" s="82" t="s">
        <v>49</v>
      </c>
      <c r="S3" s="83" t="s">
        <v>50</v>
      </c>
      <c r="T3" s="225" t="s">
        <v>51</v>
      </c>
      <c r="U3" s="80" t="s">
        <v>44</v>
      </c>
      <c r="V3" s="758" t="s">
        <v>17</v>
      </c>
      <c r="W3" s="759" t="s">
        <v>49</v>
      </c>
      <c r="X3" s="760" t="s">
        <v>50</v>
      </c>
      <c r="Y3" s="761" t="s">
        <v>51</v>
      </c>
      <c r="Z3" s="762" t="s">
        <v>44</v>
      </c>
      <c r="AA3" s="81" t="s">
        <v>17</v>
      </c>
      <c r="AB3" s="82" t="s">
        <v>49</v>
      </c>
      <c r="AC3" s="83" t="s">
        <v>50</v>
      </c>
      <c r="AD3" s="84" t="s">
        <v>51</v>
      </c>
      <c r="AE3" s="80" t="s">
        <v>44</v>
      </c>
      <c r="AF3" s="758" t="s">
        <v>17</v>
      </c>
      <c r="AG3" s="759" t="s">
        <v>49</v>
      </c>
      <c r="AH3" s="760" t="s">
        <v>50</v>
      </c>
      <c r="AI3" s="761" t="s">
        <v>51</v>
      </c>
      <c r="AJ3" s="762" t="s">
        <v>44</v>
      </c>
      <c r="AK3" s="81" t="s">
        <v>17</v>
      </c>
      <c r="AL3" s="82" t="s">
        <v>49</v>
      </c>
      <c r="AM3" s="83" t="s">
        <v>50</v>
      </c>
      <c r="AN3" s="84" t="s">
        <v>51</v>
      </c>
      <c r="AO3" s="80" t="s">
        <v>44</v>
      </c>
      <c r="AP3" s="758" t="s">
        <v>17</v>
      </c>
      <c r="AQ3" s="759" t="s">
        <v>49</v>
      </c>
      <c r="AR3" s="760" t="s">
        <v>50</v>
      </c>
      <c r="AS3" s="761" t="s">
        <v>51</v>
      </c>
      <c r="AT3" s="762" t="s">
        <v>44</v>
      </c>
      <c r="AU3" s="81" t="s">
        <v>17</v>
      </c>
      <c r="AV3" s="82" t="s">
        <v>49</v>
      </c>
      <c r="AW3" s="83" t="s">
        <v>50</v>
      </c>
      <c r="AX3" s="84" t="s">
        <v>51</v>
      </c>
      <c r="AY3" s="80" t="s">
        <v>44</v>
      </c>
      <c r="AZ3" s="758" t="s">
        <v>17</v>
      </c>
      <c r="BA3" s="759" t="s">
        <v>49</v>
      </c>
      <c r="BB3" s="760" t="s">
        <v>50</v>
      </c>
      <c r="BC3" s="761" t="s">
        <v>51</v>
      </c>
      <c r="BD3" s="762" t="s">
        <v>44</v>
      </c>
      <c r="BE3" s="81" t="s">
        <v>17</v>
      </c>
      <c r="BF3" s="82" t="s">
        <v>49</v>
      </c>
      <c r="BG3" s="83" t="s">
        <v>50</v>
      </c>
      <c r="BH3" s="84" t="s">
        <v>51</v>
      </c>
      <c r="BI3" s="80" t="s">
        <v>44</v>
      </c>
      <c r="BJ3" s="756"/>
    </row>
    <row r="4" spans="1:62" s="130" customFormat="1" ht="20.25" customHeight="1">
      <c r="A4" s="315">
        <v>1</v>
      </c>
      <c r="B4" s="316" t="s">
        <v>52</v>
      </c>
      <c r="C4" s="238" t="s">
        <v>392</v>
      </c>
      <c r="D4" s="317" t="s">
        <v>393</v>
      </c>
      <c r="E4" s="602" t="s">
        <v>394</v>
      </c>
      <c r="F4" s="238" t="s">
        <v>395</v>
      </c>
      <c r="G4" s="241"/>
      <c r="H4" s="234">
        <v>46112</v>
      </c>
      <c r="I4" s="214"/>
      <c r="J4" s="214">
        <f>I4+7</f>
        <v>7</v>
      </c>
      <c r="K4" s="103"/>
      <c r="L4" s="103"/>
      <c r="M4" s="103"/>
      <c r="N4" s="214"/>
      <c r="O4" s="656" t="s">
        <v>81</v>
      </c>
      <c r="P4" s="160"/>
      <c r="Q4" s="214"/>
      <c r="R4" s="214"/>
      <c r="S4" s="214"/>
      <c r="T4" s="214"/>
      <c r="U4" s="103"/>
      <c r="V4" s="94"/>
      <c r="W4" s="94"/>
      <c r="X4" s="94"/>
      <c r="Y4" s="94"/>
      <c r="Z4" s="90"/>
      <c r="AA4" s="94"/>
      <c r="AB4" s="94"/>
      <c r="AC4" s="94"/>
      <c r="AD4" s="94"/>
      <c r="AE4" s="90"/>
      <c r="AF4" s="96"/>
      <c r="AG4" s="96"/>
      <c r="AH4" s="96"/>
      <c r="AI4" s="96"/>
      <c r="AJ4" s="104"/>
      <c r="AK4" s="96"/>
      <c r="AL4" s="96"/>
      <c r="AM4" s="96"/>
      <c r="AN4" s="96"/>
      <c r="AO4" s="104"/>
      <c r="AP4" s="96"/>
      <c r="AQ4" s="96"/>
      <c r="AR4" s="96"/>
      <c r="AS4" s="96"/>
      <c r="AT4" s="104"/>
      <c r="AU4" s="96"/>
      <c r="AV4" s="96"/>
      <c r="AW4" s="96"/>
      <c r="AX4" s="96"/>
      <c r="AY4" s="104"/>
      <c r="AZ4" s="96"/>
      <c r="BA4" s="96"/>
      <c r="BB4" s="96"/>
      <c r="BC4" s="96"/>
      <c r="BD4" s="104"/>
      <c r="BE4" s="96"/>
      <c r="BF4" s="96"/>
      <c r="BG4" s="96"/>
      <c r="BH4" s="96"/>
      <c r="BI4" s="104"/>
      <c r="BJ4" s="693" t="s">
        <v>82</v>
      </c>
    </row>
    <row r="5" spans="1:62" s="130" customFormat="1" ht="20.25" customHeight="1">
      <c r="A5" s="315">
        <v>2</v>
      </c>
      <c r="B5" s="316" t="s">
        <v>52</v>
      </c>
      <c r="C5" s="238" t="s">
        <v>396</v>
      </c>
      <c r="D5" s="317" t="s">
        <v>397</v>
      </c>
      <c r="E5" s="602" t="s">
        <v>398</v>
      </c>
      <c r="F5" s="238" t="s">
        <v>395</v>
      </c>
      <c r="G5" s="241" t="s">
        <v>399</v>
      </c>
      <c r="H5" s="234">
        <v>46038</v>
      </c>
      <c r="I5" s="214">
        <v>46056</v>
      </c>
      <c r="J5" s="214">
        <f t="shared" ref="J5:J67" si="0">I5+7</f>
        <v>46063</v>
      </c>
      <c r="K5" s="103">
        <v>1</v>
      </c>
      <c r="L5" s="103" t="s">
        <v>51</v>
      </c>
      <c r="M5" s="103" t="s">
        <v>89</v>
      </c>
      <c r="N5" s="214"/>
      <c r="O5" s="656" t="s">
        <v>81</v>
      </c>
      <c r="P5" s="312"/>
      <c r="Q5" s="214">
        <v>46038</v>
      </c>
      <c r="R5" s="214">
        <v>46043</v>
      </c>
      <c r="S5" s="214">
        <v>46048</v>
      </c>
      <c r="T5" s="214">
        <v>46055</v>
      </c>
      <c r="U5" s="103" t="s">
        <v>48</v>
      </c>
      <c r="V5" s="94">
        <v>46056</v>
      </c>
      <c r="W5" s="94">
        <v>46057</v>
      </c>
      <c r="X5" s="94">
        <v>46062</v>
      </c>
      <c r="Y5" s="94"/>
      <c r="Z5" s="90"/>
      <c r="AA5" s="94"/>
      <c r="AB5" s="94"/>
      <c r="AC5" s="94"/>
      <c r="AD5" s="94"/>
      <c r="AE5" s="90"/>
      <c r="AF5" s="92"/>
      <c r="AG5" s="92"/>
      <c r="AH5" s="92"/>
      <c r="AI5" s="92"/>
      <c r="AJ5" s="103"/>
      <c r="AK5" s="92"/>
      <c r="AL5" s="92"/>
      <c r="AM5" s="92"/>
      <c r="AN5" s="92"/>
      <c r="AO5" s="103"/>
      <c r="AP5" s="92"/>
      <c r="AQ5" s="92"/>
      <c r="AR5" s="92"/>
      <c r="AS5" s="92"/>
      <c r="AT5" s="103"/>
      <c r="AU5" s="92"/>
      <c r="AV5" s="92"/>
      <c r="AW5" s="92"/>
      <c r="AX5" s="92"/>
      <c r="AY5" s="103"/>
      <c r="AZ5" s="92"/>
      <c r="BA5" s="92"/>
      <c r="BB5" s="92"/>
      <c r="BC5" s="92"/>
      <c r="BD5" s="103"/>
      <c r="BE5" s="92"/>
      <c r="BF5" s="92"/>
      <c r="BG5" s="92"/>
      <c r="BH5" s="92"/>
      <c r="BI5" s="103"/>
      <c r="BJ5" s="693" t="s">
        <v>82</v>
      </c>
    </row>
    <row r="6" spans="1:62" s="130" customFormat="1" ht="20.25" customHeight="1">
      <c r="A6" s="315">
        <v>3</v>
      </c>
      <c r="B6" s="316" t="s">
        <v>52</v>
      </c>
      <c r="C6" s="238" t="s">
        <v>400</v>
      </c>
      <c r="D6" s="317" t="s">
        <v>401</v>
      </c>
      <c r="E6" s="602" t="s">
        <v>402</v>
      </c>
      <c r="F6" s="238" t="s">
        <v>403</v>
      </c>
      <c r="G6" s="241" t="s">
        <v>404</v>
      </c>
      <c r="H6" s="234">
        <v>46038</v>
      </c>
      <c r="I6" s="214">
        <v>46045</v>
      </c>
      <c r="J6" s="214">
        <f t="shared" ref="J6" si="1">I6+7</f>
        <v>46052</v>
      </c>
      <c r="K6" s="103">
        <v>0</v>
      </c>
      <c r="L6" s="103" t="s">
        <v>51</v>
      </c>
      <c r="M6" s="103" t="s">
        <v>89</v>
      </c>
      <c r="N6" s="214"/>
      <c r="O6" s="656" t="s">
        <v>81</v>
      </c>
      <c r="P6" s="312"/>
      <c r="Q6" s="214">
        <v>46045</v>
      </c>
      <c r="R6" s="214">
        <v>46049</v>
      </c>
      <c r="S6" s="214">
        <v>46051</v>
      </c>
      <c r="T6" s="214"/>
      <c r="U6" s="103"/>
      <c r="V6" s="94"/>
      <c r="W6" s="94"/>
      <c r="X6" s="94"/>
      <c r="Y6" s="94"/>
      <c r="Z6" s="90"/>
      <c r="AA6" s="94"/>
      <c r="AB6" s="94"/>
      <c r="AC6" s="94"/>
      <c r="AD6" s="94"/>
      <c r="AE6" s="90"/>
      <c r="AF6" s="96"/>
      <c r="AG6" s="96"/>
      <c r="AH6" s="96"/>
      <c r="AI6" s="96"/>
      <c r="AJ6" s="104"/>
      <c r="AK6" s="96"/>
      <c r="AL6" s="96"/>
      <c r="AM6" s="96"/>
      <c r="AN6" s="96"/>
      <c r="AO6" s="104"/>
      <c r="AP6" s="96"/>
      <c r="AQ6" s="96"/>
      <c r="AR6" s="96"/>
      <c r="AS6" s="96"/>
      <c r="AT6" s="104"/>
      <c r="AU6" s="96"/>
      <c r="AV6" s="96"/>
      <c r="AW6" s="96"/>
      <c r="AX6" s="96"/>
      <c r="AY6" s="104"/>
      <c r="AZ6" s="96"/>
      <c r="BA6" s="96"/>
      <c r="BB6" s="96"/>
      <c r="BC6" s="96"/>
      <c r="BD6" s="104"/>
      <c r="BE6" s="96"/>
      <c r="BF6" s="96"/>
      <c r="BG6" s="96"/>
      <c r="BH6" s="96"/>
      <c r="BI6" s="104"/>
      <c r="BJ6" s="693" t="s">
        <v>253</v>
      </c>
    </row>
    <row r="7" spans="1:62" s="130" customFormat="1" ht="20.25" customHeight="1">
      <c r="A7" s="315">
        <v>4</v>
      </c>
      <c r="B7" s="316" t="s">
        <v>52</v>
      </c>
      <c r="C7" s="238" t="s">
        <v>405</v>
      </c>
      <c r="D7" s="317" t="s">
        <v>406</v>
      </c>
      <c r="E7" s="602" t="s">
        <v>407</v>
      </c>
      <c r="F7" s="238" t="s">
        <v>408</v>
      </c>
      <c r="G7" s="241" t="s">
        <v>409</v>
      </c>
      <c r="H7" s="234">
        <v>46038</v>
      </c>
      <c r="I7" s="214">
        <v>46039</v>
      </c>
      <c r="J7" s="214">
        <f t="shared" si="0"/>
        <v>46046</v>
      </c>
      <c r="K7" s="103">
        <v>0</v>
      </c>
      <c r="L7" s="103" t="s">
        <v>51</v>
      </c>
      <c r="M7" s="103" t="s">
        <v>89</v>
      </c>
      <c r="N7" s="214"/>
      <c r="O7" s="656" t="s">
        <v>81</v>
      </c>
      <c r="P7" s="312"/>
      <c r="Q7" s="214">
        <v>46039</v>
      </c>
      <c r="R7" s="214">
        <v>46049</v>
      </c>
      <c r="S7" s="214">
        <v>46051</v>
      </c>
      <c r="T7" s="214"/>
      <c r="U7" s="103"/>
      <c r="V7" s="94"/>
      <c r="W7" s="94"/>
      <c r="X7" s="94"/>
      <c r="Y7" s="94"/>
      <c r="Z7" s="90"/>
      <c r="AA7" s="94"/>
      <c r="AB7" s="94"/>
      <c r="AC7" s="94"/>
      <c r="AD7" s="94"/>
      <c r="AE7" s="90"/>
      <c r="AF7" s="99"/>
      <c r="AG7" s="99"/>
      <c r="AH7" s="99"/>
      <c r="AI7" s="99"/>
      <c r="AJ7" s="100"/>
      <c r="AK7" s="99"/>
      <c r="AL7" s="99"/>
      <c r="AM7" s="99"/>
      <c r="AN7" s="99"/>
      <c r="AO7" s="100"/>
      <c r="AP7" s="99"/>
      <c r="AQ7" s="99"/>
      <c r="AR7" s="99"/>
      <c r="AS7" s="99"/>
      <c r="AT7" s="100"/>
      <c r="AU7" s="99"/>
      <c r="AV7" s="99"/>
      <c r="AW7" s="99"/>
      <c r="AX7" s="99"/>
      <c r="AY7" s="100"/>
      <c r="AZ7" s="99"/>
      <c r="BA7" s="99"/>
      <c r="BB7" s="99"/>
      <c r="BC7" s="99"/>
      <c r="BD7" s="100"/>
      <c r="BE7" s="99"/>
      <c r="BF7" s="99"/>
      <c r="BG7" s="99"/>
      <c r="BH7" s="99"/>
      <c r="BI7" s="100"/>
      <c r="BJ7" s="694" t="s">
        <v>253</v>
      </c>
    </row>
    <row r="8" spans="1:62" s="47" customFormat="1" ht="20.25" customHeight="1">
      <c r="A8" s="315">
        <v>5</v>
      </c>
      <c r="B8" s="316" t="s">
        <v>52</v>
      </c>
      <c r="C8" s="238" t="s">
        <v>410</v>
      </c>
      <c r="D8" s="317" t="s">
        <v>411</v>
      </c>
      <c r="E8" s="602" t="s">
        <v>412</v>
      </c>
      <c r="F8" s="238" t="s">
        <v>403</v>
      </c>
      <c r="G8" s="241" t="s">
        <v>413</v>
      </c>
      <c r="H8" s="234">
        <v>46053</v>
      </c>
      <c r="I8" s="214"/>
      <c r="J8" s="214"/>
      <c r="K8" s="103"/>
      <c r="L8" s="103"/>
      <c r="M8" s="103"/>
      <c r="N8" s="221"/>
      <c r="O8" s="656" t="s">
        <v>81</v>
      </c>
      <c r="P8" s="789" t="s">
        <v>414</v>
      </c>
      <c r="Q8" s="214"/>
      <c r="R8" s="214"/>
      <c r="S8" s="214"/>
      <c r="T8" s="214"/>
      <c r="U8" s="103"/>
      <c r="V8" s="92"/>
      <c r="W8" s="92"/>
      <c r="X8" s="92"/>
      <c r="Y8" s="92"/>
      <c r="Z8" s="103"/>
      <c r="AA8" s="92"/>
      <c r="AB8" s="92"/>
      <c r="AC8" s="92"/>
      <c r="AD8" s="92"/>
      <c r="AE8" s="103"/>
      <c r="AF8" s="99"/>
      <c r="AG8" s="99"/>
      <c r="AH8" s="99"/>
      <c r="AI8" s="113"/>
      <c r="AJ8" s="100"/>
      <c r="AK8" s="99"/>
      <c r="AL8" s="99"/>
      <c r="AM8" s="99"/>
      <c r="AN8" s="113"/>
      <c r="AO8" s="100"/>
      <c r="AP8" s="99"/>
      <c r="AQ8" s="99"/>
      <c r="AR8" s="99"/>
      <c r="AS8" s="113"/>
      <c r="AT8" s="100"/>
      <c r="AU8" s="99"/>
      <c r="AV8" s="99"/>
      <c r="AW8" s="99"/>
      <c r="AX8" s="113"/>
      <c r="AY8" s="100"/>
      <c r="AZ8" s="99"/>
      <c r="BA8" s="99"/>
      <c r="BB8" s="99"/>
      <c r="BC8" s="113"/>
      <c r="BD8" s="100"/>
      <c r="BE8" s="99"/>
      <c r="BF8" s="99"/>
      <c r="BG8" s="99"/>
      <c r="BH8" s="113"/>
      <c r="BI8" s="100"/>
      <c r="BJ8" s="694" t="s">
        <v>253</v>
      </c>
    </row>
    <row r="9" spans="1:62" s="47" customFormat="1" ht="20.25" customHeight="1">
      <c r="A9" s="315">
        <v>6</v>
      </c>
      <c r="B9" s="316" t="s">
        <v>52</v>
      </c>
      <c r="C9" s="238" t="s">
        <v>415</v>
      </c>
      <c r="D9" s="317" t="s">
        <v>416</v>
      </c>
      <c r="E9" s="602" t="s">
        <v>417</v>
      </c>
      <c r="F9" s="238" t="s">
        <v>408</v>
      </c>
      <c r="G9" s="241" t="s">
        <v>404</v>
      </c>
      <c r="H9" s="234">
        <v>46038</v>
      </c>
      <c r="I9" s="214">
        <v>46038</v>
      </c>
      <c r="J9" s="214">
        <f t="shared" ref="J9:J20" si="2">I9+7</f>
        <v>46045</v>
      </c>
      <c r="K9" s="103">
        <v>0</v>
      </c>
      <c r="L9" s="103" t="s">
        <v>49</v>
      </c>
      <c r="M9" s="103" t="s">
        <v>89</v>
      </c>
      <c r="N9" s="214"/>
      <c r="O9" s="656" t="s">
        <v>81</v>
      </c>
      <c r="P9" s="312"/>
      <c r="Q9" s="214">
        <v>46038</v>
      </c>
      <c r="R9" s="214"/>
      <c r="S9" s="214"/>
      <c r="T9" s="214"/>
      <c r="U9" s="103"/>
      <c r="V9" s="92"/>
      <c r="W9" s="92"/>
      <c r="X9" s="92"/>
      <c r="Y9" s="92"/>
      <c r="Z9" s="103"/>
      <c r="AA9" s="92"/>
      <c r="AB9" s="92"/>
      <c r="AC9" s="92"/>
      <c r="AD9" s="92"/>
      <c r="AE9" s="103"/>
      <c r="AF9" s="92"/>
      <c r="AG9" s="92"/>
      <c r="AH9" s="113"/>
      <c r="AI9" s="113"/>
      <c r="AJ9" s="95"/>
      <c r="AK9" s="92"/>
      <c r="AL9" s="92"/>
      <c r="AM9" s="113"/>
      <c r="AN9" s="113"/>
      <c r="AO9" s="95"/>
      <c r="AP9" s="92"/>
      <c r="AQ9" s="92"/>
      <c r="AR9" s="113"/>
      <c r="AS9" s="113"/>
      <c r="AT9" s="95"/>
      <c r="AU9" s="92"/>
      <c r="AV9" s="92"/>
      <c r="AW9" s="113"/>
      <c r="AX9" s="113"/>
      <c r="AY9" s="95"/>
      <c r="AZ9" s="92"/>
      <c r="BA9" s="92"/>
      <c r="BB9" s="113"/>
      <c r="BC9" s="113"/>
      <c r="BD9" s="95"/>
      <c r="BE9" s="92"/>
      <c r="BF9" s="92"/>
      <c r="BG9" s="113"/>
      <c r="BH9" s="113"/>
      <c r="BI9" s="95"/>
      <c r="BJ9" s="694" t="s">
        <v>253</v>
      </c>
    </row>
    <row r="10" spans="1:62" s="47" customFormat="1" ht="20.25" customHeight="1">
      <c r="A10" s="315">
        <v>7</v>
      </c>
      <c r="B10" s="316" t="s">
        <v>52</v>
      </c>
      <c r="C10" s="238" t="s">
        <v>418</v>
      </c>
      <c r="D10" s="317" t="s">
        <v>419</v>
      </c>
      <c r="E10" s="602" t="s">
        <v>420</v>
      </c>
      <c r="F10" s="238" t="s">
        <v>408</v>
      </c>
      <c r="G10" s="241" t="s">
        <v>404</v>
      </c>
      <c r="H10" s="234">
        <v>46038</v>
      </c>
      <c r="I10" s="214">
        <v>46038</v>
      </c>
      <c r="J10" s="214">
        <f t="shared" si="2"/>
        <v>46045</v>
      </c>
      <c r="K10" s="103">
        <v>0</v>
      </c>
      <c r="L10" s="103" t="s">
        <v>49</v>
      </c>
      <c r="M10" s="103" t="s">
        <v>89</v>
      </c>
      <c r="N10" s="214"/>
      <c r="O10" s="656" t="s">
        <v>81</v>
      </c>
      <c r="P10" s="312"/>
      <c r="Q10" s="214">
        <v>46038</v>
      </c>
      <c r="R10" s="214"/>
      <c r="S10" s="214"/>
      <c r="T10" s="214"/>
      <c r="U10" s="103"/>
      <c r="V10" s="92"/>
      <c r="W10" s="92"/>
      <c r="X10" s="92"/>
      <c r="Y10" s="92"/>
      <c r="Z10" s="103"/>
      <c r="AA10" s="92"/>
      <c r="AB10" s="92"/>
      <c r="AC10" s="92"/>
      <c r="AD10" s="92"/>
      <c r="AE10" s="103"/>
      <c r="AF10" s="113"/>
      <c r="AG10" s="113"/>
      <c r="AH10" s="113"/>
      <c r="AI10" s="113"/>
      <c r="AJ10" s="95"/>
      <c r="AK10" s="113"/>
      <c r="AL10" s="113"/>
      <c r="AM10" s="113"/>
      <c r="AN10" s="113"/>
      <c r="AO10" s="95"/>
      <c r="AP10" s="113"/>
      <c r="AQ10" s="113"/>
      <c r="AR10" s="113"/>
      <c r="AS10" s="113"/>
      <c r="AT10" s="95"/>
      <c r="AU10" s="113"/>
      <c r="AV10" s="113"/>
      <c r="AW10" s="113"/>
      <c r="AX10" s="113"/>
      <c r="AY10" s="95"/>
      <c r="AZ10" s="113"/>
      <c r="BA10" s="113"/>
      <c r="BB10" s="113"/>
      <c r="BC10" s="113"/>
      <c r="BD10" s="95"/>
      <c r="BE10" s="113"/>
      <c r="BF10" s="113"/>
      <c r="BG10" s="113"/>
      <c r="BH10" s="113"/>
      <c r="BI10" s="95"/>
      <c r="BJ10" s="694" t="s">
        <v>253</v>
      </c>
    </row>
    <row r="11" spans="1:62" s="47" customFormat="1" ht="20.25" customHeight="1">
      <c r="A11" s="315">
        <v>8</v>
      </c>
      <c r="B11" s="316" t="s">
        <v>52</v>
      </c>
      <c r="C11" s="238" t="s">
        <v>421</v>
      </c>
      <c r="D11" s="317" t="s">
        <v>422</v>
      </c>
      <c r="E11" s="602" t="s">
        <v>423</v>
      </c>
      <c r="F11" s="238" t="s">
        <v>408</v>
      </c>
      <c r="G11" s="241" t="s">
        <v>404</v>
      </c>
      <c r="H11" s="234">
        <v>46038</v>
      </c>
      <c r="I11" s="214">
        <v>46038</v>
      </c>
      <c r="J11" s="214">
        <f t="shared" si="2"/>
        <v>46045</v>
      </c>
      <c r="K11" s="103">
        <v>0</v>
      </c>
      <c r="L11" s="103" t="s">
        <v>49</v>
      </c>
      <c r="M11" s="103" t="s">
        <v>89</v>
      </c>
      <c r="N11" s="214"/>
      <c r="O11" s="656" t="s">
        <v>81</v>
      </c>
      <c r="P11" s="312"/>
      <c r="Q11" s="214">
        <v>46038</v>
      </c>
      <c r="R11" s="214"/>
      <c r="S11" s="214"/>
      <c r="T11" s="214"/>
      <c r="U11" s="103"/>
      <c r="V11" s="214"/>
      <c r="W11" s="313"/>
      <c r="X11" s="92"/>
      <c r="Y11" s="92"/>
      <c r="Z11" s="103"/>
      <c r="AA11" s="92"/>
      <c r="AB11" s="92"/>
      <c r="AC11" s="92"/>
      <c r="AD11" s="92"/>
      <c r="AE11" s="103"/>
      <c r="AF11" s="113"/>
      <c r="AG11" s="113"/>
      <c r="AH11" s="113"/>
      <c r="AI11" s="113"/>
      <c r="AJ11" s="95"/>
      <c r="AK11" s="113"/>
      <c r="AL11" s="113"/>
      <c r="AM11" s="113"/>
      <c r="AN11" s="113"/>
      <c r="AO11" s="95"/>
      <c r="AP11" s="113"/>
      <c r="AQ11" s="113"/>
      <c r="AR11" s="113"/>
      <c r="AS11" s="113"/>
      <c r="AT11" s="95"/>
      <c r="AU11" s="113"/>
      <c r="AV11" s="113"/>
      <c r="AW11" s="113"/>
      <c r="AX11" s="113"/>
      <c r="AY11" s="95"/>
      <c r="AZ11" s="113"/>
      <c r="BA11" s="113"/>
      <c r="BB11" s="113"/>
      <c r="BC11" s="113"/>
      <c r="BD11" s="95"/>
      <c r="BE11" s="113"/>
      <c r="BF11" s="113"/>
      <c r="BG11" s="113"/>
      <c r="BH11" s="113"/>
      <c r="BI11" s="95"/>
      <c r="BJ11" s="694" t="s">
        <v>253</v>
      </c>
    </row>
    <row r="12" spans="1:62" s="47" customFormat="1" ht="20.25" customHeight="1">
      <c r="A12" s="315">
        <v>9</v>
      </c>
      <c r="B12" s="316" t="s">
        <v>52</v>
      </c>
      <c r="C12" s="238" t="s">
        <v>424</v>
      </c>
      <c r="D12" s="317" t="s">
        <v>425</v>
      </c>
      <c r="E12" s="602" t="s">
        <v>426</v>
      </c>
      <c r="F12" s="238" t="s">
        <v>408</v>
      </c>
      <c r="G12" s="241" t="s">
        <v>404</v>
      </c>
      <c r="H12" s="234">
        <v>46038</v>
      </c>
      <c r="I12" s="214">
        <v>46038</v>
      </c>
      <c r="J12" s="214">
        <f t="shared" si="2"/>
        <v>46045</v>
      </c>
      <c r="K12" s="103">
        <v>0</v>
      </c>
      <c r="L12" s="103" t="s">
        <v>49</v>
      </c>
      <c r="M12" s="103" t="s">
        <v>89</v>
      </c>
      <c r="N12" s="214"/>
      <c r="O12" s="656" t="s">
        <v>81</v>
      </c>
      <c r="P12" s="312"/>
      <c r="Q12" s="214">
        <v>46038</v>
      </c>
      <c r="R12" s="214"/>
      <c r="S12" s="214"/>
      <c r="T12" s="214"/>
      <c r="U12" s="103"/>
      <c r="V12" s="92"/>
      <c r="W12" s="92"/>
      <c r="X12" s="92"/>
      <c r="Y12" s="92"/>
      <c r="Z12" s="103"/>
      <c r="AA12" s="92"/>
      <c r="AB12" s="92"/>
      <c r="AC12" s="92"/>
      <c r="AD12" s="92"/>
      <c r="AE12" s="103"/>
      <c r="AF12" s="96"/>
      <c r="AG12" s="96"/>
      <c r="AH12" s="96"/>
      <c r="AI12" s="96"/>
      <c r="AJ12" s="104"/>
      <c r="AK12" s="96"/>
      <c r="AL12" s="96"/>
      <c r="AM12" s="96"/>
      <c r="AN12" s="96"/>
      <c r="AO12" s="104"/>
      <c r="AP12" s="96"/>
      <c r="AQ12" s="96"/>
      <c r="AR12" s="96"/>
      <c r="AS12" s="96"/>
      <c r="AT12" s="104"/>
      <c r="AU12" s="96"/>
      <c r="AV12" s="96"/>
      <c r="AW12" s="96"/>
      <c r="AX12" s="96"/>
      <c r="AY12" s="104"/>
      <c r="AZ12" s="96"/>
      <c r="BA12" s="96"/>
      <c r="BB12" s="96"/>
      <c r="BC12" s="96"/>
      <c r="BD12" s="104"/>
      <c r="BE12" s="96"/>
      <c r="BF12" s="96"/>
      <c r="BG12" s="96"/>
      <c r="BH12" s="96"/>
      <c r="BI12" s="104"/>
      <c r="BJ12" s="694" t="s">
        <v>253</v>
      </c>
    </row>
    <row r="13" spans="1:62" s="130" customFormat="1" ht="20.25" customHeight="1">
      <c r="A13" s="315">
        <v>10</v>
      </c>
      <c r="B13" s="316" t="s">
        <v>52</v>
      </c>
      <c r="C13" s="238" t="s">
        <v>427</v>
      </c>
      <c r="D13" s="317" t="s">
        <v>428</v>
      </c>
      <c r="E13" s="602" t="s">
        <v>429</v>
      </c>
      <c r="F13" s="238" t="s">
        <v>408</v>
      </c>
      <c r="G13" s="241" t="s">
        <v>404</v>
      </c>
      <c r="H13" s="234">
        <v>46038</v>
      </c>
      <c r="I13" s="214">
        <v>46038</v>
      </c>
      <c r="J13" s="214">
        <f t="shared" si="2"/>
        <v>46045</v>
      </c>
      <c r="K13" s="103">
        <v>0</v>
      </c>
      <c r="L13" s="103" t="s">
        <v>49</v>
      </c>
      <c r="M13" s="103" t="s">
        <v>89</v>
      </c>
      <c r="N13" s="214"/>
      <c r="O13" s="656" t="s">
        <v>81</v>
      </c>
      <c r="P13" s="312"/>
      <c r="Q13" s="214">
        <v>46038</v>
      </c>
      <c r="R13" s="214"/>
      <c r="S13" s="214"/>
      <c r="T13" s="214"/>
      <c r="U13" s="103"/>
      <c r="V13" s="94"/>
      <c r="W13" s="94"/>
      <c r="X13" s="92"/>
      <c r="Y13" s="94"/>
      <c r="Z13" s="90"/>
      <c r="AA13" s="94"/>
      <c r="AB13" s="94"/>
      <c r="AC13" s="94"/>
      <c r="AD13" s="94"/>
      <c r="AE13" s="90"/>
      <c r="AF13" s="99"/>
      <c r="AG13" s="99"/>
      <c r="AH13" s="99"/>
      <c r="AI13" s="99"/>
      <c r="AJ13" s="100"/>
      <c r="AK13" s="99"/>
      <c r="AL13" s="99"/>
      <c r="AM13" s="99"/>
      <c r="AN13" s="99"/>
      <c r="AO13" s="100"/>
      <c r="AP13" s="99"/>
      <c r="AQ13" s="99"/>
      <c r="AR13" s="99"/>
      <c r="AS13" s="99"/>
      <c r="AT13" s="100"/>
      <c r="AU13" s="99"/>
      <c r="AV13" s="99"/>
      <c r="AW13" s="99"/>
      <c r="AX13" s="99"/>
      <c r="AY13" s="100"/>
      <c r="AZ13" s="99"/>
      <c r="BA13" s="99"/>
      <c r="BB13" s="99"/>
      <c r="BC13" s="99"/>
      <c r="BD13" s="100"/>
      <c r="BE13" s="99"/>
      <c r="BF13" s="99"/>
      <c r="BG13" s="99"/>
      <c r="BH13" s="99"/>
      <c r="BI13" s="100"/>
      <c r="BJ13" s="694" t="s">
        <v>253</v>
      </c>
    </row>
    <row r="14" spans="1:62" s="130" customFormat="1" ht="20.25" customHeight="1">
      <c r="A14" s="315">
        <v>11</v>
      </c>
      <c r="B14" s="316" t="s">
        <v>52</v>
      </c>
      <c r="C14" s="238" t="s">
        <v>430</v>
      </c>
      <c r="D14" s="317" t="s">
        <v>431</v>
      </c>
      <c r="E14" s="602" t="s">
        <v>432</v>
      </c>
      <c r="F14" s="238" t="s">
        <v>408</v>
      </c>
      <c r="G14" s="241" t="s">
        <v>404</v>
      </c>
      <c r="H14" s="234">
        <v>46038</v>
      </c>
      <c r="I14" s="214">
        <v>46038</v>
      </c>
      <c r="J14" s="214">
        <f t="shared" si="2"/>
        <v>46045</v>
      </c>
      <c r="K14" s="103">
        <v>0</v>
      </c>
      <c r="L14" s="103" t="s">
        <v>49</v>
      </c>
      <c r="M14" s="103" t="s">
        <v>89</v>
      </c>
      <c r="N14" s="214"/>
      <c r="O14" s="656" t="s">
        <v>81</v>
      </c>
      <c r="P14" s="312"/>
      <c r="Q14" s="214">
        <v>46038</v>
      </c>
      <c r="R14" s="214"/>
      <c r="S14" s="214"/>
      <c r="T14" s="214"/>
      <c r="U14" s="103"/>
      <c r="V14" s="94"/>
      <c r="W14" s="94"/>
      <c r="X14" s="94"/>
      <c r="Y14" s="94"/>
      <c r="Z14" s="90"/>
      <c r="AA14" s="94"/>
      <c r="AB14" s="94"/>
      <c r="AC14" s="94"/>
      <c r="AD14" s="94"/>
      <c r="AE14" s="90"/>
      <c r="AF14" s="99"/>
      <c r="AG14" s="99"/>
      <c r="AH14" s="99"/>
      <c r="AI14" s="99"/>
      <c r="AJ14" s="100"/>
      <c r="AK14" s="99"/>
      <c r="AL14" s="99"/>
      <c r="AM14" s="99"/>
      <c r="AN14" s="99"/>
      <c r="AO14" s="100"/>
      <c r="AP14" s="99"/>
      <c r="AQ14" s="99"/>
      <c r="AR14" s="99"/>
      <c r="AS14" s="99"/>
      <c r="AT14" s="100"/>
      <c r="AU14" s="99"/>
      <c r="AV14" s="99"/>
      <c r="AW14" s="99"/>
      <c r="AX14" s="99"/>
      <c r="AY14" s="100"/>
      <c r="AZ14" s="99"/>
      <c r="BA14" s="99"/>
      <c r="BB14" s="99"/>
      <c r="BC14" s="99"/>
      <c r="BD14" s="100"/>
      <c r="BE14" s="99"/>
      <c r="BF14" s="99"/>
      <c r="BG14" s="99"/>
      <c r="BH14" s="99"/>
      <c r="BI14" s="100"/>
      <c r="BJ14" s="694" t="s">
        <v>253</v>
      </c>
    </row>
    <row r="15" spans="1:62" s="130" customFormat="1" ht="20.25" customHeight="1">
      <c r="A15" s="315">
        <v>12</v>
      </c>
      <c r="B15" s="316" t="s">
        <v>52</v>
      </c>
      <c r="C15" s="238" t="s">
        <v>433</v>
      </c>
      <c r="D15" s="317" t="s">
        <v>434</v>
      </c>
      <c r="E15" s="602" t="s">
        <v>435</v>
      </c>
      <c r="F15" s="238" t="s">
        <v>408</v>
      </c>
      <c r="G15" s="241" t="s">
        <v>404</v>
      </c>
      <c r="H15" s="234">
        <v>46038</v>
      </c>
      <c r="I15" s="214">
        <v>46038</v>
      </c>
      <c r="J15" s="214">
        <f t="shared" si="2"/>
        <v>46045</v>
      </c>
      <c r="K15" s="103">
        <v>0</v>
      </c>
      <c r="L15" s="103" t="s">
        <v>49</v>
      </c>
      <c r="M15" s="103" t="s">
        <v>89</v>
      </c>
      <c r="N15" s="214"/>
      <c r="O15" s="656" t="s">
        <v>81</v>
      </c>
      <c r="P15" s="312"/>
      <c r="Q15" s="214">
        <v>46038</v>
      </c>
      <c r="R15" s="214"/>
      <c r="S15" s="214"/>
      <c r="T15" s="214"/>
      <c r="U15" s="103"/>
      <c r="V15" s="94"/>
      <c r="W15" s="94"/>
      <c r="X15" s="94"/>
      <c r="Y15" s="94"/>
      <c r="Z15" s="90"/>
      <c r="AA15" s="94"/>
      <c r="AB15" s="94"/>
      <c r="AC15" s="94"/>
      <c r="AD15" s="94"/>
      <c r="AE15" s="90"/>
      <c r="AF15" s="96"/>
      <c r="AG15" s="96"/>
      <c r="AH15" s="96"/>
      <c r="AI15" s="96"/>
      <c r="AJ15" s="104"/>
      <c r="AK15" s="96"/>
      <c r="AL15" s="96"/>
      <c r="AM15" s="96"/>
      <c r="AN15" s="96"/>
      <c r="AO15" s="104"/>
      <c r="AP15" s="96"/>
      <c r="AQ15" s="96"/>
      <c r="AR15" s="96"/>
      <c r="AS15" s="96"/>
      <c r="AT15" s="104"/>
      <c r="AU15" s="96"/>
      <c r="AV15" s="96"/>
      <c r="AW15" s="96"/>
      <c r="AX15" s="96"/>
      <c r="AY15" s="104"/>
      <c r="AZ15" s="96"/>
      <c r="BA15" s="96"/>
      <c r="BB15" s="96"/>
      <c r="BC15" s="96"/>
      <c r="BD15" s="104"/>
      <c r="BE15" s="96"/>
      <c r="BF15" s="96"/>
      <c r="BG15" s="96"/>
      <c r="BH15" s="96"/>
      <c r="BI15" s="104"/>
      <c r="BJ15" s="694" t="s">
        <v>253</v>
      </c>
    </row>
    <row r="16" spans="1:62" s="130" customFormat="1" ht="20.25" customHeight="1">
      <c r="A16" s="315">
        <v>13</v>
      </c>
      <c r="B16" s="316" t="s">
        <v>52</v>
      </c>
      <c r="C16" s="238" t="s">
        <v>436</v>
      </c>
      <c r="D16" s="317" t="s">
        <v>437</v>
      </c>
      <c r="E16" s="602" t="s">
        <v>438</v>
      </c>
      <c r="F16" s="238" t="s">
        <v>408</v>
      </c>
      <c r="G16" s="241" t="s">
        <v>404</v>
      </c>
      <c r="H16" s="234">
        <v>46038</v>
      </c>
      <c r="I16" s="214">
        <v>46038</v>
      </c>
      <c r="J16" s="214">
        <f t="shared" si="2"/>
        <v>46045</v>
      </c>
      <c r="K16" s="103">
        <v>0</v>
      </c>
      <c r="L16" s="103" t="s">
        <v>49</v>
      </c>
      <c r="M16" s="103" t="s">
        <v>89</v>
      </c>
      <c r="N16" s="214"/>
      <c r="O16" s="656" t="s">
        <v>81</v>
      </c>
      <c r="P16" s="312"/>
      <c r="Q16" s="214">
        <v>46038</v>
      </c>
      <c r="R16" s="313"/>
      <c r="S16" s="214"/>
      <c r="T16" s="214"/>
      <c r="U16" s="93"/>
      <c r="V16" s="94"/>
      <c r="W16" s="94"/>
      <c r="X16" s="94"/>
      <c r="Y16" s="94"/>
      <c r="Z16" s="90"/>
      <c r="AA16" s="94"/>
      <c r="AB16" s="94"/>
      <c r="AC16" s="94"/>
      <c r="AD16" s="94"/>
      <c r="AE16" s="90"/>
      <c r="AF16" s="96"/>
      <c r="AG16" s="96"/>
      <c r="AH16" s="96"/>
      <c r="AI16" s="96"/>
      <c r="AJ16" s="104"/>
      <c r="AK16" s="96"/>
      <c r="AL16" s="96"/>
      <c r="AM16" s="96"/>
      <c r="AN16" s="96"/>
      <c r="AO16" s="104"/>
      <c r="AP16" s="96"/>
      <c r="AQ16" s="96"/>
      <c r="AR16" s="96"/>
      <c r="AS16" s="96"/>
      <c r="AT16" s="104"/>
      <c r="AU16" s="96"/>
      <c r="AV16" s="96"/>
      <c r="AW16" s="96"/>
      <c r="AX16" s="96"/>
      <c r="AY16" s="104"/>
      <c r="AZ16" s="96"/>
      <c r="BA16" s="96"/>
      <c r="BB16" s="96"/>
      <c r="BC16" s="96"/>
      <c r="BD16" s="104"/>
      <c r="BE16" s="96"/>
      <c r="BF16" s="96"/>
      <c r="BG16" s="96"/>
      <c r="BH16" s="96"/>
      <c r="BI16" s="104"/>
      <c r="BJ16" s="694" t="s">
        <v>253</v>
      </c>
    </row>
    <row r="17" spans="1:62" s="47" customFormat="1" ht="20.25" customHeight="1">
      <c r="A17" s="315">
        <v>14</v>
      </c>
      <c r="B17" s="316" t="s">
        <v>52</v>
      </c>
      <c r="C17" s="238" t="s">
        <v>439</v>
      </c>
      <c r="D17" s="317" t="s">
        <v>440</v>
      </c>
      <c r="E17" s="602" t="s">
        <v>441</v>
      </c>
      <c r="F17" s="238" t="s">
        <v>408</v>
      </c>
      <c r="G17" s="241" t="s">
        <v>404</v>
      </c>
      <c r="H17" s="234">
        <v>46038</v>
      </c>
      <c r="I17" s="214">
        <v>46038</v>
      </c>
      <c r="J17" s="214">
        <f t="shared" si="2"/>
        <v>46045</v>
      </c>
      <c r="K17" s="103">
        <v>0</v>
      </c>
      <c r="L17" s="103" t="s">
        <v>49</v>
      </c>
      <c r="M17" s="103" t="s">
        <v>89</v>
      </c>
      <c r="N17" s="214"/>
      <c r="O17" s="656" t="s">
        <v>81</v>
      </c>
      <c r="P17" s="312"/>
      <c r="Q17" s="214">
        <v>46038</v>
      </c>
      <c r="R17" s="214"/>
      <c r="S17" s="214"/>
      <c r="T17" s="214"/>
      <c r="U17" s="103"/>
      <c r="V17" s="92"/>
      <c r="W17" s="92"/>
      <c r="X17" s="92"/>
      <c r="Y17" s="94"/>
      <c r="Z17" s="90"/>
      <c r="AA17" s="92"/>
      <c r="AB17" s="92"/>
      <c r="AC17" s="92"/>
      <c r="AD17" s="92"/>
      <c r="AE17" s="103"/>
      <c r="AF17" s="96"/>
      <c r="AG17" s="96"/>
      <c r="AH17" s="96"/>
      <c r="AI17" s="96"/>
      <c r="AJ17" s="104"/>
      <c r="AK17" s="96"/>
      <c r="AL17" s="96"/>
      <c r="AM17" s="96"/>
      <c r="AN17" s="96"/>
      <c r="AO17" s="104"/>
      <c r="AP17" s="96"/>
      <c r="AQ17" s="96"/>
      <c r="AR17" s="96"/>
      <c r="AS17" s="96"/>
      <c r="AT17" s="104"/>
      <c r="AU17" s="96"/>
      <c r="AV17" s="96"/>
      <c r="AW17" s="96"/>
      <c r="AX17" s="96"/>
      <c r="AY17" s="104"/>
      <c r="AZ17" s="96"/>
      <c r="BA17" s="96"/>
      <c r="BB17" s="96"/>
      <c r="BC17" s="96"/>
      <c r="BD17" s="104"/>
      <c r="BE17" s="96"/>
      <c r="BF17" s="96"/>
      <c r="BG17" s="96"/>
      <c r="BH17" s="96"/>
      <c r="BI17" s="104"/>
      <c r="BJ17" s="694" t="s">
        <v>253</v>
      </c>
    </row>
    <row r="18" spans="1:62" s="130" customFormat="1" ht="20.25" customHeight="1">
      <c r="A18" s="315">
        <v>15</v>
      </c>
      <c r="B18" s="316" t="s">
        <v>52</v>
      </c>
      <c r="C18" s="238" t="s">
        <v>442</v>
      </c>
      <c r="D18" s="317" t="s">
        <v>443</v>
      </c>
      <c r="E18" s="602" t="s">
        <v>444</v>
      </c>
      <c r="F18" s="238" t="s">
        <v>408</v>
      </c>
      <c r="G18" s="241" t="s">
        <v>404</v>
      </c>
      <c r="H18" s="234">
        <v>46038</v>
      </c>
      <c r="I18" s="214">
        <v>46038</v>
      </c>
      <c r="J18" s="214">
        <f t="shared" si="2"/>
        <v>46045</v>
      </c>
      <c r="K18" s="103">
        <v>0</v>
      </c>
      <c r="L18" s="103" t="s">
        <v>49</v>
      </c>
      <c r="M18" s="103" t="s">
        <v>89</v>
      </c>
      <c r="N18" s="214"/>
      <c r="O18" s="656" t="s">
        <v>81</v>
      </c>
      <c r="P18" s="312"/>
      <c r="Q18" s="214">
        <v>46038</v>
      </c>
      <c r="R18" s="214"/>
      <c r="S18" s="214"/>
      <c r="T18" s="214"/>
      <c r="U18" s="103"/>
      <c r="V18" s="94"/>
      <c r="W18" s="94"/>
      <c r="X18" s="94"/>
      <c r="Y18" s="94"/>
      <c r="Z18" s="90"/>
      <c r="AA18" s="94"/>
      <c r="AB18" s="94"/>
      <c r="AC18" s="94"/>
      <c r="AD18" s="94"/>
      <c r="AE18" s="90"/>
      <c r="AF18" s="96"/>
      <c r="AG18" s="96"/>
      <c r="AH18" s="96"/>
      <c r="AI18" s="96"/>
      <c r="AJ18" s="104"/>
      <c r="AK18" s="96"/>
      <c r="AL18" s="96"/>
      <c r="AM18" s="96"/>
      <c r="AN18" s="96"/>
      <c r="AO18" s="104"/>
      <c r="AP18" s="96"/>
      <c r="AQ18" s="96"/>
      <c r="AR18" s="96"/>
      <c r="AS18" s="96"/>
      <c r="AT18" s="104"/>
      <c r="AU18" s="96"/>
      <c r="AV18" s="96"/>
      <c r="AW18" s="96"/>
      <c r="AX18" s="96"/>
      <c r="AY18" s="104"/>
      <c r="AZ18" s="96"/>
      <c r="BA18" s="96"/>
      <c r="BB18" s="96"/>
      <c r="BC18" s="96"/>
      <c r="BD18" s="104"/>
      <c r="BE18" s="96"/>
      <c r="BF18" s="96"/>
      <c r="BG18" s="96"/>
      <c r="BH18" s="96"/>
      <c r="BI18" s="104"/>
      <c r="BJ18" s="694" t="s">
        <v>253</v>
      </c>
    </row>
    <row r="19" spans="1:62" s="130" customFormat="1" ht="20.25" customHeight="1">
      <c r="A19" s="315">
        <v>16</v>
      </c>
      <c r="B19" s="316" t="s">
        <v>52</v>
      </c>
      <c r="C19" s="238" t="s">
        <v>445</v>
      </c>
      <c r="D19" s="317" t="s">
        <v>446</v>
      </c>
      <c r="E19" s="602" t="s">
        <v>447</v>
      </c>
      <c r="F19" s="238" t="s">
        <v>408</v>
      </c>
      <c r="G19" s="241" t="s">
        <v>404</v>
      </c>
      <c r="H19" s="234">
        <v>46038</v>
      </c>
      <c r="I19" s="214">
        <v>46038</v>
      </c>
      <c r="J19" s="214">
        <f t="shared" si="2"/>
        <v>46045</v>
      </c>
      <c r="K19" s="103">
        <v>0</v>
      </c>
      <c r="L19" s="103" t="s">
        <v>49</v>
      </c>
      <c r="M19" s="103" t="s">
        <v>89</v>
      </c>
      <c r="N19" s="214"/>
      <c r="O19" s="656" t="s">
        <v>81</v>
      </c>
      <c r="P19" s="312"/>
      <c r="Q19" s="214">
        <v>46038</v>
      </c>
      <c r="R19" s="214"/>
      <c r="S19" s="214"/>
      <c r="T19" s="214"/>
      <c r="U19" s="103"/>
      <c r="V19" s="94"/>
      <c r="W19" s="94"/>
      <c r="X19" s="94"/>
      <c r="Y19" s="94"/>
      <c r="Z19" s="90"/>
      <c r="AA19" s="94"/>
      <c r="AB19" s="94"/>
      <c r="AC19" s="94"/>
      <c r="AD19" s="94"/>
      <c r="AE19" s="90"/>
      <c r="AF19" s="96"/>
      <c r="AG19" s="96"/>
      <c r="AH19" s="96"/>
      <c r="AI19" s="96"/>
      <c r="AJ19" s="104"/>
      <c r="AK19" s="96"/>
      <c r="AL19" s="96"/>
      <c r="AM19" s="96"/>
      <c r="AN19" s="96"/>
      <c r="AO19" s="104"/>
      <c r="AP19" s="96"/>
      <c r="AQ19" s="96"/>
      <c r="AR19" s="96"/>
      <c r="AS19" s="96"/>
      <c r="AT19" s="104"/>
      <c r="AU19" s="96"/>
      <c r="AV19" s="96"/>
      <c r="AW19" s="96"/>
      <c r="AX19" s="96"/>
      <c r="AY19" s="104"/>
      <c r="AZ19" s="96"/>
      <c r="BA19" s="96"/>
      <c r="BB19" s="96"/>
      <c r="BC19" s="96"/>
      <c r="BD19" s="104"/>
      <c r="BE19" s="96"/>
      <c r="BF19" s="96"/>
      <c r="BG19" s="96"/>
      <c r="BH19" s="96"/>
      <c r="BI19" s="104"/>
      <c r="BJ19" s="694" t="s">
        <v>253</v>
      </c>
    </row>
    <row r="20" spans="1:62" s="130" customFormat="1" ht="20.25" customHeight="1">
      <c r="A20" s="315">
        <v>17</v>
      </c>
      <c r="B20" s="316" t="s">
        <v>52</v>
      </c>
      <c r="C20" s="238" t="s">
        <v>448</v>
      </c>
      <c r="D20" s="317" t="s">
        <v>449</v>
      </c>
      <c r="E20" s="602" t="s">
        <v>450</v>
      </c>
      <c r="F20" s="238" t="s">
        <v>408</v>
      </c>
      <c r="G20" s="241" t="s">
        <v>404</v>
      </c>
      <c r="H20" s="234">
        <v>46038</v>
      </c>
      <c r="I20" s="214">
        <v>46038</v>
      </c>
      <c r="J20" s="214">
        <f t="shared" si="2"/>
        <v>46045</v>
      </c>
      <c r="K20" s="103">
        <v>0</v>
      </c>
      <c r="L20" s="103" t="s">
        <v>49</v>
      </c>
      <c r="M20" s="103" t="s">
        <v>89</v>
      </c>
      <c r="N20" s="214"/>
      <c r="O20" s="656" t="s">
        <v>81</v>
      </c>
      <c r="P20" s="312"/>
      <c r="Q20" s="214">
        <v>46038</v>
      </c>
      <c r="R20" s="214"/>
      <c r="S20" s="214"/>
      <c r="T20" s="214"/>
      <c r="U20" s="103"/>
      <c r="V20" s="94"/>
      <c r="W20" s="94"/>
      <c r="X20" s="94"/>
      <c r="Y20" s="94"/>
      <c r="Z20" s="90"/>
      <c r="AA20" s="94"/>
      <c r="AB20" s="94"/>
      <c r="AC20" s="94"/>
      <c r="AD20" s="94"/>
      <c r="AE20" s="90"/>
      <c r="AF20" s="96"/>
      <c r="AG20" s="96"/>
      <c r="AH20" s="96"/>
      <c r="AI20" s="96"/>
      <c r="AJ20" s="104"/>
      <c r="AK20" s="96"/>
      <c r="AL20" s="96"/>
      <c r="AM20" s="96"/>
      <c r="AN20" s="96"/>
      <c r="AO20" s="104"/>
      <c r="AP20" s="96"/>
      <c r="AQ20" s="96"/>
      <c r="AR20" s="96"/>
      <c r="AS20" s="96"/>
      <c r="AT20" s="104"/>
      <c r="AU20" s="96"/>
      <c r="AV20" s="96"/>
      <c r="AW20" s="96"/>
      <c r="AX20" s="96"/>
      <c r="AY20" s="104"/>
      <c r="AZ20" s="96"/>
      <c r="BA20" s="96"/>
      <c r="BB20" s="96"/>
      <c r="BC20" s="96"/>
      <c r="BD20" s="104"/>
      <c r="BE20" s="96"/>
      <c r="BF20" s="96"/>
      <c r="BG20" s="96"/>
      <c r="BH20" s="96"/>
      <c r="BI20" s="104"/>
      <c r="BJ20" s="694" t="s">
        <v>253</v>
      </c>
    </row>
    <row r="21" spans="1:62" s="130" customFormat="1" ht="20.25" customHeight="1">
      <c r="A21" s="315">
        <v>18</v>
      </c>
      <c r="B21" s="316" t="s">
        <v>52</v>
      </c>
      <c r="C21" s="238" t="s">
        <v>451</v>
      </c>
      <c r="D21" s="317" t="s">
        <v>452</v>
      </c>
      <c r="E21" s="602" t="s">
        <v>453</v>
      </c>
      <c r="F21" s="238" t="s">
        <v>408</v>
      </c>
      <c r="G21" s="241" t="s">
        <v>404</v>
      </c>
      <c r="H21" s="234">
        <v>46041</v>
      </c>
      <c r="I21" s="214">
        <v>46041</v>
      </c>
      <c r="J21" s="214">
        <f t="shared" ref="J21" si="3">I21+7</f>
        <v>46048</v>
      </c>
      <c r="K21" s="103">
        <v>0</v>
      </c>
      <c r="L21" s="103" t="s">
        <v>51</v>
      </c>
      <c r="M21" s="103" t="s">
        <v>89</v>
      </c>
      <c r="N21" s="313"/>
      <c r="O21" s="656" t="s">
        <v>81</v>
      </c>
      <c r="P21" s="312"/>
      <c r="Q21" s="313">
        <v>46041</v>
      </c>
      <c r="R21" s="313">
        <v>46052</v>
      </c>
      <c r="S21" s="313">
        <v>46055</v>
      </c>
      <c r="T21" s="313"/>
      <c r="U21" s="103"/>
      <c r="V21" s="94"/>
      <c r="W21" s="94"/>
      <c r="X21" s="94"/>
      <c r="Y21" s="94"/>
      <c r="Z21" s="90"/>
      <c r="AA21" s="94"/>
      <c r="AB21" s="94"/>
      <c r="AC21" s="94"/>
      <c r="AD21" s="94"/>
      <c r="AE21" s="90"/>
      <c r="AF21" s="96"/>
      <c r="AG21" s="96"/>
      <c r="AH21" s="96"/>
      <c r="AI21" s="96"/>
      <c r="AJ21" s="104"/>
      <c r="AK21" s="96"/>
      <c r="AL21" s="96"/>
      <c r="AM21" s="96"/>
      <c r="AN21" s="96"/>
      <c r="AO21" s="104"/>
      <c r="AP21" s="96"/>
      <c r="AQ21" s="96"/>
      <c r="AR21" s="96"/>
      <c r="AS21" s="96"/>
      <c r="AT21" s="104"/>
      <c r="AU21" s="96"/>
      <c r="AV21" s="96"/>
      <c r="AW21" s="96"/>
      <c r="AX21" s="96"/>
      <c r="AY21" s="104"/>
      <c r="AZ21" s="96"/>
      <c r="BA21" s="96"/>
      <c r="BB21" s="96"/>
      <c r="BC21" s="96"/>
      <c r="BD21" s="104"/>
      <c r="BE21" s="96"/>
      <c r="BF21" s="96"/>
      <c r="BG21" s="96"/>
      <c r="BH21" s="96"/>
      <c r="BI21" s="104"/>
      <c r="BJ21" s="694" t="s">
        <v>253</v>
      </c>
    </row>
    <row r="22" spans="1:62" s="130" customFormat="1" ht="20.25" customHeight="1">
      <c r="A22" s="315">
        <v>19</v>
      </c>
      <c r="B22" s="316" t="s">
        <v>52</v>
      </c>
      <c r="C22" s="238" t="s">
        <v>454</v>
      </c>
      <c r="D22" s="317" t="s">
        <v>455</v>
      </c>
      <c r="E22" s="602" t="s">
        <v>456</v>
      </c>
      <c r="F22" s="238" t="s">
        <v>408</v>
      </c>
      <c r="G22" s="241" t="s">
        <v>404</v>
      </c>
      <c r="H22" s="234">
        <v>46041</v>
      </c>
      <c r="I22" s="214">
        <v>46041</v>
      </c>
      <c r="J22" s="214">
        <f>I22+7</f>
        <v>46048</v>
      </c>
      <c r="K22" s="103">
        <v>0</v>
      </c>
      <c r="L22" s="103" t="s">
        <v>51</v>
      </c>
      <c r="M22" s="103" t="s">
        <v>89</v>
      </c>
      <c r="N22" s="313"/>
      <c r="O22" s="656" t="s">
        <v>81</v>
      </c>
      <c r="P22" s="312"/>
      <c r="Q22" s="313">
        <v>46041</v>
      </c>
      <c r="R22" s="313">
        <v>46052</v>
      </c>
      <c r="S22" s="313">
        <v>46055</v>
      </c>
      <c r="T22" s="313"/>
      <c r="U22" s="93"/>
      <c r="V22" s="94"/>
      <c r="W22" s="94"/>
      <c r="X22" s="94"/>
      <c r="Y22" s="94"/>
      <c r="Z22" s="90"/>
      <c r="AA22" s="94"/>
      <c r="AB22" s="94"/>
      <c r="AC22" s="94"/>
      <c r="AD22" s="94"/>
      <c r="AE22" s="90"/>
      <c r="AF22" s="99"/>
      <c r="AG22" s="99"/>
      <c r="AH22" s="99"/>
      <c r="AI22" s="99"/>
      <c r="AJ22" s="100"/>
      <c r="AK22" s="99"/>
      <c r="AL22" s="99"/>
      <c r="AM22" s="99"/>
      <c r="AN22" s="99"/>
      <c r="AO22" s="100"/>
      <c r="AP22" s="99"/>
      <c r="AQ22" s="99"/>
      <c r="AR22" s="99"/>
      <c r="AS22" s="99"/>
      <c r="AT22" s="100"/>
      <c r="AU22" s="99"/>
      <c r="AV22" s="99"/>
      <c r="AW22" s="99"/>
      <c r="AX22" s="99"/>
      <c r="AY22" s="100"/>
      <c r="AZ22" s="99"/>
      <c r="BA22" s="99"/>
      <c r="BB22" s="99"/>
      <c r="BC22" s="99"/>
      <c r="BD22" s="100"/>
      <c r="BE22" s="99"/>
      <c r="BF22" s="99"/>
      <c r="BG22" s="99"/>
      <c r="BH22" s="99"/>
      <c r="BI22" s="100"/>
      <c r="BJ22" s="694" t="s">
        <v>253</v>
      </c>
    </row>
    <row r="23" spans="1:62" s="130" customFormat="1" ht="20.25" customHeight="1">
      <c r="A23" s="315">
        <v>20</v>
      </c>
      <c r="B23" s="316" t="s">
        <v>52</v>
      </c>
      <c r="C23" s="238" t="s">
        <v>457</v>
      </c>
      <c r="D23" s="317" t="s">
        <v>458</v>
      </c>
      <c r="E23" s="602" t="s">
        <v>459</v>
      </c>
      <c r="F23" s="238" t="s">
        <v>408</v>
      </c>
      <c r="G23" s="241" t="s">
        <v>404</v>
      </c>
      <c r="H23" s="234">
        <v>46041</v>
      </c>
      <c r="I23" s="214">
        <v>46041</v>
      </c>
      <c r="J23" s="214">
        <f>I23+7</f>
        <v>46048</v>
      </c>
      <c r="K23" s="103">
        <v>0</v>
      </c>
      <c r="L23" s="103" t="s">
        <v>51</v>
      </c>
      <c r="M23" s="103" t="s">
        <v>89</v>
      </c>
      <c r="N23" s="313"/>
      <c r="O23" s="656" t="s">
        <v>81</v>
      </c>
      <c r="P23" s="312"/>
      <c r="Q23" s="313">
        <v>46041</v>
      </c>
      <c r="R23" s="313">
        <v>46052</v>
      </c>
      <c r="S23" s="313">
        <v>46055</v>
      </c>
      <c r="T23" s="214"/>
      <c r="U23" s="103"/>
      <c r="V23" s="94"/>
      <c r="W23" s="94"/>
      <c r="X23" s="94"/>
      <c r="Y23" s="94"/>
      <c r="Z23" s="103"/>
      <c r="AA23" s="94"/>
      <c r="AB23" s="94"/>
      <c r="AC23" s="94"/>
      <c r="AD23" s="94"/>
      <c r="AE23" s="90"/>
      <c r="AF23" s="99"/>
      <c r="AG23" s="99"/>
      <c r="AH23" s="99"/>
      <c r="AI23" s="99"/>
      <c r="AJ23" s="100"/>
      <c r="AK23" s="99"/>
      <c r="AL23" s="99"/>
      <c r="AM23" s="99"/>
      <c r="AN23" s="99"/>
      <c r="AO23" s="100"/>
      <c r="AP23" s="99"/>
      <c r="AQ23" s="99"/>
      <c r="AR23" s="99"/>
      <c r="AS23" s="99"/>
      <c r="AT23" s="100"/>
      <c r="AU23" s="99"/>
      <c r="AV23" s="99"/>
      <c r="AW23" s="99"/>
      <c r="AX23" s="99"/>
      <c r="AY23" s="100"/>
      <c r="AZ23" s="99"/>
      <c r="BA23" s="99"/>
      <c r="BB23" s="99"/>
      <c r="BC23" s="99"/>
      <c r="BD23" s="100"/>
      <c r="BE23" s="99"/>
      <c r="BF23" s="99"/>
      <c r="BG23" s="99"/>
      <c r="BH23" s="99"/>
      <c r="BI23" s="100"/>
      <c r="BJ23" s="694" t="s">
        <v>253</v>
      </c>
    </row>
    <row r="24" spans="1:62" s="130" customFormat="1" ht="20.25" customHeight="1">
      <c r="A24" s="315">
        <v>21</v>
      </c>
      <c r="B24" s="316" t="s">
        <v>52</v>
      </c>
      <c r="C24" s="238" t="s">
        <v>460</v>
      </c>
      <c r="D24" s="317" t="s">
        <v>461</v>
      </c>
      <c r="E24" s="602" t="s">
        <v>462</v>
      </c>
      <c r="F24" s="238" t="s">
        <v>408</v>
      </c>
      <c r="G24" s="241" t="s">
        <v>404</v>
      </c>
      <c r="H24" s="234">
        <v>46041</v>
      </c>
      <c r="I24" s="214">
        <v>46041</v>
      </c>
      <c r="J24" s="214">
        <f>I24+7</f>
        <v>46048</v>
      </c>
      <c r="K24" s="103">
        <v>0</v>
      </c>
      <c r="L24" s="103" t="s">
        <v>51</v>
      </c>
      <c r="M24" s="103" t="s">
        <v>89</v>
      </c>
      <c r="N24" s="313"/>
      <c r="O24" s="656" t="s">
        <v>81</v>
      </c>
      <c r="P24" s="312"/>
      <c r="Q24" s="313">
        <v>46041</v>
      </c>
      <c r="R24" s="313">
        <v>46052</v>
      </c>
      <c r="S24" s="313">
        <v>46055</v>
      </c>
      <c r="T24" s="214"/>
      <c r="U24" s="103"/>
      <c r="V24" s="94"/>
      <c r="W24" s="94"/>
      <c r="X24" s="94"/>
      <c r="Y24" s="94"/>
      <c r="Z24" s="103"/>
      <c r="AA24" s="94"/>
      <c r="AB24" s="94"/>
      <c r="AC24" s="94"/>
      <c r="AD24" s="94"/>
      <c r="AE24" s="90"/>
      <c r="AF24" s="99"/>
      <c r="AG24" s="99"/>
      <c r="AH24" s="99"/>
      <c r="AI24" s="99"/>
      <c r="AJ24" s="100"/>
      <c r="AK24" s="99"/>
      <c r="AL24" s="99"/>
      <c r="AM24" s="99"/>
      <c r="AN24" s="99"/>
      <c r="AO24" s="100"/>
      <c r="AP24" s="99"/>
      <c r="AQ24" s="99"/>
      <c r="AR24" s="99"/>
      <c r="AS24" s="99"/>
      <c r="AT24" s="100"/>
      <c r="AU24" s="99"/>
      <c r="AV24" s="99"/>
      <c r="AW24" s="99"/>
      <c r="AX24" s="99"/>
      <c r="AY24" s="100"/>
      <c r="AZ24" s="99"/>
      <c r="BA24" s="99"/>
      <c r="BB24" s="99"/>
      <c r="BC24" s="99"/>
      <c r="BD24" s="100"/>
      <c r="BE24" s="99"/>
      <c r="BF24" s="99"/>
      <c r="BG24" s="99"/>
      <c r="BH24" s="99"/>
      <c r="BI24" s="100"/>
      <c r="BJ24" s="694" t="s">
        <v>253</v>
      </c>
    </row>
    <row r="25" spans="1:62" s="130" customFormat="1" ht="20.25" customHeight="1">
      <c r="A25" s="315">
        <v>22</v>
      </c>
      <c r="B25" s="316" t="s">
        <v>52</v>
      </c>
      <c r="C25" s="238" t="s">
        <v>463</v>
      </c>
      <c r="D25" s="317" t="s">
        <v>464</v>
      </c>
      <c r="E25" s="602" t="s">
        <v>465</v>
      </c>
      <c r="F25" s="238" t="s">
        <v>408</v>
      </c>
      <c r="G25" s="241" t="s">
        <v>404</v>
      </c>
      <c r="H25" s="234">
        <v>46041</v>
      </c>
      <c r="I25" s="214">
        <v>46041</v>
      </c>
      <c r="J25" s="214">
        <f>I25+7</f>
        <v>46048</v>
      </c>
      <c r="K25" s="103">
        <v>0</v>
      </c>
      <c r="L25" s="103" t="s">
        <v>51</v>
      </c>
      <c r="M25" s="103" t="s">
        <v>89</v>
      </c>
      <c r="N25" s="313"/>
      <c r="O25" s="656" t="s">
        <v>81</v>
      </c>
      <c r="P25" s="312"/>
      <c r="Q25" s="313">
        <v>46041</v>
      </c>
      <c r="R25" s="214">
        <v>46056</v>
      </c>
      <c r="S25" s="214">
        <v>46062</v>
      </c>
      <c r="T25" s="214"/>
      <c r="U25" s="103"/>
      <c r="V25" s="94"/>
      <c r="W25" s="94"/>
      <c r="X25" s="94"/>
      <c r="Y25" s="94"/>
      <c r="Z25" s="103"/>
      <c r="AA25" s="94"/>
      <c r="AB25" s="94"/>
      <c r="AC25" s="94"/>
      <c r="AD25" s="94"/>
      <c r="AE25" s="90"/>
      <c r="AF25" s="99"/>
      <c r="AG25" s="99"/>
      <c r="AH25" s="99"/>
      <c r="AI25" s="99"/>
      <c r="AJ25" s="100"/>
      <c r="AK25" s="99"/>
      <c r="AL25" s="99"/>
      <c r="AM25" s="99"/>
      <c r="AN25" s="99"/>
      <c r="AO25" s="100"/>
      <c r="AP25" s="99"/>
      <c r="AQ25" s="99"/>
      <c r="AR25" s="99"/>
      <c r="AS25" s="99"/>
      <c r="AT25" s="100"/>
      <c r="AU25" s="99"/>
      <c r="AV25" s="99"/>
      <c r="AW25" s="99"/>
      <c r="AX25" s="99"/>
      <c r="AY25" s="100"/>
      <c r="AZ25" s="99"/>
      <c r="BA25" s="99"/>
      <c r="BB25" s="99"/>
      <c r="BC25" s="99"/>
      <c r="BD25" s="100"/>
      <c r="BE25" s="99"/>
      <c r="BF25" s="99"/>
      <c r="BG25" s="99"/>
      <c r="BH25" s="99"/>
      <c r="BI25" s="100"/>
      <c r="BJ25" s="694" t="s">
        <v>253</v>
      </c>
    </row>
    <row r="26" spans="1:62" s="130" customFormat="1" ht="20.25" customHeight="1">
      <c r="A26" s="315">
        <v>23</v>
      </c>
      <c r="B26" s="316" t="s">
        <v>52</v>
      </c>
      <c r="C26" s="238" t="s">
        <v>466</v>
      </c>
      <c r="D26" s="407" t="s">
        <v>467</v>
      </c>
      <c r="E26" s="602" t="s">
        <v>468</v>
      </c>
      <c r="F26" s="238" t="s">
        <v>408</v>
      </c>
      <c r="G26" s="241" t="s">
        <v>404</v>
      </c>
      <c r="H26" s="234">
        <v>46041</v>
      </c>
      <c r="I26" s="214">
        <v>46041</v>
      </c>
      <c r="J26" s="214">
        <f>I26+7</f>
        <v>46048</v>
      </c>
      <c r="K26" s="103">
        <v>0</v>
      </c>
      <c r="L26" s="103" t="s">
        <v>51</v>
      </c>
      <c r="M26" s="103" t="s">
        <v>89</v>
      </c>
      <c r="N26" s="313"/>
      <c r="O26" s="656" t="s">
        <v>81</v>
      </c>
      <c r="P26" s="312"/>
      <c r="Q26" s="313">
        <v>46041</v>
      </c>
      <c r="R26" s="313">
        <v>46052</v>
      </c>
      <c r="S26" s="214">
        <v>46055</v>
      </c>
      <c r="T26" s="214"/>
      <c r="U26" s="103"/>
      <c r="V26" s="94"/>
      <c r="W26" s="94"/>
      <c r="X26" s="94"/>
      <c r="Y26" s="94"/>
      <c r="Z26" s="103"/>
      <c r="AA26" s="94"/>
      <c r="AB26" s="94"/>
      <c r="AC26" s="94"/>
      <c r="AD26" s="94"/>
      <c r="AE26" s="90"/>
      <c r="AF26" s="99"/>
      <c r="AG26" s="99"/>
      <c r="AH26" s="99"/>
      <c r="AI26" s="99"/>
      <c r="AJ26" s="100"/>
      <c r="AK26" s="99"/>
      <c r="AL26" s="99"/>
      <c r="AM26" s="99"/>
      <c r="AN26" s="99"/>
      <c r="AO26" s="100"/>
      <c r="AP26" s="99"/>
      <c r="AQ26" s="99"/>
      <c r="AR26" s="99"/>
      <c r="AS26" s="99"/>
      <c r="AT26" s="100"/>
      <c r="AU26" s="99"/>
      <c r="AV26" s="99"/>
      <c r="AW26" s="99"/>
      <c r="AX26" s="99"/>
      <c r="AY26" s="100"/>
      <c r="AZ26" s="99"/>
      <c r="BA26" s="99"/>
      <c r="BB26" s="99"/>
      <c r="BC26" s="99"/>
      <c r="BD26" s="100"/>
      <c r="BE26" s="99"/>
      <c r="BF26" s="99"/>
      <c r="BG26" s="99"/>
      <c r="BH26" s="99"/>
      <c r="BI26" s="100"/>
      <c r="BJ26" s="694" t="s">
        <v>253</v>
      </c>
    </row>
    <row r="27" spans="1:62" s="130" customFormat="1" ht="20.25" customHeight="1">
      <c r="A27" s="315">
        <v>24</v>
      </c>
      <c r="B27" s="316" t="s">
        <v>52</v>
      </c>
      <c r="C27" s="301" t="s">
        <v>469</v>
      </c>
      <c r="D27" s="413" t="s">
        <v>470</v>
      </c>
      <c r="E27" s="898" t="s">
        <v>471</v>
      </c>
      <c r="F27" s="903" t="s">
        <v>408</v>
      </c>
      <c r="G27" s="241" t="s">
        <v>404</v>
      </c>
      <c r="H27" s="900">
        <v>46041</v>
      </c>
      <c r="I27" s="906">
        <v>46044</v>
      </c>
      <c r="J27" s="906">
        <f t="shared" si="0"/>
        <v>46051</v>
      </c>
      <c r="K27" s="909">
        <v>0</v>
      </c>
      <c r="L27" s="909" t="s">
        <v>51</v>
      </c>
      <c r="M27" s="909" t="s">
        <v>89</v>
      </c>
      <c r="N27" s="906"/>
      <c r="O27" s="656" t="s">
        <v>81</v>
      </c>
      <c r="P27" s="912"/>
      <c r="Q27" s="906">
        <v>46044</v>
      </c>
      <c r="R27" s="906">
        <v>46050</v>
      </c>
      <c r="S27" s="906">
        <v>46051</v>
      </c>
      <c r="T27" s="915"/>
      <c r="U27" s="915"/>
      <c r="V27" s="915"/>
      <c r="W27" s="915"/>
      <c r="X27" s="915"/>
      <c r="Y27" s="915"/>
      <c r="Z27" s="915"/>
      <c r="AA27" s="915"/>
      <c r="AB27" s="915"/>
      <c r="AC27" s="915"/>
      <c r="AD27" s="915"/>
      <c r="AE27" s="915"/>
      <c r="AF27" s="915"/>
      <c r="AG27" s="915"/>
      <c r="AH27" s="915"/>
      <c r="AI27" s="915"/>
      <c r="AJ27" s="915"/>
      <c r="AK27" s="915"/>
      <c r="AL27" s="915"/>
      <c r="AM27" s="915"/>
      <c r="AN27" s="915"/>
      <c r="AO27" s="915"/>
      <c r="AP27" s="915"/>
      <c r="AQ27" s="915"/>
      <c r="AR27" s="915"/>
      <c r="AS27" s="915"/>
      <c r="AT27" s="915"/>
      <c r="AU27" s="915"/>
      <c r="AV27" s="915"/>
      <c r="AW27" s="915"/>
      <c r="AX27" s="915"/>
      <c r="AY27" s="915"/>
      <c r="AZ27" s="915"/>
      <c r="BA27" s="915"/>
      <c r="BB27" s="915"/>
      <c r="BC27" s="915"/>
      <c r="BD27" s="915"/>
      <c r="BE27" s="915"/>
      <c r="BF27" s="915"/>
      <c r="BG27" s="915"/>
      <c r="BH27" s="915"/>
      <c r="BI27" s="915"/>
      <c r="BJ27" s="895" t="s">
        <v>253</v>
      </c>
    </row>
    <row r="28" spans="1:62" s="130" customFormat="1" ht="20.25" customHeight="1">
      <c r="A28" s="315">
        <v>25</v>
      </c>
      <c r="B28" s="316" t="s">
        <v>52</v>
      </c>
      <c r="C28" s="301" t="s">
        <v>472</v>
      </c>
      <c r="D28" s="427" t="s">
        <v>473</v>
      </c>
      <c r="E28" s="899"/>
      <c r="F28" s="904"/>
      <c r="G28" s="241" t="s">
        <v>404</v>
      </c>
      <c r="H28" s="901"/>
      <c r="I28" s="907"/>
      <c r="J28" s="907"/>
      <c r="K28" s="910"/>
      <c r="L28" s="910"/>
      <c r="M28" s="910"/>
      <c r="N28" s="907"/>
      <c r="O28" s="656" t="s">
        <v>81</v>
      </c>
      <c r="P28" s="913"/>
      <c r="Q28" s="907"/>
      <c r="R28" s="907"/>
      <c r="S28" s="907"/>
      <c r="T28" s="916"/>
      <c r="U28" s="916"/>
      <c r="V28" s="916"/>
      <c r="W28" s="916"/>
      <c r="X28" s="916"/>
      <c r="Y28" s="916"/>
      <c r="Z28" s="916"/>
      <c r="AA28" s="916"/>
      <c r="AB28" s="916"/>
      <c r="AC28" s="916"/>
      <c r="AD28" s="916"/>
      <c r="AE28" s="916"/>
      <c r="AF28" s="916"/>
      <c r="AG28" s="916"/>
      <c r="AH28" s="916"/>
      <c r="AI28" s="916"/>
      <c r="AJ28" s="916"/>
      <c r="AK28" s="916"/>
      <c r="AL28" s="916"/>
      <c r="AM28" s="916"/>
      <c r="AN28" s="916"/>
      <c r="AO28" s="916"/>
      <c r="AP28" s="916"/>
      <c r="AQ28" s="916"/>
      <c r="AR28" s="916"/>
      <c r="AS28" s="916"/>
      <c r="AT28" s="916"/>
      <c r="AU28" s="916"/>
      <c r="AV28" s="916"/>
      <c r="AW28" s="916"/>
      <c r="AX28" s="916"/>
      <c r="AY28" s="916"/>
      <c r="AZ28" s="916"/>
      <c r="BA28" s="916"/>
      <c r="BB28" s="916"/>
      <c r="BC28" s="916"/>
      <c r="BD28" s="916"/>
      <c r="BE28" s="916"/>
      <c r="BF28" s="916"/>
      <c r="BG28" s="916"/>
      <c r="BH28" s="916"/>
      <c r="BI28" s="916"/>
      <c r="BJ28" s="896"/>
    </row>
    <row r="29" spans="1:62" s="130" customFormat="1" ht="20.25" customHeight="1">
      <c r="A29" s="315">
        <v>26</v>
      </c>
      <c r="B29" s="316" t="s">
        <v>52</v>
      </c>
      <c r="C29" s="301" t="s">
        <v>474</v>
      </c>
      <c r="D29" s="427" t="s">
        <v>475</v>
      </c>
      <c r="E29" s="899"/>
      <c r="F29" s="904"/>
      <c r="G29" s="241" t="s">
        <v>404</v>
      </c>
      <c r="H29" s="901"/>
      <c r="I29" s="907"/>
      <c r="J29" s="907"/>
      <c r="K29" s="910"/>
      <c r="L29" s="910"/>
      <c r="M29" s="910"/>
      <c r="N29" s="907"/>
      <c r="O29" s="656" t="s">
        <v>81</v>
      </c>
      <c r="P29" s="913"/>
      <c r="Q29" s="907"/>
      <c r="R29" s="907"/>
      <c r="S29" s="907"/>
      <c r="T29" s="916"/>
      <c r="U29" s="916"/>
      <c r="V29" s="916"/>
      <c r="W29" s="916"/>
      <c r="X29" s="916"/>
      <c r="Y29" s="916"/>
      <c r="Z29" s="916"/>
      <c r="AA29" s="916"/>
      <c r="AB29" s="916"/>
      <c r="AC29" s="916"/>
      <c r="AD29" s="916"/>
      <c r="AE29" s="916"/>
      <c r="AF29" s="916"/>
      <c r="AG29" s="916"/>
      <c r="AH29" s="916"/>
      <c r="AI29" s="916"/>
      <c r="AJ29" s="916"/>
      <c r="AK29" s="916"/>
      <c r="AL29" s="916"/>
      <c r="AM29" s="916"/>
      <c r="AN29" s="916"/>
      <c r="AO29" s="916"/>
      <c r="AP29" s="916"/>
      <c r="AQ29" s="916"/>
      <c r="AR29" s="916"/>
      <c r="AS29" s="916"/>
      <c r="AT29" s="916"/>
      <c r="AU29" s="916"/>
      <c r="AV29" s="916"/>
      <c r="AW29" s="916"/>
      <c r="AX29" s="916"/>
      <c r="AY29" s="916"/>
      <c r="AZ29" s="916"/>
      <c r="BA29" s="916"/>
      <c r="BB29" s="916"/>
      <c r="BC29" s="916"/>
      <c r="BD29" s="916"/>
      <c r="BE29" s="916"/>
      <c r="BF29" s="916"/>
      <c r="BG29" s="916"/>
      <c r="BH29" s="916"/>
      <c r="BI29" s="916"/>
      <c r="BJ29" s="896"/>
    </row>
    <row r="30" spans="1:62" s="130" customFormat="1" ht="20.25" customHeight="1">
      <c r="A30" s="315">
        <v>27</v>
      </c>
      <c r="B30" s="316" t="s">
        <v>52</v>
      </c>
      <c r="C30" s="301" t="s">
        <v>476</v>
      </c>
      <c r="D30" s="427" t="s">
        <v>477</v>
      </c>
      <c r="E30" s="899"/>
      <c r="F30" s="905"/>
      <c r="G30" s="241" t="s">
        <v>404</v>
      </c>
      <c r="H30" s="902"/>
      <c r="I30" s="908"/>
      <c r="J30" s="908"/>
      <c r="K30" s="911"/>
      <c r="L30" s="911"/>
      <c r="M30" s="911"/>
      <c r="N30" s="908"/>
      <c r="O30" s="656" t="s">
        <v>81</v>
      </c>
      <c r="P30" s="914"/>
      <c r="Q30" s="908"/>
      <c r="R30" s="908"/>
      <c r="S30" s="908"/>
      <c r="T30" s="917"/>
      <c r="U30" s="917"/>
      <c r="V30" s="917"/>
      <c r="W30" s="917"/>
      <c r="X30" s="917"/>
      <c r="Y30" s="917"/>
      <c r="Z30" s="917"/>
      <c r="AA30" s="917"/>
      <c r="AB30" s="917"/>
      <c r="AC30" s="917"/>
      <c r="AD30" s="917"/>
      <c r="AE30" s="917"/>
      <c r="AF30" s="917"/>
      <c r="AG30" s="917"/>
      <c r="AH30" s="917"/>
      <c r="AI30" s="917"/>
      <c r="AJ30" s="917"/>
      <c r="AK30" s="917"/>
      <c r="AL30" s="917"/>
      <c r="AM30" s="917"/>
      <c r="AN30" s="917"/>
      <c r="AO30" s="917"/>
      <c r="AP30" s="917"/>
      <c r="AQ30" s="917"/>
      <c r="AR30" s="917"/>
      <c r="AS30" s="917"/>
      <c r="AT30" s="917"/>
      <c r="AU30" s="917"/>
      <c r="AV30" s="917"/>
      <c r="AW30" s="917"/>
      <c r="AX30" s="917"/>
      <c r="AY30" s="917"/>
      <c r="AZ30" s="917"/>
      <c r="BA30" s="917"/>
      <c r="BB30" s="917"/>
      <c r="BC30" s="917"/>
      <c r="BD30" s="917"/>
      <c r="BE30" s="917"/>
      <c r="BF30" s="917"/>
      <c r="BG30" s="917"/>
      <c r="BH30" s="917"/>
      <c r="BI30" s="917"/>
      <c r="BJ30" s="897"/>
    </row>
    <row r="31" spans="1:62" s="130" customFormat="1" ht="20.25" customHeight="1">
      <c r="A31" s="315">
        <v>28</v>
      </c>
      <c r="B31" s="215" t="s">
        <v>52</v>
      </c>
      <c r="C31" s="301" t="s">
        <v>478</v>
      </c>
      <c r="D31" s="428" t="s">
        <v>479</v>
      </c>
      <c r="E31" s="604" t="s">
        <v>480</v>
      </c>
      <c r="F31" s="241" t="s">
        <v>408</v>
      </c>
      <c r="G31" s="241" t="s">
        <v>404</v>
      </c>
      <c r="H31" s="234">
        <v>46041</v>
      </c>
      <c r="I31" s="214">
        <v>46044</v>
      </c>
      <c r="J31" s="214">
        <f>I31+7</f>
        <v>46051</v>
      </c>
      <c r="K31" s="103">
        <v>0</v>
      </c>
      <c r="L31" s="103" t="s">
        <v>51</v>
      </c>
      <c r="M31" s="103" t="s">
        <v>89</v>
      </c>
      <c r="N31" s="214"/>
      <c r="O31" s="656" t="s">
        <v>81</v>
      </c>
      <c r="P31" s="312"/>
      <c r="Q31" s="214">
        <v>46044</v>
      </c>
      <c r="R31" s="214">
        <v>46050</v>
      </c>
      <c r="S31" s="214">
        <v>46052</v>
      </c>
      <c r="T31" s="214"/>
      <c r="U31" s="103"/>
      <c r="V31" s="94"/>
      <c r="W31" s="94"/>
      <c r="X31" s="94"/>
      <c r="Y31" s="94"/>
      <c r="Z31" s="90"/>
      <c r="AA31" s="94"/>
      <c r="AB31" s="94"/>
      <c r="AC31" s="94"/>
      <c r="AD31" s="94"/>
      <c r="AE31" s="90"/>
      <c r="AF31" s="99"/>
      <c r="AG31" s="99"/>
      <c r="AH31" s="99"/>
      <c r="AI31" s="99"/>
      <c r="AJ31" s="100"/>
      <c r="AK31" s="99"/>
      <c r="AL31" s="99"/>
      <c r="AM31" s="99"/>
      <c r="AN31" s="99"/>
      <c r="AO31" s="100"/>
      <c r="AP31" s="99"/>
      <c r="AQ31" s="99"/>
      <c r="AR31" s="99"/>
      <c r="AS31" s="99"/>
      <c r="AT31" s="100"/>
      <c r="AU31" s="99"/>
      <c r="AV31" s="99"/>
      <c r="AW31" s="99"/>
      <c r="AX31" s="99"/>
      <c r="AY31" s="100"/>
      <c r="AZ31" s="99"/>
      <c r="BA31" s="99"/>
      <c r="BB31" s="99"/>
      <c r="BC31" s="99"/>
      <c r="BD31" s="100"/>
      <c r="BE31" s="99"/>
      <c r="BF31" s="99"/>
      <c r="BG31" s="99"/>
      <c r="BH31" s="99"/>
      <c r="BI31" s="100"/>
      <c r="BJ31" s="694" t="s">
        <v>82</v>
      </c>
    </row>
    <row r="32" spans="1:62" s="130" customFormat="1" ht="20.25" customHeight="1">
      <c r="A32" s="315">
        <v>29</v>
      </c>
      <c r="B32" s="316" t="s">
        <v>52</v>
      </c>
      <c r="C32" s="238" t="s">
        <v>481</v>
      </c>
      <c r="D32" s="408" t="s">
        <v>482</v>
      </c>
      <c r="E32" s="604" t="s">
        <v>483</v>
      </c>
      <c r="F32" s="241" t="s">
        <v>408</v>
      </c>
      <c r="G32" s="241" t="s">
        <v>404</v>
      </c>
      <c r="H32" s="234">
        <v>46045</v>
      </c>
      <c r="I32" s="214">
        <v>46046</v>
      </c>
      <c r="J32" s="214">
        <f>I32+7</f>
        <v>46053</v>
      </c>
      <c r="K32" s="103">
        <v>0</v>
      </c>
      <c r="L32" s="103" t="s">
        <v>51</v>
      </c>
      <c r="M32" s="103" t="s">
        <v>89</v>
      </c>
      <c r="N32" s="214"/>
      <c r="O32" s="656" t="s">
        <v>81</v>
      </c>
      <c r="P32" s="312"/>
      <c r="Q32" s="214">
        <v>46046</v>
      </c>
      <c r="R32" s="214">
        <v>46050</v>
      </c>
      <c r="S32" s="214">
        <v>46052</v>
      </c>
      <c r="T32" s="214"/>
      <c r="U32" s="103"/>
      <c r="V32" s="94"/>
      <c r="W32" s="94"/>
      <c r="X32" s="94"/>
      <c r="Y32" s="94"/>
      <c r="Z32" s="90"/>
      <c r="AA32" s="94"/>
      <c r="AB32" s="94"/>
      <c r="AC32" s="94"/>
      <c r="AD32" s="94"/>
      <c r="AE32" s="90"/>
      <c r="AF32" s="99"/>
      <c r="AG32" s="99"/>
      <c r="AH32" s="99"/>
      <c r="AI32" s="99"/>
      <c r="AJ32" s="100"/>
      <c r="AK32" s="99"/>
      <c r="AL32" s="99"/>
      <c r="AM32" s="99"/>
      <c r="AN32" s="99"/>
      <c r="AO32" s="100"/>
      <c r="AP32" s="99"/>
      <c r="AQ32" s="99"/>
      <c r="AR32" s="99"/>
      <c r="AS32" s="99"/>
      <c r="AT32" s="100"/>
      <c r="AU32" s="99"/>
      <c r="AV32" s="99"/>
      <c r="AW32" s="99"/>
      <c r="AX32" s="99"/>
      <c r="AY32" s="100"/>
      <c r="AZ32" s="99"/>
      <c r="BA32" s="99"/>
      <c r="BB32" s="99"/>
      <c r="BC32" s="99"/>
      <c r="BD32" s="100"/>
      <c r="BE32" s="99"/>
      <c r="BF32" s="99"/>
      <c r="BG32" s="99"/>
      <c r="BH32" s="99"/>
      <c r="BI32" s="100"/>
      <c r="BJ32" s="694" t="s">
        <v>82</v>
      </c>
    </row>
    <row r="33" spans="1:62" s="130" customFormat="1" ht="20.25" customHeight="1">
      <c r="A33" s="315">
        <v>30</v>
      </c>
      <c r="B33" s="316" t="s">
        <v>52</v>
      </c>
      <c r="C33" s="238" t="s">
        <v>484</v>
      </c>
      <c r="D33" s="280" t="s">
        <v>485</v>
      </c>
      <c r="E33" s="604" t="s">
        <v>486</v>
      </c>
      <c r="F33" s="241" t="s">
        <v>408</v>
      </c>
      <c r="G33" s="241" t="s">
        <v>404</v>
      </c>
      <c r="H33" s="234">
        <v>46045</v>
      </c>
      <c r="I33" s="214">
        <v>46046</v>
      </c>
      <c r="J33" s="214">
        <f t="shared" ref="J33:J38" si="4">I33+7</f>
        <v>46053</v>
      </c>
      <c r="K33" s="103">
        <v>0</v>
      </c>
      <c r="L33" s="103" t="s">
        <v>51</v>
      </c>
      <c r="M33" s="103" t="s">
        <v>89</v>
      </c>
      <c r="N33" s="214"/>
      <c r="O33" s="656" t="s">
        <v>81</v>
      </c>
      <c r="P33" s="312"/>
      <c r="Q33" s="214">
        <v>46046</v>
      </c>
      <c r="R33" s="214">
        <v>46050</v>
      </c>
      <c r="S33" s="214">
        <v>46052</v>
      </c>
      <c r="T33" s="313"/>
      <c r="U33" s="93"/>
      <c r="V33" s="94"/>
      <c r="W33" s="94"/>
      <c r="X33" s="94"/>
      <c r="Y33" s="94"/>
      <c r="Z33" s="90"/>
      <c r="AA33" s="94"/>
      <c r="AB33" s="94"/>
      <c r="AC33" s="94"/>
      <c r="AD33" s="94"/>
      <c r="AE33" s="90"/>
      <c r="AF33" s="99"/>
      <c r="AG33" s="99"/>
      <c r="AH33" s="99"/>
      <c r="AI33" s="99"/>
      <c r="AJ33" s="100"/>
      <c r="AK33" s="99"/>
      <c r="AL33" s="99"/>
      <c r="AM33" s="99"/>
      <c r="AN33" s="99"/>
      <c r="AO33" s="100"/>
      <c r="AP33" s="99"/>
      <c r="AQ33" s="99"/>
      <c r="AR33" s="99"/>
      <c r="AS33" s="99"/>
      <c r="AT33" s="100"/>
      <c r="AU33" s="99"/>
      <c r="AV33" s="99"/>
      <c r="AW33" s="99"/>
      <c r="AX33" s="99"/>
      <c r="AY33" s="100"/>
      <c r="AZ33" s="99"/>
      <c r="BA33" s="99"/>
      <c r="BB33" s="99"/>
      <c r="BC33" s="99"/>
      <c r="BD33" s="100"/>
      <c r="BE33" s="99"/>
      <c r="BF33" s="99"/>
      <c r="BG33" s="99"/>
      <c r="BH33" s="99"/>
      <c r="BI33" s="100"/>
      <c r="BJ33" s="694" t="s">
        <v>82</v>
      </c>
    </row>
    <row r="34" spans="1:62" s="130" customFormat="1" ht="20.25" customHeight="1">
      <c r="A34" s="315">
        <v>31</v>
      </c>
      <c r="B34" s="316" t="s">
        <v>52</v>
      </c>
      <c r="C34" s="238" t="s">
        <v>487</v>
      </c>
      <c r="D34" s="280" t="s">
        <v>488</v>
      </c>
      <c r="E34" s="604" t="s">
        <v>489</v>
      </c>
      <c r="F34" s="241" t="s">
        <v>408</v>
      </c>
      <c r="G34" s="241" t="s">
        <v>404</v>
      </c>
      <c r="H34" s="234">
        <v>46045</v>
      </c>
      <c r="I34" s="214">
        <v>46046</v>
      </c>
      <c r="J34" s="214">
        <f t="shared" si="4"/>
        <v>46053</v>
      </c>
      <c r="K34" s="103">
        <v>0</v>
      </c>
      <c r="L34" s="103" t="s">
        <v>51</v>
      </c>
      <c r="M34" s="103" t="s">
        <v>89</v>
      </c>
      <c r="N34" s="214"/>
      <c r="O34" s="656" t="s">
        <v>81</v>
      </c>
      <c r="P34" s="312"/>
      <c r="Q34" s="214">
        <v>46046</v>
      </c>
      <c r="R34" s="214">
        <v>46050</v>
      </c>
      <c r="S34" s="214">
        <v>46052</v>
      </c>
      <c r="T34" s="313"/>
      <c r="U34" s="93"/>
      <c r="V34" s="94"/>
      <c r="W34" s="94"/>
      <c r="X34" s="94"/>
      <c r="Y34" s="94"/>
      <c r="Z34" s="90"/>
      <c r="AA34" s="94"/>
      <c r="AB34" s="94"/>
      <c r="AC34" s="94"/>
      <c r="AD34" s="94"/>
      <c r="AE34" s="90"/>
      <c r="AF34" s="99"/>
      <c r="AG34" s="99"/>
      <c r="AH34" s="99"/>
      <c r="AI34" s="99"/>
      <c r="AJ34" s="100"/>
      <c r="AK34" s="99"/>
      <c r="AL34" s="99"/>
      <c r="AM34" s="99"/>
      <c r="AN34" s="99"/>
      <c r="AO34" s="100"/>
      <c r="AP34" s="99"/>
      <c r="AQ34" s="99"/>
      <c r="AR34" s="99"/>
      <c r="AS34" s="99"/>
      <c r="AT34" s="100"/>
      <c r="AU34" s="99"/>
      <c r="AV34" s="99"/>
      <c r="AW34" s="99"/>
      <c r="AX34" s="99"/>
      <c r="AY34" s="100"/>
      <c r="AZ34" s="99"/>
      <c r="BA34" s="99"/>
      <c r="BB34" s="99"/>
      <c r="BC34" s="99"/>
      <c r="BD34" s="100"/>
      <c r="BE34" s="99"/>
      <c r="BF34" s="99"/>
      <c r="BG34" s="99"/>
      <c r="BH34" s="99"/>
      <c r="BI34" s="100"/>
      <c r="BJ34" s="694" t="s">
        <v>82</v>
      </c>
    </row>
    <row r="35" spans="1:62" ht="20.25" customHeight="1">
      <c r="A35" s="315">
        <v>32</v>
      </c>
      <c r="B35" s="316" t="s">
        <v>52</v>
      </c>
      <c r="C35" s="238" t="s">
        <v>490</v>
      </c>
      <c r="D35" s="280" t="s">
        <v>491</v>
      </c>
      <c r="E35" s="604" t="s">
        <v>492</v>
      </c>
      <c r="F35" s="241" t="s">
        <v>408</v>
      </c>
      <c r="G35" s="241" t="s">
        <v>404</v>
      </c>
      <c r="H35" s="234">
        <v>46045</v>
      </c>
      <c r="I35" s="214">
        <v>46046</v>
      </c>
      <c r="J35" s="214">
        <f t="shared" si="4"/>
        <v>46053</v>
      </c>
      <c r="K35" s="103">
        <v>0</v>
      </c>
      <c r="L35" s="103" t="s">
        <v>51</v>
      </c>
      <c r="M35" s="103" t="s">
        <v>89</v>
      </c>
      <c r="N35" s="214"/>
      <c r="O35" s="656" t="s">
        <v>81</v>
      </c>
      <c r="P35" s="312"/>
      <c r="Q35" s="214">
        <v>46046</v>
      </c>
      <c r="R35" s="214">
        <v>46050</v>
      </c>
      <c r="S35" s="214">
        <v>46052</v>
      </c>
      <c r="T35" s="313"/>
      <c r="U35" s="93"/>
      <c r="V35" s="99"/>
      <c r="W35" s="99"/>
      <c r="X35" s="99"/>
      <c r="Y35" s="99"/>
      <c r="Z35" s="103"/>
      <c r="AA35" s="99"/>
      <c r="AB35" s="99"/>
      <c r="AC35" s="99"/>
      <c r="AD35" s="99"/>
      <c r="AE35" s="100"/>
      <c r="AF35" s="96"/>
      <c r="AG35" s="96"/>
      <c r="AH35" s="96"/>
      <c r="AI35" s="96"/>
      <c r="AJ35" s="104"/>
      <c r="AK35" s="96"/>
      <c r="AL35" s="96"/>
      <c r="AM35" s="96"/>
      <c r="AN35" s="96"/>
      <c r="AO35" s="104"/>
      <c r="AP35" s="96"/>
      <c r="AQ35" s="96"/>
      <c r="AR35" s="96"/>
      <c r="AS35" s="96"/>
      <c r="AT35" s="104"/>
      <c r="AU35" s="96"/>
      <c r="AV35" s="96"/>
      <c r="AW35" s="96"/>
      <c r="AX35" s="96"/>
      <c r="AY35" s="104"/>
      <c r="AZ35" s="96"/>
      <c r="BA35" s="96"/>
      <c r="BB35" s="96"/>
      <c r="BC35" s="96"/>
      <c r="BD35" s="104"/>
      <c r="BE35" s="96"/>
      <c r="BF35" s="96"/>
      <c r="BG35" s="96"/>
      <c r="BH35" s="96"/>
      <c r="BI35" s="104"/>
      <c r="BJ35" s="694" t="s">
        <v>82</v>
      </c>
    </row>
    <row r="36" spans="1:62" s="130" customFormat="1" ht="20.25" customHeight="1">
      <c r="A36" s="315">
        <v>33</v>
      </c>
      <c r="B36" s="316" t="s">
        <v>52</v>
      </c>
      <c r="C36" s="238" t="s">
        <v>493</v>
      </c>
      <c r="D36" s="280" t="s">
        <v>494</v>
      </c>
      <c r="E36" s="604" t="s">
        <v>495</v>
      </c>
      <c r="F36" s="241" t="s">
        <v>408</v>
      </c>
      <c r="G36" s="241" t="s">
        <v>404</v>
      </c>
      <c r="H36" s="234">
        <v>46045</v>
      </c>
      <c r="I36" s="214">
        <v>46046</v>
      </c>
      <c r="J36" s="214">
        <f t="shared" si="4"/>
        <v>46053</v>
      </c>
      <c r="K36" s="103">
        <v>0</v>
      </c>
      <c r="L36" s="103" t="s">
        <v>51</v>
      </c>
      <c r="M36" s="103" t="s">
        <v>89</v>
      </c>
      <c r="N36" s="214"/>
      <c r="O36" s="656" t="s">
        <v>81</v>
      </c>
      <c r="P36" s="312"/>
      <c r="Q36" s="214">
        <v>46046</v>
      </c>
      <c r="R36" s="313">
        <v>46049</v>
      </c>
      <c r="S36" s="214">
        <v>46052</v>
      </c>
      <c r="T36" s="313"/>
      <c r="U36" s="322"/>
      <c r="V36" s="94"/>
      <c r="W36" s="99"/>
      <c r="X36" s="94"/>
      <c r="Y36" s="99"/>
      <c r="Z36" s="103"/>
      <c r="AA36" s="94"/>
      <c r="AB36" s="94"/>
      <c r="AC36" s="94"/>
      <c r="AD36" s="94"/>
      <c r="AE36" s="90"/>
      <c r="AF36" s="96"/>
      <c r="AG36" s="96"/>
      <c r="AH36" s="96"/>
      <c r="AI36" s="96"/>
      <c r="AJ36" s="104"/>
      <c r="AK36" s="96"/>
      <c r="AL36" s="96"/>
      <c r="AM36" s="96"/>
      <c r="AN36" s="96"/>
      <c r="AO36" s="104"/>
      <c r="AP36" s="96"/>
      <c r="AQ36" s="96"/>
      <c r="AR36" s="96"/>
      <c r="AS36" s="96"/>
      <c r="AT36" s="104"/>
      <c r="AU36" s="96"/>
      <c r="AV36" s="96"/>
      <c r="AW36" s="96"/>
      <c r="AX36" s="96"/>
      <c r="AY36" s="104"/>
      <c r="AZ36" s="96"/>
      <c r="BA36" s="96"/>
      <c r="BB36" s="96"/>
      <c r="BC36" s="96"/>
      <c r="BD36" s="104"/>
      <c r="BE36" s="96"/>
      <c r="BF36" s="96"/>
      <c r="BG36" s="96"/>
      <c r="BH36" s="96"/>
      <c r="BI36" s="104"/>
      <c r="BJ36" s="694" t="s">
        <v>82</v>
      </c>
    </row>
    <row r="37" spans="1:62" s="130" customFormat="1" ht="20.25" customHeight="1">
      <c r="A37" s="315">
        <v>34</v>
      </c>
      <c r="B37" s="316" t="s">
        <v>52</v>
      </c>
      <c r="C37" s="238" t="s">
        <v>496</v>
      </c>
      <c r="D37" s="280" t="s">
        <v>497</v>
      </c>
      <c r="E37" s="604" t="s">
        <v>498</v>
      </c>
      <c r="F37" s="241" t="s">
        <v>408</v>
      </c>
      <c r="G37" s="241" t="s">
        <v>404</v>
      </c>
      <c r="H37" s="234">
        <v>46045</v>
      </c>
      <c r="I37" s="214">
        <v>46046</v>
      </c>
      <c r="J37" s="214">
        <f t="shared" si="4"/>
        <v>46053</v>
      </c>
      <c r="K37" s="103">
        <v>0</v>
      </c>
      <c r="L37" s="103" t="s">
        <v>51</v>
      </c>
      <c r="M37" s="103" t="s">
        <v>89</v>
      </c>
      <c r="N37" s="214"/>
      <c r="O37" s="656" t="s">
        <v>81</v>
      </c>
      <c r="P37" s="312"/>
      <c r="Q37" s="214">
        <v>46046</v>
      </c>
      <c r="R37" s="313">
        <v>46049</v>
      </c>
      <c r="S37" s="214">
        <v>46052</v>
      </c>
      <c r="T37" s="323"/>
      <c r="U37" s="322"/>
      <c r="V37" s="198"/>
      <c r="W37" s="94"/>
      <c r="X37" s="94"/>
      <c r="Y37" s="94"/>
      <c r="Z37" s="90"/>
      <c r="AA37" s="94"/>
      <c r="AB37" s="94"/>
      <c r="AC37" s="94"/>
      <c r="AD37" s="94"/>
      <c r="AE37" s="90"/>
      <c r="AF37" s="96"/>
      <c r="AG37" s="96"/>
      <c r="AH37" s="96"/>
      <c r="AI37" s="96"/>
      <c r="AJ37" s="104"/>
      <c r="AK37" s="96"/>
      <c r="AL37" s="96"/>
      <c r="AM37" s="96"/>
      <c r="AN37" s="96"/>
      <c r="AO37" s="104"/>
      <c r="AP37" s="96"/>
      <c r="AQ37" s="96"/>
      <c r="AR37" s="96"/>
      <c r="AS37" s="96"/>
      <c r="AT37" s="104"/>
      <c r="AU37" s="96"/>
      <c r="AV37" s="96"/>
      <c r="AW37" s="96"/>
      <c r="AX37" s="96"/>
      <c r="AY37" s="104"/>
      <c r="AZ37" s="96"/>
      <c r="BA37" s="96"/>
      <c r="BB37" s="96"/>
      <c r="BC37" s="96"/>
      <c r="BD37" s="104"/>
      <c r="BE37" s="96"/>
      <c r="BF37" s="96"/>
      <c r="BG37" s="96"/>
      <c r="BH37" s="96"/>
      <c r="BI37" s="104"/>
      <c r="BJ37" s="694" t="s">
        <v>82</v>
      </c>
    </row>
    <row r="38" spans="1:62" s="130" customFormat="1" ht="20.25" customHeight="1">
      <c r="A38" s="315">
        <v>35</v>
      </c>
      <c r="B38" s="316" t="s">
        <v>52</v>
      </c>
      <c r="C38" s="238" t="s">
        <v>499</v>
      </c>
      <c r="D38" s="280" t="s">
        <v>500</v>
      </c>
      <c r="E38" s="604" t="s">
        <v>501</v>
      </c>
      <c r="F38" s="241" t="s">
        <v>408</v>
      </c>
      <c r="G38" s="241" t="s">
        <v>404</v>
      </c>
      <c r="H38" s="234">
        <v>46041</v>
      </c>
      <c r="I38" s="214">
        <v>46046</v>
      </c>
      <c r="J38" s="214">
        <f t="shared" si="4"/>
        <v>46053</v>
      </c>
      <c r="K38" s="103">
        <v>0</v>
      </c>
      <c r="L38" s="103" t="s">
        <v>51</v>
      </c>
      <c r="M38" s="103" t="s">
        <v>89</v>
      </c>
      <c r="N38" s="214"/>
      <c r="O38" s="656" t="s">
        <v>81</v>
      </c>
      <c r="P38" s="312"/>
      <c r="Q38" s="214">
        <v>46046</v>
      </c>
      <c r="R38" s="313">
        <v>46049</v>
      </c>
      <c r="S38" s="214">
        <v>46055</v>
      </c>
      <c r="T38" s="324"/>
      <c r="U38" s="322"/>
      <c r="V38" s="198"/>
      <c r="W38" s="94"/>
      <c r="X38" s="94"/>
      <c r="Y38" s="94"/>
      <c r="Z38" s="90"/>
      <c r="AA38" s="94"/>
      <c r="AB38" s="94"/>
      <c r="AC38" s="94"/>
      <c r="AD38" s="94"/>
      <c r="AE38" s="90"/>
      <c r="AF38" s="96"/>
      <c r="AG38" s="96"/>
      <c r="AH38" s="96"/>
      <c r="AI38" s="96"/>
      <c r="AJ38" s="104"/>
      <c r="AK38" s="96"/>
      <c r="AL38" s="96"/>
      <c r="AM38" s="96"/>
      <c r="AN38" s="96"/>
      <c r="AO38" s="104"/>
      <c r="AP38" s="96"/>
      <c r="AQ38" s="96"/>
      <c r="AR38" s="96"/>
      <c r="AS38" s="96"/>
      <c r="AT38" s="104"/>
      <c r="AU38" s="96"/>
      <c r="AV38" s="96"/>
      <c r="AW38" s="96"/>
      <c r="AX38" s="96"/>
      <c r="AY38" s="104"/>
      <c r="AZ38" s="96"/>
      <c r="BA38" s="96"/>
      <c r="BB38" s="96"/>
      <c r="BC38" s="96"/>
      <c r="BD38" s="104"/>
      <c r="BE38" s="96"/>
      <c r="BF38" s="96"/>
      <c r="BG38" s="96"/>
      <c r="BH38" s="96"/>
      <c r="BI38" s="104"/>
      <c r="BJ38" s="694" t="s">
        <v>253</v>
      </c>
    </row>
    <row r="39" spans="1:62" s="130" customFormat="1" ht="20.25" customHeight="1">
      <c r="A39" s="315">
        <v>36</v>
      </c>
      <c r="B39" s="316" t="s">
        <v>52</v>
      </c>
      <c r="C39" s="238" t="s">
        <v>502</v>
      </c>
      <c r="D39" s="280" t="s">
        <v>503</v>
      </c>
      <c r="E39" s="604" t="s">
        <v>504</v>
      </c>
      <c r="F39" s="241" t="s">
        <v>408</v>
      </c>
      <c r="G39" s="241" t="s">
        <v>404</v>
      </c>
      <c r="H39" s="233">
        <v>46045</v>
      </c>
      <c r="I39" s="214">
        <v>46055</v>
      </c>
      <c r="J39" s="214">
        <f t="shared" si="0"/>
        <v>46062</v>
      </c>
      <c r="K39" s="103">
        <v>0</v>
      </c>
      <c r="L39" s="103" t="s">
        <v>51</v>
      </c>
      <c r="M39" s="103" t="s">
        <v>89</v>
      </c>
      <c r="N39" s="214"/>
      <c r="O39" s="656" t="s">
        <v>81</v>
      </c>
      <c r="P39" s="632"/>
      <c r="Q39" s="214">
        <v>46055</v>
      </c>
      <c r="R39" s="214">
        <v>46057</v>
      </c>
      <c r="S39" s="214">
        <v>46062</v>
      </c>
      <c r="T39" s="324"/>
      <c r="U39" s="325"/>
      <c r="V39" s="198"/>
      <c r="W39" s="94"/>
      <c r="X39" s="94"/>
      <c r="Y39" s="94"/>
      <c r="Z39" s="90"/>
      <c r="AA39" s="94"/>
      <c r="AB39" s="94"/>
      <c r="AC39" s="94"/>
      <c r="AD39" s="94"/>
      <c r="AE39" s="90"/>
      <c r="AF39" s="99"/>
      <c r="AG39" s="99"/>
      <c r="AH39" s="99"/>
      <c r="AI39" s="99"/>
      <c r="AJ39" s="100"/>
      <c r="AK39" s="99"/>
      <c r="AL39" s="99"/>
      <c r="AM39" s="99"/>
      <c r="AN39" s="99"/>
      <c r="AO39" s="100"/>
      <c r="AP39" s="99"/>
      <c r="AQ39" s="99"/>
      <c r="AR39" s="99"/>
      <c r="AS39" s="99"/>
      <c r="AT39" s="100"/>
      <c r="AU39" s="99"/>
      <c r="AV39" s="99"/>
      <c r="AW39" s="99"/>
      <c r="AX39" s="99"/>
      <c r="AY39" s="100"/>
      <c r="AZ39" s="99"/>
      <c r="BA39" s="99"/>
      <c r="BB39" s="99"/>
      <c r="BC39" s="99"/>
      <c r="BD39" s="100"/>
      <c r="BE39" s="99"/>
      <c r="BF39" s="99"/>
      <c r="BG39" s="99"/>
      <c r="BH39" s="99"/>
      <c r="BI39" s="100"/>
      <c r="BJ39" s="694" t="s">
        <v>82</v>
      </c>
    </row>
    <row r="40" spans="1:62" s="47" customFormat="1" ht="20.25" customHeight="1">
      <c r="A40" s="315">
        <v>37</v>
      </c>
      <c r="B40" s="316" t="s">
        <v>52</v>
      </c>
      <c r="C40" s="238" t="s">
        <v>505</v>
      </c>
      <c r="D40" s="280" t="s">
        <v>506</v>
      </c>
      <c r="E40" s="604" t="s">
        <v>507</v>
      </c>
      <c r="F40" s="241" t="s">
        <v>408</v>
      </c>
      <c r="G40" s="241" t="s">
        <v>404</v>
      </c>
      <c r="H40" s="233">
        <v>46045</v>
      </c>
      <c r="I40" s="214">
        <v>46055</v>
      </c>
      <c r="J40" s="214">
        <f t="shared" si="0"/>
        <v>46062</v>
      </c>
      <c r="K40" s="103">
        <v>0</v>
      </c>
      <c r="L40" s="103" t="s">
        <v>51</v>
      </c>
      <c r="M40" s="103" t="s">
        <v>89</v>
      </c>
      <c r="N40" s="214"/>
      <c r="O40" s="656" t="s">
        <v>81</v>
      </c>
      <c r="P40" s="789"/>
      <c r="Q40" s="214">
        <v>46055</v>
      </c>
      <c r="R40" s="214">
        <v>46057</v>
      </c>
      <c r="S40" s="214">
        <v>46062</v>
      </c>
      <c r="T40" s="324"/>
      <c r="U40" s="325"/>
      <c r="V40" s="790"/>
      <c r="W40" s="92"/>
      <c r="X40" s="92"/>
      <c r="Y40" s="92"/>
      <c r="Z40" s="103"/>
      <c r="AA40" s="92"/>
      <c r="AB40" s="92"/>
      <c r="AC40" s="92"/>
      <c r="AD40" s="92"/>
      <c r="AE40" s="103"/>
      <c r="AF40" s="96"/>
      <c r="AG40" s="96"/>
      <c r="AH40" s="96"/>
      <c r="AI40" s="96"/>
      <c r="AJ40" s="104"/>
      <c r="AK40" s="96"/>
      <c r="AL40" s="96"/>
      <c r="AM40" s="96"/>
      <c r="AN40" s="96"/>
      <c r="AO40" s="104"/>
      <c r="AP40" s="96"/>
      <c r="AQ40" s="96"/>
      <c r="AR40" s="96"/>
      <c r="AS40" s="96"/>
      <c r="AT40" s="104"/>
      <c r="AU40" s="96"/>
      <c r="AV40" s="96"/>
      <c r="AW40" s="96"/>
      <c r="AX40" s="96"/>
      <c r="AY40" s="104"/>
      <c r="AZ40" s="96"/>
      <c r="BA40" s="96"/>
      <c r="BB40" s="96"/>
      <c r="BC40" s="96"/>
      <c r="BD40" s="104"/>
      <c r="BE40" s="96"/>
      <c r="BF40" s="96"/>
      <c r="BG40" s="96"/>
      <c r="BH40" s="96"/>
      <c r="BI40" s="104"/>
      <c r="BJ40" s="693" t="s">
        <v>82</v>
      </c>
    </row>
    <row r="41" spans="1:62" s="130" customFormat="1" ht="20.25" customHeight="1">
      <c r="A41" s="315">
        <v>38</v>
      </c>
      <c r="B41" s="316" t="s">
        <v>52</v>
      </c>
      <c r="C41" s="238" t="s">
        <v>508</v>
      </c>
      <c r="D41" s="280" t="s">
        <v>509</v>
      </c>
      <c r="E41" s="604" t="s">
        <v>510</v>
      </c>
      <c r="F41" s="241" t="s">
        <v>408</v>
      </c>
      <c r="G41" s="241" t="s">
        <v>404</v>
      </c>
      <c r="H41" s="233">
        <v>46045</v>
      </c>
      <c r="I41" s="214">
        <v>46058</v>
      </c>
      <c r="J41" s="214">
        <f t="shared" si="0"/>
        <v>46065</v>
      </c>
      <c r="K41" s="103">
        <v>0</v>
      </c>
      <c r="L41" s="103" t="s">
        <v>50</v>
      </c>
      <c r="M41" s="103" t="s">
        <v>89</v>
      </c>
      <c r="N41" s="314"/>
      <c r="O41" s="656" t="s">
        <v>81</v>
      </c>
      <c r="P41" s="632"/>
      <c r="Q41" s="313">
        <v>46058</v>
      </c>
      <c r="R41" s="313">
        <v>46064</v>
      </c>
      <c r="S41" s="313"/>
      <c r="T41" s="323"/>
      <c r="U41" s="326"/>
      <c r="V41" s="198"/>
      <c r="W41" s="94"/>
      <c r="X41" s="94"/>
      <c r="Y41" s="94"/>
      <c r="Z41" s="90"/>
      <c r="AA41" s="94"/>
      <c r="AB41" s="94"/>
      <c r="AC41" s="94"/>
      <c r="AD41" s="94"/>
      <c r="AE41" s="90"/>
      <c r="AF41" s="96"/>
      <c r="AG41" s="96"/>
      <c r="AH41" s="96"/>
      <c r="AI41" s="96"/>
      <c r="AJ41" s="104"/>
      <c r="AK41" s="96"/>
      <c r="AL41" s="96"/>
      <c r="AM41" s="96"/>
      <c r="AN41" s="96"/>
      <c r="AO41" s="104"/>
      <c r="AP41" s="96"/>
      <c r="AQ41" s="96"/>
      <c r="AR41" s="96"/>
      <c r="AS41" s="96"/>
      <c r="AT41" s="104"/>
      <c r="AU41" s="96"/>
      <c r="AV41" s="96"/>
      <c r="AW41" s="96"/>
      <c r="AX41" s="96"/>
      <c r="AY41" s="104"/>
      <c r="AZ41" s="96"/>
      <c r="BA41" s="96"/>
      <c r="BB41" s="96"/>
      <c r="BC41" s="96"/>
      <c r="BD41" s="104"/>
      <c r="BE41" s="96"/>
      <c r="BF41" s="96"/>
      <c r="BG41" s="96"/>
      <c r="BH41" s="96"/>
      <c r="BI41" s="104"/>
      <c r="BJ41" s="694" t="s">
        <v>82</v>
      </c>
    </row>
    <row r="42" spans="1:62" s="130" customFormat="1" ht="20.25" customHeight="1">
      <c r="A42" s="315">
        <v>39</v>
      </c>
      <c r="B42" s="316" t="s">
        <v>52</v>
      </c>
      <c r="C42" s="238" t="s">
        <v>511</v>
      </c>
      <c r="D42" s="280" t="s">
        <v>512</v>
      </c>
      <c r="E42" s="604" t="s">
        <v>513</v>
      </c>
      <c r="F42" s="241" t="s">
        <v>408</v>
      </c>
      <c r="G42" s="241" t="s">
        <v>404</v>
      </c>
      <c r="H42" s="233">
        <v>46045</v>
      </c>
      <c r="I42" s="214">
        <v>46058</v>
      </c>
      <c r="J42" s="214">
        <f t="shared" si="0"/>
        <v>46065</v>
      </c>
      <c r="K42" s="103">
        <v>0</v>
      </c>
      <c r="L42" s="103" t="s">
        <v>50</v>
      </c>
      <c r="M42" s="103" t="s">
        <v>89</v>
      </c>
      <c r="N42" s="314"/>
      <c r="O42" s="656" t="s">
        <v>81</v>
      </c>
      <c r="P42" s="632"/>
      <c r="Q42" s="214">
        <v>46058</v>
      </c>
      <c r="R42" s="313">
        <v>46064</v>
      </c>
      <c r="S42" s="313"/>
      <c r="T42" s="323"/>
      <c r="U42" s="325"/>
      <c r="V42" s="198"/>
      <c r="W42" s="94"/>
      <c r="X42" s="94"/>
      <c r="Y42" s="94"/>
      <c r="Z42" s="90"/>
      <c r="AA42" s="94"/>
      <c r="AB42" s="94"/>
      <c r="AC42" s="94"/>
      <c r="AD42" s="94"/>
      <c r="AE42" s="90"/>
      <c r="AF42" s="96"/>
      <c r="AG42" s="96"/>
      <c r="AH42" s="96"/>
      <c r="AI42" s="96"/>
      <c r="AJ42" s="104"/>
      <c r="AK42" s="96"/>
      <c r="AL42" s="96"/>
      <c r="AM42" s="96"/>
      <c r="AN42" s="96"/>
      <c r="AO42" s="104"/>
      <c r="AP42" s="96"/>
      <c r="AQ42" s="96"/>
      <c r="AR42" s="96"/>
      <c r="AS42" s="96"/>
      <c r="AT42" s="104"/>
      <c r="AU42" s="96"/>
      <c r="AV42" s="96"/>
      <c r="AW42" s="96"/>
      <c r="AX42" s="96"/>
      <c r="AY42" s="104"/>
      <c r="AZ42" s="96"/>
      <c r="BA42" s="96"/>
      <c r="BB42" s="96"/>
      <c r="BC42" s="96"/>
      <c r="BD42" s="104"/>
      <c r="BE42" s="96"/>
      <c r="BF42" s="96"/>
      <c r="BG42" s="96"/>
      <c r="BH42" s="96"/>
      <c r="BI42" s="104"/>
      <c r="BJ42" s="694" t="s">
        <v>82</v>
      </c>
    </row>
    <row r="43" spans="1:62" s="130" customFormat="1" ht="20.25" customHeight="1">
      <c r="A43" s="315">
        <v>40</v>
      </c>
      <c r="B43" s="316" t="s">
        <v>52</v>
      </c>
      <c r="C43" s="238" t="s">
        <v>514</v>
      </c>
      <c r="D43" s="280" t="s">
        <v>515</v>
      </c>
      <c r="E43" s="604" t="s">
        <v>516</v>
      </c>
      <c r="F43" s="241" t="s">
        <v>408</v>
      </c>
      <c r="G43" s="241" t="s">
        <v>404</v>
      </c>
      <c r="H43" s="233">
        <v>46045</v>
      </c>
      <c r="I43" s="214">
        <v>46062</v>
      </c>
      <c r="J43" s="214">
        <f t="shared" ref="J43:J45" si="5">I43+7</f>
        <v>46069</v>
      </c>
      <c r="K43" s="103">
        <v>0</v>
      </c>
      <c r="L43" s="103" t="s">
        <v>49</v>
      </c>
      <c r="M43" s="103" t="s">
        <v>89</v>
      </c>
      <c r="N43" s="314"/>
      <c r="O43" s="656" t="s">
        <v>81</v>
      </c>
      <c r="P43" s="632"/>
      <c r="Q43" s="214">
        <v>46062</v>
      </c>
      <c r="R43" s="214"/>
      <c r="S43" s="214"/>
      <c r="T43" s="324"/>
      <c r="U43" s="325"/>
      <c r="V43" s="198"/>
      <c r="W43" s="94"/>
      <c r="X43" s="94"/>
      <c r="Y43" s="94"/>
      <c r="Z43" s="90"/>
      <c r="AA43" s="94"/>
      <c r="AB43" s="94"/>
      <c r="AC43" s="94"/>
      <c r="AD43" s="94"/>
      <c r="AE43" s="90"/>
      <c r="AF43" s="96"/>
      <c r="AG43" s="96"/>
      <c r="AH43" s="96"/>
      <c r="AI43" s="96"/>
      <c r="AJ43" s="104"/>
      <c r="AK43" s="96"/>
      <c r="AL43" s="96"/>
      <c r="AM43" s="96"/>
      <c r="AN43" s="96"/>
      <c r="AO43" s="104"/>
      <c r="AP43" s="96"/>
      <c r="AQ43" s="96"/>
      <c r="AR43" s="96"/>
      <c r="AS43" s="96"/>
      <c r="AT43" s="104"/>
      <c r="AU43" s="96"/>
      <c r="AV43" s="96"/>
      <c r="AW43" s="96"/>
      <c r="AX43" s="96"/>
      <c r="AY43" s="104"/>
      <c r="AZ43" s="96"/>
      <c r="BA43" s="96"/>
      <c r="BB43" s="96"/>
      <c r="BC43" s="96"/>
      <c r="BD43" s="104"/>
      <c r="BE43" s="96"/>
      <c r="BF43" s="96"/>
      <c r="BG43" s="96"/>
      <c r="BH43" s="96"/>
      <c r="BI43" s="104"/>
      <c r="BJ43" s="694" t="s">
        <v>82</v>
      </c>
    </row>
    <row r="44" spans="1:62" s="130" customFormat="1" ht="20.25" customHeight="1">
      <c r="A44" s="315">
        <v>41</v>
      </c>
      <c r="B44" s="316" t="s">
        <v>52</v>
      </c>
      <c r="C44" s="238" t="s">
        <v>517</v>
      </c>
      <c r="D44" s="280" t="s">
        <v>518</v>
      </c>
      <c r="E44" s="604" t="s">
        <v>519</v>
      </c>
      <c r="F44" s="241" t="s">
        <v>408</v>
      </c>
      <c r="G44" s="241" t="s">
        <v>404</v>
      </c>
      <c r="H44" s="233">
        <v>46045</v>
      </c>
      <c r="I44" s="214">
        <v>46062</v>
      </c>
      <c r="J44" s="214">
        <f t="shared" si="5"/>
        <v>46069</v>
      </c>
      <c r="K44" s="103">
        <v>0</v>
      </c>
      <c r="L44" s="103" t="s">
        <v>49</v>
      </c>
      <c r="M44" s="103" t="s">
        <v>89</v>
      </c>
      <c r="N44" s="314"/>
      <c r="O44" s="656" t="s">
        <v>81</v>
      </c>
      <c r="P44" s="632"/>
      <c r="Q44" s="214">
        <v>46062</v>
      </c>
      <c r="R44" s="214"/>
      <c r="S44" s="214"/>
      <c r="T44" s="324"/>
      <c r="U44" s="325"/>
      <c r="V44" s="198"/>
      <c r="W44" s="94"/>
      <c r="X44" s="94"/>
      <c r="Y44" s="94"/>
      <c r="Z44" s="90"/>
      <c r="AA44" s="94"/>
      <c r="AB44" s="94"/>
      <c r="AC44" s="94"/>
      <c r="AD44" s="94"/>
      <c r="AE44" s="90"/>
      <c r="AF44" s="96"/>
      <c r="AG44" s="96"/>
      <c r="AH44" s="96"/>
      <c r="AI44" s="96"/>
      <c r="AJ44" s="104"/>
      <c r="AK44" s="96"/>
      <c r="AL44" s="96"/>
      <c r="AM44" s="96"/>
      <c r="AN44" s="96"/>
      <c r="AO44" s="104"/>
      <c r="AP44" s="96"/>
      <c r="AQ44" s="96"/>
      <c r="AR44" s="96"/>
      <c r="AS44" s="96"/>
      <c r="AT44" s="104"/>
      <c r="AU44" s="96"/>
      <c r="AV44" s="96"/>
      <c r="AW44" s="96"/>
      <c r="AX44" s="96"/>
      <c r="AY44" s="104"/>
      <c r="AZ44" s="96"/>
      <c r="BA44" s="96"/>
      <c r="BB44" s="96"/>
      <c r="BC44" s="96"/>
      <c r="BD44" s="104"/>
      <c r="BE44" s="96"/>
      <c r="BF44" s="96"/>
      <c r="BG44" s="96"/>
      <c r="BH44" s="96"/>
      <c r="BI44" s="104"/>
      <c r="BJ44" s="694" t="s">
        <v>82</v>
      </c>
    </row>
    <row r="45" spans="1:62" s="130" customFormat="1" ht="20.25" customHeight="1">
      <c r="A45" s="315">
        <v>42</v>
      </c>
      <c r="B45" s="316" t="s">
        <v>52</v>
      </c>
      <c r="C45" s="238" t="s">
        <v>520</v>
      </c>
      <c r="D45" s="281" t="s">
        <v>521</v>
      </c>
      <c r="E45" s="604" t="s">
        <v>522</v>
      </c>
      <c r="F45" s="241" t="s">
        <v>408</v>
      </c>
      <c r="G45" s="241" t="s">
        <v>404</v>
      </c>
      <c r="H45" s="233">
        <v>46045</v>
      </c>
      <c r="I45" s="214">
        <v>46062</v>
      </c>
      <c r="J45" s="214">
        <f t="shared" si="5"/>
        <v>46069</v>
      </c>
      <c r="K45" s="103">
        <v>0</v>
      </c>
      <c r="L45" s="103" t="s">
        <v>49</v>
      </c>
      <c r="M45" s="103" t="s">
        <v>89</v>
      </c>
      <c r="N45" s="314"/>
      <c r="O45" s="656" t="s">
        <v>81</v>
      </c>
      <c r="P45" s="632"/>
      <c r="Q45" s="214">
        <v>46062</v>
      </c>
      <c r="R45" s="214"/>
      <c r="S45" s="214"/>
      <c r="T45" s="324"/>
      <c r="U45" s="325"/>
      <c r="V45" s="198"/>
      <c r="W45" s="94"/>
      <c r="X45" s="94"/>
      <c r="Y45" s="94"/>
      <c r="Z45" s="90"/>
      <c r="AA45" s="94"/>
      <c r="AB45" s="94"/>
      <c r="AC45" s="94"/>
      <c r="AD45" s="94"/>
      <c r="AE45" s="90"/>
      <c r="AF45" s="99"/>
      <c r="AG45" s="99"/>
      <c r="AH45" s="99"/>
      <c r="AI45" s="99"/>
      <c r="AJ45" s="100"/>
      <c r="AK45" s="99"/>
      <c r="AL45" s="99"/>
      <c r="AM45" s="99"/>
      <c r="AN45" s="99"/>
      <c r="AO45" s="100"/>
      <c r="AP45" s="99"/>
      <c r="AQ45" s="99"/>
      <c r="AR45" s="99"/>
      <c r="AS45" s="99"/>
      <c r="AT45" s="100"/>
      <c r="AU45" s="99"/>
      <c r="AV45" s="99"/>
      <c r="AW45" s="99"/>
      <c r="AX45" s="99"/>
      <c r="AY45" s="100"/>
      <c r="AZ45" s="99"/>
      <c r="BA45" s="99"/>
      <c r="BB45" s="99"/>
      <c r="BC45" s="99"/>
      <c r="BD45" s="100"/>
      <c r="BE45" s="99"/>
      <c r="BF45" s="99"/>
      <c r="BG45" s="99"/>
      <c r="BH45" s="99"/>
      <c r="BI45" s="100"/>
      <c r="BJ45" s="694" t="s">
        <v>82</v>
      </c>
    </row>
    <row r="46" spans="1:62" ht="20.25" customHeight="1">
      <c r="A46" s="315">
        <v>43</v>
      </c>
      <c r="B46" s="316" t="s">
        <v>52</v>
      </c>
      <c r="C46" s="238" t="s">
        <v>523</v>
      </c>
      <c r="D46" s="281" t="s">
        <v>524</v>
      </c>
      <c r="E46" s="604" t="s">
        <v>525</v>
      </c>
      <c r="F46" s="241" t="s">
        <v>408</v>
      </c>
      <c r="G46" s="241" t="s">
        <v>404</v>
      </c>
      <c r="H46" s="233">
        <v>46045</v>
      </c>
      <c r="I46" s="214">
        <v>46062</v>
      </c>
      <c r="J46" s="214">
        <f t="shared" ref="J46" si="6">I46+7</f>
        <v>46069</v>
      </c>
      <c r="K46" s="103">
        <v>0</v>
      </c>
      <c r="L46" s="103" t="s">
        <v>49</v>
      </c>
      <c r="M46" s="103" t="s">
        <v>89</v>
      </c>
      <c r="N46" s="214"/>
      <c r="O46" s="656" t="s">
        <v>81</v>
      </c>
      <c r="P46" s="632"/>
      <c r="Q46" s="214">
        <v>46062</v>
      </c>
      <c r="R46" s="313"/>
      <c r="S46" s="214"/>
      <c r="T46" s="324"/>
      <c r="U46" s="325"/>
      <c r="V46" s="198"/>
      <c r="W46" s="94"/>
      <c r="X46" s="94"/>
      <c r="Y46" s="94"/>
      <c r="Z46" s="90"/>
      <c r="AA46" s="99"/>
      <c r="AB46" s="99"/>
      <c r="AC46" s="99"/>
      <c r="AD46" s="99"/>
      <c r="AE46" s="100"/>
      <c r="AF46" s="99"/>
      <c r="AG46" s="99"/>
      <c r="AH46" s="99"/>
      <c r="AI46" s="99"/>
      <c r="AJ46" s="100"/>
      <c r="AK46" s="99"/>
      <c r="AL46" s="99"/>
      <c r="AM46" s="99"/>
      <c r="AN46" s="99"/>
      <c r="AO46" s="100"/>
      <c r="AP46" s="99"/>
      <c r="AQ46" s="99"/>
      <c r="AR46" s="99"/>
      <c r="AS46" s="99"/>
      <c r="AT46" s="100"/>
      <c r="AU46" s="99"/>
      <c r="AV46" s="99"/>
      <c r="AW46" s="99"/>
      <c r="AX46" s="99"/>
      <c r="AY46" s="100"/>
      <c r="AZ46" s="99"/>
      <c r="BA46" s="99"/>
      <c r="BB46" s="99"/>
      <c r="BC46" s="99"/>
      <c r="BD46" s="100"/>
      <c r="BE46" s="99"/>
      <c r="BF46" s="99"/>
      <c r="BG46" s="99"/>
      <c r="BH46" s="99"/>
      <c r="BI46" s="100"/>
      <c r="BJ46" s="694" t="s">
        <v>82</v>
      </c>
    </row>
    <row r="47" spans="1:62" ht="18.75" customHeight="1">
      <c r="A47" s="315">
        <v>44</v>
      </c>
      <c r="B47" s="316" t="s">
        <v>52</v>
      </c>
      <c r="C47" s="238" t="s">
        <v>526</v>
      </c>
      <c r="D47" s="317" t="s">
        <v>527</v>
      </c>
      <c r="E47" s="604" t="s">
        <v>528</v>
      </c>
      <c r="F47" s="241" t="s">
        <v>529</v>
      </c>
      <c r="G47" s="241" t="s">
        <v>530</v>
      </c>
      <c r="H47" s="630">
        <v>46048</v>
      </c>
      <c r="I47" s="327"/>
      <c r="J47" s="214">
        <f t="shared" si="0"/>
        <v>7</v>
      </c>
      <c r="K47" s="311"/>
      <c r="L47" s="103"/>
      <c r="M47" s="103"/>
      <c r="N47" s="214"/>
      <c r="O47" s="656" t="s">
        <v>81</v>
      </c>
      <c r="P47" s="632" t="s">
        <v>531</v>
      </c>
      <c r="Q47" s="214"/>
      <c r="R47" s="313"/>
      <c r="S47" s="214"/>
      <c r="T47" s="214"/>
      <c r="U47" s="328"/>
      <c r="V47" s="198"/>
      <c r="W47" s="94"/>
      <c r="X47" s="94"/>
      <c r="Y47" s="94"/>
      <c r="Z47" s="90"/>
      <c r="AA47" s="99"/>
      <c r="AB47" s="99"/>
      <c r="AC47" s="99"/>
      <c r="AD47" s="99"/>
      <c r="AE47" s="100"/>
      <c r="AF47" s="96"/>
      <c r="AG47" s="96"/>
      <c r="AH47" s="96"/>
      <c r="AI47" s="96"/>
      <c r="AJ47" s="104"/>
      <c r="AK47" s="96"/>
      <c r="AL47" s="96"/>
      <c r="AM47" s="96"/>
      <c r="AN47" s="96"/>
      <c r="AO47" s="104"/>
      <c r="AP47" s="96"/>
      <c r="AQ47" s="96"/>
      <c r="AR47" s="96"/>
      <c r="AS47" s="96"/>
      <c r="AT47" s="104"/>
      <c r="AU47" s="96"/>
      <c r="AV47" s="96"/>
      <c r="AW47" s="96"/>
      <c r="AX47" s="96"/>
      <c r="AY47" s="104"/>
      <c r="AZ47" s="96"/>
      <c r="BA47" s="96"/>
      <c r="BB47" s="96"/>
      <c r="BC47" s="96"/>
      <c r="BD47" s="104"/>
      <c r="BE47" s="96"/>
      <c r="BF47" s="96"/>
      <c r="BG47" s="96"/>
      <c r="BH47" s="96"/>
      <c r="BI47" s="104"/>
      <c r="BJ47" s="693" t="s">
        <v>82</v>
      </c>
    </row>
    <row r="48" spans="1:62" ht="20.25" customHeight="1">
      <c r="A48" s="315">
        <v>45</v>
      </c>
      <c r="B48" s="316" t="s">
        <v>52</v>
      </c>
      <c r="C48" s="238" t="s">
        <v>532</v>
      </c>
      <c r="D48" s="317" t="s">
        <v>533</v>
      </c>
      <c r="E48" s="604" t="s">
        <v>534</v>
      </c>
      <c r="F48" s="241" t="s">
        <v>535</v>
      </c>
      <c r="G48" s="241" t="s">
        <v>530</v>
      </c>
      <c r="H48" s="630">
        <v>46052</v>
      </c>
      <c r="I48" s="327"/>
      <c r="J48" s="214">
        <f t="shared" si="0"/>
        <v>7</v>
      </c>
      <c r="K48" s="311"/>
      <c r="L48" s="103"/>
      <c r="M48" s="103"/>
      <c r="N48" s="214"/>
      <c r="O48" s="656" t="s">
        <v>81</v>
      </c>
      <c r="P48" s="632" t="s">
        <v>536</v>
      </c>
      <c r="Q48" s="214"/>
      <c r="R48" s="313"/>
      <c r="S48" s="214"/>
      <c r="T48" s="214"/>
      <c r="U48" s="93"/>
      <c r="V48" s="198"/>
      <c r="W48" s="94"/>
      <c r="X48" s="94"/>
      <c r="Y48" s="94"/>
      <c r="Z48" s="90"/>
      <c r="AA48" s="99"/>
      <c r="AB48" s="99"/>
      <c r="AC48" s="99"/>
      <c r="AD48" s="99"/>
      <c r="AE48" s="100"/>
      <c r="AF48" s="96"/>
      <c r="AG48" s="96"/>
      <c r="AH48" s="96"/>
      <c r="AI48" s="96"/>
      <c r="AJ48" s="104"/>
      <c r="AK48" s="96"/>
      <c r="AL48" s="96"/>
      <c r="AM48" s="96"/>
      <c r="AN48" s="96"/>
      <c r="AO48" s="104"/>
      <c r="AP48" s="96"/>
      <c r="AQ48" s="96"/>
      <c r="AR48" s="96"/>
      <c r="AS48" s="96"/>
      <c r="AT48" s="104"/>
      <c r="AU48" s="96"/>
      <c r="AV48" s="96"/>
      <c r="AW48" s="96"/>
      <c r="AX48" s="96"/>
      <c r="AY48" s="104"/>
      <c r="AZ48" s="96"/>
      <c r="BA48" s="96"/>
      <c r="BB48" s="96"/>
      <c r="BC48" s="96"/>
      <c r="BD48" s="104"/>
      <c r="BE48" s="96"/>
      <c r="BF48" s="96"/>
      <c r="BG48" s="96"/>
      <c r="BH48" s="96"/>
      <c r="BI48" s="104"/>
      <c r="BJ48" s="693" t="s">
        <v>82</v>
      </c>
    </row>
    <row r="49" spans="1:62" ht="18.75" customHeight="1">
      <c r="A49" s="315">
        <v>46</v>
      </c>
      <c r="B49" s="316" t="s">
        <v>52</v>
      </c>
      <c r="C49" s="238" t="s">
        <v>537</v>
      </c>
      <c r="D49" s="317" t="s">
        <v>538</v>
      </c>
      <c r="E49" s="604" t="s">
        <v>539</v>
      </c>
      <c r="F49" s="241" t="s">
        <v>540</v>
      </c>
      <c r="G49" s="241" t="s">
        <v>541</v>
      </c>
      <c r="H49" s="630">
        <v>46057</v>
      </c>
      <c r="I49" s="327"/>
      <c r="J49" s="214"/>
      <c r="K49" s="103"/>
      <c r="L49" s="103"/>
      <c r="M49" s="103"/>
      <c r="N49" s="214"/>
      <c r="O49" s="656" t="s">
        <v>81</v>
      </c>
      <c r="P49" s="632" t="s">
        <v>542</v>
      </c>
      <c r="Q49" s="214"/>
      <c r="R49" s="319"/>
      <c r="S49" s="214"/>
      <c r="T49" s="214"/>
      <c r="U49" s="93"/>
      <c r="V49" s="198"/>
      <c r="W49" s="94"/>
      <c r="X49" s="94"/>
      <c r="Y49" s="94"/>
      <c r="Z49" s="90"/>
      <c r="AA49" s="99"/>
      <c r="AB49" s="99"/>
      <c r="AC49" s="99"/>
      <c r="AD49" s="99"/>
      <c r="AE49" s="100"/>
      <c r="AF49" s="96"/>
      <c r="AG49" s="96"/>
      <c r="AH49" s="96"/>
      <c r="AI49" s="96"/>
      <c r="AJ49" s="104"/>
      <c r="AK49" s="96"/>
      <c r="AL49" s="96"/>
      <c r="AM49" s="96"/>
      <c r="AN49" s="96"/>
      <c r="AO49" s="104"/>
      <c r="AP49" s="96"/>
      <c r="AQ49" s="96"/>
      <c r="AR49" s="96"/>
      <c r="AS49" s="96"/>
      <c r="AT49" s="104"/>
      <c r="AU49" s="96"/>
      <c r="AV49" s="96"/>
      <c r="AW49" s="96"/>
      <c r="AX49" s="96"/>
      <c r="AY49" s="104"/>
      <c r="AZ49" s="96"/>
      <c r="BA49" s="96"/>
      <c r="BB49" s="96"/>
      <c r="BC49" s="96"/>
      <c r="BD49" s="104"/>
      <c r="BE49" s="96"/>
      <c r="BF49" s="96"/>
      <c r="BG49" s="96"/>
      <c r="BH49" s="96"/>
      <c r="BI49" s="104"/>
      <c r="BJ49" s="693" t="s">
        <v>82</v>
      </c>
    </row>
    <row r="50" spans="1:62" ht="20.25" customHeight="1">
      <c r="A50" s="315">
        <v>47</v>
      </c>
      <c r="B50" s="316" t="s">
        <v>52</v>
      </c>
      <c r="C50" s="238" t="s">
        <v>543</v>
      </c>
      <c r="D50" s="317" t="s">
        <v>544</v>
      </c>
      <c r="E50" s="604" t="s">
        <v>545</v>
      </c>
      <c r="F50" s="241" t="s">
        <v>546</v>
      </c>
      <c r="G50" s="241" t="s">
        <v>547</v>
      </c>
      <c r="H50" s="234">
        <v>46062</v>
      </c>
      <c r="I50" s="327">
        <v>46062</v>
      </c>
      <c r="J50" s="214">
        <f t="shared" si="0"/>
        <v>46069</v>
      </c>
      <c r="K50" s="103">
        <v>0</v>
      </c>
      <c r="L50" s="103" t="s">
        <v>49</v>
      </c>
      <c r="M50" s="103" t="s">
        <v>89</v>
      </c>
      <c r="N50" s="214"/>
      <c r="O50" s="656" t="s">
        <v>81</v>
      </c>
      <c r="P50" s="632" t="s">
        <v>542</v>
      </c>
      <c r="Q50" s="214">
        <v>46062</v>
      </c>
      <c r="R50" s="319"/>
      <c r="S50" s="214"/>
      <c r="T50" s="214"/>
      <c r="U50" s="93"/>
      <c r="V50" s="99"/>
      <c r="W50" s="94"/>
      <c r="X50" s="94"/>
      <c r="Y50" s="94"/>
      <c r="Z50" s="90"/>
      <c r="AA50" s="94"/>
      <c r="AB50" s="99"/>
      <c r="AC50" s="99"/>
      <c r="AD50" s="99"/>
      <c r="AE50" s="100"/>
      <c r="AF50" s="96"/>
      <c r="AG50" s="96"/>
      <c r="AH50" s="96"/>
      <c r="AI50" s="96"/>
      <c r="AJ50" s="104"/>
      <c r="AK50" s="96"/>
      <c r="AL50" s="96"/>
      <c r="AM50" s="96"/>
      <c r="AN50" s="96"/>
      <c r="AO50" s="104"/>
      <c r="AP50" s="96"/>
      <c r="AQ50" s="96"/>
      <c r="AR50" s="96"/>
      <c r="AS50" s="96"/>
      <c r="AT50" s="104"/>
      <c r="AU50" s="96"/>
      <c r="AV50" s="96"/>
      <c r="AW50" s="96"/>
      <c r="AX50" s="96"/>
      <c r="AY50" s="104"/>
      <c r="AZ50" s="96"/>
      <c r="BA50" s="96"/>
      <c r="BB50" s="96"/>
      <c r="BC50" s="96"/>
      <c r="BD50" s="104"/>
      <c r="BE50" s="96"/>
      <c r="BF50" s="96"/>
      <c r="BG50" s="96"/>
      <c r="BH50" s="96"/>
      <c r="BI50" s="104"/>
      <c r="BJ50" s="693" t="s">
        <v>253</v>
      </c>
    </row>
    <row r="51" spans="1:62" ht="20.25" customHeight="1">
      <c r="A51" s="315">
        <v>48</v>
      </c>
      <c r="B51" s="316" t="s">
        <v>52</v>
      </c>
      <c r="C51" s="238" t="s">
        <v>548</v>
      </c>
      <c r="D51" s="317" t="s">
        <v>549</v>
      </c>
      <c r="E51" s="604" t="s">
        <v>550</v>
      </c>
      <c r="F51" s="241" t="s">
        <v>551</v>
      </c>
      <c r="G51" s="241" t="s">
        <v>552</v>
      </c>
      <c r="H51" s="234">
        <v>46073</v>
      </c>
      <c r="I51" s="327"/>
      <c r="J51" s="214">
        <f t="shared" si="0"/>
        <v>7</v>
      </c>
      <c r="K51" s="311"/>
      <c r="L51" s="103"/>
      <c r="M51" s="103"/>
      <c r="N51" s="214"/>
      <c r="O51" s="656" t="s">
        <v>81</v>
      </c>
      <c r="P51" s="632" t="s">
        <v>542</v>
      </c>
      <c r="Q51" s="214"/>
      <c r="R51" s="319"/>
      <c r="S51" s="214"/>
      <c r="T51" s="214"/>
      <c r="U51" s="93"/>
      <c r="V51" s="99"/>
      <c r="W51" s="94"/>
      <c r="X51" s="94"/>
      <c r="Y51" s="94"/>
      <c r="Z51" s="90"/>
      <c r="AA51" s="121"/>
      <c r="AB51" s="99"/>
      <c r="AC51" s="99"/>
      <c r="AD51" s="99"/>
      <c r="AE51" s="100"/>
      <c r="AF51" s="96"/>
      <c r="AG51" s="96"/>
      <c r="AH51" s="96"/>
      <c r="AI51" s="96"/>
      <c r="AJ51" s="104"/>
      <c r="AK51" s="96"/>
      <c r="AL51" s="96"/>
      <c r="AM51" s="96"/>
      <c r="AN51" s="96"/>
      <c r="AO51" s="104"/>
      <c r="AP51" s="96"/>
      <c r="AQ51" s="96"/>
      <c r="AR51" s="96"/>
      <c r="AS51" s="96"/>
      <c r="AT51" s="104"/>
      <c r="AU51" s="96"/>
      <c r="AV51" s="96"/>
      <c r="AW51" s="96"/>
      <c r="AX51" s="96"/>
      <c r="AY51" s="104"/>
      <c r="AZ51" s="96"/>
      <c r="BA51" s="96"/>
      <c r="BB51" s="96"/>
      <c r="BC51" s="96"/>
      <c r="BD51" s="104"/>
      <c r="BE51" s="96"/>
      <c r="BF51" s="96"/>
      <c r="BG51" s="96"/>
      <c r="BH51" s="96"/>
      <c r="BI51" s="104"/>
      <c r="BJ51" s="693" t="s">
        <v>253</v>
      </c>
    </row>
    <row r="52" spans="1:62" ht="20.25" customHeight="1">
      <c r="A52" s="315">
        <v>49</v>
      </c>
      <c r="B52" s="316" t="s">
        <v>52</v>
      </c>
      <c r="C52" s="238" t="s">
        <v>553</v>
      </c>
      <c r="D52" s="317" t="s">
        <v>554</v>
      </c>
      <c r="E52" s="604" t="s">
        <v>555</v>
      </c>
      <c r="F52" s="241" t="s">
        <v>556</v>
      </c>
      <c r="G52" s="241" t="s">
        <v>404</v>
      </c>
      <c r="H52" s="630">
        <v>46045</v>
      </c>
      <c r="I52" s="327"/>
      <c r="J52" s="214">
        <f t="shared" si="0"/>
        <v>7</v>
      </c>
      <c r="K52" s="311"/>
      <c r="L52" s="103"/>
      <c r="M52" s="103"/>
      <c r="N52" s="214"/>
      <c r="O52" s="656" t="s">
        <v>81</v>
      </c>
      <c r="P52" s="632" t="s">
        <v>542</v>
      </c>
      <c r="Q52" s="214"/>
      <c r="R52" s="319"/>
      <c r="S52" s="214"/>
      <c r="T52" s="214"/>
      <c r="U52" s="93"/>
      <c r="V52" s="99"/>
      <c r="W52" s="94"/>
      <c r="X52" s="99"/>
      <c r="Y52" s="99"/>
      <c r="Z52" s="100"/>
      <c r="AA52" s="121"/>
      <c r="AB52" s="99"/>
      <c r="AC52" s="99"/>
      <c r="AD52" s="99"/>
      <c r="AE52" s="100"/>
      <c r="AF52" s="96"/>
      <c r="AG52" s="96"/>
      <c r="AH52" s="96"/>
      <c r="AI52" s="96"/>
      <c r="AJ52" s="104"/>
      <c r="AK52" s="96"/>
      <c r="AL52" s="96"/>
      <c r="AM52" s="96"/>
      <c r="AN52" s="96"/>
      <c r="AO52" s="104"/>
      <c r="AP52" s="96"/>
      <c r="AQ52" s="96"/>
      <c r="AR52" s="96"/>
      <c r="AS52" s="96"/>
      <c r="AT52" s="104"/>
      <c r="AU52" s="96"/>
      <c r="AV52" s="96"/>
      <c r="AW52" s="96"/>
      <c r="AX52" s="96"/>
      <c r="AY52" s="104"/>
      <c r="AZ52" s="96"/>
      <c r="BA52" s="96"/>
      <c r="BB52" s="96"/>
      <c r="BC52" s="96"/>
      <c r="BD52" s="104"/>
      <c r="BE52" s="96"/>
      <c r="BF52" s="96"/>
      <c r="BG52" s="96"/>
      <c r="BH52" s="96"/>
      <c r="BI52" s="104"/>
      <c r="BJ52" s="693" t="s">
        <v>82</v>
      </c>
    </row>
    <row r="53" spans="1:62" ht="20.25" customHeight="1">
      <c r="A53" s="315">
        <v>50</v>
      </c>
      <c r="B53" s="316" t="s">
        <v>52</v>
      </c>
      <c r="C53" s="238" t="s">
        <v>557</v>
      </c>
      <c r="D53" s="280" t="s">
        <v>558</v>
      </c>
      <c r="E53" s="604" t="s">
        <v>559</v>
      </c>
      <c r="F53" s="241" t="s">
        <v>560</v>
      </c>
      <c r="G53" s="241" t="s">
        <v>561</v>
      </c>
      <c r="H53" s="234">
        <v>46080</v>
      </c>
      <c r="I53" s="327"/>
      <c r="J53" s="214">
        <f t="shared" si="0"/>
        <v>7</v>
      </c>
      <c r="K53" s="311"/>
      <c r="L53" s="103"/>
      <c r="M53" s="103"/>
      <c r="N53" s="214"/>
      <c r="O53" s="656" t="s">
        <v>81</v>
      </c>
      <c r="P53" s="632" t="s">
        <v>542</v>
      </c>
      <c r="Q53" s="214"/>
      <c r="R53" s="319"/>
      <c r="S53" s="319"/>
      <c r="T53" s="319"/>
      <c r="U53" s="103"/>
      <c r="V53" s="99"/>
      <c r="W53" s="94"/>
      <c r="X53" s="99"/>
      <c r="Y53" s="99"/>
      <c r="Z53" s="100"/>
      <c r="AA53" s="121"/>
      <c r="AB53" s="99"/>
      <c r="AC53" s="99"/>
      <c r="AD53" s="99"/>
      <c r="AE53" s="100"/>
      <c r="AF53" s="96"/>
      <c r="AG53" s="96"/>
      <c r="AH53" s="96"/>
      <c r="AI53" s="96"/>
      <c r="AJ53" s="104"/>
      <c r="AK53" s="96"/>
      <c r="AL53" s="96"/>
      <c r="AM53" s="96"/>
      <c r="AN53" s="96"/>
      <c r="AO53" s="104"/>
      <c r="AP53" s="96"/>
      <c r="AQ53" s="96"/>
      <c r="AR53" s="96"/>
      <c r="AS53" s="96"/>
      <c r="AT53" s="104"/>
      <c r="AU53" s="96"/>
      <c r="AV53" s="96"/>
      <c r="AW53" s="96"/>
      <c r="AX53" s="96"/>
      <c r="AY53" s="104"/>
      <c r="AZ53" s="96"/>
      <c r="BA53" s="96"/>
      <c r="BB53" s="96"/>
      <c r="BC53" s="96"/>
      <c r="BD53" s="104"/>
      <c r="BE53" s="96"/>
      <c r="BF53" s="96"/>
      <c r="BG53" s="96"/>
      <c r="BH53" s="96"/>
      <c r="BI53" s="104"/>
      <c r="BJ53" s="693" t="s">
        <v>253</v>
      </c>
    </row>
    <row r="54" spans="1:62" ht="20.25" customHeight="1">
      <c r="A54" s="315">
        <v>51</v>
      </c>
      <c r="B54" s="316" t="s">
        <v>52</v>
      </c>
      <c r="C54" s="238" t="s">
        <v>562</v>
      </c>
      <c r="D54" s="280" t="s">
        <v>563</v>
      </c>
      <c r="E54" s="604" t="s">
        <v>564</v>
      </c>
      <c r="F54" s="241" t="s">
        <v>560</v>
      </c>
      <c r="G54" s="241" t="s">
        <v>561</v>
      </c>
      <c r="H54" s="234">
        <v>46080</v>
      </c>
      <c r="I54" s="327"/>
      <c r="J54" s="214">
        <f t="shared" si="0"/>
        <v>7</v>
      </c>
      <c r="K54" s="311"/>
      <c r="L54" s="103"/>
      <c r="M54" s="103"/>
      <c r="N54" s="214"/>
      <c r="O54" s="656" t="s">
        <v>81</v>
      </c>
      <c r="P54" s="632" t="s">
        <v>542</v>
      </c>
      <c r="Q54" s="214"/>
      <c r="R54" s="319"/>
      <c r="S54" s="214"/>
      <c r="T54" s="214"/>
      <c r="U54" s="93"/>
      <c r="V54" s="99"/>
      <c r="W54" s="94"/>
      <c r="X54" s="99"/>
      <c r="Y54" s="99"/>
      <c r="Z54" s="100"/>
      <c r="AA54" s="121"/>
      <c r="AB54" s="99"/>
      <c r="AC54" s="99"/>
      <c r="AD54" s="99"/>
      <c r="AE54" s="100"/>
      <c r="AF54" s="96"/>
      <c r="AG54" s="96"/>
      <c r="AH54" s="96"/>
      <c r="AI54" s="96"/>
      <c r="AJ54" s="104"/>
      <c r="AK54" s="96"/>
      <c r="AL54" s="96"/>
      <c r="AM54" s="96"/>
      <c r="AN54" s="96"/>
      <c r="AO54" s="104"/>
      <c r="AP54" s="96"/>
      <c r="AQ54" s="96"/>
      <c r="AR54" s="96"/>
      <c r="AS54" s="96"/>
      <c r="AT54" s="104"/>
      <c r="AU54" s="96"/>
      <c r="AV54" s="96"/>
      <c r="AW54" s="96"/>
      <c r="AX54" s="96"/>
      <c r="AY54" s="104"/>
      <c r="AZ54" s="96"/>
      <c r="BA54" s="96"/>
      <c r="BB54" s="96"/>
      <c r="BC54" s="96"/>
      <c r="BD54" s="104"/>
      <c r="BE54" s="96"/>
      <c r="BF54" s="96"/>
      <c r="BG54" s="96"/>
      <c r="BH54" s="96"/>
      <c r="BI54" s="104"/>
      <c r="BJ54" s="693" t="s">
        <v>253</v>
      </c>
    </row>
    <row r="55" spans="1:62" ht="20.25" customHeight="1">
      <c r="A55" s="315">
        <v>52</v>
      </c>
      <c r="B55" s="316" t="s">
        <v>52</v>
      </c>
      <c r="C55" s="238" t="s">
        <v>565</v>
      </c>
      <c r="D55" s="280" t="s">
        <v>566</v>
      </c>
      <c r="E55" s="604" t="s">
        <v>567</v>
      </c>
      <c r="F55" s="241" t="s">
        <v>560</v>
      </c>
      <c r="G55" s="241" t="s">
        <v>561</v>
      </c>
      <c r="H55" s="234">
        <v>46080</v>
      </c>
      <c r="I55" s="327"/>
      <c r="J55" s="214">
        <f t="shared" si="0"/>
        <v>7</v>
      </c>
      <c r="K55" s="311"/>
      <c r="L55" s="103"/>
      <c r="M55" s="103"/>
      <c r="N55" s="214"/>
      <c r="O55" s="656" t="s">
        <v>81</v>
      </c>
      <c r="P55" s="632" t="s">
        <v>542</v>
      </c>
      <c r="Q55" s="214"/>
      <c r="R55" s="319"/>
      <c r="S55" s="319"/>
      <c r="T55" s="319"/>
      <c r="U55" s="103"/>
      <c r="V55" s="99"/>
      <c r="W55" s="94"/>
      <c r="X55" s="99"/>
      <c r="Y55" s="99"/>
      <c r="Z55" s="100"/>
      <c r="AA55" s="121"/>
      <c r="AB55" s="99"/>
      <c r="AC55" s="99"/>
      <c r="AD55" s="99"/>
      <c r="AE55" s="100"/>
      <c r="AF55" s="96"/>
      <c r="AG55" s="96"/>
      <c r="AH55" s="96"/>
      <c r="AI55" s="96"/>
      <c r="AJ55" s="104"/>
      <c r="AK55" s="96"/>
      <c r="AL55" s="96"/>
      <c r="AM55" s="96"/>
      <c r="AN55" s="96"/>
      <c r="AO55" s="104"/>
      <c r="AP55" s="96"/>
      <c r="AQ55" s="96"/>
      <c r="AR55" s="96"/>
      <c r="AS55" s="96"/>
      <c r="AT55" s="104"/>
      <c r="AU55" s="96"/>
      <c r="AV55" s="96"/>
      <c r="AW55" s="96"/>
      <c r="AX55" s="96"/>
      <c r="AY55" s="104"/>
      <c r="AZ55" s="96"/>
      <c r="BA55" s="96"/>
      <c r="BB55" s="96"/>
      <c r="BC55" s="96"/>
      <c r="BD55" s="104"/>
      <c r="BE55" s="96"/>
      <c r="BF55" s="96"/>
      <c r="BG55" s="96"/>
      <c r="BH55" s="96"/>
      <c r="BI55" s="104"/>
      <c r="BJ55" s="693" t="s">
        <v>253</v>
      </c>
    </row>
    <row r="56" spans="1:62" ht="31.5" customHeight="1">
      <c r="A56" s="315">
        <v>53</v>
      </c>
      <c r="B56" s="316" t="s">
        <v>52</v>
      </c>
      <c r="C56" s="238" t="s">
        <v>568</v>
      </c>
      <c r="D56" s="280" t="s">
        <v>569</v>
      </c>
      <c r="E56" s="604" t="s">
        <v>570</v>
      </c>
      <c r="F56" s="241" t="s">
        <v>571</v>
      </c>
      <c r="G56" s="241" t="s">
        <v>399</v>
      </c>
      <c r="H56" s="630">
        <v>46052</v>
      </c>
      <c r="I56" s="327"/>
      <c r="J56" s="214">
        <f t="shared" si="0"/>
        <v>7</v>
      </c>
      <c r="K56" s="311"/>
      <c r="L56" s="103"/>
      <c r="M56" s="103"/>
      <c r="N56" s="214"/>
      <c r="O56" s="656" t="s">
        <v>81</v>
      </c>
      <c r="P56" s="632" t="s">
        <v>572</v>
      </c>
      <c r="Q56" s="214"/>
      <c r="R56" s="319"/>
      <c r="S56" s="214"/>
      <c r="T56" s="214"/>
      <c r="U56" s="93"/>
      <c r="V56" s="99"/>
      <c r="W56" s="94"/>
      <c r="X56" s="99"/>
      <c r="Y56" s="99"/>
      <c r="Z56" s="100"/>
      <c r="AA56" s="121"/>
      <c r="AB56" s="99"/>
      <c r="AC56" s="99"/>
      <c r="AD56" s="99"/>
      <c r="AE56" s="100"/>
      <c r="AF56" s="96"/>
      <c r="AG56" s="96"/>
      <c r="AH56" s="96"/>
      <c r="AI56" s="96"/>
      <c r="AJ56" s="104"/>
      <c r="AK56" s="96"/>
      <c r="AL56" s="96"/>
      <c r="AM56" s="96"/>
      <c r="AN56" s="96"/>
      <c r="AO56" s="104"/>
      <c r="AP56" s="96"/>
      <c r="AQ56" s="96"/>
      <c r="AR56" s="96"/>
      <c r="AS56" s="96"/>
      <c r="AT56" s="104"/>
      <c r="AU56" s="96"/>
      <c r="AV56" s="96"/>
      <c r="AW56" s="96"/>
      <c r="AX56" s="96"/>
      <c r="AY56" s="104"/>
      <c r="AZ56" s="96"/>
      <c r="BA56" s="96"/>
      <c r="BB56" s="96"/>
      <c r="BC56" s="96"/>
      <c r="BD56" s="104"/>
      <c r="BE56" s="96"/>
      <c r="BF56" s="96"/>
      <c r="BG56" s="96"/>
      <c r="BH56" s="96"/>
      <c r="BI56" s="104"/>
      <c r="BJ56" s="693" t="s">
        <v>82</v>
      </c>
    </row>
    <row r="57" spans="1:62" ht="31.5" customHeight="1">
      <c r="A57" s="315">
        <v>54</v>
      </c>
      <c r="B57" s="215" t="s">
        <v>52</v>
      </c>
      <c r="C57" s="238" t="s">
        <v>573</v>
      </c>
      <c r="D57" s="280" t="s">
        <v>574</v>
      </c>
      <c r="E57" s="604" t="s">
        <v>575</v>
      </c>
      <c r="F57" s="241" t="s">
        <v>571</v>
      </c>
      <c r="G57" s="241" t="s">
        <v>399</v>
      </c>
      <c r="H57" s="630">
        <v>46052</v>
      </c>
      <c r="I57" s="327"/>
      <c r="J57" s="214">
        <f t="shared" si="0"/>
        <v>7</v>
      </c>
      <c r="K57" s="311"/>
      <c r="L57" s="103"/>
      <c r="M57" s="103"/>
      <c r="N57" s="214"/>
      <c r="O57" s="656" t="s">
        <v>81</v>
      </c>
      <c r="P57" s="632" t="s">
        <v>572</v>
      </c>
      <c r="Q57" s="319"/>
      <c r="R57" s="319"/>
      <c r="S57" s="319"/>
      <c r="T57" s="319"/>
      <c r="U57" s="103"/>
      <c r="V57" s="99"/>
      <c r="W57" s="94"/>
      <c r="X57" s="99"/>
      <c r="Y57" s="99"/>
      <c r="Z57" s="100"/>
      <c r="AA57" s="121"/>
      <c r="AB57" s="99"/>
      <c r="AC57" s="99"/>
      <c r="AD57" s="99"/>
      <c r="AE57" s="100"/>
      <c r="AF57" s="96"/>
      <c r="AG57" s="96"/>
      <c r="AH57" s="96"/>
      <c r="AI57" s="96"/>
      <c r="AJ57" s="104"/>
      <c r="AK57" s="96"/>
      <c r="AL57" s="96"/>
      <c r="AM57" s="96"/>
      <c r="AN57" s="96"/>
      <c r="AO57" s="104"/>
      <c r="AP57" s="96"/>
      <c r="AQ57" s="96"/>
      <c r="AR57" s="96"/>
      <c r="AS57" s="96"/>
      <c r="AT57" s="104"/>
      <c r="AU57" s="96"/>
      <c r="AV57" s="96"/>
      <c r="AW57" s="96"/>
      <c r="AX57" s="96"/>
      <c r="AY57" s="104"/>
      <c r="AZ57" s="96"/>
      <c r="BA57" s="96"/>
      <c r="BB57" s="96"/>
      <c r="BC57" s="96"/>
      <c r="BD57" s="104"/>
      <c r="BE57" s="96"/>
      <c r="BF57" s="96"/>
      <c r="BG57" s="96"/>
      <c r="BH57" s="96"/>
      <c r="BI57" s="104"/>
      <c r="BJ57" s="693" t="s">
        <v>82</v>
      </c>
    </row>
    <row r="58" spans="1:62" ht="31.5" customHeight="1">
      <c r="A58" s="315">
        <v>55</v>
      </c>
      <c r="B58" s="215" t="s">
        <v>52</v>
      </c>
      <c r="C58" s="238" t="s">
        <v>576</v>
      </c>
      <c r="D58" s="280" t="s">
        <v>577</v>
      </c>
      <c r="E58" s="604" t="s">
        <v>578</v>
      </c>
      <c r="F58" s="241" t="s">
        <v>571</v>
      </c>
      <c r="G58" s="241" t="s">
        <v>399</v>
      </c>
      <c r="H58" s="630">
        <v>46052</v>
      </c>
      <c r="I58" s="327"/>
      <c r="J58" s="214">
        <f t="shared" si="0"/>
        <v>7</v>
      </c>
      <c r="K58" s="104"/>
      <c r="L58" s="103"/>
      <c r="M58" s="103"/>
      <c r="N58" s="214"/>
      <c r="O58" s="656" t="s">
        <v>81</v>
      </c>
      <c r="P58" s="632" t="s">
        <v>572</v>
      </c>
      <c r="Q58" s="319"/>
      <c r="R58" s="319"/>
      <c r="S58" s="319"/>
      <c r="T58" s="319"/>
      <c r="U58" s="103"/>
      <c r="V58" s="99"/>
      <c r="W58" s="99"/>
      <c r="X58" s="99"/>
      <c r="Y58" s="99"/>
      <c r="Z58" s="100"/>
      <c r="AA58" s="99"/>
      <c r="AB58" s="99"/>
      <c r="AC58" s="99"/>
      <c r="AD58" s="99"/>
      <c r="AE58" s="100"/>
      <c r="AF58" s="96"/>
      <c r="AG58" s="96"/>
      <c r="AH58" s="96"/>
      <c r="AI58" s="96"/>
      <c r="AJ58" s="104"/>
      <c r="AK58" s="96"/>
      <c r="AL58" s="96"/>
      <c r="AM58" s="96"/>
      <c r="AN58" s="96"/>
      <c r="AO58" s="104"/>
      <c r="AP58" s="96"/>
      <c r="AQ58" s="96"/>
      <c r="AR58" s="96"/>
      <c r="AS58" s="96"/>
      <c r="AT58" s="104"/>
      <c r="AU58" s="96"/>
      <c r="AV58" s="96"/>
      <c r="AW58" s="96"/>
      <c r="AX58" s="96"/>
      <c r="AY58" s="104"/>
      <c r="AZ58" s="96"/>
      <c r="BA58" s="96"/>
      <c r="BB58" s="96"/>
      <c r="BC58" s="96"/>
      <c r="BD58" s="104"/>
      <c r="BE58" s="96"/>
      <c r="BF58" s="96"/>
      <c r="BG58" s="96"/>
      <c r="BH58" s="96"/>
      <c r="BI58" s="104"/>
      <c r="BJ58" s="693" t="s">
        <v>82</v>
      </c>
    </row>
    <row r="59" spans="1:62" ht="20.25" customHeight="1">
      <c r="A59" s="315">
        <v>56</v>
      </c>
      <c r="B59" s="215" t="s">
        <v>52</v>
      </c>
      <c r="C59" s="238" t="s">
        <v>579</v>
      </c>
      <c r="D59" s="280" t="s">
        <v>580</v>
      </c>
      <c r="E59" s="604" t="s">
        <v>581</v>
      </c>
      <c r="F59" s="241" t="s">
        <v>560</v>
      </c>
      <c r="G59" s="241" t="s">
        <v>547</v>
      </c>
      <c r="H59" s="233">
        <v>46106</v>
      </c>
      <c r="I59" s="327"/>
      <c r="J59" s="214">
        <f t="shared" si="0"/>
        <v>7</v>
      </c>
      <c r="K59" s="104"/>
      <c r="L59" s="103"/>
      <c r="M59" s="103"/>
      <c r="N59" s="214"/>
      <c r="O59" s="656" t="s">
        <v>81</v>
      </c>
      <c r="P59" s="320"/>
      <c r="Q59" s="319"/>
      <c r="R59" s="319"/>
      <c r="S59" s="319"/>
      <c r="T59" s="319"/>
      <c r="U59" s="103"/>
      <c r="V59" s="99"/>
      <c r="W59" s="99"/>
      <c r="X59" s="99"/>
      <c r="Y59" s="99"/>
      <c r="Z59" s="100"/>
      <c r="AA59" s="99"/>
      <c r="AB59" s="99"/>
      <c r="AC59" s="99"/>
      <c r="AD59" s="99"/>
      <c r="AE59" s="100"/>
      <c r="AF59" s="96"/>
      <c r="AG59" s="96"/>
      <c r="AH59" s="96"/>
      <c r="AI59" s="96"/>
      <c r="AJ59" s="104"/>
      <c r="AK59" s="96"/>
      <c r="AL59" s="96"/>
      <c r="AM59" s="96"/>
      <c r="AN59" s="96"/>
      <c r="AO59" s="104"/>
      <c r="AP59" s="96"/>
      <c r="AQ59" s="96"/>
      <c r="AR59" s="96"/>
      <c r="AS59" s="96"/>
      <c r="AT59" s="104"/>
      <c r="AU59" s="96"/>
      <c r="AV59" s="96"/>
      <c r="AW59" s="96"/>
      <c r="AX59" s="96"/>
      <c r="AY59" s="104"/>
      <c r="AZ59" s="96"/>
      <c r="BA59" s="96"/>
      <c r="BB59" s="96"/>
      <c r="BC59" s="96"/>
      <c r="BD59" s="104"/>
      <c r="BE59" s="96"/>
      <c r="BF59" s="96"/>
      <c r="BG59" s="96"/>
      <c r="BH59" s="96"/>
      <c r="BI59" s="104"/>
      <c r="BJ59" s="693" t="s">
        <v>253</v>
      </c>
    </row>
    <row r="60" spans="1:62" ht="20.25" customHeight="1">
      <c r="A60" s="315">
        <v>57</v>
      </c>
      <c r="B60" s="329" t="s">
        <v>52</v>
      </c>
      <c r="C60" s="330" t="s">
        <v>582</v>
      </c>
      <c r="D60" s="286" t="s">
        <v>583</v>
      </c>
      <c r="E60" s="604" t="s">
        <v>584</v>
      </c>
      <c r="F60" s="331" t="s">
        <v>560</v>
      </c>
      <c r="G60" s="331" t="s">
        <v>585</v>
      </c>
      <c r="H60" s="298" t="s">
        <v>586</v>
      </c>
      <c r="I60" s="327"/>
      <c r="J60" s="214">
        <f t="shared" si="0"/>
        <v>7</v>
      </c>
      <c r="K60" s="104"/>
      <c r="L60" s="103"/>
      <c r="M60" s="103"/>
      <c r="N60" s="214"/>
      <c r="O60" s="656" t="s">
        <v>81</v>
      </c>
      <c r="P60" s="320"/>
      <c r="Q60" s="319"/>
      <c r="R60" s="319"/>
      <c r="S60" s="319"/>
      <c r="T60" s="319"/>
      <c r="U60" s="103"/>
      <c r="V60" s="99"/>
      <c r="W60" s="99"/>
      <c r="X60" s="99"/>
      <c r="Y60" s="99"/>
      <c r="Z60" s="100"/>
      <c r="AA60" s="99"/>
      <c r="AB60" s="99"/>
      <c r="AC60" s="99"/>
      <c r="AD60" s="99"/>
      <c r="AE60" s="100"/>
      <c r="AF60" s="99"/>
      <c r="AG60" s="96"/>
      <c r="AH60" s="96"/>
      <c r="AI60" s="96"/>
      <c r="AJ60" s="104"/>
      <c r="AK60" s="96"/>
      <c r="AL60" s="96"/>
      <c r="AM60" s="96"/>
      <c r="AN60" s="96"/>
      <c r="AO60" s="104"/>
      <c r="AP60" s="96"/>
      <c r="AQ60" s="96"/>
      <c r="AR60" s="96"/>
      <c r="AS60" s="96"/>
      <c r="AT60" s="104"/>
      <c r="AU60" s="96"/>
      <c r="AV60" s="96"/>
      <c r="AW60" s="96"/>
      <c r="AX60" s="96"/>
      <c r="AY60" s="104"/>
      <c r="AZ60" s="96"/>
      <c r="BA60" s="96"/>
      <c r="BB60" s="96"/>
      <c r="BC60" s="96"/>
      <c r="BD60" s="104"/>
      <c r="BE60" s="96"/>
      <c r="BF60" s="96"/>
      <c r="BG60" s="96"/>
      <c r="BH60" s="96"/>
      <c r="BI60" s="104"/>
      <c r="BJ60" s="693" t="s">
        <v>82</v>
      </c>
    </row>
    <row r="61" spans="1:62" ht="20.25" customHeight="1">
      <c r="A61" s="315">
        <v>59</v>
      </c>
      <c r="B61" s="329" t="s">
        <v>52</v>
      </c>
      <c r="C61" s="330" t="s">
        <v>587</v>
      </c>
      <c r="D61" s="286" t="s">
        <v>588</v>
      </c>
      <c r="E61" s="604" t="s">
        <v>589</v>
      </c>
      <c r="F61" s="331" t="s">
        <v>560</v>
      </c>
      <c r="G61" s="331" t="s">
        <v>585</v>
      </c>
      <c r="H61" s="298" t="s">
        <v>586</v>
      </c>
      <c r="I61" s="327"/>
      <c r="J61" s="214">
        <f t="shared" si="0"/>
        <v>7</v>
      </c>
      <c r="K61" s="104"/>
      <c r="L61" s="103"/>
      <c r="M61" s="103"/>
      <c r="N61" s="214"/>
      <c r="O61" s="656" t="s">
        <v>81</v>
      </c>
      <c r="P61" s="320"/>
      <c r="Q61" s="319"/>
      <c r="R61" s="319"/>
      <c r="S61" s="319"/>
      <c r="T61" s="319"/>
      <c r="U61" s="103"/>
      <c r="V61" s="99"/>
      <c r="W61" s="99"/>
      <c r="X61" s="99"/>
      <c r="Y61" s="99"/>
      <c r="Z61" s="100"/>
      <c r="AA61" s="99"/>
      <c r="AB61" s="99"/>
      <c r="AC61" s="99"/>
      <c r="AD61" s="99"/>
      <c r="AE61" s="100"/>
      <c r="AF61" s="99"/>
      <c r="AG61" s="96"/>
      <c r="AH61" s="96"/>
      <c r="AI61" s="96"/>
      <c r="AJ61" s="104"/>
      <c r="AK61" s="96"/>
      <c r="AL61" s="96"/>
      <c r="AM61" s="96"/>
      <c r="AN61" s="96"/>
      <c r="AO61" s="104"/>
      <c r="AP61" s="96"/>
      <c r="AQ61" s="96"/>
      <c r="AR61" s="96"/>
      <c r="AS61" s="96"/>
      <c r="AT61" s="104"/>
      <c r="AU61" s="96"/>
      <c r="AV61" s="96"/>
      <c r="AW61" s="96"/>
      <c r="AX61" s="96"/>
      <c r="AY61" s="104"/>
      <c r="AZ61" s="96"/>
      <c r="BA61" s="96"/>
      <c r="BB61" s="96"/>
      <c r="BC61" s="96"/>
      <c r="BD61" s="104"/>
      <c r="BE61" s="96"/>
      <c r="BF61" s="96"/>
      <c r="BG61" s="96"/>
      <c r="BH61" s="96"/>
      <c r="BI61" s="104"/>
      <c r="BJ61" s="693" t="s">
        <v>82</v>
      </c>
    </row>
    <row r="62" spans="1:62" ht="20.25" customHeight="1">
      <c r="A62" s="315">
        <v>60</v>
      </c>
      <c r="B62" s="329" t="s">
        <v>52</v>
      </c>
      <c r="C62" s="330" t="s">
        <v>590</v>
      </c>
      <c r="D62" s="286" t="s">
        <v>591</v>
      </c>
      <c r="E62" s="604" t="s">
        <v>592</v>
      </c>
      <c r="F62" s="331" t="s">
        <v>560</v>
      </c>
      <c r="G62" s="331" t="s">
        <v>585</v>
      </c>
      <c r="H62" s="298" t="s">
        <v>586</v>
      </c>
      <c r="I62" s="327"/>
      <c r="J62" s="214">
        <f t="shared" si="0"/>
        <v>7</v>
      </c>
      <c r="K62" s="104"/>
      <c r="L62" s="103"/>
      <c r="M62" s="103"/>
      <c r="N62" s="214"/>
      <c r="O62" s="656" t="s">
        <v>81</v>
      </c>
      <c r="P62" s="320"/>
      <c r="Q62" s="319"/>
      <c r="R62" s="319"/>
      <c r="S62" s="319"/>
      <c r="T62" s="319"/>
      <c r="U62" s="103"/>
      <c r="V62" s="99"/>
      <c r="W62" s="99"/>
      <c r="X62" s="99"/>
      <c r="Y62" s="99"/>
      <c r="Z62" s="100"/>
      <c r="AA62" s="99"/>
      <c r="AB62" s="99"/>
      <c r="AC62" s="99"/>
      <c r="AD62" s="99"/>
      <c r="AE62" s="100"/>
      <c r="AF62" s="99"/>
      <c r="AG62" s="96"/>
      <c r="AH62" s="96"/>
      <c r="AI62" s="96"/>
      <c r="AJ62" s="104"/>
      <c r="AK62" s="96"/>
      <c r="AL62" s="96"/>
      <c r="AM62" s="96"/>
      <c r="AN62" s="96"/>
      <c r="AO62" s="104"/>
      <c r="AP62" s="96"/>
      <c r="AQ62" s="96"/>
      <c r="AR62" s="96"/>
      <c r="AS62" s="96"/>
      <c r="AT62" s="104"/>
      <c r="AU62" s="96"/>
      <c r="AV62" s="96"/>
      <c r="AW62" s="96"/>
      <c r="AX62" s="96"/>
      <c r="AY62" s="104"/>
      <c r="AZ62" s="96"/>
      <c r="BA62" s="96"/>
      <c r="BB62" s="96"/>
      <c r="BC62" s="96"/>
      <c r="BD62" s="104"/>
      <c r="BE62" s="96"/>
      <c r="BF62" s="96"/>
      <c r="BG62" s="96"/>
      <c r="BH62" s="96"/>
      <c r="BI62" s="104"/>
      <c r="BJ62" s="693" t="s">
        <v>82</v>
      </c>
    </row>
    <row r="63" spans="1:62" ht="20.25" customHeight="1">
      <c r="A63" s="315">
        <v>61</v>
      </c>
      <c r="B63" s="329" t="s">
        <v>52</v>
      </c>
      <c r="C63" s="330" t="s">
        <v>593</v>
      </c>
      <c r="D63" s="286" t="s">
        <v>594</v>
      </c>
      <c r="E63" s="604" t="s">
        <v>595</v>
      </c>
      <c r="F63" s="331" t="s">
        <v>560</v>
      </c>
      <c r="G63" s="331" t="s">
        <v>585</v>
      </c>
      <c r="H63" s="298" t="s">
        <v>586</v>
      </c>
      <c r="I63" s="327"/>
      <c r="J63" s="214">
        <f t="shared" si="0"/>
        <v>7</v>
      </c>
      <c r="K63" s="104"/>
      <c r="L63" s="103"/>
      <c r="M63" s="103"/>
      <c r="N63" s="214"/>
      <c r="O63" s="656" t="s">
        <v>81</v>
      </c>
      <c r="P63" s="320"/>
      <c r="Q63" s="319"/>
      <c r="R63" s="319"/>
      <c r="S63" s="319"/>
      <c r="T63" s="319"/>
      <c r="U63" s="103"/>
      <c r="V63" s="99"/>
      <c r="W63" s="99"/>
      <c r="X63" s="99"/>
      <c r="Y63" s="99"/>
      <c r="Z63" s="100"/>
      <c r="AA63" s="99"/>
      <c r="AB63" s="99"/>
      <c r="AC63" s="99"/>
      <c r="AD63" s="99"/>
      <c r="AE63" s="100"/>
      <c r="AF63" s="99"/>
      <c r="AG63" s="96"/>
      <c r="AH63" s="96"/>
      <c r="AI63" s="96"/>
      <c r="AJ63" s="104"/>
      <c r="AK63" s="96"/>
      <c r="AL63" s="96"/>
      <c r="AM63" s="96"/>
      <c r="AN63" s="96"/>
      <c r="AO63" s="104"/>
      <c r="AP63" s="96"/>
      <c r="AQ63" s="96"/>
      <c r="AR63" s="96"/>
      <c r="AS63" s="96"/>
      <c r="AT63" s="104"/>
      <c r="AU63" s="96"/>
      <c r="AV63" s="96"/>
      <c r="AW63" s="96"/>
      <c r="AX63" s="96"/>
      <c r="AY63" s="104"/>
      <c r="AZ63" s="96"/>
      <c r="BA63" s="96"/>
      <c r="BB63" s="96"/>
      <c r="BC63" s="96"/>
      <c r="BD63" s="104"/>
      <c r="BE63" s="96"/>
      <c r="BF63" s="96"/>
      <c r="BG63" s="96"/>
      <c r="BH63" s="96"/>
      <c r="BI63" s="104"/>
      <c r="BJ63" s="693" t="s">
        <v>82</v>
      </c>
    </row>
    <row r="64" spans="1:62" ht="20.25" customHeight="1">
      <c r="A64" s="315">
        <v>62</v>
      </c>
      <c r="B64" s="329" t="s">
        <v>52</v>
      </c>
      <c r="C64" s="330" t="s">
        <v>596</v>
      </c>
      <c r="D64" s="286" t="s">
        <v>597</v>
      </c>
      <c r="E64" s="604" t="s">
        <v>598</v>
      </c>
      <c r="F64" s="331" t="s">
        <v>560</v>
      </c>
      <c r="G64" s="331" t="s">
        <v>585</v>
      </c>
      <c r="H64" s="298" t="s">
        <v>586</v>
      </c>
      <c r="I64" s="327"/>
      <c r="J64" s="214">
        <f t="shared" si="0"/>
        <v>7</v>
      </c>
      <c r="K64" s="104"/>
      <c r="L64" s="103"/>
      <c r="M64" s="103"/>
      <c r="N64" s="214"/>
      <c r="O64" s="656" t="s">
        <v>81</v>
      </c>
      <c r="P64" s="320"/>
      <c r="Q64" s="319"/>
      <c r="R64" s="319"/>
      <c r="S64" s="319"/>
      <c r="T64" s="319"/>
      <c r="U64" s="103"/>
      <c r="V64" s="99"/>
      <c r="W64" s="99"/>
      <c r="X64" s="99"/>
      <c r="Y64" s="99"/>
      <c r="Z64" s="100"/>
      <c r="AA64" s="99"/>
      <c r="AB64" s="99"/>
      <c r="AC64" s="99"/>
      <c r="AD64" s="99"/>
      <c r="AE64" s="100"/>
      <c r="AF64" s="99"/>
      <c r="AG64" s="96"/>
      <c r="AH64" s="96"/>
      <c r="AI64" s="96"/>
      <c r="AJ64" s="104"/>
      <c r="AK64" s="96"/>
      <c r="AL64" s="96"/>
      <c r="AM64" s="96"/>
      <c r="AN64" s="96"/>
      <c r="AO64" s="104"/>
      <c r="AP64" s="96"/>
      <c r="AQ64" s="96"/>
      <c r="AR64" s="96"/>
      <c r="AS64" s="96"/>
      <c r="AT64" s="104"/>
      <c r="AU64" s="96"/>
      <c r="AV64" s="96"/>
      <c r="AW64" s="96"/>
      <c r="AX64" s="96"/>
      <c r="AY64" s="104"/>
      <c r="AZ64" s="96"/>
      <c r="BA64" s="96"/>
      <c r="BB64" s="96"/>
      <c r="BC64" s="96"/>
      <c r="BD64" s="104"/>
      <c r="BE64" s="96"/>
      <c r="BF64" s="96"/>
      <c r="BG64" s="96"/>
      <c r="BH64" s="96"/>
      <c r="BI64" s="104"/>
      <c r="BJ64" s="693" t="s">
        <v>82</v>
      </c>
    </row>
    <row r="65" spans="1:62" ht="20.25" customHeight="1">
      <c r="A65" s="315">
        <v>63</v>
      </c>
      <c r="B65" s="329" t="s">
        <v>52</v>
      </c>
      <c r="C65" s="330" t="s">
        <v>599</v>
      </c>
      <c r="D65" s="286" t="s">
        <v>600</v>
      </c>
      <c r="E65" s="604" t="s">
        <v>601</v>
      </c>
      <c r="F65" s="331" t="s">
        <v>560</v>
      </c>
      <c r="G65" s="331" t="s">
        <v>585</v>
      </c>
      <c r="H65" s="298" t="s">
        <v>586</v>
      </c>
      <c r="I65" s="327"/>
      <c r="J65" s="214">
        <f t="shared" si="0"/>
        <v>7</v>
      </c>
      <c r="K65" s="104"/>
      <c r="L65" s="103"/>
      <c r="M65" s="103"/>
      <c r="N65" s="214"/>
      <c r="O65" s="656" t="s">
        <v>81</v>
      </c>
      <c r="P65" s="320"/>
      <c r="Q65" s="319"/>
      <c r="R65" s="319"/>
      <c r="S65" s="319"/>
      <c r="T65" s="319"/>
      <c r="U65" s="103"/>
      <c r="V65" s="99"/>
      <c r="W65" s="99"/>
      <c r="X65" s="99"/>
      <c r="Y65" s="99"/>
      <c r="Z65" s="100"/>
      <c r="AA65" s="99"/>
      <c r="AB65" s="99"/>
      <c r="AC65" s="99"/>
      <c r="AD65" s="99"/>
      <c r="AE65" s="100"/>
      <c r="AF65" s="99"/>
      <c r="AG65" s="96"/>
      <c r="AH65" s="96"/>
      <c r="AI65" s="96"/>
      <c r="AJ65" s="104"/>
      <c r="AK65" s="96"/>
      <c r="AL65" s="96"/>
      <c r="AM65" s="96"/>
      <c r="AN65" s="96"/>
      <c r="AO65" s="104"/>
      <c r="AP65" s="96"/>
      <c r="AQ65" s="96"/>
      <c r="AR65" s="96"/>
      <c r="AS65" s="96"/>
      <c r="AT65" s="104"/>
      <c r="AU65" s="96"/>
      <c r="AV65" s="96"/>
      <c r="AW65" s="96"/>
      <c r="AX65" s="96"/>
      <c r="AY65" s="104"/>
      <c r="AZ65" s="96"/>
      <c r="BA65" s="96"/>
      <c r="BB65" s="96"/>
      <c r="BC65" s="96"/>
      <c r="BD65" s="104"/>
      <c r="BE65" s="96"/>
      <c r="BF65" s="96"/>
      <c r="BG65" s="96"/>
      <c r="BH65" s="96"/>
      <c r="BI65" s="104"/>
      <c r="BJ65" s="693" t="s">
        <v>82</v>
      </c>
    </row>
    <row r="66" spans="1:62" ht="20.25" customHeight="1">
      <c r="A66" s="315">
        <v>64</v>
      </c>
      <c r="B66" s="329" t="s">
        <v>52</v>
      </c>
      <c r="C66" s="330" t="s">
        <v>602</v>
      </c>
      <c r="D66" s="286" t="s">
        <v>603</v>
      </c>
      <c r="E66" s="604" t="s">
        <v>604</v>
      </c>
      <c r="F66" s="331" t="s">
        <v>560</v>
      </c>
      <c r="G66" s="331" t="s">
        <v>585</v>
      </c>
      <c r="H66" s="298" t="s">
        <v>586</v>
      </c>
      <c r="I66" s="327"/>
      <c r="J66" s="214">
        <f t="shared" si="0"/>
        <v>7</v>
      </c>
      <c r="K66" s="104"/>
      <c r="L66" s="103"/>
      <c r="M66" s="103"/>
      <c r="N66" s="214"/>
      <c r="O66" s="656" t="s">
        <v>81</v>
      </c>
      <c r="P66" s="320"/>
      <c r="Q66" s="319"/>
      <c r="R66" s="319"/>
      <c r="S66" s="319"/>
      <c r="T66" s="319"/>
      <c r="U66" s="103"/>
      <c r="V66" s="99"/>
      <c r="W66" s="99"/>
      <c r="X66" s="99"/>
      <c r="Y66" s="99"/>
      <c r="Z66" s="100"/>
      <c r="AA66" s="99"/>
      <c r="AB66" s="99"/>
      <c r="AC66" s="99"/>
      <c r="AD66" s="99"/>
      <c r="AE66" s="100"/>
      <c r="AF66" s="99"/>
      <c r="AG66" s="96"/>
      <c r="AH66" s="96"/>
      <c r="AI66" s="96"/>
      <c r="AJ66" s="104"/>
      <c r="AK66" s="96"/>
      <c r="AL66" s="96"/>
      <c r="AM66" s="96"/>
      <c r="AN66" s="96"/>
      <c r="AO66" s="104"/>
      <c r="AP66" s="96"/>
      <c r="AQ66" s="96"/>
      <c r="AR66" s="96"/>
      <c r="AS66" s="96"/>
      <c r="AT66" s="104"/>
      <c r="AU66" s="96"/>
      <c r="AV66" s="96"/>
      <c r="AW66" s="96"/>
      <c r="AX66" s="96"/>
      <c r="AY66" s="104"/>
      <c r="AZ66" s="96"/>
      <c r="BA66" s="96"/>
      <c r="BB66" s="96"/>
      <c r="BC66" s="96"/>
      <c r="BD66" s="104"/>
      <c r="BE66" s="96"/>
      <c r="BF66" s="96"/>
      <c r="BG66" s="96"/>
      <c r="BH66" s="96"/>
      <c r="BI66" s="104"/>
      <c r="BJ66" s="693" t="s">
        <v>82</v>
      </c>
    </row>
    <row r="67" spans="1:62" ht="20.25" customHeight="1">
      <c r="A67" s="315">
        <v>65</v>
      </c>
      <c r="B67" s="329" t="s">
        <v>52</v>
      </c>
      <c r="C67" s="330" t="s">
        <v>605</v>
      </c>
      <c r="D67" s="286" t="s">
        <v>606</v>
      </c>
      <c r="E67" s="604" t="s">
        <v>607</v>
      </c>
      <c r="F67" s="331" t="s">
        <v>560</v>
      </c>
      <c r="G67" s="331" t="s">
        <v>585</v>
      </c>
      <c r="H67" s="298" t="s">
        <v>586</v>
      </c>
      <c r="I67" s="327"/>
      <c r="J67" s="214">
        <f t="shared" si="0"/>
        <v>7</v>
      </c>
      <c r="K67" s="104"/>
      <c r="L67" s="103"/>
      <c r="M67" s="103"/>
      <c r="N67" s="214"/>
      <c r="O67" s="656" t="s">
        <v>81</v>
      </c>
      <c r="P67" s="320"/>
      <c r="Q67" s="319"/>
      <c r="R67" s="319"/>
      <c r="S67" s="319"/>
      <c r="T67" s="319"/>
      <c r="U67" s="103"/>
      <c r="V67" s="99"/>
      <c r="W67" s="99"/>
      <c r="X67" s="99"/>
      <c r="Y67" s="99"/>
      <c r="Z67" s="100"/>
      <c r="AA67" s="99"/>
      <c r="AB67" s="99"/>
      <c r="AC67" s="99"/>
      <c r="AD67" s="99"/>
      <c r="AE67" s="100"/>
      <c r="AF67" s="99"/>
      <c r="AG67" s="96"/>
      <c r="AH67" s="96"/>
      <c r="AI67" s="96"/>
      <c r="AJ67" s="104"/>
      <c r="AK67" s="96"/>
      <c r="AL67" s="96"/>
      <c r="AM67" s="96"/>
      <c r="AN67" s="96"/>
      <c r="AO67" s="104"/>
      <c r="AP67" s="96"/>
      <c r="AQ67" s="96"/>
      <c r="AR67" s="96"/>
      <c r="AS67" s="96"/>
      <c r="AT67" s="104"/>
      <c r="AU67" s="96"/>
      <c r="AV67" s="96"/>
      <c r="AW67" s="96"/>
      <c r="AX67" s="96"/>
      <c r="AY67" s="104"/>
      <c r="AZ67" s="96"/>
      <c r="BA67" s="96"/>
      <c r="BB67" s="96"/>
      <c r="BC67" s="96"/>
      <c r="BD67" s="104"/>
      <c r="BE67" s="96"/>
      <c r="BF67" s="96"/>
      <c r="BG67" s="96"/>
      <c r="BH67" s="96"/>
      <c r="BI67" s="104"/>
      <c r="BJ67" s="693" t="s">
        <v>82</v>
      </c>
    </row>
    <row r="68" spans="1:62" ht="20.25" customHeight="1">
      <c r="A68" s="315">
        <v>66</v>
      </c>
      <c r="B68" s="329" t="s">
        <v>52</v>
      </c>
      <c r="C68" s="330" t="s">
        <v>608</v>
      </c>
      <c r="D68" s="286" t="s">
        <v>609</v>
      </c>
      <c r="E68" s="604" t="s">
        <v>610</v>
      </c>
      <c r="F68" s="331" t="s">
        <v>560</v>
      </c>
      <c r="G68" s="331" t="s">
        <v>585</v>
      </c>
      <c r="H68" s="298" t="s">
        <v>586</v>
      </c>
      <c r="I68" s="319"/>
      <c r="J68" s="214">
        <f t="shared" ref="J68:J126" si="7">I68+7</f>
        <v>7</v>
      </c>
      <c r="K68" s="104"/>
      <c r="L68" s="103"/>
      <c r="M68" s="103"/>
      <c r="N68" s="319"/>
      <c r="O68" s="656" t="s">
        <v>81</v>
      </c>
      <c r="P68" s="320"/>
      <c r="Q68" s="319"/>
      <c r="R68" s="319"/>
      <c r="S68" s="214"/>
      <c r="T68" s="319"/>
      <c r="U68" s="93"/>
      <c r="V68" s="99"/>
      <c r="W68" s="99"/>
      <c r="X68" s="99"/>
      <c r="Y68" s="99"/>
      <c r="Z68" s="100"/>
      <c r="AA68" s="99"/>
      <c r="AB68" s="99"/>
      <c r="AC68" s="99"/>
      <c r="AD68" s="99"/>
      <c r="AE68" s="100"/>
      <c r="AF68" s="96"/>
      <c r="AG68" s="96"/>
      <c r="AH68" s="96"/>
      <c r="AI68" s="96"/>
      <c r="AJ68" s="104"/>
      <c r="AK68" s="96"/>
      <c r="AL68" s="96"/>
      <c r="AM68" s="96"/>
      <c r="AN68" s="96"/>
      <c r="AO68" s="104"/>
      <c r="AP68" s="96"/>
      <c r="AQ68" s="96"/>
      <c r="AR68" s="96"/>
      <c r="AS68" s="96"/>
      <c r="AT68" s="104"/>
      <c r="AU68" s="96"/>
      <c r="AV68" s="96"/>
      <c r="AW68" s="96"/>
      <c r="AX68" s="96"/>
      <c r="AY68" s="104"/>
      <c r="AZ68" s="96"/>
      <c r="BA68" s="96"/>
      <c r="BB68" s="96"/>
      <c r="BC68" s="96"/>
      <c r="BD68" s="104"/>
      <c r="BE68" s="96"/>
      <c r="BF68" s="96"/>
      <c r="BG68" s="96"/>
      <c r="BH68" s="96"/>
      <c r="BI68" s="104"/>
      <c r="BJ68" s="693" t="s">
        <v>82</v>
      </c>
    </row>
    <row r="69" spans="1:62" ht="20.25" customHeight="1">
      <c r="A69" s="315">
        <v>67</v>
      </c>
      <c r="B69" s="215" t="s">
        <v>52</v>
      </c>
      <c r="C69" s="238" t="s">
        <v>611</v>
      </c>
      <c r="D69" s="280" t="s">
        <v>612</v>
      </c>
      <c r="E69" s="604" t="s">
        <v>613</v>
      </c>
      <c r="F69" s="241" t="s">
        <v>540</v>
      </c>
      <c r="G69" s="241" t="s">
        <v>541</v>
      </c>
      <c r="H69" s="234">
        <v>46078</v>
      </c>
      <c r="I69" s="319"/>
      <c r="J69" s="214">
        <f t="shared" si="7"/>
        <v>7</v>
      </c>
      <c r="K69" s="104"/>
      <c r="L69" s="103"/>
      <c r="M69" s="103"/>
      <c r="N69" s="319"/>
      <c r="O69" s="656" t="s">
        <v>81</v>
      </c>
      <c r="P69" s="320"/>
      <c r="Q69" s="319"/>
      <c r="R69" s="319"/>
      <c r="S69" s="214"/>
      <c r="T69" s="319"/>
      <c r="U69" s="93"/>
      <c r="V69" s="99"/>
      <c r="W69" s="99"/>
      <c r="X69" s="99"/>
      <c r="Y69" s="99"/>
      <c r="Z69" s="100"/>
      <c r="AA69" s="99"/>
      <c r="AB69" s="99"/>
      <c r="AC69" s="99"/>
      <c r="AD69" s="99"/>
      <c r="AE69" s="100"/>
      <c r="AF69" s="96"/>
      <c r="AG69" s="96"/>
      <c r="AH69" s="96"/>
      <c r="AI69" s="96"/>
      <c r="AJ69" s="104"/>
      <c r="AK69" s="96"/>
      <c r="AL69" s="96"/>
      <c r="AM69" s="96"/>
      <c r="AN69" s="96"/>
      <c r="AO69" s="104"/>
      <c r="AP69" s="96"/>
      <c r="AQ69" s="96"/>
      <c r="AR69" s="96"/>
      <c r="AS69" s="96"/>
      <c r="AT69" s="104"/>
      <c r="AU69" s="96"/>
      <c r="AV69" s="96"/>
      <c r="AW69" s="96"/>
      <c r="AX69" s="96"/>
      <c r="AY69" s="104"/>
      <c r="AZ69" s="96"/>
      <c r="BA69" s="96"/>
      <c r="BB69" s="96"/>
      <c r="BC69" s="96"/>
      <c r="BD69" s="104"/>
      <c r="BE69" s="96"/>
      <c r="BF69" s="96"/>
      <c r="BG69" s="96"/>
      <c r="BH69" s="96"/>
      <c r="BI69" s="104"/>
      <c r="BJ69" s="693" t="s">
        <v>82</v>
      </c>
    </row>
    <row r="70" spans="1:62" ht="20.25" customHeight="1">
      <c r="A70" s="315">
        <v>68</v>
      </c>
      <c r="B70" s="215" t="s">
        <v>52</v>
      </c>
      <c r="C70" s="238" t="s">
        <v>614</v>
      </c>
      <c r="D70" s="280" t="s">
        <v>615</v>
      </c>
      <c r="E70" s="604" t="s">
        <v>616</v>
      </c>
      <c r="F70" s="241" t="s">
        <v>540</v>
      </c>
      <c r="G70" s="241" t="s">
        <v>541</v>
      </c>
      <c r="H70" s="234">
        <v>46064</v>
      </c>
      <c r="I70" s="319"/>
      <c r="J70" s="214">
        <f t="shared" si="7"/>
        <v>7</v>
      </c>
      <c r="K70" s="104"/>
      <c r="L70" s="103"/>
      <c r="M70" s="103"/>
      <c r="N70" s="319"/>
      <c r="O70" s="656" t="s">
        <v>81</v>
      </c>
      <c r="P70" s="320"/>
      <c r="Q70" s="319"/>
      <c r="R70" s="319"/>
      <c r="S70" s="319"/>
      <c r="T70" s="319"/>
      <c r="U70" s="103"/>
      <c r="V70" s="99"/>
      <c r="W70" s="99"/>
      <c r="X70" s="99"/>
      <c r="Y70" s="99"/>
      <c r="Z70" s="100"/>
      <c r="AA70" s="121"/>
      <c r="AB70" s="99"/>
      <c r="AC70" s="99"/>
      <c r="AD70" s="99"/>
      <c r="AE70" s="100"/>
      <c r="AF70" s="96"/>
      <c r="AG70" s="96"/>
      <c r="AH70" s="96"/>
      <c r="AI70" s="96"/>
      <c r="AJ70" s="104"/>
      <c r="AK70" s="96"/>
      <c r="AL70" s="96"/>
      <c r="AM70" s="96"/>
      <c r="AN70" s="96"/>
      <c r="AO70" s="104"/>
      <c r="AP70" s="96"/>
      <c r="AQ70" s="96"/>
      <c r="AR70" s="96"/>
      <c r="AS70" s="96"/>
      <c r="AT70" s="104"/>
      <c r="AU70" s="96"/>
      <c r="AV70" s="96"/>
      <c r="AW70" s="96"/>
      <c r="AX70" s="96"/>
      <c r="AY70" s="104"/>
      <c r="AZ70" s="96"/>
      <c r="BA70" s="96"/>
      <c r="BB70" s="96"/>
      <c r="BC70" s="96"/>
      <c r="BD70" s="104"/>
      <c r="BE70" s="96"/>
      <c r="BF70" s="96"/>
      <c r="BG70" s="96"/>
      <c r="BH70" s="96"/>
      <c r="BI70" s="104"/>
      <c r="BJ70" s="693" t="s">
        <v>82</v>
      </c>
    </row>
    <row r="71" spans="1:62" ht="20.25" customHeight="1">
      <c r="A71" s="315">
        <v>69</v>
      </c>
      <c r="B71" s="215" t="s">
        <v>52</v>
      </c>
      <c r="C71" s="238" t="s">
        <v>617</v>
      </c>
      <c r="D71" s="280" t="s">
        <v>618</v>
      </c>
      <c r="E71" s="604" t="s">
        <v>619</v>
      </c>
      <c r="F71" s="241" t="s">
        <v>540</v>
      </c>
      <c r="G71" s="241" t="s">
        <v>541</v>
      </c>
      <c r="H71" s="233">
        <v>46071</v>
      </c>
      <c r="I71" s="319"/>
      <c r="J71" s="214">
        <f t="shared" si="7"/>
        <v>7</v>
      </c>
      <c r="K71" s="104"/>
      <c r="L71" s="103"/>
      <c r="M71" s="103"/>
      <c r="N71" s="319"/>
      <c r="O71" s="656" t="s">
        <v>81</v>
      </c>
      <c r="P71" s="320"/>
      <c r="Q71" s="319"/>
      <c r="R71" s="319"/>
      <c r="S71" s="214"/>
      <c r="T71" s="319"/>
      <c r="U71" s="93"/>
      <c r="V71" s="99"/>
      <c r="W71" s="99"/>
      <c r="X71" s="99"/>
      <c r="Y71" s="99"/>
      <c r="Z71" s="100"/>
      <c r="AA71" s="121"/>
      <c r="AB71" s="99"/>
      <c r="AC71" s="99"/>
      <c r="AD71" s="99"/>
      <c r="AE71" s="100"/>
      <c r="AF71" s="96"/>
      <c r="AG71" s="96"/>
      <c r="AH71" s="96"/>
      <c r="AI71" s="96"/>
      <c r="AJ71" s="104"/>
      <c r="AK71" s="96"/>
      <c r="AL71" s="96"/>
      <c r="AM71" s="96"/>
      <c r="AN71" s="96"/>
      <c r="AO71" s="104"/>
      <c r="AP71" s="96"/>
      <c r="AQ71" s="96"/>
      <c r="AR71" s="96"/>
      <c r="AS71" s="96"/>
      <c r="AT71" s="104"/>
      <c r="AU71" s="96"/>
      <c r="AV71" s="96"/>
      <c r="AW71" s="96"/>
      <c r="AX71" s="96"/>
      <c r="AY71" s="104"/>
      <c r="AZ71" s="96"/>
      <c r="BA71" s="96"/>
      <c r="BB71" s="96"/>
      <c r="BC71" s="96"/>
      <c r="BD71" s="104"/>
      <c r="BE71" s="96"/>
      <c r="BF71" s="96"/>
      <c r="BG71" s="96"/>
      <c r="BH71" s="96"/>
      <c r="BI71" s="104"/>
      <c r="BJ71" s="693" t="s">
        <v>82</v>
      </c>
    </row>
    <row r="72" spans="1:62" ht="20.25" customHeight="1">
      <c r="A72" s="315">
        <v>70</v>
      </c>
      <c r="B72" s="215" t="s">
        <v>52</v>
      </c>
      <c r="C72" s="238" t="s">
        <v>620</v>
      </c>
      <c r="D72" s="280" t="s">
        <v>621</v>
      </c>
      <c r="E72" s="604" t="s">
        <v>622</v>
      </c>
      <c r="F72" s="241" t="s">
        <v>546</v>
      </c>
      <c r="G72" s="241" t="s">
        <v>547</v>
      </c>
      <c r="H72" s="234">
        <v>46069</v>
      </c>
      <c r="I72" s="319"/>
      <c r="J72" s="214">
        <f t="shared" si="7"/>
        <v>7</v>
      </c>
      <c r="K72" s="104"/>
      <c r="L72" s="103"/>
      <c r="M72" s="103"/>
      <c r="N72" s="319"/>
      <c r="O72" s="656" t="s">
        <v>81</v>
      </c>
      <c r="P72" s="320"/>
      <c r="Q72" s="319"/>
      <c r="R72" s="319"/>
      <c r="S72" s="319"/>
      <c r="T72" s="319"/>
      <c r="U72" s="103"/>
      <c r="V72" s="99"/>
      <c r="W72" s="99"/>
      <c r="X72" s="99"/>
      <c r="Y72" s="99"/>
      <c r="Z72" s="100"/>
      <c r="AA72" s="121"/>
      <c r="AB72" s="99"/>
      <c r="AC72" s="99"/>
      <c r="AD72" s="99"/>
      <c r="AE72" s="100"/>
      <c r="AF72" s="96"/>
      <c r="AG72" s="96"/>
      <c r="AH72" s="96"/>
      <c r="AI72" s="96"/>
      <c r="AJ72" s="104"/>
      <c r="AK72" s="96"/>
      <c r="AL72" s="96"/>
      <c r="AM72" s="96"/>
      <c r="AN72" s="96"/>
      <c r="AO72" s="104"/>
      <c r="AP72" s="96"/>
      <c r="AQ72" s="96"/>
      <c r="AR72" s="96"/>
      <c r="AS72" s="96"/>
      <c r="AT72" s="104"/>
      <c r="AU72" s="96"/>
      <c r="AV72" s="96"/>
      <c r="AW72" s="96"/>
      <c r="AX72" s="96"/>
      <c r="AY72" s="104"/>
      <c r="AZ72" s="96"/>
      <c r="BA72" s="96"/>
      <c r="BB72" s="96"/>
      <c r="BC72" s="96"/>
      <c r="BD72" s="104"/>
      <c r="BE72" s="96"/>
      <c r="BF72" s="96"/>
      <c r="BG72" s="96"/>
      <c r="BH72" s="96"/>
      <c r="BI72" s="104"/>
      <c r="BJ72" s="693" t="s">
        <v>82</v>
      </c>
    </row>
    <row r="73" spans="1:62" ht="20.25" customHeight="1">
      <c r="A73" s="315">
        <v>71</v>
      </c>
      <c r="B73" s="215" t="s">
        <v>52</v>
      </c>
      <c r="C73" s="238" t="s">
        <v>623</v>
      </c>
      <c r="D73" s="280" t="s">
        <v>624</v>
      </c>
      <c r="E73" s="604" t="s">
        <v>625</v>
      </c>
      <c r="F73" s="241" t="s">
        <v>546</v>
      </c>
      <c r="G73" s="241" t="s">
        <v>547</v>
      </c>
      <c r="H73" s="234">
        <v>46062</v>
      </c>
      <c r="I73" s="327">
        <v>46062</v>
      </c>
      <c r="J73" s="214">
        <f t="shared" si="7"/>
        <v>46069</v>
      </c>
      <c r="K73" s="103">
        <v>0</v>
      </c>
      <c r="L73" s="103" t="s">
        <v>49</v>
      </c>
      <c r="M73" s="103" t="s">
        <v>89</v>
      </c>
      <c r="N73" s="319"/>
      <c r="O73" s="656" t="s">
        <v>81</v>
      </c>
      <c r="P73" s="320"/>
      <c r="Q73" s="319">
        <v>46062</v>
      </c>
      <c r="R73" s="319"/>
      <c r="S73" s="319"/>
      <c r="T73" s="319"/>
      <c r="U73" s="103"/>
      <c r="V73" s="99"/>
      <c r="W73" s="99"/>
      <c r="X73" s="99"/>
      <c r="Y73" s="99"/>
      <c r="Z73" s="100"/>
      <c r="AA73" s="121"/>
      <c r="AB73" s="99"/>
      <c r="AC73" s="99"/>
      <c r="AD73" s="99"/>
      <c r="AE73" s="100"/>
      <c r="AF73" s="96"/>
      <c r="AG73" s="96"/>
      <c r="AH73" s="96"/>
      <c r="AI73" s="96"/>
      <c r="AJ73" s="104"/>
      <c r="AK73" s="96"/>
      <c r="AL73" s="96"/>
      <c r="AM73" s="96"/>
      <c r="AN73" s="96"/>
      <c r="AO73" s="104"/>
      <c r="AP73" s="96"/>
      <c r="AQ73" s="96"/>
      <c r="AR73" s="96"/>
      <c r="AS73" s="96"/>
      <c r="AT73" s="104"/>
      <c r="AU73" s="96"/>
      <c r="AV73" s="96"/>
      <c r="AW73" s="96"/>
      <c r="AX73" s="96"/>
      <c r="AY73" s="104"/>
      <c r="AZ73" s="96"/>
      <c r="BA73" s="96"/>
      <c r="BB73" s="96"/>
      <c r="BC73" s="96"/>
      <c r="BD73" s="104"/>
      <c r="BE73" s="96"/>
      <c r="BF73" s="96"/>
      <c r="BG73" s="96"/>
      <c r="BH73" s="96"/>
      <c r="BI73" s="104"/>
      <c r="BJ73" s="693" t="s">
        <v>82</v>
      </c>
    </row>
    <row r="74" spans="1:62" ht="20.25" customHeight="1">
      <c r="A74" s="315">
        <v>72</v>
      </c>
      <c r="B74" s="215" t="s">
        <v>52</v>
      </c>
      <c r="C74" s="238" t="s">
        <v>626</v>
      </c>
      <c r="D74" s="280" t="s">
        <v>627</v>
      </c>
      <c r="E74" s="604" t="s">
        <v>628</v>
      </c>
      <c r="F74" s="241" t="s">
        <v>546</v>
      </c>
      <c r="G74" s="241" t="s">
        <v>547</v>
      </c>
      <c r="H74" s="234">
        <v>46069</v>
      </c>
      <c r="I74" s="319"/>
      <c r="J74" s="214">
        <f t="shared" si="7"/>
        <v>7</v>
      </c>
      <c r="K74" s="104"/>
      <c r="L74" s="103"/>
      <c r="M74" s="103"/>
      <c r="N74" s="319"/>
      <c r="O74" s="656" t="s">
        <v>81</v>
      </c>
      <c r="P74" s="320"/>
      <c r="Q74" s="319"/>
      <c r="R74" s="319"/>
      <c r="S74" s="319"/>
      <c r="T74" s="319"/>
      <c r="U74" s="93"/>
      <c r="V74" s="99"/>
      <c r="W74" s="99"/>
      <c r="X74" s="99"/>
      <c r="Y74" s="99"/>
      <c r="Z74" s="100"/>
      <c r="AA74" s="121"/>
      <c r="AB74" s="99"/>
      <c r="AC74" s="99"/>
      <c r="AD74" s="99"/>
      <c r="AE74" s="100"/>
      <c r="AF74" s="96"/>
      <c r="AG74" s="96"/>
      <c r="AH74" s="96"/>
      <c r="AI74" s="96"/>
      <c r="AJ74" s="104"/>
      <c r="AK74" s="96"/>
      <c r="AL74" s="96"/>
      <c r="AM74" s="96"/>
      <c r="AN74" s="96"/>
      <c r="AO74" s="104"/>
      <c r="AP74" s="96"/>
      <c r="AQ74" s="96"/>
      <c r="AR74" s="96"/>
      <c r="AS74" s="96"/>
      <c r="AT74" s="104"/>
      <c r="AU74" s="96"/>
      <c r="AV74" s="96"/>
      <c r="AW74" s="96"/>
      <c r="AX74" s="96"/>
      <c r="AY74" s="104"/>
      <c r="AZ74" s="96"/>
      <c r="BA74" s="96"/>
      <c r="BB74" s="96"/>
      <c r="BC74" s="96"/>
      <c r="BD74" s="104"/>
      <c r="BE74" s="96"/>
      <c r="BF74" s="96"/>
      <c r="BG74" s="96"/>
      <c r="BH74" s="96"/>
      <c r="BI74" s="104"/>
      <c r="BJ74" s="693" t="s">
        <v>82</v>
      </c>
    </row>
    <row r="75" spans="1:62" ht="20.25" customHeight="1">
      <c r="A75" s="315">
        <v>74</v>
      </c>
      <c r="B75" s="215" t="s">
        <v>52</v>
      </c>
      <c r="C75" s="238" t="s">
        <v>629</v>
      </c>
      <c r="D75" s="280" t="s">
        <v>630</v>
      </c>
      <c r="E75" s="604" t="s">
        <v>631</v>
      </c>
      <c r="F75" s="241" t="s">
        <v>529</v>
      </c>
      <c r="G75" s="241" t="s">
        <v>632</v>
      </c>
      <c r="H75" s="630">
        <v>46052</v>
      </c>
      <c r="I75" s="319"/>
      <c r="J75" s="214">
        <f t="shared" si="7"/>
        <v>7</v>
      </c>
      <c r="K75" s="104"/>
      <c r="L75" s="103"/>
      <c r="M75" s="103"/>
      <c r="N75" s="319"/>
      <c r="O75" s="656" t="s">
        <v>81</v>
      </c>
      <c r="P75" s="632" t="s">
        <v>531</v>
      </c>
      <c r="Q75" s="319"/>
      <c r="R75" s="319"/>
      <c r="S75" s="214"/>
      <c r="T75" s="319"/>
      <c r="U75" s="103"/>
      <c r="V75" s="99"/>
      <c r="W75" s="99"/>
      <c r="X75" s="99"/>
      <c r="Y75" s="99"/>
      <c r="Z75" s="100"/>
      <c r="AA75" s="121"/>
      <c r="AB75" s="99"/>
      <c r="AC75" s="99"/>
      <c r="AD75" s="99"/>
      <c r="AE75" s="100"/>
      <c r="AF75" s="96"/>
      <c r="AG75" s="96"/>
      <c r="AH75" s="96"/>
      <c r="AI75" s="96"/>
      <c r="AJ75" s="104"/>
      <c r="AK75" s="96"/>
      <c r="AL75" s="96"/>
      <c r="AM75" s="96"/>
      <c r="AN75" s="96"/>
      <c r="AO75" s="104"/>
      <c r="AP75" s="96"/>
      <c r="AQ75" s="96"/>
      <c r="AR75" s="96"/>
      <c r="AS75" s="96"/>
      <c r="AT75" s="104"/>
      <c r="AU75" s="96"/>
      <c r="AV75" s="96"/>
      <c r="AW75" s="96"/>
      <c r="AX75" s="96"/>
      <c r="AY75" s="104"/>
      <c r="AZ75" s="96"/>
      <c r="BA75" s="96"/>
      <c r="BB75" s="96"/>
      <c r="BC75" s="96"/>
      <c r="BD75" s="104"/>
      <c r="BE75" s="96"/>
      <c r="BF75" s="96"/>
      <c r="BG75" s="96"/>
      <c r="BH75" s="96"/>
      <c r="BI75" s="104"/>
      <c r="BJ75" s="693" t="s">
        <v>82</v>
      </c>
    </row>
    <row r="76" spans="1:62" ht="20.25" customHeight="1">
      <c r="A76" s="315">
        <v>75</v>
      </c>
      <c r="B76" s="215" t="s">
        <v>52</v>
      </c>
      <c r="C76" s="238" t="s">
        <v>633</v>
      </c>
      <c r="D76" s="280" t="s">
        <v>634</v>
      </c>
      <c r="E76" s="604" t="s">
        <v>635</v>
      </c>
      <c r="F76" s="241" t="s">
        <v>529</v>
      </c>
      <c r="G76" s="241" t="s">
        <v>632</v>
      </c>
      <c r="H76" s="630">
        <v>46058</v>
      </c>
      <c r="I76" s="214"/>
      <c r="J76" s="214">
        <f t="shared" si="7"/>
        <v>7</v>
      </c>
      <c r="K76" s="103"/>
      <c r="L76" s="103"/>
      <c r="M76" s="103"/>
      <c r="N76" s="319"/>
      <c r="O76" s="656" t="s">
        <v>81</v>
      </c>
      <c r="P76" s="632" t="s">
        <v>531</v>
      </c>
      <c r="Q76" s="214"/>
      <c r="R76" s="319"/>
      <c r="S76" s="214"/>
      <c r="T76" s="319"/>
      <c r="U76" s="103"/>
      <c r="V76" s="99"/>
      <c r="W76" s="99"/>
      <c r="X76" s="99"/>
      <c r="Y76" s="99"/>
      <c r="Z76" s="100"/>
      <c r="AA76" s="121"/>
      <c r="AB76" s="99"/>
      <c r="AC76" s="99"/>
      <c r="AD76" s="99"/>
      <c r="AE76" s="100"/>
      <c r="AF76" s="96"/>
      <c r="AG76" s="96"/>
      <c r="AH76" s="96"/>
      <c r="AI76" s="96"/>
      <c r="AJ76" s="104"/>
      <c r="AK76" s="96"/>
      <c r="AL76" s="96"/>
      <c r="AM76" s="96"/>
      <c r="AN76" s="96"/>
      <c r="AO76" s="104"/>
      <c r="AP76" s="96"/>
      <c r="AQ76" s="96"/>
      <c r="AR76" s="96"/>
      <c r="AS76" s="96"/>
      <c r="AT76" s="104"/>
      <c r="AU76" s="96"/>
      <c r="AV76" s="96"/>
      <c r="AW76" s="96"/>
      <c r="AX76" s="96"/>
      <c r="AY76" s="104"/>
      <c r="AZ76" s="96"/>
      <c r="BA76" s="96"/>
      <c r="BB76" s="96"/>
      <c r="BC76" s="96"/>
      <c r="BD76" s="104"/>
      <c r="BE76" s="96"/>
      <c r="BF76" s="96"/>
      <c r="BG76" s="96"/>
      <c r="BH76" s="96"/>
      <c r="BI76" s="104"/>
      <c r="BJ76" s="693" t="s">
        <v>82</v>
      </c>
    </row>
    <row r="77" spans="1:62" ht="20.25" customHeight="1">
      <c r="A77" s="315">
        <v>73</v>
      </c>
      <c r="B77" s="215" t="s">
        <v>52</v>
      </c>
      <c r="C77" s="238" t="s">
        <v>636</v>
      </c>
      <c r="D77" s="280" t="s">
        <v>637</v>
      </c>
      <c r="E77" s="604" t="s">
        <v>638</v>
      </c>
      <c r="F77" s="241" t="s">
        <v>529</v>
      </c>
      <c r="G77" s="241" t="s">
        <v>632</v>
      </c>
      <c r="H77" s="234">
        <v>46065</v>
      </c>
      <c r="I77" s="319"/>
      <c r="J77" s="214">
        <f>I77+7</f>
        <v>7</v>
      </c>
      <c r="K77" s="104"/>
      <c r="L77" s="103"/>
      <c r="M77" s="103"/>
      <c r="N77" s="319"/>
      <c r="O77" s="656" t="s">
        <v>81</v>
      </c>
      <c r="P77" s="632" t="s">
        <v>531</v>
      </c>
      <c r="Q77" s="319"/>
      <c r="R77" s="319"/>
      <c r="S77" s="319"/>
      <c r="T77" s="319"/>
      <c r="U77" s="93"/>
      <c r="V77" s="99"/>
      <c r="W77" s="99"/>
      <c r="X77" s="99"/>
      <c r="Y77" s="99"/>
      <c r="Z77" s="100"/>
      <c r="AA77" s="121"/>
      <c r="AB77" s="99"/>
      <c r="AC77" s="99"/>
      <c r="AD77" s="99"/>
      <c r="AE77" s="100"/>
      <c r="AF77" s="96"/>
      <c r="AG77" s="96"/>
      <c r="AH77" s="96"/>
      <c r="AI77" s="96"/>
      <c r="AJ77" s="104"/>
      <c r="AK77" s="96"/>
      <c r="AL77" s="96"/>
      <c r="AM77" s="96"/>
      <c r="AN77" s="96"/>
      <c r="AO77" s="104"/>
      <c r="AP77" s="96"/>
      <c r="AQ77" s="96"/>
      <c r="AR77" s="96"/>
      <c r="AS77" s="96"/>
      <c r="AT77" s="104"/>
      <c r="AU77" s="96"/>
      <c r="AV77" s="96"/>
      <c r="AW77" s="96"/>
      <c r="AX77" s="96"/>
      <c r="AY77" s="104"/>
      <c r="AZ77" s="96"/>
      <c r="BA77" s="96"/>
      <c r="BB77" s="96"/>
      <c r="BC77" s="96"/>
      <c r="BD77" s="104"/>
      <c r="BE77" s="96"/>
      <c r="BF77" s="96"/>
      <c r="BG77" s="96"/>
      <c r="BH77" s="96"/>
      <c r="BI77" s="104"/>
      <c r="BJ77" s="693" t="s">
        <v>82</v>
      </c>
    </row>
    <row r="78" spans="1:62" ht="20.25" customHeight="1">
      <c r="A78" s="315">
        <v>76</v>
      </c>
      <c r="B78" s="215" t="s">
        <v>52</v>
      </c>
      <c r="C78" s="238" t="s">
        <v>639</v>
      </c>
      <c r="D78" s="280" t="s">
        <v>640</v>
      </c>
      <c r="E78" s="604" t="s">
        <v>641</v>
      </c>
      <c r="F78" s="241" t="s">
        <v>529</v>
      </c>
      <c r="G78" s="241" t="s">
        <v>632</v>
      </c>
      <c r="H78" s="630">
        <v>46055</v>
      </c>
      <c r="I78" s="214"/>
      <c r="J78" s="214">
        <f t="shared" si="7"/>
        <v>7</v>
      </c>
      <c r="K78" s="103"/>
      <c r="L78" s="103"/>
      <c r="M78" s="103"/>
      <c r="N78" s="319"/>
      <c r="O78" s="656" t="s">
        <v>81</v>
      </c>
      <c r="P78" s="632" t="s">
        <v>642</v>
      </c>
      <c r="Q78" s="214"/>
      <c r="R78" s="319"/>
      <c r="S78" s="214"/>
      <c r="T78" s="319"/>
      <c r="U78" s="103"/>
      <c r="V78" s="99"/>
      <c r="W78" s="99"/>
      <c r="X78" s="99"/>
      <c r="Y78" s="99"/>
      <c r="Z78" s="100"/>
      <c r="AA78" s="121"/>
      <c r="AB78" s="99"/>
      <c r="AC78" s="99"/>
      <c r="AD78" s="99"/>
      <c r="AE78" s="100"/>
      <c r="AF78" s="96"/>
      <c r="AG78" s="96"/>
      <c r="AH78" s="96"/>
      <c r="AI78" s="96"/>
      <c r="AJ78" s="104"/>
      <c r="AK78" s="96"/>
      <c r="AL78" s="96"/>
      <c r="AM78" s="96"/>
      <c r="AN78" s="96"/>
      <c r="AO78" s="104"/>
      <c r="AP78" s="96"/>
      <c r="AQ78" s="96"/>
      <c r="AR78" s="96"/>
      <c r="AS78" s="96"/>
      <c r="AT78" s="104"/>
      <c r="AU78" s="96"/>
      <c r="AV78" s="96"/>
      <c r="AW78" s="96"/>
      <c r="AX78" s="96"/>
      <c r="AY78" s="104"/>
      <c r="AZ78" s="96"/>
      <c r="BA78" s="96"/>
      <c r="BB78" s="96"/>
      <c r="BC78" s="96"/>
      <c r="BD78" s="104"/>
      <c r="BE78" s="96"/>
      <c r="BF78" s="96"/>
      <c r="BG78" s="96"/>
      <c r="BH78" s="96"/>
      <c r="BI78" s="104"/>
      <c r="BJ78" s="693" t="s">
        <v>82</v>
      </c>
    </row>
    <row r="79" spans="1:62" ht="20.25" customHeight="1">
      <c r="A79" s="315">
        <v>77</v>
      </c>
      <c r="B79" s="215" t="s">
        <v>52</v>
      </c>
      <c r="C79" s="238" t="s">
        <v>643</v>
      </c>
      <c r="D79" s="280" t="s">
        <v>644</v>
      </c>
      <c r="E79" s="604" t="s">
        <v>645</v>
      </c>
      <c r="F79" s="241" t="s">
        <v>529</v>
      </c>
      <c r="G79" s="241" t="s">
        <v>632</v>
      </c>
      <c r="H79" s="630">
        <v>46055</v>
      </c>
      <c r="I79" s="214"/>
      <c r="J79" s="214">
        <f t="shared" si="7"/>
        <v>7</v>
      </c>
      <c r="K79" s="103"/>
      <c r="L79" s="103"/>
      <c r="M79" s="103"/>
      <c r="N79" s="319"/>
      <c r="O79" s="656" t="s">
        <v>81</v>
      </c>
      <c r="P79" s="632" t="s">
        <v>642</v>
      </c>
      <c r="Q79" s="214"/>
      <c r="R79" s="319"/>
      <c r="S79" s="214"/>
      <c r="T79" s="319"/>
      <c r="U79" s="103"/>
      <c r="V79" s="99"/>
      <c r="W79" s="99"/>
      <c r="X79" s="99"/>
      <c r="Y79" s="99"/>
      <c r="Z79" s="100"/>
      <c r="AA79" s="121"/>
      <c r="AB79" s="99"/>
      <c r="AC79" s="99"/>
      <c r="AD79" s="99"/>
      <c r="AE79" s="100"/>
      <c r="AF79" s="96"/>
      <c r="AG79" s="96"/>
      <c r="AH79" s="96"/>
      <c r="AI79" s="96"/>
      <c r="AJ79" s="104"/>
      <c r="AK79" s="96"/>
      <c r="AL79" s="96"/>
      <c r="AM79" s="96"/>
      <c r="AN79" s="96"/>
      <c r="AO79" s="104"/>
      <c r="AP79" s="96"/>
      <c r="AQ79" s="96"/>
      <c r="AR79" s="96"/>
      <c r="AS79" s="96"/>
      <c r="AT79" s="104"/>
      <c r="AU79" s="96"/>
      <c r="AV79" s="96"/>
      <c r="AW79" s="96"/>
      <c r="AX79" s="96"/>
      <c r="AY79" s="104"/>
      <c r="AZ79" s="96"/>
      <c r="BA79" s="96"/>
      <c r="BB79" s="96"/>
      <c r="BC79" s="96"/>
      <c r="BD79" s="104"/>
      <c r="BE79" s="96"/>
      <c r="BF79" s="96"/>
      <c r="BG79" s="96"/>
      <c r="BH79" s="96"/>
      <c r="BI79" s="104"/>
      <c r="BJ79" s="693" t="s">
        <v>82</v>
      </c>
    </row>
    <row r="80" spans="1:62" ht="20.25" customHeight="1">
      <c r="A80" s="315">
        <v>78</v>
      </c>
      <c r="B80" s="215" t="s">
        <v>52</v>
      </c>
      <c r="C80" s="238" t="s">
        <v>646</v>
      </c>
      <c r="D80" s="280" t="s">
        <v>647</v>
      </c>
      <c r="E80" s="604" t="s">
        <v>648</v>
      </c>
      <c r="F80" s="241" t="s">
        <v>529</v>
      </c>
      <c r="G80" s="241" t="s">
        <v>632</v>
      </c>
      <c r="H80" s="630">
        <v>46055</v>
      </c>
      <c r="I80" s="214"/>
      <c r="J80" s="214">
        <f t="shared" si="7"/>
        <v>7</v>
      </c>
      <c r="K80" s="103"/>
      <c r="L80" s="103"/>
      <c r="M80" s="103"/>
      <c r="N80" s="319"/>
      <c r="O80" s="656" t="s">
        <v>81</v>
      </c>
      <c r="P80" s="632" t="s">
        <v>642</v>
      </c>
      <c r="Q80" s="214"/>
      <c r="R80" s="319"/>
      <c r="S80" s="214"/>
      <c r="T80" s="319"/>
      <c r="U80" s="103"/>
      <c r="V80" s="99"/>
      <c r="W80" s="99"/>
      <c r="X80" s="99"/>
      <c r="Y80" s="99"/>
      <c r="Z80" s="100"/>
      <c r="AA80" s="121"/>
      <c r="AB80" s="99"/>
      <c r="AC80" s="99"/>
      <c r="AD80" s="99"/>
      <c r="AE80" s="100"/>
      <c r="AF80" s="96"/>
      <c r="AG80" s="96"/>
      <c r="AH80" s="96"/>
      <c r="AI80" s="96"/>
      <c r="AJ80" s="104"/>
      <c r="AK80" s="96"/>
      <c r="AL80" s="96"/>
      <c r="AM80" s="96"/>
      <c r="AN80" s="96"/>
      <c r="AO80" s="104"/>
      <c r="AP80" s="96"/>
      <c r="AQ80" s="96"/>
      <c r="AR80" s="96"/>
      <c r="AS80" s="96"/>
      <c r="AT80" s="104"/>
      <c r="AU80" s="96"/>
      <c r="AV80" s="96"/>
      <c r="AW80" s="96"/>
      <c r="AX80" s="96"/>
      <c r="AY80" s="104"/>
      <c r="AZ80" s="96"/>
      <c r="BA80" s="96"/>
      <c r="BB80" s="96"/>
      <c r="BC80" s="96"/>
      <c r="BD80" s="104"/>
      <c r="BE80" s="96"/>
      <c r="BF80" s="96"/>
      <c r="BG80" s="96"/>
      <c r="BH80" s="96"/>
      <c r="BI80" s="104"/>
      <c r="BJ80" s="693" t="s">
        <v>82</v>
      </c>
    </row>
    <row r="81" spans="1:62" ht="20.25" customHeight="1">
      <c r="A81" s="315">
        <v>79</v>
      </c>
      <c r="B81" s="215" t="s">
        <v>52</v>
      </c>
      <c r="C81" s="238" t="s">
        <v>649</v>
      </c>
      <c r="D81" s="280" t="s">
        <v>650</v>
      </c>
      <c r="E81" s="604" t="s">
        <v>651</v>
      </c>
      <c r="F81" s="241" t="s">
        <v>535</v>
      </c>
      <c r="G81" s="241" t="s">
        <v>632</v>
      </c>
      <c r="H81" s="234">
        <v>46067</v>
      </c>
      <c r="I81" s="214"/>
      <c r="J81" s="214">
        <f t="shared" si="7"/>
        <v>7</v>
      </c>
      <c r="K81" s="103"/>
      <c r="L81" s="103"/>
      <c r="M81" s="103"/>
      <c r="N81" s="319"/>
      <c r="O81" s="656" t="s">
        <v>81</v>
      </c>
      <c r="P81" s="312"/>
      <c r="Q81" s="214"/>
      <c r="R81" s="319"/>
      <c r="S81" s="214"/>
      <c r="T81" s="319"/>
      <c r="U81" s="103"/>
      <c r="V81" s="99"/>
      <c r="W81" s="99"/>
      <c r="X81" s="99"/>
      <c r="Y81" s="99"/>
      <c r="Z81" s="100"/>
      <c r="AA81" s="121"/>
      <c r="AB81" s="99"/>
      <c r="AC81" s="99"/>
      <c r="AD81" s="99"/>
      <c r="AE81" s="100"/>
      <c r="AF81" s="96"/>
      <c r="AG81" s="96"/>
      <c r="AH81" s="96"/>
      <c r="AI81" s="96"/>
      <c r="AJ81" s="104"/>
      <c r="AK81" s="96"/>
      <c r="AL81" s="96"/>
      <c r="AM81" s="96"/>
      <c r="AN81" s="96"/>
      <c r="AO81" s="104"/>
      <c r="AP81" s="96"/>
      <c r="AQ81" s="96"/>
      <c r="AR81" s="96"/>
      <c r="AS81" s="96"/>
      <c r="AT81" s="104"/>
      <c r="AU81" s="96"/>
      <c r="AV81" s="96"/>
      <c r="AW81" s="96"/>
      <c r="AX81" s="96"/>
      <c r="AY81" s="104"/>
      <c r="AZ81" s="96"/>
      <c r="BA81" s="96"/>
      <c r="BB81" s="96"/>
      <c r="BC81" s="96"/>
      <c r="BD81" s="104"/>
      <c r="BE81" s="96"/>
      <c r="BF81" s="96"/>
      <c r="BG81" s="96"/>
      <c r="BH81" s="96"/>
      <c r="BI81" s="104"/>
      <c r="BJ81" s="693" t="s">
        <v>82</v>
      </c>
    </row>
    <row r="82" spans="1:62" ht="20.25" customHeight="1">
      <c r="A82" s="315">
        <v>80</v>
      </c>
      <c r="B82" s="215" t="s">
        <v>52</v>
      </c>
      <c r="C82" s="238" t="s">
        <v>652</v>
      </c>
      <c r="D82" s="280" t="s">
        <v>653</v>
      </c>
      <c r="E82" s="604" t="s">
        <v>654</v>
      </c>
      <c r="F82" s="241" t="s">
        <v>535</v>
      </c>
      <c r="G82" s="241" t="s">
        <v>632</v>
      </c>
      <c r="H82" s="630">
        <v>46052</v>
      </c>
      <c r="I82" s="214">
        <v>46065</v>
      </c>
      <c r="J82" s="214">
        <f t="shared" si="7"/>
        <v>46072</v>
      </c>
      <c r="K82" s="103">
        <v>0</v>
      </c>
      <c r="L82" s="103" t="s">
        <v>49</v>
      </c>
      <c r="M82" s="103" t="s">
        <v>89</v>
      </c>
      <c r="N82" s="221"/>
      <c r="O82" s="656" t="s">
        <v>81</v>
      </c>
      <c r="P82" s="312"/>
      <c r="Q82" s="214">
        <v>46065</v>
      </c>
      <c r="R82" s="319"/>
      <c r="S82" s="214"/>
      <c r="T82" s="319"/>
      <c r="U82" s="103"/>
      <c r="V82" s="99"/>
      <c r="W82" s="99"/>
      <c r="X82" s="99"/>
      <c r="Y82" s="99"/>
      <c r="Z82" s="100"/>
      <c r="AA82" s="121"/>
      <c r="AB82" s="99"/>
      <c r="AC82" s="99"/>
      <c r="AD82" s="99"/>
      <c r="AE82" s="100"/>
      <c r="AF82" s="96"/>
      <c r="AG82" s="96"/>
      <c r="AH82" s="96"/>
      <c r="AI82" s="96"/>
      <c r="AJ82" s="104"/>
      <c r="AK82" s="96"/>
      <c r="AL82" s="96"/>
      <c r="AM82" s="96"/>
      <c r="AN82" s="96"/>
      <c r="AO82" s="104"/>
      <c r="AP82" s="96"/>
      <c r="AQ82" s="96"/>
      <c r="AR82" s="96"/>
      <c r="AS82" s="96"/>
      <c r="AT82" s="104"/>
      <c r="AU82" s="96"/>
      <c r="AV82" s="96"/>
      <c r="AW82" s="96"/>
      <c r="AX82" s="96"/>
      <c r="AY82" s="104"/>
      <c r="AZ82" s="96"/>
      <c r="BA82" s="96"/>
      <c r="BB82" s="96"/>
      <c r="BC82" s="96"/>
      <c r="BD82" s="104"/>
      <c r="BE82" s="96"/>
      <c r="BF82" s="96"/>
      <c r="BG82" s="96"/>
      <c r="BH82" s="96"/>
      <c r="BI82" s="104"/>
      <c r="BJ82" s="693" t="s">
        <v>82</v>
      </c>
    </row>
    <row r="83" spans="1:62" ht="20.25" customHeight="1">
      <c r="A83" s="315">
        <v>81</v>
      </c>
      <c r="B83" s="215" t="s">
        <v>52</v>
      </c>
      <c r="C83" s="238" t="s">
        <v>655</v>
      </c>
      <c r="D83" s="280" t="s">
        <v>656</v>
      </c>
      <c r="E83" s="604" t="s">
        <v>657</v>
      </c>
      <c r="F83" s="241" t="s">
        <v>535</v>
      </c>
      <c r="G83" s="241" t="s">
        <v>632</v>
      </c>
      <c r="H83" s="630">
        <v>46060</v>
      </c>
      <c r="I83" s="321"/>
      <c r="J83" s="214">
        <f t="shared" si="7"/>
        <v>7</v>
      </c>
      <c r="K83" s="332"/>
      <c r="L83" s="103"/>
      <c r="M83" s="103"/>
      <c r="N83" s="319"/>
      <c r="O83" s="656" t="s">
        <v>81</v>
      </c>
      <c r="P83" s="312"/>
      <c r="Q83" s="319"/>
      <c r="R83" s="319"/>
      <c r="S83" s="319"/>
      <c r="T83" s="319"/>
      <c r="U83" s="103"/>
      <c r="V83" s="99"/>
      <c r="W83" s="99"/>
      <c r="X83" s="99"/>
      <c r="Y83" s="99"/>
      <c r="Z83" s="100"/>
      <c r="AA83" s="121"/>
      <c r="AB83" s="99"/>
      <c r="AC83" s="99"/>
      <c r="AD83" s="99"/>
      <c r="AE83" s="100"/>
      <c r="AF83" s="96"/>
      <c r="AG83" s="96"/>
      <c r="AH83" s="96"/>
      <c r="AI83" s="96"/>
      <c r="AJ83" s="104"/>
      <c r="AK83" s="96"/>
      <c r="AL83" s="96"/>
      <c r="AM83" s="96"/>
      <c r="AN83" s="96"/>
      <c r="AO83" s="104"/>
      <c r="AP83" s="96"/>
      <c r="AQ83" s="96"/>
      <c r="AR83" s="96"/>
      <c r="AS83" s="96"/>
      <c r="AT83" s="104"/>
      <c r="AU83" s="96"/>
      <c r="AV83" s="96"/>
      <c r="AW83" s="96"/>
      <c r="AX83" s="96"/>
      <c r="AY83" s="104"/>
      <c r="AZ83" s="96"/>
      <c r="BA83" s="96"/>
      <c r="BB83" s="96"/>
      <c r="BC83" s="96"/>
      <c r="BD83" s="104"/>
      <c r="BE83" s="96"/>
      <c r="BF83" s="96"/>
      <c r="BG83" s="96"/>
      <c r="BH83" s="96"/>
      <c r="BI83" s="104"/>
      <c r="BJ83" s="693" t="s">
        <v>82</v>
      </c>
    </row>
    <row r="84" spans="1:62" ht="20.25" customHeight="1">
      <c r="A84" s="315">
        <v>82</v>
      </c>
      <c r="B84" s="215" t="s">
        <v>52</v>
      </c>
      <c r="C84" s="238" t="s">
        <v>658</v>
      </c>
      <c r="D84" s="280" t="s">
        <v>659</v>
      </c>
      <c r="E84" s="604" t="s">
        <v>660</v>
      </c>
      <c r="F84" s="241" t="s">
        <v>661</v>
      </c>
      <c r="G84" s="241"/>
      <c r="H84" s="630">
        <v>46059</v>
      </c>
      <c r="I84" s="321"/>
      <c r="J84" s="214">
        <f t="shared" si="7"/>
        <v>7</v>
      </c>
      <c r="K84" s="332"/>
      <c r="L84" s="103"/>
      <c r="M84" s="103"/>
      <c r="N84" s="319"/>
      <c r="O84" s="656" t="s">
        <v>81</v>
      </c>
      <c r="P84" s="320" t="s">
        <v>662</v>
      </c>
      <c r="Q84" s="319"/>
      <c r="R84" s="319"/>
      <c r="S84" s="319"/>
      <c r="T84" s="319"/>
      <c r="U84" s="103"/>
      <c r="V84" s="99"/>
      <c r="W84" s="99"/>
      <c r="X84" s="99"/>
      <c r="Y84" s="99"/>
      <c r="Z84" s="100"/>
      <c r="AA84" s="121"/>
      <c r="AB84" s="99"/>
      <c r="AC84" s="99"/>
      <c r="AD84" s="99"/>
      <c r="AE84" s="100"/>
      <c r="AF84" s="96"/>
      <c r="AG84" s="96"/>
      <c r="AH84" s="96"/>
      <c r="AI84" s="96"/>
      <c r="AJ84" s="104"/>
      <c r="AK84" s="96"/>
      <c r="AL84" s="96"/>
      <c r="AM84" s="96"/>
      <c r="AN84" s="96"/>
      <c r="AO84" s="104"/>
      <c r="AP84" s="96"/>
      <c r="AQ84" s="96"/>
      <c r="AR84" s="96"/>
      <c r="AS84" s="96"/>
      <c r="AT84" s="104"/>
      <c r="AU84" s="96"/>
      <c r="AV84" s="96"/>
      <c r="AW84" s="96"/>
      <c r="AX84" s="96"/>
      <c r="AY84" s="104"/>
      <c r="AZ84" s="96"/>
      <c r="BA84" s="96"/>
      <c r="BB84" s="96"/>
      <c r="BC84" s="96"/>
      <c r="BD84" s="104"/>
      <c r="BE84" s="96"/>
      <c r="BF84" s="96"/>
      <c r="BG84" s="96"/>
      <c r="BH84" s="96"/>
      <c r="BI84" s="104"/>
      <c r="BJ84" s="693" t="s">
        <v>82</v>
      </c>
    </row>
    <row r="85" spans="1:62" ht="20.25" customHeight="1">
      <c r="A85" s="315">
        <v>83</v>
      </c>
      <c r="B85" s="215" t="s">
        <v>52</v>
      </c>
      <c r="C85" s="238" t="s">
        <v>663</v>
      </c>
      <c r="D85" s="280" t="s">
        <v>664</v>
      </c>
      <c r="E85" s="604" t="s">
        <v>665</v>
      </c>
      <c r="F85" s="241" t="s">
        <v>661</v>
      </c>
      <c r="G85" s="241"/>
      <c r="H85" s="630">
        <v>46059</v>
      </c>
      <c r="I85" s="319"/>
      <c r="J85" s="214">
        <f t="shared" si="7"/>
        <v>7</v>
      </c>
      <c r="K85" s="104"/>
      <c r="L85" s="103"/>
      <c r="M85" s="103"/>
      <c r="N85" s="319"/>
      <c r="O85" s="656" t="s">
        <v>81</v>
      </c>
      <c r="P85" s="320" t="s">
        <v>662</v>
      </c>
      <c r="Q85" s="319"/>
      <c r="R85" s="319"/>
      <c r="S85" s="319"/>
      <c r="T85" s="319"/>
      <c r="U85" s="103"/>
      <c r="V85" s="99"/>
      <c r="W85" s="99"/>
      <c r="X85" s="99"/>
      <c r="Y85" s="99"/>
      <c r="Z85" s="100"/>
      <c r="AA85" s="121"/>
      <c r="AB85" s="99"/>
      <c r="AC85" s="99"/>
      <c r="AD85" s="99"/>
      <c r="AE85" s="100"/>
      <c r="AF85" s="96"/>
      <c r="AG85" s="96"/>
      <c r="AH85" s="96"/>
      <c r="AI85" s="96"/>
      <c r="AJ85" s="104"/>
      <c r="AK85" s="96"/>
      <c r="AL85" s="96"/>
      <c r="AM85" s="96"/>
      <c r="AN85" s="96"/>
      <c r="AO85" s="104"/>
      <c r="AP85" s="96"/>
      <c r="AQ85" s="96"/>
      <c r="AR85" s="96"/>
      <c r="AS85" s="96"/>
      <c r="AT85" s="104"/>
      <c r="AU85" s="96"/>
      <c r="AV85" s="96"/>
      <c r="AW85" s="96"/>
      <c r="AX85" s="96"/>
      <c r="AY85" s="104"/>
      <c r="AZ85" s="96"/>
      <c r="BA85" s="96"/>
      <c r="BB85" s="96"/>
      <c r="BC85" s="96"/>
      <c r="BD85" s="104"/>
      <c r="BE85" s="96"/>
      <c r="BF85" s="96"/>
      <c r="BG85" s="96"/>
      <c r="BH85" s="96"/>
      <c r="BI85" s="104"/>
      <c r="BJ85" s="693" t="s">
        <v>82</v>
      </c>
    </row>
    <row r="86" spans="1:62" ht="20.25" customHeight="1">
      <c r="A86" s="315">
        <v>84</v>
      </c>
      <c r="B86" s="215" t="s">
        <v>52</v>
      </c>
      <c r="C86" s="238" t="s">
        <v>666</v>
      </c>
      <c r="D86" s="280" t="s">
        <v>667</v>
      </c>
      <c r="E86" s="604" t="s">
        <v>668</v>
      </c>
      <c r="F86" s="241" t="s">
        <v>661</v>
      </c>
      <c r="G86" s="241"/>
      <c r="H86" s="630">
        <v>46059</v>
      </c>
      <c r="I86" s="319"/>
      <c r="J86" s="214">
        <f t="shared" si="7"/>
        <v>7</v>
      </c>
      <c r="K86" s="104"/>
      <c r="L86" s="103"/>
      <c r="M86" s="103"/>
      <c r="N86" s="319"/>
      <c r="O86" s="656" t="s">
        <v>81</v>
      </c>
      <c r="P86" s="320" t="s">
        <v>662</v>
      </c>
      <c r="Q86" s="319"/>
      <c r="R86" s="319"/>
      <c r="S86" s="319"/>
      <c r="T86" s="319"/>
      <c r="U86" s="103"/>
      <c r="V86" s="99"/>
      <c r="W86" s="99"/>
      <c r="X86" s="99"/>
      <c r="Y86" s="99"/>
      <c r="Z86" s="100"/>
      <c r="AA86" s="121"/>
      <c r="AB86" s="99"/>
      <c r="AC86" s="99"/>
      <c r="AD86" s="99"/>
      <c r="AE86" s="100"/>
      <c r="AF86" s="96"/>
      <c r="AG86" s="96"/>
      <c r="AH86" s="96"/>
      <c r="AI86" s="96"/>
      <c r="AJ86" s="104"/>
      <c r="AK86" s="96"/>
      <c r="AL86" s="96"/>
      <c r="AM86" s="96"/>
      <c r="AN86" s="96"/>
      <c r="AO86" s="104"/>
      <c r="AP86" s="96"/>
      <c r="AQ86" s="96"/>
      <c r="AR86" s="96"/>
      <c r="AS86" s="96"/>
      <c r="AT86" s="104"/>
      <c r="AU86" s="96"/>
      <c r="AV86" s="96"/>
      <c r="AW86" s="96"/>
      <c r="AX86" s="96"/>
      <c r="AY86" s="104"/>
      <c r="AZ86" s="96"/>
      <c r="BA86" s="96"/>
      <c r="BB86" s="96"/>
      <c r="BC86" s="96"/>
      <c r="BD86" s="104"/>
      <c r="BE86" s="96"/>
      <c r="BF86" s="96"/>
      <c r="BG86" s="96"/>
      <c r="BH86" s="96"/>
      <c r="BI86" s="104"/>
      <c r="BJ86" s="693" t="s">
        <v>82</v>
      </c>
    </row>
    <row r="87" spans="1:62" ht="20.25" customHeight="1">
      <c r="A87" s="315">
        <v>85</v>
      </c>
      <c r="B87" s="215" t="s">
        <v>52</v>
      </c>
      <c r="C87" s="238" t="s">
        <v>669</v>
      </c>
      <c r="D87" s="280" t="s">
        <v>670</v>
      </c>
      <c r="E87" s="604" t="s">
        <v>671</v>
      </c>
      <c r="F87" s="241" t="s">
        <v>672</v>
      </c>
      <c r="G87" s="241" t="s">
        <v>547</v>
      </c>
      <c r="H87" s="234">
        <v>46100</v>
      </c>
      <c r="I87" s="321"/>
      <c r="J87" s="214">
        <f t="shared" si="7"/>
        <v>7</v>
      </c>
      <c r="K87" s="332"/>
      <c r="L87" s="103"/>
      <c r="M87" s="103"/>
      <c r="N87" s="319"/>
      <c r="O87" s="656" t="s">
        <v>81</v>
      </c>
      <c r="P87" s="312"/>
      <c r="Q87" s="214"/>
      <c r="R87" s="319"/>
      <c r="S87" s="214"/>
      <c r="T87" s="319"/>
      <c r="U87" s="103"/>
      <c r="V87" s="99"/>
      <c r="W87" s="99"/>
      <c r="X87" s="99"/>
      <c r="Y87" s="99"/>
      <c r="Z87" s="100"/>
      <c r="AA87" s="121"/>
      <c r="AB87" s="99"/>
      <c r="AC87" s="99"/>
      <c r="AD87" s="99"/>
      <c r="AE87" s="100"/>
      <c r="AF87" s="96"/>
      <c r="AG87" s="96"/>
      <c r="AH87" s="96"/>
      <c r="AI87" s="96"/>
      <c r="AJ87" s="104"/>
      <c r="AK87" s="96"/>
      <c r="AL87" s="96"/>
      <c r="AM87" s="96"/>
      <c r="AN87" s="96"/>
      <c r="AO87" s="104"/>
      <c r="AP87" s="96"/>
      <c r="AQ87" s="96"/>
      <c r="AR87" s="96"/>
      <c r="AS87" s="96"/>
      <c r="AT87" s="104"/>
      <c r="AU87" s="96"/>
      <c r="AV87" s="96"/>
      <c r="AW87" s="96"/>
      <c r="AX87" s="96"/>
      <c r="AY87" s="104"/>
      <c r="AZ87" s="96"/>
      <c r="BA87" s="96"/>
      <c r="BB87" s="96"/>
      <c r="BC87" s="96"/>
      <c r="BD87" s="104"/>
      <c r="BE87" s="96"/>
      <c r="BF87" s="96"/>
      <c r="BG87" s="96"/>
      <c r="BH87" s="96"/>
      <c r="BI87" s="104"/>
      <c r="BJ87" s="693" t="s">
        <v>82</v>
      </c>
    </row>
    <row r="88" spans="1:62" ht="20.25" customHeight="1">
      <c r="A88" s="315">
        <v>86</v>
      </c>
      <c r="B88" s="215" t="s">
        <v>52</v>
      </c>
      <c r="C88" s="238" t="s">
        <v>673</v>
      </c>
      <c r="D88" s="280" t="s">
        <v>674</v>
      </c>
      <c r="E88" s="604" t="s">
        <v>675</v>
      </c>
      <c r="F88" s="241" t="s">
        <v>672</v>
      </c>
      <c r="G88" s="241" t="s">
        <v>547</v>
      </c>
      <c r="H88" s="234">
        <v>46093</v>
      </c>
      <c r="I88" s="321"/>
      <c r="J88" s="214">
        <f t="shared" si="7"/>
        <v>7</v>
      </c>
      <c r="K88" s="332"/>
      <c r="L88" s="103"/>
      <c r="M88" s="103"/>
      <c r="N88" s="319"/>
      <c r="O88" s="656" t="s">
        <v>81</v>
      </c>
      <c r="P88" s="312"/>
      <c r="Q88" s="214"/>
      <c r="R88" s="319"/>
      <c r="S88" s="214"/>
      <c r="T88" s="319"/>
      <c r="U88" s="103"/>
      <c r="V88" s="99"/>
      <c r="W88" s="99"/>
      <c r="X88" s="99"/>
      <c r="Y88" s="99"/>
      <c r="Z88" s="100"/>
      <c r="AA88" s="121"/>
      <c r="AB88" s="99"/>
      <c r="AC88" s="99"/>
      <c r="AD88" s="99"/>
      <c r="AE88" s="100"/>
      <c r="AF88" s="96"/>
      <c r="AG88" s="96"/>
      <c r="AH88" s="96"/>
      <c r="AI88" s="96"/>
      <c r="AJ88" s="104"/>
      <c r="AK88" s="96"/>
      <c r="AL88" s="96"/>
      <c r="AM88" s="96"/>
      <c r="AN88" s="96"/>
      <c r="AO88" s="104"/>
      <c r="AP88" s="96"/>
      <c r="AQ88" s="96"/>
      <c r="AR88" s="96"/>
      <c r="AS88" s="96"/>
      <c r="AT88" s="104"/>
      <c r="AU88" s="96"/>
      <c r="AV88" s="96"/>
      <c r="AW88" s="96"/>
      <c r="AX88" s="96"/>
      <c r="AY88" s="104"/>
      <c r="AZ88" s="96"/>
      <c r="BA88" s="96"/>
      <c r="BB88" s="96"/>
      <c r="BC88" s="96"/>
      <c r="BD88" s="104"/>
      <c r="BE88" s="96"/>
      <c r="BF88" s="96"/>
      <c r="BG88" s="96"/>
      <c r="BH88" s="96"/>
      <c r="BI88" s="104"/>
      <c r="BJ88" s="693" t="s">
        <v>82</v>
      </c>
    </row>
    <row r="89" spans="1:62" ht="20.25" customHeight="1">
      <c r="A89" s="315">
        <v>87</v>
      </c>
      <c r="B89" s="215" t="s">
        <v>52</v>
      </c>
      <c r="C89" s="238" t="s">
        <v>673</v>
      </c>
      <c r="D89" s="280" t="s">
        <v>676</v>
      </c>
      <c r="E89" s="604" t="s">
        <v>677</v>
      </c>
      <c r="F89" s="241" t="s">
        <v>672</v>
      </c>
      <c r="G89" s="241" t="s">
        <v>547</v>
      </c>
      <c r="H89" s="234">
        <v>46093</v>
      </c>
      <c r="I89" s="321"/>
      <c r="J89" s="214">
        <f t="shared" si="7"/>
        <v>7</v>
      </c>
      <c r="K89" s="332"/>
      <c r="L89" s="103"/>
      <c r="M89" s="103"/>
      <c r="N89" s="319"/>
      <c r="O89" s="656" t="s">
        <v>81</v>
      </c>
      <c r="P89" s="312"/>
      <c r="Q89" s="214"/>
      <c r="R89" s="319"/>
      <c r="S89" s="214"/>
      <c r="T89" s="319"/>
      <c r="U89" s="103"/>
      <c r="V89" s="99"/>
      <c r="W89" s="99"/>
      <c r="X89" s="99"/>
      <c r="Y89" s="99"/>
      <c r="Z89" s="100"/>
      <c r="AA89" s="121"/>
      <c r="AB89" s="99"/>
      <c r="AC89" s="99"/>
      <c r="AD89" s="99"/>
      <c r="AE89" s="100"/>
      <c r="AF89" s="96"/>
      <c r="AG89" s="96"/>
      <c r="AH89" s="96"/>
      <c r="AI89" s="96"/>
      <c r="AJ89" s="104"/>
      <c r="AK89" s="96"/>
      <c r="AL89" s="96"/>
      <c r="AM89" s="96"/>
      <c r="AN89" s="96"/>
      <c r="AO89" s="104"/>
      <c r="AP89" s="96"/>
      <c r="AQ89" s="96"/>
      <c r="AR89" s="96"/>
      <c r="AS89" s="96"/>
      <c r="AT89" s="104"/>
      <c r="AU89" s="96"/>
      <c r="AV89" s="96"/>
      <c r="AW89" s="96"/>
      <c r="AX89" s="96"/>
      <c r="AY89" s="104"/>
      <c r="AZ89" s="96"/>
      <c r="BA89" s="96"/>
      <c r="BB89" s="96"/>
      <c r="BC89" s="96"/>
      <c r="BD89" s="104"/>
      <c r="BE89" s="96"/>
      <c r="BF89" s="96"/>
      <c r="BG89" s="96"/>
      <c r="BH89" s="96"/>
      <c r="BI89" s="104"/>
      <c r="BJ89" s="693" t="s">
        <v>82</v>
      </c>
    </row>
    <row r="90" spans="1:62" ht="20.25" customHeight="1">
      <c r="A90" s="315">
        <v>88</v>
      </c>
      <c r="B90" s="215" t="s">
        <v>52</v>
      </c>
      <c r="C90" s="238" t="s">
        <v>678</v>
      </c>
      <c r="D90" s="280" t="s">
        <v>679</v>
      </c>
      <c r="E90" s="604" t="s">
        <v>680</v>
      </c>
      <c r="F90" s="241" t="s">
        <v>672</v>
      </c>
      <c r="G90" s="241" t="s">
        <v>547</v>
      </c>
      <c r="H90" s="234">
        <v>46100</v>
      </c>
      <c r="I90" s="319"/>
      <c r="J90" s="214">
        <f t="shared" si="7"/>
        <v>7</v>
      </c>
      <c r="K90" s="104"/>
      <c r="L90" s="103"/>
      <c r="M90" s="103"/>
      <c r="N90" s="319"/>
      <c r="O90" s="656" t="s">
        <v>81</v>
      </c>
      <c r="P90" s="320"/>
      <c r="Q90" s="319"/>
      <c r="R90" s="319"/>
      <c r="S90" s="319"/>
      <c r="T90" s="319"/>
      <c r="U90" s="103"/>
      <c r="V90" s="99"/>
      <c r="W90" s="99"/>
      <c r="X90" s="99"/>
      <c r="Y90" s="99"/>
      <c r="Z90" s="100"/>
      <c r="AA90" s="121"/>
      <c r="AB90" s="99"/>
      <c r="AC90" s="99"/>
      <c r="AD90" s="99"/>
      <c r="AE90" s="100"/>
      <c r="AF90" s="96"/>
      <c r="AG90" s="96"/>
      <c r="AH90" s="96"/>
      <c r="AI90" s="96"/>
      <c r="AJ90" s="104"/>
      <c r="AK90" s="96"/>
      <c r="AL90" s="96"/>
      <c r="AM90" s="96"/>
      <c r="AN90" s="96"/>
      <c r="AO90" s="104"/>
      <c r="AP90" s="96"/>
      <c r="AQ90" s="96"/>
      <c r="AR90" s="96"/>
      <c r="AS90" s="96"/>
      <c r="AT90" s="104"/>
      <c r="AU90" s="96"/>
      <c r="AV90" s="96"/>
      <c r="AW90" s="96"/>
      <c r="AX90" s="96"/>
      <c r="AY90" s="104"/>
      <c r="AZ90" s="96"/>
      <c r="BA90" s="96"/>
      <c r="BB90" s="96"/>
      <c r="BC90" s="96"/>
      <c r="BD90" s="104"/>
      <c r="BE90" s="96"/>
      <c r="BF90" s="96"/>
      <c r="BG90" s="96"/>
      <c r="BH90" s="96"/>
      <c r="BI90" s="104"/>
      <c r="BJ90" s="693" t="s">
        <v>82</v>
      </c>
    </row>
    <row r="91" spans="1:62" ht="20.25" customHeight="1">
      <c r="A91" s="315">
        <v>89</v>
      </c>
      <c r="B91" s="215" t="s">
        <v>52</v>
      </c>
      <c r="C91" s="238" t="s">
        <v>681</v>
      </c>
      <c r="D91" s="280" t="s">
        <v>682</v>
      </c>
      <c r="E91" s="604" t="s">
        <v>683</v>
      </c>
      <c r="F91" s="241" t="s">
        <v>551</v>
      </c>
      <c r="G91" s="241" t="s">
        <v>530</v>
      </c>
      <c r="H91" s="233">
        <v>46098</v>
      </c>
      <c r="I91" s="319"/>
      <c r="J91" s="214">
        <f t="shared" si="7"/>
        <v>7</v>
      </c>
      <c r="K91" s="104"/>
      <c r="L91" s="103"/>
      <c r="M91" s="103"/>
      <c r="N91" s="319"/>
      <c r="O91" s="656" t="s">
        <v>81</v>
      </c>
      <c r="P91" s="320" t="s">
        <v>684</v>
      </c>
      <c r="Q91" s="319"/>
      <c r="R91" s="319"/>
      <c r="S91" s="319"/>
      <c r="T91" s="319"/>
      <c r="U91" s="333"/>
      <c r="V91" s="99"/>
      <c r="W91" s="99"/>
      <c r="X91" s="99"/>
      <c r="Y91" s="99"/>
      <c r="Z91" s="100"/>
      <c r="AA91" s="121"/>
      <c r="AB91" s="99"/>
      <c r="AC91" s="99"/>
      <c r="AD91" s="99"/>
      <c r="AE91" s="100"/>
      <c r="AF91" s="96"/>
      <c r="AG91" s="96"/>
      <c r="AH91" s="96"/>
      <c r="AI91" s="96"/>
      <c r="AJ91" s="104"/>
      <c r="AK91" s="96"/>
      <c r="AL91" s="96"/>
      <c r="AM91" s="96"/>
      <c r="AN91" s="96"/>
      <c r="AO91" s="104"/>
      <c r="AP91" s="96"/>
      <c r="AQ91" s="96"/>
      <c r="AR91" s="96"/>
      <c r="AS91" s="96"/>
      <c r="AT91" s="104"/>
      <c r="AU91" s="96"/>
      <c r="AV91" s="96"/>
      <c r="AW91" s="96"/>
      <c r="AX91" s="96"/>
      <c r="AY91" s="104"/>
      <c r="AZ91" s="96"/>
      <c r="BA91" s="96"/>
      <c r="BB91" s="96"/>
      <c r="BC91" s="96"/>
      <c r="BD91" s="104"/>
      <c r="BE91" s="96"/>
      <c r="BF91" s="96"/>
      <c r="BG91" s="96"/>
      <c r="BH91" s="96"/>
      <c r="BI91" s="104"/>
      <c r="BJ91" s="693" t="s">
        <v>82</v>
      </c>
    </row>
    <row r="92" spans="1:62" ht="20.25" customHeight="1">
      <c r="A92" s="315">
        <v>90</v>
      </c>
      <c r="B92" s="215" t="s">
        <v>52</v>
      </c>
      <c r="C92" s="238" t="s">
        <v>685</v>
      </c>
      <c r="D92" s="280" t="s">
        <v>686</v>
      </c>
      <c r="E92" s="604" t="s">
        <v>687</v>
      </c>
      <c r="F92" s="241" t="s">
        <v>551</v>
      </c>
      <c r="G92" s="241" t="s">
        <v>530</v>
      </c>
      <c r="H92" s="234">
        <v>46084</v>
      </c>
      <c r="I92" s="321"/>
      <c r="J92" s="214">
        <f t="shared" si="7"/>
        <v>7</v>
      </c>
      <c r="K92" s="332"/>
      <c r="L92" s="103"/>
      <c r="M92" s="103"/>
      <c r="N92" s="319"/>
      <c r="O92" s="656" t="s">
        <v>81</v>
      </c>
      <c r="P92" s="312"/>
      <c r="Q92" s="313"/>
      <c r="R92" s="319"/>
      <c r="S92" s="313"/>
      <c r="T92" s="323"/>
      <c r="U92" s="334"/>
      <c r="V92" s="335"/>
      <c r="W92" s="99"/>
      <c r="X92" s="99"/>
      <c r="Y92" s="99"/>
      <c r="Z92" s="100"/>
      <c r="AA92" s="121"/>
      <c r="AB92" s="99"/>
      <c r="AC92" s="99"/>
      <c r="AD92" s="99"/>
      <c r="AE92" s="100"/>
      <c r="AF92" s="96"/>
      <c r="AG92" s="96"/>
      <c r="AH92" s="96"/>
      <c r="AI92" s="96"/>
      <c r="AJ92" s="104"/>
      <c r="AK92" s="96"/>
      <c r="AL92" s="96"/>
      <c r="AM92" s="96"/>
      <c r="AN92" s="96"/>
      <c r="AO92" s="104"/>
      <c r="AP92" s="96"/>
      <c r="AQ92" s="96"/>
      <c r="AR92" s="96"/>
      <c r="AS92" s="96"/>
      <c r="AT92" s="104"/>
      <c r="AU92" s="96"/>
      <c r="AV92" s="96"/>
      <c r="AW92" s="96"/>
      <c r="AX92" s="96"/>
      <c r="AY92" s="104"/>
      <c r="AZ92" s="96"/>
      <c r="BA92" s="96"/>
      <c r="BB92" s="96"/>
      <c r="BC92" s="96"/>
      <c r="BD92" s="104"/>
      <c r="BE92" s="96"/>
      <c r="BF92" s="96"/>
      <c r="BG92" s="96"/>
      <c r="BH92" s="96"/>
      <c r="BI92" s="104"/>
      <c r="BJ92" s="693" t="s">
        <v>82</v>
      </c>
    </row>
    <row r="93" spans="1:62" ht="20.25" customHeight="1">
      <c r="A93" s="315">
        <v>91</v>
      </c>
      <c r="B93" s="215" t="s">
        <v>52</v>
      </c>
      <c r="C93" s="238" t="s">
        <v>688</v>
      </c>
      <c r="D93" s="280" t="s">
        <v>689</v>
      </c>
      <c r="E93" s="604" t="s">
        <v>690</v>
      </c>
      <c r="F93" s="241" t="s">
        <v>551</v>
      </c>
      <c r="G93" s="241" t="s">
        <v>530</v>
      </c>
      <c r="H93" s="233">
        <v>46091</v>
      </c>
      <c r="I93" s="313"/>
      <c r="J93" s="214">
        <f t="shared" si="7"/>
        <v>7</v>
      </c>
      <c r="K93" s="93"/>
      <c r="L93" s="103"/>
      <c r="M93" s="103"/>
      <c r="N93" s="313"/>
      <c r="O93" s="656" t="s">
        <v>81</v>
      </c>
      <c r="P93" s="312"/>
      <c r="Q93" s="313"/>
      <c r="R93" s="319"/>
      <c r="S93" s="319"/>
      <c r="T93" s="319"/>
      <c r="U93" s="336"/>
      <c r="V93" s="99"/>
      <c r="W93" s="99"/>
      <c r="X93" s="99"/>
      <c r="Y93" s="99"/>
      <c r="Z93" s="100"/>
      <c r="AA93" s="121"/>
      <c r="AB93" s="99"/>
      <c r="AC93" s="99"/>
      <c r="AD93" s="99"/>
      <c r="AE93" s="100"/>
      <c r="AF93" s="96"/>
      <c r="AG93" s="96"/>
      <c r="AH93" s="96"/>
      <c r="AI93" s="96"/>
      <c r="AJ93" s="104"/>
      <c r="AK93" s="96"/>
      <c r="AL93" s="96"/>
      <c r="AM93" s="96"/>
      <c r="AN93" s="96"/>
      <c r="AO93" s="104"/>
      <c r="AP93" s="96"/>
      <c r="AQ93" s="96"/>
      <c r="AR93" s="96"/>
      <c r="AS93" s="96"/>
      <c r="AT93" s="104"/>
      <c r="AU93" s="96"/>
      <c r="AV93" s="96"/>
      <c r="AW93" s="96"/>
      <c r="AX93" s="96"/>
      <c r="AY93" s="104"/>
      <c r="AZ93" s="96"/>
      <c r="BA93" s="96"/>
      <c r="BB93" s="96"/>
      <c r="BC93" s="96"/>
      <c r="BD93" s="104"/>
      <c r="BE93" s="96"/>
      <c r="BF93" s="96"/>
      <c r="BG93" s="96"/>
      <c r="BH93" s="96"/>
      <c r="BI93" s="104"/>
      <c r="BJ93" s="693" t="s">
        <v>82</v>
      </c>
    </row>
    <row r="94" spans="1:62" ht="20.25" customHeight="1">
      <c r="A94" s="315">
        <v>92</v>
      </c>
      <c r="B94" s="215" t="s">
        <v>52</v>
      </c>
      <c r="C94" s="238" t="s">
        <v>691</v>
      </c>
      <c r="D94" s="280" t="s">
        <v>692</v>
      </c>
      <c r="E94" s="604" t="s">
        <v>693</v>
      </c>
      <c r="F94" s="241" t="s">
        <v>551</v>
      </c>
      <c r="G94" s="241" t="s">
        <v>530</v>
      </c>
      <c r="H94" s="233">
        <v>46105</v>
      </c>
      <c r="I94" s="319"/>
      <c r="J94" s="214">
        <f t="shared" si="7"/>
        <v>7</v>
      </c>
      <c r="K94" s="104"/>
      <c r="L94" s="103"/>
      <c r="M94" s="103"/>
      <c r="N94" s="313"/>
      <c r="O94" s="656" t="s">
        <v>81</v>
      </c>
      <c r="P94" s="320"/>
      <c r="Q94" s="319"/>
      <c r="R94" s="319"/>
      <c r="S94" s="319"/>
      <c r="T94" s="319"/>
      <c r="U94" s="336"/>
      <c r="V94" s="99"/>
      <c r="W94" s="99"/>
      <c r="X94" s="99"/>
      <c r="Y94" s="99"/>
      <c r="Z94" s="100"/>
      <c r="AA94" s="121"/>
      <c r="AB94" s="99"/>
      <c r="AC94" s="99"/>
      <c r="AD94" s="99"/>
      <c r="AE94" s="100"/>
      <c r="AF94" s="96"/>
      <c r="AG94" s="96"/>
      <c r="AH94" s="96"/>
      <c r="AI94" s="96"/>
      <c r="AJ94" s="104"/>
      <c r="AK94" s="96"/>
      <c r="AL94" s="96"/>
      <c r="AM94" s="96"/>
      <c r="AN94" s="96"/>
      <c r="AO94" s="104"/>
      <c r="AP94" s="96"/>
      <c r="AQ94" s="96"/>
      <c r="AR94" s="96"/>
      <c r="AS94" s="96"/>
      <c r="AT94" s="104"/>
      <c r="AU94" s="96"/>
      <c r="AV94" s="96"/>
      <c r="AW94" s="96"/>
      <c r="AX94" s="96"/>
      <c r="AY94" s="104"/>
      <c r="AZ94" s="96"/>
      <c r="BA94" s="96"/>
      <c r="BB94" s="96"/>
      <c r="BC94" s="96"/>
      <c r="BD94" s="104"/>
      <c r="BE94" s="96"/>
      <c r="BF94" s="96"/>
      <c r="BG94" s="96"/>
      <c r="BH94" s="96"/>
      <c r="BI94" s="104"/>
      <c r="BJ94" s="693" t="s">
        <v>82</v>
      </c>
    </row>
    <row r="95" spans="1:62" ht="20.25" customHeight="1">
      <c r="A95" s="315">
        <v>93</v>
      </c>
      <c r="B95" s="215" t="s">
        <v>52</v>
      </c>
      <c r="C95" s="238" t="s">
        <v>694</v>
      </c>
      <c r="D95" s="280" t="s">
        <v>695</v>
      </c>
      <c r="E95" s="604" t="s">
        <v>696</v>
      </c>
      <c r="F95" s="241" t="s">
        <v>551</v>
      </c>
      <c r="G95" s="241" t="s">
        <v>530</v>
      </c>
      <c r="H95" s="233">
        <v>46098</v>
      </c>
      <c r="I95" s="319"/>
      <c r="J95" s="214">
        <f t="shared" si="7"/>
        <v>7</v>
      </c>
      <c r="K95" s="104"/>
      <c r="L95" s="103"/>
      <c r="M95" s="103"/>
      <c r="N95" s="313"/>
      <c r="O95" s="656" t="s">
        <v>81</v>
      </c>
      <c r="P95" s="320"/>
      <c r="Q95" s="319"/>
      <c r="R95" s="319"/>
      <c r="S95" s="319"/>
      <c r="T95" s="319"/>
      <c r="U95" s="336"/>
      <c r="V95" s="99"/>
      <c r="W95" s="99"/>
      <c r="X95" s="99"/>
      <c r="Y95" s="99"/>
      <c r="Z95" s="100"/>
      <c r="AA95" s="121"/>
      <c r="AB95" s="99"/>
      <c r="AC95" s="99"/>
      <c r="AD95" s="99"/>
      <c r="AE95" s="100"/>
      <c r="AF95" s="96"/>
      <c r="AG95" s="96"/>
      <c r="AH95" s="96"/>
      <c r="AI95" s="96"/>
      <c r="AJ95" s="104"/>
      <c r="AK95" s="96"/>
      <c r="AL95" s="96"/>
      <c r="AM95" s="96"/>
      <c r="AN95" s="96"/>
      <c r="AO95" s="104"/>
      <c r="AP95" s="96"/>
      <c r="AQ95" s="96"/>
      <c r="AR95" s="96"/>
      <c r="AS95" s="96"/>
      <c r="AT95" s="104"/>
      <c r="AU95" s="96"/>
      <c r="AV95" s="96"/>
      <c r="AW95" s="96"/>
      <c r="AX95" s="96"/>
      <c r="AY95" s="104"/>
      <c r="AZ95" s="96"/>
      <c r="BA95" s="96"/>
      <c r="BB95" s="96"/>
      <c r="BC95" s="96"/>
      <c r="BD95" s="104"/>
      <c r="BE95" s="96"/>
      <c r="BF95" s="96"/>
      <c r="BG95" s="96"/>
      <c r="BH95" s="96"/>
      <c r="BI95" s="104"/>
      <c r="BJ95" s="693" t="s">
        <v>82</v>
      </c>
    </row>
    <row r="96" spans="1:62" ht="20.25" customHeight="1">
      <c r="A96" s="315">
        <v>94</v>
      </c>
      <c r="B96" s="215" t="s">
        <v>52</v>
      </c>
      <c r="C96" s="238" t="s">
        <v>697</v>
      </c>
      <c r="D96" s="280" t="s">
        <v>698</v>
      </c>
      <c r="E96" s="604" t="s">
        <v>699</v>
      </c>
      <c r="F96" s="241" t="s">
        <v>551</v>
      </c>
      <c r="G96" s="241" t="s">
        <v>530</v>
      </c>
      <c r="H96" s="234">
        <v>46084</v>
      </c>
      <c r="I96" s="313"/>
      <c r="J96" s="214">
        <f t="shared" si="7"/>
        <v>7</v>
      </c>
      <c r="K96" s="93"/>
      <c r="L96" s="103"/>
      <c r="M96" s="103"/>
      <c r="N96" s="314"/>
      <c r="O96" s="656" t="s">
        <v>81</v>
      </c>
      <c r="P96" s="312"/>
      <c r="Q96" s="313"/>
      <c r="R96" s="319"/>
      <c r="S96" s="319"/>
      <c r="T96" s="323"/>
      <c r="U96" s="103"/>
      <c r="V96" s="335"/>
      <c r="W96" s="99"/>
      <c r="X96" s="99"/>
      <c r="Y96" s="99"/>
      <c r="Z96" s="100"/>
      <c r="AA96" s="121"/>
      <c r="AB96" s="99"/>
      <c r="AC96" s="99"/>
      <c r="AD96" s="99"/>
      <c r="AE96" s="100"/>
      <c r="AF96" s="96"/>
      <c r="AG96" s="96"/>
      <c r="AH96" s="96"/>
      <c r="AI96" s="96"/>
      <c r="AJ96" s="104"/>
      <c r="AK96" s="96"/>
      <c r="AL96" s="96"/>
      <c r="AM96" s="96"/>
      <c r="AN96" s="96"/>
      <c r="AO96" s="104"/>
      <c r="AP96" s="96"/>
      <c r="AQ96" s="96"/>
      <c r="AR96" s="96"/>
      <c r="AS96" s="96"/>
      <c r="AT96" s="104"/>
      <c r="AU96" s="96"/>
      <c r="AV96" s="96"/>
      <c r="AW96" s="96"/>
      <c r="AX96" s="96"/>
      <c r="AY96" s="104"/>
      <c r="AZ96" s="96"/>
      <c r="BA96" s="96"/>
      <c r="BB96" s="96"/>
      <c r="BC96" s="96"/>
      <c r="BD96" s="104"/>
      <c r="BE96" s="96"/>
      <c r="BF96" s="96"/>
      <c r="BG96" s="96"/>
      <c r="BH96" s="96"/>
      <c r="BI96" s="104"/>
      <c r="BJ96" s="693" t="s">
        <v>82</v>
      </c>
    </row>
    <row r="97" spans="1:62" ht="20.25" customHeight="1">
      <c r="A97" s="315">
        <v>95</v>
      </c>
      <c r="B97" s="215" t="s">
        <v>52</v>
      </c>
      <c r="C97" s="238" t="s">
        <v>700</v>
      </c>
      <c r="D97" s="280" t="s">
        <v>701</v>
      </c>
      <c r="E97" s="604" t="s">
        <v>702</v>
      </c>
      <c r="F97" s="241" t="s">
        <v>551</v>
      </c>
      <c r="G97" s="241" t="s">
        <v>530</v>
      </c>
      <c r="H97" s="233">
        <v>46091</v>
      </c>
      <c r="I97" s="313"/>
      <c r="J97" s="214">
        <f t="shared" si="7"/>
        <v>7</v>
      </c>
      <c r="K97" s="93"/>
      <c r="L97" s="103"/>
      <c r="M97" s="103"/>
      <c r="N97" s="314"/>
      <c r="O97" s="656" t="s">
        <v>81</v>
      </c>
      <c r="P97" s="312"/>
      <c r="Q97" s="313"/>
      <c r="R97" s="319"/>
      <c r="S97" s="319"/>
      <c r="T97" s="323"/>
      <c r="U97" s="103"/>
      <c r="V97" s="335"/>
      <c r="W97" s="99"/>
      <c r="X97" s="99"/>
      <c r="Y97" s="99"/>
      <c r="Z97" s="100"/>
      <c r="AA97" s="121"/>
      <c r="AB97" s="99"/>
      <c r="AC97" s="99"/>
      <c r="AD97" s="99"/>
      <c r="AE97" s="100"/>
      <c r="AF97" s="96"/>
      <c r="AG97" s="96"/>
      <c r="AH97" s="96"/>
      <c r="AI97" s="96"/>
      <c r="AJ97" s="104"/>
      <c r="AK97" s="96"/>
      <c r="AL97" s="96"/>
      <c r="AM97" s="96"/>
      <c r="AN97" s="96"/>
      <c r="AO97" s="104"/>
      <c r="AP97" s="96"/>
      <c r="AQ97" s="96"/>
      <c r="AR97" s="96"/>
      <c r="AS97" s="96"/>
      <c r="AT97" s="104"/>
      <c r="AU97" s="96"/>
      <c r="AV97" s="96"/>
      <c r="AW97" s="96"/>
      <c r="AX97" s="96"/>
      <c r="AY97" s="104"/>
      <c r="AZ97" s="96"/>
      <c r="BA97" s="96"/>
      <c r="BB97" s="96"/>
      <c r="BC97" s="96"/>
      <c r="BD97" s="104"/>
      <c r="BE97" s="96"/>
      <c r="BF97" s="96"/>
      <c r="BG97" s="96"/>
      <c r="BH97" s="96"/>
      <c r="BI97" s="104"/>
      <c r="BJ97" s="693" t="s">
        <v>82</v>
      </c>
    </row>
    <row r="98" spans="1:62" ht="20.25" customHeight="1">
      <c r="A98" s="315">
        <v>96</v>
      </c>
      <c r="B98" s="215" t="s">
        <v>52</v>
      </c>
      <c r="C98" s="238" t="s">
        <v>703</v>
      </c>
      <c r="D98" s="280" t="s">
        <v>704</v>
      </c>
      <c r="E98" s="604" t="s">
        <v>705</v>
      </c>
      <c r="F98" s="241" t="s">
        <v>551</v>
      </c>
      <c r="G98" s="241" t="s">
        <v>530</v>
      </c>
      <c r="H98" s="233">
        <v>46105</v>
      </c>
      <c r="I98" s="313"/>
      <c r="J98" s="214">
        <f t="shared" si="7"/>
        <v>7</v>
      </c>
      <c r="K98" s="93"/>
      <c r="L98" s="103"/>
      <c r="M98" s="103"/>
      <c r="N98" s="314"/>
      <c r="O98" s="656" t="s">
        <v>81</v>
      </c>
      <c r="P98" s="312"/>
      <c r="Q98" s="313"/>
      <c r="R98" s="319"/>
      <c r="S98" s="319"/>
      <c r="T98" s="323"/>
      <c r="U98" s="103"/>
      <c r="V98" s="335"/>
      <c r="W98" s="99"/>
      <c r="X98" s="99"/>
      <c r="Y98" s="99"/>
      <c r="Z98" s="100"/>
      <c r="AA98" s="121"/>
      <c r="AB98" s="99"/>
      <c r="AC98" s="99"/>
      <c r="AD98" s="99"/>
      <c r="AE98" s="100"/>
      <c r="AF98" s="96"/>
      <c r="AG98" s="96"/>
      <c r="AH98" s="96"/>
      <c r="AI98" s="96"/>
      <c r="AJ98" s="104"/>
      <c r="AK98" s="96"/>
      <c r="AL98" s="96"/>
      <c r="AM98" s="96"/>
      <c r="AN98" s="96"/>
      <c r="AO98" s="104"/>
      <c r="AP98" s="96"/>
      <c r="AQ98" s="96"/>
      <c r="AR98" s="96"/>
      <c r="AS98" s="96"/>
      <c r="AT98" s="104"/>
      <c r="AU98" s="96"/>
      <c r="AV98" s="96"/>
      <c r="AW98" s="96"/>
      <c r="AX98" s="96"/>
      <c r="AY98" s="104"/>
      <c r="AZ98" s="96"/>
      <c r="BA98" s="96"/>
      <c r="BB98" s="96"/>
      <c r="BC98" s="96"/>
      <c r="BD98" s="104"/>
      <c r="BE98" s="96"/>
      <c r="BF98" s="96"/>
      <c r="BG98" s="96"/>
      <c r="BH98" s="96"/>
      <c r="BI98" s="104"/>
      <c r="BJ98" s="693" t="s">
        <v>82</v>
      </c>
    </row>
    <row r="99" spans="1:62" ht="20.25" customHeight="1">
      <c r="A99" s="315">
        <v>97</v>
      </c>
      <c r="B99" s="215" t="s">
        <v>52</v>
      </c>
      <c r="C99" s="288" t="s">
        <v>706</v>
      </c>
      <c r="D99" s="287" t="s">
        <v>707</v>
      </c>
      <c r="E99" s="604" t="s">
        <v>708</v>
      </c>
      <c r="F99" s="302" t="s">
        <v>709</v>
      </c>
      <c r="G99" s="241" t="s">
        <v>710</v>
      </c>
      <c r="H99" s="299" t="s">
        <v>711</v>
      </c>
      <c r="I99" s="313"/>
      <c r="J99" s="214">
        <f t="shared" si="7"/>
        <v>7</v>
      </c>
      <c r="K99" s="93"/>
      <c r="L99" s="103"/>
      <c r="M99" s="103"/>
      <c r="N99" s="314"/>
      <c r="O99" s="314" t="s">
        <v>712</v>
      </c>
      <c r="P99" s="312"/>
      <c r="Q99" s="313"/>
      <c r="R99" s="319"/>
      <c r="S99" s="319"/>
      <c r="T99" s="323"/>
      <c r="U99" s="103"/>
      <c r="V99" s="335"/>
      <c r="W99" s="99"/>
      <c r="X99" s="99"/>
      <c r="Y99" s="99"/>
      <c r="Z99" s="100"/>
      <c r="AA99" s="121"/>
      <c r="AB99" s="99"/>
      <c r="AC99" s="99"/>
      <c r="AD99" s="99"/>
      <c r="AE99" s="100"/>
      <c r="AF99" s="96"/>
      <c r="AG99" s="96"/>
      <c r="AH99" s="96"/>
      <c r="AI99" s="96"/>
      <c r="AJ99" s="104"/>
      <c r="AK99" s="96"/>
      <c r="AL99" s="96"/>
      <c r="AM99" s="96"/>
      <c r="AN99" s="96"/>
      <c r="AO99" s="104"/>
      <c r="AP99" s="96"/>
      <c r="AQ99" s="96"/>
      <c r="AR99" s="96"/>
      <c r="AS99" s="96"/>
      <c r="AT99" s="104"/>
      <c r="AU99" s="96"/>
      <c r="AV99" s="96"/>
      <c r="AW99" s="96"/>
      <c r="AX99" s="96"/>
      <c r="AY99" s="104"/>
      <c r="AZ99" s="96"/>
      <c r="BA99" s="96"/>
      <c r="BB99" s="96"/>
      <c r="BC99" s="96"/>
      <c r="BD99" s="104"/>
      <c r="BE99" s="96"/>
      <c r="BF99" s="96"/>
      <c r="BG99" s="96"/>
      <c r="BH99" s="96"/>
      <c r="BI99" s="104"/>
      <c r="BJ99" s="693" t="s">
        <v>253</v>
      </c>
    </row>
    <row r="100" spans="1:62" ht="20.25" customHeight="1">
      <c r="A100" s="315">
        <v>98</v>
      </c>
      <c r="B100" s="215" t="s">
        <v>52</v>
      </c>
      <c r="C100" s="288" t="s">
        <v>713</v>
      </c>
      <c r="D100" s="287" t="s">
        <v>714</v>
      </c>
      <c r="E100" s="604" t="s">
        <v>715</v>
      </c>
      <c r="F100" s="302" t="s">
        <v>709</v>
      </c>
      <c r="G100" s="241" t="s">
        <v>710</v>
      </c>
      <c r="H100" s="299" t="s">
        <v>711</v>
      </c>
      <c r="I100" s="313"/>
      <c r="J100" s="214">
        <f t="shared" si="7"/>
        <v>7</v>
      </c>
      <c r="K100" s="93"/>
      <c r="L100" s="103"/>
      <c r="M100" s="103"/>
      <c r="N100" s="314"/>
      <c r="O100" s="314" t="s">
        <v>712</v>
      </c>
      <c r="P100" s="312"/>
      <c r="Q100" s="313"/>
      <c r="R100" s="319"/>
      <c r="S100" s="319"/>
      <c r="T100" s="323"/>
      <c r="U100" s="103"/>
      <c r="V100" s="335"/>
      <c r="W100" s="99"/>
      <c r="X100" s="99"/>
      <c r="Y100" s="99"/>
      <c r="Z100" s="100"/>
      <c r="AA100" s="121"/>
      <c r="AB100" s="99"/>
      <c r="AC100" s="99"/>
      <c r="AD100" s="99"/>
      <c r="AE100" s="100"/>
      <c r="AF100" s="96"/>
      <c r="AG100" s="96"/>
      <c r="AH100" s="96"/>
      <c r="AI100" s="96"/>
      <c r="AJ100" s="104"/>
      <c r="AK100" s="96"/>
      <c r="AL100" s="96"/>
      <c r="AM100" s="96"/>
      <c r="AN100" s="96"/>
      <c r="AO100" s="104"/>
      <c r="AP100" s="96"/>
      <c r="AQ100" s="96"/>
      <c r="AR100" s="96"/>
      <c r="AS100" s="96"/>
      <c r="AT100" s="104"/>
      <c r="AU100" s="96"/>
      <c r="AV100" s="96"/>
      <c r="AW100" s="96"/>
      <c r="AX100" s="96"/>
      <c r="AY100" s="104"/>
      <c r="AZ100" s="96"/>
      <c r="BA100" s="96"/>
      <c r="BB100" s="96"/>
      <c r="BC100" s="96"/>
      <c r="BD100" s="104"/>
      <c r="BE100" s="96"/>
      <c r="BF100" s="96"/>
      <c r="BG100" s="96"/>
      <c r="BH100" s="96"/>
      <c r="BI100" s="104"/>
      <c r="BJ100" s="693" t="s">
        <v>253</v>
      </c>
    </row>
    <row r="101" spans="1:62" ht="20.25" customHeight="1">
      <c r="A101" s="315">
        <v>99</v>
      </c>
      <c r="B101" s="215" t="s">
        <v>52</v>
      </c>
      <c r="C101" s="288" t="s">
        <v>716</v>
      </c>
      <c r="D101" s="287" t="s">
        <v>717</v>
      </c>
      <c r="E101" s="604" t="s">
        <v>718</v>
      </c>
      <c r="F101" s="302" t="s">
        <v>709</v>
      </c>
      <c r="G101" s="241" t="s">
        <v>710</v>
      </c>
      <c r="H101" s="299" t="s">
        <v>711</v>
      </c>
      <c r="I101" s="313"/>
      <c r="J101" s="214">
        <f t="shared" si="7"/>
        <v>7</v>
      </c>
      <c r="K101" s="93"/>
      <c r="L101" s="103"/>
      <c r="M101" s="103"/>
      <c r="N101" s="314"/>
      <c r="O101" s="314" t="s">
        <v>712</v>
      </c>
      <c r="P101" s="312"/>
      <c r="Q101" s="313"/>
      <c r="R101" s="319"/>
      <c r="S101" s="319"/>
      <c r="T101" s="323"/>
      <c r="U101" s="103"/>
      <c r="V101" s="335"/>
      <c r="W101" s="99"/>
      <c r="X101" s="99"/>
      <c r="Y101" s="99"/>
      <c r="Z101" s="100"/>
      <c r="AA101" s="121"/>
      <c r="AB101" s="99"/>
      <c r="AC101" s="99"/>
      <c r="AD101" s="99"/>
      <c r="AE101" s="100"/>
      <c r="AF101" s="96"/>
      <c r="AG101" s="96"/>
      <c r="AH101" s="96"/>
      <c r="AI101" s="96"/>
      <c r="AJ101" s="104"/>
      <c r="AK101" s="96"/>
      <c r="AL101" s="96"/>
      <c r="AM101" s="96"/>
      <c r="AN101" s="96"/>
      <c r="AO101" s="104"/>
      <c r="AP101" s="96"/>
      <c r="AQ101" s="96"/>
      <c r="AR101" s="96"/>
      <c r="AS101" s="96"/>
      <c r="AT101" s="104"/>
      <c r="AU101" s="96"/>
      <c r="AV101" s="96"/>
      <c r="AW101" s="96"/>
      <c r="AX101" s="96"/>
      <c r="AY101" s="104"/>
      <c r="AZ101" s="96"/>
      <c r="BA101" s="96"/>
      <c r="BB101" s="96"/>
      <c r="BC101" s="96"/>
      <c r="BD101" s="104"/>
      <c r="BE101" s="96"/>
      <c r="BF101" s="96"/>
      <c r="BG101" s="96"/>
      <c r="BH101" s="96"/>
      <c r="BI101" s="104"/>
      <c r="BJ101" s="693" t="s">
        <v>253</v>
      </c>
    </row>
    <row r="102" spans="1:62" s="3" customFormat="1" ht="20.25" customHeight="1">
      <c r="A102" s="315">
        <v>100</v>
      </c>
      <c r="B102" s="633" t="s">
        <v>52</v>
      </c>
      <c r="C102" s="238" t="s">
        <v>719</v>
      </c>
      <c r="D102" s="317" t="s">
        <v>720</v>
      </c>
      <c r="E102" s="634" t="s">
        <v>721</v>
      </c>
      <c r="F102" s="241" t="s">
        <v>709</v>
      </c>
      <c r="G102" s="241" t="s">
        <v>710</v>
      </c>
      <c r="H102" s="234" t="s">
        <v>711</v>
      </c>
      <c r="I102" s="319">
        <v>46049</v>
      </c>
      <c r="J102" s="214">
        <f t="shared" si="7"/>
        <v>46056</v>
      </c>
      <c r="K102" s="103">
        <v>0</v>
      </c>
      <c r="L102" s="103" t="s">
        <v>51</v>
      </c>
      <c r="M102" s="103" t="s">
        <v>89</v>
      </c>
      <c r="N102" s="221"/>
      <c r="O102" s="221" t="s">
        <v>712</v>
      </c>
      <c r="P102" s="318" t="s">
        <v>722</v>
      </c>
      <c r="Q102" s="214">
        <v>46049</v>
      </c>
      <c r="R102" s="319">
        <v>46049</v>
      </c>
      <c r="S102" s="319">
        <v>46055</v>
      </c>
      <c r="T102" s="324"/>
      <c r="U102" s="103"/>
      <c r="V102" s="690"/>
      <c r="W102" s="96"/>
      <c r="X102" s="96"/>
      <c r="Y102" s="96"/>
      <c r="Z102" s="104"/>
      <c r="AA102" s="691"/>
      <c r="AB102" s="96"/>
      <c r="AC102" s="96"/>
      <c r="AD102" s="96"/>
      <c r="AE102" s="104"/>
      <c r="AF102" s="96"/>
      <c r="AG102" s="96"/>
      <c r="AH102" s="96"/>
      <c r="AI102" s="96"/>
      <c r="AJ102" s="104"/>
      <c r="AK102" s="96"/>
      <c r="AL102" s="96"/>
      <c r="AM102" s="96"/>
      <c r="AN102" s="96"/>
      <c r="AO102" s="104"/>
      <c r="AP102" s="96"/>
      <c r="AQ102" s="96"/>
      <c r="AR102" s="96"/>
      <c r="AS102" s="96"/>
      <c r="AT102" s="104"/>
      <c r="AU102" s="96"/>
      <c r="AV102" s="96"/>
      <c r="AW102" s="96"/>
      <c r="AX102" s="96"/>
      <c r="AY102" s="104"/>
      <c r="AZ102" s="96"/>
      <c r="BA102" s="96"/>
      <c r="BB102" s="96"/>
      <c r="BC102" s="96"/>
      <c r="BD102" s="104"/>
      <c r="BE102" s="96"/>
      <c r="BF102" s="96"/>
      <c r="BG102" s="96"/>
      <c r="BH102" s="96"/>
      <c r="BI102" s="104"/>
      <c r="BJ102" s="693" t="s">
        <v>253</v>
      </c>
    </row>
    <row r="103" spans="1:62" ht="20.25" customHeight="1">
      <c r="A103" s="315">
        <v>101</v>
      </c>
      <c r="B103" s="215" t="s">
        <v>52</v>
      </c>
      <c r="C103" s="288" t="s">
        <v>723</v>
      </c>
      <c r="D103" s="287" t="s">
        <v>724</v>
      </c>
      <c r="E103" s="604" t="s">
        <v>725</v>
      </c>
      <c r="F103" s="302" t="s">
        <v>709</v>
      </c>
      <c r="G103" s="241" t="s">
        <v>710</v>
      </c>
      <c r="H103" s="299" t="s">
        <v>711</v>
      </c>
      <c r="I103" s="313"/>
      <c r="J103" s="214">
        <f t="shared" si="7"/>
        <v>7</v>
      </c>
      <c r="K103" s="93"/>
      <c r="L103" s="103"/>
      <c r="M103" s="103"/>
      <c r="N103" s="314"/>
      <c r="O103" s="314" t="s">
        <v>712</v>
      </c>
      <c r="P103" s="312"/>
      <c r="Q103" s="313"/>
      <c r="R103" s="319"/>
      <c r="S103" s="319"/>
      <c r="T103" s="323"/>
      <c r="U103" s="103"/>
      <c r="V103" s="335"/>
      <c r="W103" s="99"/>
      <c r="X103" s="99"/>
      <c r="Y103" s="99"/>
      <c r="Z103" s="100"/>
      <c r="AA103" s="121"/>
      <c r="AB103" s="99"/>
      <c r="AC103" s="99"/>
      <c r="AD103" s="99"/>
      <c r="AE103" s="100"/>
      <c r="AF103" s="96"/>
      <c r="AG103" s="96"/>
      <c r="AH103" s="96"/>
      <c r="AI103" s="96"/>
      <c r="AJ103" s="104"/>
      <c r="AK103" s="96"/>
      <c r="AL103" s="96"/>
      <c r="AM103" s="96"/>
      <c r="AN103" s="96"/>
      <c r="AO103" s="104"/>
      <c r="AP103" s="96"/>
      <c r="AQ103" s="96"/>
      <c r="AR103" s="96"/>
      <c r="AS103" s="96"/>
      <c r="AT103" s="104"/>
      <c r="AU103" s="96"/>
      <c r="AV103" s="96"/>
      <c r="AW103" s="96"/>
      <c r="AX103" s="96"/>
      <c r="AY103" s="104"/>
      <c r="AZ103" s="96"/>
      <c r="BA103" s="96"/>
      <c r="BB103" s="96"/>
      <c r="BC103" s="96"/>
      <c r="BD103" s="104"/>
      <c r="BE103" s="96"/>
      <c r="BF103" s="96"/>
      <c r="BG103" s="96"/>
      <c r="BH103" s="96"/>
      <c r="BI103" s="104"/>
      <c r="BJ103" s="693" t="s">
        <v>253</v>
      </c>
    </row>
    <row r="104" spans="1:62" s="3" customFormat="1" ht="20.25" customHeight="1">
      <c r="A104" s="315">
        <v>102</v>
      </c>
      <c r="B104" s="633" t="s">
        <v>52</v>
      </c>
      <c r="C104" s="238" t="s">
        <v>726</v>
      </c>
      <c r="D104" s="317" t="s">
        <v>727</v>
      </c>
      <c r="E104" s="634" t="s">
        <v>728</v>
      </c>
      <c r="F104" s="241" t="s">
        <v>709</v>
      </c>
      <c r="G104" s="241" t="s">
        <v>710</v>
      </c>
      <c r="H104" s="234" t="s">
        <v>711</v>
      </c>
      <c r="I104" s="214">
        <v>46049</v>
      </c>
      <c r="J104" s="214">
        <f t="shared" si="7"/>
        <v>46056</v>
      </c>
      <c r="K104" s="103">
        <v>0</v>
      </c>
      <c r="L104" s="103" t="s">
        <v>51</v>
      </c>
      <c r="M104" s="103" t="s">
        <v>89</v>
      </c>
      <c r="N104" s="221"/>
      <c r="O104" s="221" t="s">
        <v>712</v>
      </c>
      <c r="P104" s="318" t="s">
        <v>729</v>
      </c>
      <c r="Q104" s="214">
        <v>46049</v>
      </c>
      <c r="R104" s="319">
        <v>46049</v>
      </c>
      <c r="S104" s="319">
        <v>46055</v>
      </c>
      <c r="T104" s="324"/>
      <c r="U104" s="103"/>
      <c r="V104" s="690"/>
      <c r="W104" s="96"/>
      <c r="X104" s="96"/>
      <c r="Y104" s="96"/>
      <c r="Z104" s="104"/>
      <c r="AA104" s="691"/>
      <c r="AB104" s="96"/>
      <c r="AC104" s="96"/>
      <c r="AD104" s="96"/>
      <c r="AE104" s="104"/>
      <c r="AF104" s="96"/>
      <c r="AG104" s="96"/>
      <c r="AH104" s="96"/>
      <c r="AI104" s="96"/>
      <c r="AJ104" s="104"/>
      <c r="AK104" s="96"/>
      <c r="AL104" s="96"/>
      <c r="AM104" s="96"/>
      <c r="AN104" s="96"/>
      <c r="AO104" s="104"/>
      <c r="AP104" s="96"/>
      <c r="AQ104" s="96"/>
      <c r="AR104" s="96"/>
      <c r="AS104" s="96"/>
      <c r="AT104" s="104"/>
      <c r="AU104" s="96"/>
      <c r="AV104" s="96"/>
      <c r="AW104" s="96"/>
      <c r="AX104" s="96"/>
      <c r="AY104" s="104"/>
      <c r="AZ104" s="96"/>
      <c r="BA104" s="96"/>
      <c r="BB104" s="96"/>
      <c r="BC104" s="96"/>
      <c r="BD104" s="104"/>
      <c r="BE104" s="96"/>
      <c r="BF104" s="96"/>
      <c r="BG104" s="96"/>
      <c r="BH104" s="96"/>
      <c r="BI104" s="104"/>
      <c r="BJ104" s="693" t="s">
        <v>253</v>
      </c>
    </row>
    <row r="105" spans="1:62" s="3" customFormat="1" ht="20.25" customHeight="1">
      <c r="A105" s="315">
        <v>103</v>
      </c>
      <c r="B105" s="215" t="s">
        <v>52</v>
      </c>
      <c r="C105" s="288" t="s">
        <v>730</v>
      </c>
      <c r="D105" s="287" t="s">
        <v>731</v>
      </c>
      <c r="E105" s="604" t="s">
        <v>732</v>
      </c>
      <c r="F105" s="302" t="s">
        <v>709</v>
      </c>
      <c r="G105" s="241" t="s">
        <v>710</v>
      </c>
      <c r="H105" s="299" t="s">
        <v>711</v>
      </c>
      <c r="I105" s="214">
        <v>46052</v>
      </c>
      <c r="J105" s="214">
        <f t="shared" si="7"/>
        <v>46059</v>
      </c>
      <c r="K105" s="103">
        <v>0</v>
      </c>
      <c r="L105" s="103" t="s">
        <v>50</v>
      </c>
      <c r="M105" s="103" t="s">
        <v>89</v>
      </c>
      <c r="N105" s="221"/>
      <c r="O105" s="221" t="s">
        <v>712</v>
      </c>
      <c r="P105" s="318"/>
      <c r="Q105" s="214">
        <v>46052</v>
      </c>
      <c r="R105" s="319">
        <v>46055</v>
      </c>
      <c r="S105" s="319"/>
      <c r="T105" s="324"/>
      <c r="U105" s="336"/>
      <c r="V105" s="690"/>
      <c r="W105" s="96"/>
      <c r="X105" s="96"/>
      <c r="Y105" s="96"/>
      <c r="Z105" s="104"/>
      <c r="AA105" s="691"/>
      <c r="AB105" s="96"/>
      <c r="AC105" s="96"/>
      <c r="AD105" s="96"/>
      <c r="AE105" s="104"/>
      <c r="AF105" s="96"/>
      <c r="AG105" s="96"/>
      <c r="AH105" s="96"/>
      <c r="AI105" s="96"/>
      <c r="AJ105" s="104"/>
      <c r="AK105" s="96"/>
      <c r="AL105" s="96"/>
      <c r="AM105" s="96"/>
      <c r="AN105" s="96"/>
      <c r="AO105" s="104"/>
      <c r="AP105" s="96"/>
      <c r="AQ105" s="96"/>
      <c r="AR105" s="96"/>
      <c r="AS105" s="96"/>
      <c r="AT105" s="104"/>
      <c r="AU105" s="96"/>
      <c r="AV105" s="96"/>
      <c r="AW105" s="96"/>
      <c r="AX105" s="96"/>
      <c r="AY105" s="104"/>
      <c r="AZ105" s="96"/>
      <c r="BA105" s="96"/>
      <c r="BB105" s="96"/>
      <c r="BC105" s="96"/>
      <c r="BD105" s="104"/>
      <c r="BE105" s="96"/>
      <c r="BF105" s="96"/>
      <c r="BG105" s="96"/>
      <c r="BH105" s="96"/>
      <c r="BI105" s="104"/>
      <c r="BJ105" s="693" t="s">
        <v>253</v>
      </c>
    </row>
    <row r="106" spans="1:62" s="3" customFormat="1" ht="20.25" customHeight="1">
      <c r="A106" s="315">
        <v>104</v>
      </c>
      <c r="B106" s="215" t="s">
        <v>52</v>
      </c>
      <c r="C106" s="288" t="s">
        <v>733</v>
      </c>
      <c r="D106" s="287" t="s">
        <v>734</v>
      </c>
      <c r="E106" s="604" t="s">
        <v>735</v>
      </c>
      <c r="F106" s="302" t="s">
        <v>709</v>
      </c>
      <c r="G106" s="302"/>
      <c r="H106" s="299" t="s">
        <v>711</v>
      </c>
      <c r="I106" s="214">
        <v>46058</v>
      </c>
      <c r="J106" s="214">
        <f t="shared" si="7"/>
        <v>46065</v>
      </c>
      <c r="K106" s="103">
        <v>1</v>
      </c>
      <c r="L106" s="103" t="s">
        <v>50</v>
      </c>
      <c r="M106" s="103" t="s">
        <v>89</v>
      </c>
      <c r="N106" s="221"/>
      <c r="O106" s="221" t="s">
        <v>712</v>
      </c>
      <c r="P106" s="318"/>
      <c r="Q106" s="214">
        <v>46007</v>
      </c>
      <c r="R106" s="319">
        <v>46013</v>
      </c>
      <c r="S106" s="319">
        <v>46035</v>
      </c>
      <c r="T106" s="324">
        <v>46043</v>
      </c>
      <c r="U106" s="336" t="s">
        <v>48</v>
      </c>
      <c r="V106" s="690">
        <v>46058</v>
      </c>
      <c r="W106" s="96">
        <v>46065</v>
      </c>
      <c r="X106" s="96"/>
      <c r="Y106" s="96"/>
      <c r="Z106" s="104"/>
      <c r="AA106" s="691"/>
      <c r="AB106" s="96"/>
      <c r="AC106" s="96"/>
      <c r="AD106" s="96"/>
      <c r="AE106" s="104"/>
      <c r="AF106" s="96"/>
      <c r="AG106" s="96"/>
      <c r="AH106" s="96"/>
      <c r="AI106" s="96"/>
      <c r="AJ106" s="104"/>
      <c r="AK106" s="96"/>
      <c r="AL106" s="96"/>
      <c r="AM106" s="96"/>
      <c r="AN106" s="96"/>
      <c r="AO106" s="104"/>
      <c r="AP106" s="96"/>
      <c r="AQ106" s="96"/>
      <c r="AR106" s="96"/>
      <c r="AS106" s="96"/>
      <c r="AT106" s="104"/>
      <c r="AU106" s="96"/>
      <c r="AV106" s="96"/>
      <c r="AW106" s="96"/>
      <c r="AX106" s="96"/>
      <c r="AY106" s="104"/>
      <c r="AZ106" s="96"/>
      <c r="BA106" s="96"/>
      <c r="BB106" s="96"/>
      <c r="BC106" s="96"/>
      <c r="BD106" s="104"/>
      <c r="BE106" s="96"/>
      <c r="BF106" s="96"/>
      <c r="BG106" s="96"/>
      <c r="BH106" s="96"/>
      <c r="BI106" s="104"/>
      <c r="BJ106" s="693" t="s">
        <v>82</v>
      </c>
    </row>
    <row r="107" spans="1:62" s="3" customFormat="1" ht="20.25" customHeight="1">
      <c r="A107" s="315">
        <v>105</v>
      </c>
      <c r="B107" s="215" t="s">
        <v>52</v>
      </c>
      <c r="C107" s="288" t="s">
        <v>736</v>
      </c>
      <c r="D107" s="287" t="s">
        <v>737</v>
      </c>
      <c r="E107" s="604" t="s">
        <v>738</v>
      </c>
      <c r="F107" s="302" t="s">
        <v>709</v>
      </c>
      <c r="G107" s="302"/>
      <c r="H107" s="299" t="s">
        <v>711</v>
      </c>
      <c r="I107" s="214">
        <v>46007</v>
      </c>
      <c r="J107" s="214">
        <f t="shared" si="7"/>
        <v>46014</v>
      </c>
      <c r="K107" s="103">
        <v>0</v>
      </c>
      <c r="L107" s="103" t="s">
        <v>56</v>
      </c>
      <c r="M107" s="103" t="s">
        <v>48</v>
      </c>
      <c r="N107" s="221"/>
      <c r="O107" s="221" t="s">
        <v>712</v>
      </c>
      <c r="P107" s="318"/>
      <c r="Q107" s="214">
        <v>46007</v>
      </c>
      <c r="R107" s="319">
        <v>46013</v>
      </c>
      <c r="S107" s="319">
        <v>46035</v>
      </c>
      <c r="T107" s="324">
        <v>46043</v>
      </c>
      <c r="U107" s="336" t="s">
        <v>48</v>
      </c>
      <c r="V107" s="690"/>
      <c r="W107" s="96"/>
      <c r="X107" s="96"/>
      <c r="Y107" s="96"/>
      <c r="Z107" s="104"/>
      <c r="AA107" s="691"/>
      <c r="AB107" s="96"/>
      <c r="AC107" s="96"/>
      <c r="AD107" s="96"/>
      <c r="AE107" s="104"/>
      <c r="AF107" s="96"/>
      <c r="AG107" s="96"/>
      <c r="AH107" s="96"/>
      <c r="AI107" s="96"/>
      <c r="AJ107" s="104"/>
      <c r="AK107" s="96"/>
      <c r="AL107" s="96"/>
      <c r="AM107" s="96"/>
      <c r="AN107" s="96"/>
      <c r="AO107" s="104"/>
      <c r="AP107" s="96"/>
      <c r="AQ107" s="96"/>
      <c r="AR107" s="96"/>
      <c r="AS107" s="96"/>
      <c r="AT107" s="104"/>
      <c r="AU107" s="96"/>
      <c r="AV107" s="96"/>
      <c r="AW107" s="96"/>
      <c r="AX107" s="96"/>
      <c r="AY107" s="104"/>
      <c r="AZ107" s="96"/>
      <c r="BA107" s="96"/>
      <c r="BB107" s="96"/>
      <c r="BC107" s="96"/>
      <c r="BD107" s="104"/>
      <c r="BE107" s="96"/>
      <c r="BF107" s="96"/>
      <c r="BG107" s="96"/>
      <c r="BH107" s="96"/>
      <c r="BI107" s="104"/>
      <c r="BJ107" s="693" t="s">
        <v>82</v>
      </c>
    </row>
    <row r="108" spans="1:62" ht="20.25" customHeight="1">
      <c r="A108" s="315">
        <v>106</v>
      </c>
      <c r="B108" s="215" t="s">
        <v>52</v>
      </c>
      <c r="C108" s="288" t="s">
        <v>739</v>
      </c>
      <c r="D108" s="287" t="s">
        <v>740</v>
      </c>
      <c r="E108" s="604" t="s">
        <v>741</v>
      </c>
      <c r="F108" s="302" t="s">
        <v>709</v>
      </c>
      <c r="G108" s="302"/>
      <c r="H108" s="299" t="s">
        <v>711</v>
      </c>
      <c r="I108" s="313"/>
      <c r="J108" s="214">
        <f t="shared" si="7"/>
        <v>7</v>
      </c>
      <c r="K108" s="93"/>
      <c r="L108" s="103"/>
      <c r="M108" s="103"/>
      <c r="N108" s="314"/>
      <c r="O108" s="314" t="s">
        <v>712</v>
      </c>
      <c r="P108" s="312"/>
      <c r="Q108" s="313">
        <v>46061</v>
      </c>
      <c r="R108" s="319"/>
      <c r="S108" s="319"/>
      <c r="T108" s="323"/>
      <c r="U108" s="200"/>
      <c r="V108" s="335"/>
      <c r="W108" s="99"/>
      <c r="X108" s="99"/>
      <c r="Y108" s="99"/>
      <c r="Z108" s="100"/>
      <c r="AA108" s="121"/>
      <c r="AB108" s="99"/>
      <c r="AC108" s="99"/>
      <c r="AD108" s="99"/>
      <c r="AE108" s="100"/>
      <c r="AF108" s="96"/>
      <c r="AG108" s="96"/>
      <c r="AH108" s="96"/>
      <c r="AI108" s="96"/>
      <c r="AJ108" s="104"/>
      <c r="AK108" s="96"/>
      <c r="AL108" s="96"/>
      <c r="AM108" s="96"/>
      <c r="AN108" s="96"/>
      <c r="AO108" s="104"/>
      <c r="AP108" s="96"/>
      <c r="AQ108" s="96"/>
      <c r="AR108" s="96"/>
      <c r="AS108" s="96"/>
      <c r="AT108" s="104"/>
      <c r="AU108" s="96"/>
      <c r="AV108" s="96"/>
      <c r="AW108" s="96"/>
      <c r="AX108" s="96"/>
      <c r="AY108" s="104"/>
      <c r="AZ108" s="96"/>
      <c r="BA108" s="96"/>
      <c r="BB108" s="96"/>
      <c r="BC108" s="96"/>
      <c r="BD108" s="104"/>
      <c r="BE108" s="96"/>
      <c r="BF108" s="96"/>
      <c r="BG108" s="96"/>
      <c r="BH108" s="96"/>
      <c r="BI108" s="104"/>
      <c r="BJ108" s="693" t="s">
        <v>82</v>
      </c>
    </row>
    <row r="109" spans="1:62" ht="20.25" customHeight="1">
      <c r="A109" s="315">
        <v>107</v>
      </c>
      <c r="B109" s="215" t="s">
        <v>52</v>
      </c>
      <c r="C109" s="288" t="s">
        <v>742</v>
      </c>
      <c r="D109" s="287" t="s">
        <v>740</v>
      </c>
      <c r="E109" s="604" t="s">
        <v>743</v>
      </c>
      <c r="F109" s="302" t="s">
        <v>709</v>
      </c>
      <c r="G109" s="302"/>
      <c r="H109" s="299" t="s">
        <v>711</v>
      </c>
      <c r="I109" s="313"/>
      <c r="J109" s="214">
        <f t="shared" si="7"/>
        <v>7</v>
      </c>
      <c r="K109" s="93"/>
      <c r="L109" s="103"/>
      <c r="M109" s="103"/>
      <c r="N109" s="314"/>
      <c r="O109" s="314" t="s">
        <v>712</v>
      </c>
      <c r="P109" s="312"/>
      <c r="Q109" s="313"/>
      <c r="R109" s="319"/>
      <c r="S109" s="319"/>
      <c r="T109" s="323"/>
      <c r="U109" s="200"/>
      <c r="V109" s="335"/>
      <c r="W109" s="99"/>
      <c r="X109" s="99"/>
      <c r="Y109" s="99"/>
      <c r="Z109" s="100"/>
      <c r="AA109" s="121"/>
      <c r="AB109" s="99"/>
      <c r="AC109" s="99"/>
      <c r="AD109" s="99"/>
      <c r="AE109" s="100"/>
      <c r="AF109" s="96"/>
      <c r="AG109" s="96"/>
      <c r="AH109" s="96"/>
      <c r="AI109" s="96"/>
      <c r="AJ109" s="104"/>
      <c r="AK109" s="96"/>
      <c r="AL109" s="96"/>
      <c r="AM109" s="96"/>
      <c r="AN109" s="96"/>
      <c r="AO109" s="104"/>
      <c r="AP109" s="96"/>
      <c r="AQ109" s="96"/>
      <c r="AR109" s="96"/>
      <c r="AS109" s="96"/>
      <c r="AT109" s="104"/>
      <c r="AU109" s="96"/>
      <c r="AV109" s="96"/>
      <c r="AW109" s="96"/>
      <c r="AX109" s="96"/>
      <c r="AY109" s="104"/>
      <c r="AZ109" s="96"/>
      <c r="BA109" s="96"/>
      <c r="BB109" s="96"/>
      <c r="BC109" s="96"/>
      <c r="BD109" s="104"/>
      <c r="BE109" s="96"/>
      <c r="BF109" s="96"/>
      <c r="BG109" s="96"/>
      <c r="BH109" s="96"/>
      <c r="BI109" s="104"/>
      <c r="BJ109" s="693" t="s">
        <v>82</v>
      </c>
    </row>
    <row r="110" spans="1:62" ht="20.25" customHeight="1">
      <c r="A110" s="315">
        <v>108</v>
      </c>
      <c r="B110" s="215" t="s">
        <v>52</v>
      </c>
      <c r="C110" s="238" t="s">
        <v>744</v>
      </c>
      <c r="D110" s="280" t="s">
        <v>745</v>
      </c>
      <c r="E110" s="604" t="s">
        <v>746</v>
      </c>
      <c r="F110" s="241" t="s">
        <v>403</v>
      </c>
      <c r="G110" s="241" t="s">
        <v>413</v>
      </c>
      <c r="H110" s="233">
        <v>46062</v>
      </c>
      <c r="I110" s="313"/>
      <c r="J110" s="214">
        <f t="shared" si="7"/>
        <v>7</v>
      </c>
      <c r="K110" s="93"/>
      <c r="L110" s="103"/>
      <c r="M110" s="103"/>
      <c r="N110" s="314"/>
      <c r="O110" s="314" t="s">
        <v>81</v>
      </c>
      <c r="P110" s="312" t="s">
        <v>747</v>
      </c>
      <c r="Q110" s="313"/>
      <c r="R110" s="319"/>
      <c r="S110" s="319"/>
      <c r="T110" s="323"/>
      <c r="U110" s="200"/>
      <c r="V110" s="335"/>
      <c r="W110" s="99"/>
      <c r="X110" s="99"/>
      <c r="Y110" s="99"/>
      <c r="Z110" s="100"/>
      <c r="AA110" s="121"/>
      <c r="AB110" s="99"/>
      <c r="AC110" s="99"/>
      <c r="AD110" s="99"/>
      <c r="AE110" s="100"/>
      <c r="AF110" s="96"/>
      <c r="AG110" s="96"/>
      <c r="AH110" s="96"/>
      <c r="AI110" s="96"/>
      <c r="AJ110" s="104"/>
      <c r="AK110" s="96"/>
      <c r="AL110" s="96"/>
      <c r="AM110" s="96"/>
      <c r="AN110" s="96"/>
      <c r="AO110" s="104"/>
      <c r="AP110" s="96"/>
      <c r="AQ110" s="96"/>
      <c r="AR110" s="96"/>
      <c r="AS110" s="96"/>
      <c r="AT110" s="104"/>
      <c r="AU110" s="96"/>
      <c r="AV110" s="96"/>
      <c r="AW110" s="96"/>
      <c r="AX110" s="96"/>
      <c r="AY110" s="104"/>
      <c r="AZ110" s="96"/>
      <c r="BA110" s="96"/>
      <c r="BB110" s="96"/>
      <c r="BC110" s="96"/>
      <c r="BD110" s="104"/>
      <c r="BE110" s="96"/>
      <c r="BF110" s="96"/>
      <c r="BG110" s="96"/>
      <c r="BH110" s="96"/>
      <c r="BI110" s="104"/>
      <c r="BJ110" s="693" t="s">
        <v>82</v>
      </c>
    </row>
    <row r="111" spans="1:62" ht="20.25" customHeight="1">
      <c r="A111" s="315">
        <v>110</v>
      </c>
      <c r="B111" s="215" t="s">
        <v>52</v>
      </c>
      <c r="C111" s="238" t="s">
        <v>748</v>
      </c>
      <c r="D111" s="280" t="s">
        <v>749</v>
      </c>
      <c r="E111" s="604" t="s">
        <v>750</v>
      </c>
      <c r="F111" s="241" t="s">
        <v>751</v>
      </c>
      <c r="G111" s="241" t="s">
        <v>752</v>
      </c>
      <c r="H111" s="233">
        <v>46069</v>
      </c>
      <c r="I111" s="313"/>
      <c r="J111" s="214">
        <f t="shared" si="7"/>
        <v>7</v>
      </c>
      <c r="K111" s="93"/>
      <c r="L111" s="103"/>
      <c r="M111" s="103"/>
      <c r="N111" s="314"/>
      <c r="O111" s="314" t="s">
        <v>81</v>
      </c>
      <c r="P111" s="312"/>
      <c r="Q111" s="313"/>
      <c r="R111" s="319"/>
      <c r="S111" s="319"/>
      <c r="T111" s="323"/>
      <c r="U111" s="200"/>
      <c r="V111" s="335"/>
      <c r="W111" s="99"/>
      <c r="X111" s="99"/>
      <c r="Y111" s="99"/>
      <c r="Z111" s="100"/>
      <c r="AA111" s="121"/>
      <c r="AB111" s="99"/>
      <c r="AC111" s="99"/>
      <c r="AD111" s="99"/>
      <c r="AE111" s="100"/>
      <c r="AF111" s="96"/>
      <c r="AG111" s="96"/>
      <c r="AH111" s="96"/>
      <c r="AI111" s="96"/>
      <c r="AJ111" s="104"/>
      <c r="AK111" s="96"/>
      <c r="AL111" s="96"/>
      <c r="AM111" s="96"/>
      <c r="AN111" s="96"/>
      <c r="AO111" s="104"/>
      <c r="AP111" s="96"/>
      <c r="AQ111" s="96"/>
      <c r="AR111" s="96"/>
      <c r="AS111" s="96"/>
      <c r="AT111" s="104"/>
      <c r="AU111" s="96"/>
      <c r="AV111" s="96"/>
      <c r="AW111" s="96"/>
      <c r="AX111" s="96"/>
      <c r="AY111" s="104"/>
      <c r="AZ111" s="96"/>
      <c r="BA111" s="96"/>
      <c r="BB111" s="96"/>
      <c r="BC111" s="96"/>
      <c r="BD111" s="104"/>
      <c r="BE111" s="96"/>
      <c r="BF111" s="96"/>
      <c r="BG111" s="96"/>
      <c r="BH111" s="96"/>
      <c r="BI111" s="104"/>
      <c r="BJ111" s="693" t="s">
        <v>82</v>
      </c>
    </row>
    <row r="112" spans="1:62" ht="20.25" customHeight="1">
      <c r="A112" s="315">
        <v>112</v>
      </c>
      <c r="B112" s="215" t="s">
        <v>52</v>
      </c>
      <c r="C112" s="238" t="s">
        <v>753</v>
      </c>
      <c r="D112" s="280" t="s">
        <v>754</v>
      </c>
      <c r="E112" s="604" t="s">
        <v>755</v>
      </c>
      <c r="F112" s="241" t="s">
        <v>751</v>
      </c>
      <c r="G112" s="241" t="s">
        <v>399</v>
      </c>
      <c r="H112" s="233">
        <v>46069</v>
      </c>
      <c r="I112" s="313"/>
      <c r="J112" s="214">
        <f t="shared" si="7"/>
        <v>7</v>
      </c>
      <c r="K112" s="93"/>
      <c r="L112" s="103"/>
      <c r="M112" s="103"/>
      <c r="N112" s="314"/>
      <c r="O112" s="314" t="s">
        <v>81</v>
      </c>
      <c r="P112" s="312"/>
      <c r="Q112" s="313"/>
      <c r="R112" s="319"/>
      <c r="S112" s="319"/>
      <c r="T112" s="323"/>
      <c r="U112" s="200"/>
      <c r="V112" s="335"/>
      <c r="W112" s="99"/>
      <c r="X112" s="99"/>
      <c r="Y112" s="99"/>
      <c r="Z112" s="100"/>
      <c r="AA112" s="121"/>
      <c r="AB112" s="99"/>
      <c r="AC112" s="99"/>
      <c r="AD112" s="99"/>
      <c r="AE112" s="100"/>
      <c r="AF112" s="96"/>
      <c r="AG112" s="96"/>
      <c r="AH112" s="96"/>
      <c r="AI112" s="96"/>
      <c r="AJ112" s="104"/>
      <c r="AK112" s="96"/>
      <c r="AL112" s="96"/>
      <c r="AM112" s="96"/>
      <c r="AN112" s="96"/>
      <c r="AO112" s="104"/>
      <c r="AP112" s="96"/>
      <c r="AQ112" s="96"/>
      <c r="AR112" s="96"/>
      <c r="AS112" s="96"/>
      <c r="AT112" s="104"/>
      <c r="AU112" s="96"/>
      <c r="AV112" s="96"/>
      <c r="AW112" s="96"/>
      <c r="AX112" s="96"/>
      <c r="AY112" s="104"/>
      <c r="AZ112" s="96"/>
      <c r="BA112" s="96"/>
      <c r="BB112" s="96"/>
      <c r="BC112" s="96"/>
      <c r="BD112" s="104"/>
      <c r="BE112" s="96"/>
      <c r="BF112" s="96"/>
      <c r="BG112" s="96"/>
      <c r="BH112" s="96"/>
      <c r="BI112" s="104"/>
      <c r="BJ112" s="693" t="s">
        <v>82</v>
      </c>
    </row>
    <row r="113" spans="1:62" ht="20.25" customHeight="1">
      <c r="A113" s="315">
        <v>113</v>
      </c>
      <c r="B113" s="215" t="s">
        <v>52</v>
      </c>
      <c r="C113" s="238" t="s">
        <v>756</v>
      </c>
      <c r="D113" s="280" t="s">
        <v>757</v>
      </c>
      <c r="E113" s="604" t="s">
        <v>758</v>
      </c>
      <c r="F113" s="241" t="s">
        <v>403</v>
      </c>
      <c r="G113" s="241" t="s">
        <v>399</v>
      </c>
      <c r="H113" s="233">
        <v>46062</v>
      </c>
      <c r="I113" s="313"/>
      <c r="J113" s="214">
        <f t="shared" si="7"/>
        <v>7</v>
      </c>
      <c r="K113" s="93"/>
      <c r="L113" s="103"/>
      <c r="M113" s="103"/>
      <c r="N113" s="314"/>
      <c r="O113" s="314" t="s">
        <v>81</v>
      </c>
      <c r="P113" s="312"/>
      <c r="Q113" s="313"/>
      <c r="R113" s="319"/>
      <c r="S113" s="319"/>
      <c r="T113" s="323"/>
      <c r="U113" s="200"/>
      <c r="V113" s="335"/>
      <c r="W113" s="99"/>
      <c r="X113" s="99"/>
      <c r="Y113" s="99"/>
      <c r="Z113" s="100"/>
      <c r="AA113" s="121"/>
      <c r="AB113" s="99"/>
      <c r="AC113" s="99"/>
      <c r="AD113" s="99"/>
      <c r="AE113" s="100"/>
      <c r="AF113" s="96"/>
      <c r="AG113" s="96"/>
      <c r="AH113" s="96"/>
      <c r="AI113" s="96"/>
      <c r="AJ113" s="104"/>
      <c r="AK113" s="96"/>
      <c r="AL113" s="96"/>
      <c r="AM113" s="96"/>
      <c r="AN113" s="96"/>
      <c r="AO113" s="104"/>
      <c r="AP113" s="96"/>
      <c r="AQ113" s="96"/>
      <c r="AR113" s="96"/>
      <c r="AS113" s="96"/>
      <c r="AT113" s="104"/>
      <c r="AU113" s="96"/>
      <c r="AV113" s="96"/>
      <c r="AW113" s="96"/>
      <c r="AX113" s="96"/>
      <c r="AY113" s="104"/>
      <c r="AZ113" s="96"/>
      <c r="BA113" s="96"/>
      <c r="BB113" s="96"/>
      <c r="BC113" s="96"/>
      <c r="BD113" s="104"/>
      <c r="BE113" s="96"/>
      <c r="BF113" s="96"/>
      <c r="BG113" s="96"/>
      <c r="BH113" s="96"/>
      <c r="BI113" s="104"/>
      <c r="BJ113" s="693" t="s">
        <v>82</v>
      </c>
    </row>
    <row r="114" spans="1:62" s="3" customFormat="1" ht="20.25" customHeight="1">
      <c r="A114" s="315">
        <v>115</v>
      </c>
      <c r="B114" s="215" t="s">
        <v>52</v>
      </c>
      <c r="C114" s="238" t="s">
        <v>759</v>
      </c>
      <c r="D114" s="280" t="s">
        <v>760</v>
      </c>
      <c r="E114" s="604" t="s">
        <v>761</v>
      </c>
      <c r="F114" s="241" t="s">
        <v>403</v>
      </c>
      <c r="G114" s="241" t="s">
        <v>404</v>
      </c>
      <c r="H114" s="233">
        <v>46055</v>
      </c>
      <c r="I114" s="214">
        <v>46055</v>
      </c>
      <c r="J114" s="214">
        <f t="shared" si="7"/>
        <v>46062</v>
      </c>
      <c r="K114" s="103">
        <v>0</v>
      </c>
      <c r="L114" s="103" t="s">
        <v>50</v>
      </c>
      <c r="M114" s="103" t="s">
        <v>89</v>
      </c>
      <c r="N114" s="221"/>
      <c r="O114" s="221" t="s">
        <v>81</v>
      </c>
      <c r="P114" s="318"/>
      <c r="Q114" s="214">
        <v>46055</v>
      </c>
      <c r="R114" s="319">
        <v>46065</v>
      </c>
      <c r="S114" s="319"/>
      <c r="T114" s="324"/>
      <c r="U114" s="336"/>
      <c r="V114" s="690"/>
      <c r="W114" s="96"/>
      <c r="X114" s="96"/>
      <c r="Y114" s="96"/>
      <c r="Z114" s="104"/>
      <c r="AA114" s="691"/>
      <c r="AB114" s="96"/>
      <c r="AC114" s="96"/>
      <c r="AD114" s="96"/>
      <c r="AE114" s="104"/>
      <c r="AF114" s="96"/>
      <c r="AG114" s="96"/>
      <c r="AH114" s="96"/>
      <c r="AI114" s="96"/>
      <c r="AJ114" s="104"/>
      <c r="AK114" s="96"/>
      <c r="AL114" s="96"/>
      <c r="AM114" s="96"/>
      <c r="AN114" s="96"/>
      <c r="AO114" s="104"/>
      <c r="AP114" s="96"/>
      <c r="AQ114" s="96"/>
      <c r="AR114" s="96"/>
      <c r="AS114" s="96"/>
      <c r="AT114" s="104"/>
      <c r="AU114" s="96"/>
      <c r="AV114" s="96"/>
      <c r="AW114" s="96"/>
      <c r="AX114" s="96"/>
      <c r="AY114" s="104"/>
      <c r="AZ114" s="96"/>
      <c r="BA114" s="96"/>
      <c r="BB114" s="96"/>
      <c r="BC114" s="96"/>
      <c r="BD114" s="104"/>
      <c r="BE114" s="96"/>
      <c r="BF114" s="96"/>
      <c r="BG114" s="96"/>
      <c r="BH114" s="96"/>
      <c r="BI114" s="104"/>
      <c r="BJ114" s="693" t="s">
        <v>82</v>
      </c>
    </row>
    <row r="115" spans="1:62" ht="20.25" customHeight="1">
      <c r="A115" s="315">
        <v>117</v>
      </c>
      <c r="B115" s="215" t="s">
        <v>52</v>
      </c>
      <c r="C115" s="238" t="s">
        <v>762</v>
      </c>
      <c r="D115" s="280" t="s">
        <v>763</v>
      </c>
      <c r="E115" s="604" t="s">
        <v>764</v>
      </c>
      <c r="F115" s="241" t="s">
        <v>751</v>
      </c>
      <c r="G115" s="241" t="s">
        <v>752</v>
      </c>
      <c r="H115" s="630">
        <v>46059</v>
      </c>
      <c r="I115" s="313"/>
      <c r="J115" s="214">
        <f t="shared" si="7"/>
        <v>7</v>
      </c>
      <c r="K115" s="93"/>
      <c r="L115" s="103"/>
      <c r="M115" s="103"/>
      <c r="N115" s="314"/>
      <c r="O115" s="314" t="s">
        <v>81</v>
      </c>
      <c r="P115" s="312"/>
      <c r="Q115" s="313"/>
      <c r="R115" s="319"/>
      <c r="S115" s="319"/>
      <c r="T115" s="323"/>
      <c r="U115" s="200"/>
      <c r="V115" s="335"/>
      <c r="W115" s="99"/>
      <c r="X115" s="99"/>
      <c r="Y115" s="99"/>
      <c r="Z115" s="100"/>
      <c r="AA115" s="121"/>
      <c r="AB115" s="99"/>
      <c r="AC115" s="99"/>
      <c r="AD115" s="99"/>
      <c r="AE115" s="100"/>
      <c r="AF115" s="96"/>
      <c r="AG115" s="96"/>
      <c r="AH115" s="96"/>
      <c r="AI115" s="96"/>
      <c r="AJ115" s="104"/>
      <c r="AK115" s="96"/>
      <c r="AL115" s="96"/>
      <c r="AM115" s="96"/>
      <c r="AN115" s="96"/>
      <c r="AO115" s="104"/>
      <c r="AP115" s="96"/>
      <c r="AQ115" s="96"/>
      <c r="AR115" s="96"/>
      <c r="AS115" s="96"/>
      <c r="AT115" s="104"/>
      <c r="AU115" s="96"/>
      <c r="AV115" s="96"/>
      <c r="AW115" s="96"/>
      <c r="AX115" s="96"/>
      <c r="AY115" s="104"/>
      <c r="AZ115" s="96"/>
      <c r="BA115" s="96"/>
      <c r="BB115" s="96"/>
      <c r="BC115" s="96"/>
      <c r="BD115" s="104"/>
      <c r="BE115" s="96"/>
      <c r="BF115" s="96"/>
      <c r="BG115" s="96"/>
      <c r="BH115" s="96"/>
      <c r="BI115" s="104"/>
      <c r="BJ115" s="693" t="s">
        <v>82</v>
      </c>
    </row>
    <row r="116" spans="1:62" s="3" customFormat="1" ht="39" customHeight="1">
      <c r="A116" s="315">
        <v>119</v>
      </c>
      <c r="B116" s="215" t="s">
        <v>52</v>
      </c>
      <c r="C116" s="238" t="s">
        <v>765</v>
      </c>
      <c r="D116" s="280" t="s">
        <v>766</v>
      </c>
      <c r="E116" s="604" t="s">
        <v>767</v>
      </c>
      <c r="F116" s="241" t="s">
        <v>751</v>
      </c>
      <c r="G116" s="241" t="s">
        <v>768</v>
      </c>
      <c r="H116" s="630">
        <v>46059</v>
      </c>
      <c r="I116" s="214"/>
      <c r="J116" s="214">
        <f t="shared" si="7"/>
        <v>7</v>
      </c>
      <c r="K116" s="103"/>
      <c r="L116" s="103"/>
      <c r="M116" s="103"/>
      <c r="N116" s="221"/>
      <c r="O116" s="221" t="s">
        <v>81</v>
      </c>
      <c r="P116" s="789" t="s">
        <v>769</v>
      </c>
      <c r="Q116" s="214"/>
      <c r="R116" s="319"/>
      <c r="S116" s="319"/>
      <c r="T116" s="324"/>
      <c r="U116" s="336"/>
      <c r="V116" s="690"/>
      <c r="W116" s="96"/>
      <c r="X116" s="96"/>
      <c r="Y116" s="96"/>
      <c r="Z116" s="104"/>
      <c r="AA116" s="691"/>
      <c r="AB116" s="96"/>
      <c r="AC116" s="96"/>
      <c r="AD116" s="96"/>
      <c r="AE116" s="104"/>
      <c r="AF116" s="96"/>
      <c r="AG116" s="96"/>
      <c r="AH116" s="96"/>
      <c r="AI116" s="96"/>
      <c r="AJ116" s="104"/>
      <c r="AK116" s="96"/>
      <c r="AL116" s="96"/>
      <c r="AM116" s="96"/>
      <c r="AN116" s="96"/>
      <c r="AO116" s="104"/>
      <c r="AP116" s="96"/>
      <c r="AQ116" s="96"/>
      <c r="AR116" s="96"/>
      <c r="AS116" s="96"/>
      <c r="AT116" s="104"/>
      <c r="AU116" s="96"/>
      <c r="AV116" s="96"/>
      <c r="AW116" s="96"/>
      <c r="AX116" s="96"/>
      <c r="AY116" s="104"/>
      <c r="AZ116" s="96"/>
      <c r="BA116" s="96"/>
      <c r="BB116" s="96"/>
      <c r="BC116" s="96"/>
      <c r="BD116" s="104"/>
      <c r="BE116" s="96"/>
      <c r="BF116" s="96"/>
      <c r="BG116" s="96"/>
      <c r="BH116" s="96"/>
      <c r="BI116" s="104"/>
      <c r="BJ116" s="693" t="s">
        <v>82</v>
      </c>
    </row>
    <row r="117" spans="1:62" ht="20.25" customHeight="1">
      <c r="A117" s="315">
        <v>120</v>
      </c>
      <c r="B117" s="215" t="s">
        <v>52</v>
      </c>
      <c r="C117" s="238" t="s">
        <v>770</v>
      </c>
      <c r="D117" s="280" t="s">
        <v>771</v>
      </c>
      <c r="E117" s="604" t="s">
        <v>772</v>
      </c>
      <c r="F117" s="241" t="s">
        <v>403</v>
      </c>
      <c r="G117" s="241" t="s">
        <v>399</v>
      </c>
      <c r="H117" s="630">
        <v>46055</v>
      </c>
      <c r="I117" s="313"/>
      <c r="J117" s="214">
        <f t="shared" si="7"/>
        <v>7</v>
      </c>
      <c r="K117" s="93"/>
      <c r="L117" s="103"/>
      <c r="M117" s="103"/>
      <c r="N117" s="314"/>
      <c r="O117" s="314" t="s">
        <v>81</v>
      </c>
      <c r="P117" s="312" t="s">
        <v>747</v>
      </c>
      <c r="Q117" s="313"/>
      <c r="R117" s="319"/>
      <c r="S117" s="319"/>
      <c r="T117" s="323"/>
      <c r="U117" s="200"/>
      <c r="V117" s="335"/>
      <c r="W117" s="99"/>
      <c r="X117" s="99"/>
      <c r="Y117" s="99"/>
      <c r="Z117" s="100"/>
      <c r="AA117" s="121"/>
      <c r="AB117" s="99"/>
      <c r="AC117" s="99"/>
      <c r="AD117" s="99"/>
      <c r="AE117" s="100"/>
      <c r="AF117" s="96"/>
      <c r="AG117" s="96"/>
      <c r="AH117" s="96"/>
      <c r="AI117" s="96"/>
      <c r="AJ117" s="104"/>
      <c r="AK117" s="96"/>
      <c r="AL117" s="96"/>
      <c r="AM117" s="96"/>
      <c r="AN117" s="96"/>
      <c r="AO117" s="104"/>
      <c r="AP117" s="96"/>
      <c r="AQ117" s="96"/>
      <c r="AR117" s="96"/>
      <c r="AS117" s="96"/>
      <c r="AT117" s="104"/>
      <c r="AU117" s="96"/>
      <c r="AV117" s="96"/>
      <c r="AW117" s="96"/>
      <c r="AX117" s="96"/>
      <c r="AY117" s="104"/>
      <c r="AZ117" s="96"/>
      <c r="BA117" s="96"/>
      <c r="BB117" s="96"/>
      <c r="BC117" s="96"/>
      <c r="BD117" s="104"/>
      <c r="BE117" s="96"/>
      <c r="BF117" s="96"/>
      <c r="BG117" s="96"/>
      <c r="BH117" s="96"/>
      <c r="BI117" s="104"/>
      <c r="BJ117" s="693" t="s">
        <v>82</v>
      </c>
    </row>
    <row r="118" spans="1:62" ht="20.25" customHeight="1">
      <c r="A118" s="315">
        <v>122</v>
      </c>
      <c r="B118" s="215" t="s">
        <v>52</v>
      </c>
      <c r="C118" s="238" t="s">
        <v>773</v>
      </c>
      <c r="D118" s="280" t="s">
        <v>774</v>
      </c>
      <c r="E118" s="604" t="s">
        <v>775</v>
      </c>
      <c r="F118" s="241" t="s">
        <v>751</v>
      </c>
      <c r="G118" s="241" t="s">
        <v>404</v>
      </c>
      <c r="H118" s="233">
        <v>46073</v>
      </c>
      <c r="I118" s="321"/>
      <c r="J118" s="214">
        <f t="shared" si="7"/>
        <v>7</v>
      </c>
      <c r="K118" s="332"/>
      <c r="L118" s="103"/>
      <c r="M118" s="103"/>
      <c r="N118" s="319"/>
      <c r="O118" s="314" t="s">
        <v>81</v>
      </c>
      <c r="P118" s="312"/>
      <c r="Q118" s="313"/>
      <c r="R118" s="319"/>
      <c r="S118" s="319"/>
      <c r="T118" s="323"/>
      <c r="U118" s="200"/>
      <c r="V118" s="335"/>
      <c r="W118" s="99"/>
      <c r="X118" s="99"/>
      <c r="Y118" s="99"/>
      <c r="Z118" s="100"/>
      <c r="AA118" s="121"/>
      <c r="AB118" s="99"/>
      <c r="AC118" s="99"/>
      <c r="AD118" s="99"/>
      <c r="AE118" s="100"/>
      <c r="AF118" s="96"/>
      <c r="AG118" s="96"/>
      <c r="AH118" s="96"/>
      <c r="AI118" s="96"/>
      <c r="AJ118" s="104"/>
      <c r="AK118" s="96"/>
      <c r="AL118" s="96"/>
      <c r="AM118" s="96"/>
      <c r="AN118" s="96"/>
      <c r="AO118" s="104"/>
      <c r="AP118" s="96"/>
      <c r="AQ118" s="96"/>
      <c r="AR118" s="96"/>
      <c r="AS118" s="96"/>
      <c r="AT118" s="104"/>
      <c r="AU118" s="96"/>
      <c r="AV118" s="96"/>
      <c r="AW118" s="96"/>
      <c r="AX118" s="96"/>
      <c r="AY118" s="104"/>
      <c r="AZ118" s="96"/>
      <c r="BA118" s="96"/>
      <c r="BB118" s="96"/>
      <c r="BC118" s="96"/>
      <c r="BD118" s="104"/>
      <c r="BE118" s="96"/>
      <c r="BF118" s="96"/>
      <c r="BG118" s="96"/>
      <c r="BH118" s="96"/>
      <c r="BI118" s="104"/>
      <c r="BJ118" s="693" t="s">
        <v>82</v>
      </c>
    </row>
    <row r="119" spans="1:62" ht="20.25" customHeight="1">
      <c r="A119" s="315">
        <v>123</v>
      </c>
      <c r="B119" s="215" t="s">
        <v>52</v>
      </c>
      <c r="C119" s="238" t="s">
        <v>776</v>
      </c>
      <c r="D119" s="280" t="s">
        <v>777</v>
      </c>
      <c r="E119" s="604" t="s">
        <v>778</v>
      </c>
      <c r="F119" s="241" t="s">
        <v>751</v>
      </c>
      <c r="G119" s="241" t="s">
        <v>404</v>
      </c>
      <c r="H119" s="233">
        <v>46073</v>
      </c>
      <c r="I119" s="313"/>
      <c r="J119" s="214">
        <f t="shared" si="7"/>
        <v>7</v>
      </c>
      <c r="K119" s="93"/>
      <c r="L119" s="103"/>
      <c r="M119" s="103"/>
      <c r="N119" s="314"/>
      <c r="O119" s="314" t="s">
        <v>81</v>
      </c>
      <c r="P119" s="312"/>
      <c r="Q119" s="313"/>
      <c r="R119" s="319"/>
      <c r="S119" s="319"/>
      <c r="T119" s="323"/>
      <c r="U119" s="200"/>
      <c r="V119" s="335"/>
      <c r="W119" s="99"/>
      <c r="X119" s="99"/>
      <c r="Y119" s="99"/>
      <c r="Z119" s="100"/>
      <c r="AA119" s="121"/>
      <c r="AB119" s="99"/>
      <c r="AC119" s="99"/>
      <c r="AD119" s="99"/>
      <c r="AE119" s="100"/>
      <c r="AF119" s="96"/>
      <c r="AG119" s="96"/>
      <c r="AH119" s="96"/>
      <c r="AI119" s="96"/>
      <c r="AJ119" s="104"/>
      <c r="AK119" s="96"/>
      <c r="AL119" s="96"/>
      <c r="AM119" s="96"/>
      <c r="AN119" s="96"/>
      <c r="AO119" s="104"/>
      <c r="AP119" s="96"/>
      <c r="AQ119" s="96"/>
      <c r="AR119" s="96"/>
      <c r="AS119" s="96"/>
      <c r="AT119" s="104"/>
      <c r="AU119" s="96"/>
      <c r="AV119" s="96"/>
      <c r="AW119" s="96"/>
      <c r="AX119" s="96"/>
      <c r="AY119" s="104"/>
      <c r="AZ119" s="96"/>
      <c r="BA119" s="96"/>
      <c r="BB119" s="96"/>
      <c r="BC119" s="96"/>
      <c r="BD119" s="104"/>
      <c r="BE119" s="96"/>
      <c r="BF119" s="96"/>
      <c r="BG119" s="96"/>
      <c r="BH119" s="96"/>
      <c r="BI119" s="104"/>
      <c r="BJ119" s="693" t="s">
        <v>82</v>
      </c>
    </row>
    <row r="120" spans="1:62" ht="20.25" customHeight="1">
      <c r="A120" s="315">
        <v>124</v>
      </c>
      <c r="B120" s="215" t="s">
        <v>52</v>
      </c>
      <c r="C120" s="330" t="s">
        <v>779</v>
      </c>
      <c r="D120" s="286" t="s">
        <v>780</v>
      </c>
      <c r="E120" s="604" t="s">
        <v>781</v>
      </c>
      <c r="F120" s="331" t="s">
        <v>782</v>
      </c>
      <c r="G120" s="331" t="s">
        <v>783</v>
      </c>
      <c r="H120" s="300">
        <v>46072</v>
      </c>
      <c r="I120" s="321"/>
      <c r="J120" s="214">
        <f t="shared" si="7"/>
        <v>7</v>
      </c>
      <c r="K120" s="332"/>
      <c r="L120" s="103"/>
      <c r="M120" s="103"/>
      <c r="N120" s="319"/>
      <c r="O120" s="314" t="s">
        <v>81</v>
      </c>
      <c r="P120" s="632" t="s">
        <v>784</v>
      </c>
      <c r="Q120" s="313"/>
      <c r="R120" s="319"/>
      <c r="S120" s="319"/>
      <c r="T120" s="323"/>
      <c r="U120" s="200"/>
      <c r="V120" s="335"/>
      <c r="W120" s="99"/>
      <c r="X120" s="99"/>
      <c r="Y120" s="99"/>
      <c r="Z120" s="100"/>
      <c r="AA120" s="121"/>
      <c r="AB120" s="99"/>
      <c r="AC120" s="99"/>
      <c r="AD120" s="99"/>
      <c r="AE120" s="100"/>
      <c r="AF120" s="96"/>
      <c r="AG120" s="96"/>
      <c r="AH120" s="96"/>
      <c r="AI120" s="96"/>
      <c r="AJ120" s="104"/>
      <c r="AK120" s="96"/>
      <c r="AL120" s="96"/>
      <c r="AM120" s="96"/>
      <c r="AN120" s="96"/>
      <c r="AO120" s="104"/>
      <c r="AP120" s="96"/>
      <c r="AQ120" s="96"/>
      <c r="AR120" s="96"/>
      <c r="AS120" s="96"/>
      <c r="AT120" s="104"/>
      <c r="AU120" s="96"/>
      <c r="AV120" s="96"/>
      <c r="AW120" s="96"/>
      <c r="AX120" s="96"/>
      <c r="AY120" s="104"/>
      <c r="AZ120" s="96"/>
      <c r="BA120" s="96"/>
      <c r="BB120" s="96"/>
      <c r="BC120" s="96"/>
      <c r="BD120" s="104"/>
      <c r="BE120" s="96"/>
      <c r="BF120" s="96"/>
      <c r="BG120" s="96"/>
      <c r="BH120" s="96"/>
      <c r="BI120" s="104"/>
      <c r="BJ120" s="693" t="s">
        <v>82</v>
      </c>
    </row>
    <row r="121" spans="1:62" ht="20.25" customHeight="1">
      <c r="A121" s="315">
        <v>125</v>
      </c>
      <c r="B121" s="215" t="s">
        <v>52</v>
      </c>
      <c r="C121" s="330" t="s">
        <v>785</v>
      </c>
      <c r="D121" s="286" t="s">
        <v>786</v>
      </c>
      <c r="E121" s="604" t="s">
        <v>787</v>
      </c>
      <c r="F121" s="331" t="s">
        <v>782</v>
      </c>
      <c r="G121" s="331" t="s">
        <v>783</v>
      </c>
      <c r="H121" s="300">
        <v>46072</v>
      </c>
      <c r="I121" s="313"/>
      <c r="J121" s="214">
        <f t="shared" si="7"/>
        <v>7</v>
      </c>
      <c r="K121" s="93"/>
      <c r="L121" s="103"/>
      <c r="M121" s="103"/>
      <c r="N121" s="314"/>
      <c r="O121" s="314" t="s">
        <v>81</v>
      </c>
      <c r="P121" s="632" t="s">
        <v>784</v>
      </c>
      <c r="Q121" s="313"/>
      <c r="R121" s="319"/>
      <c r="S121" s="319"/>
      <c r="T121" s="323"/>
      <c r="U121" s="230"/>
      <c r="V121" s="335"/>
      <c r="W121" s="99"/>
      <c r="X121" s="99"/>
      <c r="Y121" s="99"/>
      <c r="Z121" s="100"/>
      <c r="AA121" s="121"/>
      <c r="AB121" s="99"/>
      <c r="AC121" s="99"/>
      <c r="AD121" s="99"/>
      <c r="AE121" s="100"/>
      <c r="AF121" s="96"/>
      <c r="AG121" s="96"/>
      <c r="AH121" s="96"/>
      <c r="AI121" s="96"/>
      <c r="AJ121" s="104"/>
      <c r="AK121" s="96"/>
      <c r="AL121" s="96"/>
      <c r="AM121" s="96"/>
      <c r="AN121" s="96"/>
      <c r="AO121" s="104"/>
      <c r="AP121" s="96"/>
      <c r="AQ121" s="96"/>
      <c r="AR121" s="96"/>
      <c r="AS121" s="96"/>
      <c r="AT121" s="104"/>
      <c r="AU121" s="96"/>
      <c r="AV121" s="96"/>
      <c r="AW121" s="96"/>
      <c r="AX121" s="96"/>
      <c r="AY121" s="104"/>
      <c r="AZ121" s="96"/>
      <c r="BA121" s="96"/>
      <c r="BB121" s="96"/>
      <c r="BC121" s="96"/>
      <c r="BD121" s="104"/>
      <c r="BE121" s="96"/>
      <c r="BF121" s="96"/>
      <c r="BG121" s="96"/>
      <c r="BH121" s="96"/>
      <c r="BI121" s="104"/>
      <c r="BJ121" s="693" t="s">
        <v>82</v>
      </c>
    </row>
    <row r="122" spans="1:62" ht="20.25" customHeight="1">
      <c r="A122" s="315">
        <v>126</v>
      </c>
      <c r="B122" s="215" t="s">
        <v>52</v>
      </c>
      <c r="C122" s="330" t="s">
        <v>788</v>
      </c>
      <c r="D122" s="286" t="s">
        <v>789</v>
      </c>
      <c r="E122" s="604" t="s">
        <v>790</v>
      </c>
      <c r="F122" s="331" t="s">
        <v>782</v>
      </c>
      <c r="G122" s="331" t="s">
        <v>783</v>
      </c>
      <c r="H122" s="300">
        <v>46072</v>
      </c>
      <c r="I122" s="319"/>
      <c r="J122" s="214">
        <f t="shared" si="7"/>
        <v>7</v>
      </c>
      <c r="K122" s="104"/>
      <c r="L122" s="103"/>
      <c r="M122" s="103"/>
      <c r="N122" s="319"/>
      <c r="O122" s="314" t="s">
        <v>81</v>
      </c>
      <c r="P122" s="632" t="s">
        <v>784</v>
      </c>
      <c r="Q122" s="319"/>
      <c r="R122" s="319"/>
      <c r="S122" s="319"/>
      <c r="T122" s="319"/>
      <c r="U122" s="230"/>
      <c r="V122" s="99"/>
      <c r="W122" s="99"/>
      <c r="X122" s="99"/>
      <c r="Y122" s="99"/>
      <c r="Z122" s="100"/>
      <c r="AA122" s="121"/>
      <c r="AB122" s="99"/>
      <c r="AC122" s="99"/>
      <c r="AD122" s="99"/>
      <c r="AE122" s="100"/>
      <c r="AF122" s="96"/>
      <c r="AG122" s="96"/>
      <c r="AH122" s="96"/>
      <c r="AI122" s="96"/>
      <c r="AJ122" s="104"/>
      <c r="AK122" s="96"/>
      <c r="AL122" s="96"/>
      <c r="AM122" s="96"/>
      <c r="AN122" s="96"/>
      <c r="AO122" s="104"/>
      <c r="AP122" s="96"/>
      <c r="AQ122" s="96"/>
      <c r="AR122" s="96"/>
      <c r="AS122" s="96"/>
      <c r="AT122" s="104"/>
      <c r="AU122" s="96"/>
      <c r="AV122" s="96"/>
      <c r="AW122" s="96"/>
      <c r="AX122" s="96"/>
      <c r="AY122" s="104"/>
      <c r="AZ122" s="96"/>
      <c r="BA122" s="96"/>
      <c r="BB122" s="96"/>
      <c r="BC122" s="96"/>
      <c r="BD122" s="104"/>
      <c r="BE122" s="96"/>
      <c r="BF122" s="96"/>
      <c r="BG122" s="96"/>
      <c r="BH122" s="96"/>
      <c r="BI122" s="104"/>
      <c r="BJ122" s="693" t="s">
        <v>82</v>
      </c>
    </row>
    <row r="123" spans="1:62" ht="20.25" customHeight="1">
      <c r="A123" s="315">
        <v>127</v>
      </c>
      <c r="B123" s="215" t="s">
        <v>52</v>
      </c>
      <c r="C123" s="330" t="s">
        <v>791</v>
      </c>
      <c r="D123" s="286" t="s">
        <v>792</v>
      </c>
      <c r="E123" s="604" t="s">
        <v>793</v>
      </c>
      <c r="F123" s="331" t="s">
        <v>782</v>
      </c>
      <c r="G123" s="331" t="s">
        <v>783</v>
      </c>
      <c r="H123" s="300"/>
      <c r="I123" s="319"/>
      <c r="J123" s="214">
        <f t="shared" si="7"/>
        <v>7</v>
      </c>
      <c r="K123" s="104"/>
      <c r="L123" s="103"/>
      <c r="M123" s="103"/>
      <c r="N123" s="319"/>
      <c r="O123" s="314" t="s">
        <v>81</v>
      </c>
      <c r="P123" s="632" t="s">
        <v>784</v>
      </c>
      <c r="Q123" s="319"/>
      <c r="R123" s="319"/>
      <c r="S123" s="319"/>
      <c r="T123" s="319"/>
      <c r="U123" s="230"/>
      <c r="V123" s="99"/>
      <c r="W123" s="99"/>
      <c r="X123" s="99"/>
      <c r="Y123" s="99"/>
      <c r="Z123" s="100"/>
      <c r="AA123" s="121"/>
      <c r="AB123" s="99"/>
      <c r="AC123" s="99"/>
      <c r="AD123" s="99"/>
      <c r="AE123" s="100"/>
      <c r="AF123" s="96"/>
      <c r="AG123" s="96"/>
      <c r="AH123" s="96"/>
      <c r="AI123" s="96"/>
      <c r="AJ123" s="104"/>
      <c r="AK123" s="96"/>
      <c r="AL123" s="96"/>
      <c r="AM123" s="96"/>
      <c r="AN123" s="96"/>
      <c r="AO123" s="104"/>
      <c r="AP123" s="96"/>
      <c r="AQ123" s="96"/>
      <c r="AR123" s="96"/>
      <c r="AS123" s="96"/>
      <c r="AT123" s="104"/>
      <c r="AU123" s="96"/>
      <c r="AV123" s="96"/>
      <c r="AW123" s="96"/>
      <c r="AX123" s="96"/>
      <c r="AY123" s="104"/>
      <c r="AZ123" s="96"/>
      <c r="BA123" s="96"/>
      <c r="BB123" s="96"/>
      <c r="BC123" s="96"/>
      <c r="BD123" s="104"/>
      <c r="BE123" s="96"/>
      <c r="BF123" s="96"/>
      <c r="BG123" s="96"/>
      <c r="BH123" s="96"/>
      <c r="BI123" s="104"/>
      <c r="BJ123" s="693" t="s">
        <v>82</v>
      </c>
    </row>
    <row r="124" spans="1:62" ht="20.25" customHeight="1">
      <c r="A124" s="315">
        <v>128</v>
      </c>
      <c r="B124" s="215" t="s">
        <v>52</v>
      </c>
      <c r="C124" s="330" t="s">
        <v>794</v>
      </c>
      <c r="D124" s="286" t="s">
        <v>795</v>
      </c>
      <c r="E124" s="604" t="s">
        <v>796</v>
      </c>
      <c r="F124" s="331" t="s">
        <v>782</v>
      </c>
      <c r="G124" s="331" t="s">
        <v>783</v>
      </c>
      <c r="H124" s="300"/>
      <c r="I124" s="319"/>
      <c r="J124" s="214">
        <f t="shared" si="7"/>
        <v>7</v>
      </c>
      <c r="K124" s="104"/>
      <c r="L124" s="103"/>
      <c r="M124" s="103"/>
      <c r="N124" s="99"/>
      <c r="O124" s="314" t="s">
        <v>81</v>
      </c>
      <c r="P124" s="632" t="s">
        <v>784</v>
      </c>
      <c r="Q124" s="319"/>
      <c r="R124" s="319"/>
      <c r="S124" s="99"/>
      <c r="T124" s="337"/>
      <c r="U124" s="210"/>
      <c r="V124" s="99"/>
      <c r="W124" s="99"/>
      <c r="X124" s="99"/>
      <c r="Y124" s="99"/>
      <c r="Z124" s="100"/>
      <c r="AA124" s="121"/>
      <c r="AB124" s="99"/>
      <c r="AC124" s="99"/>
      <c r="AD124" s="99"/>
      <c r="AE124" s="100"/>
      <c r="AF124" s="96"/>
      <c r="AG124" s="96"/>
      <c r="AH124" s="96"/>
      <c r="AI124" s="96"/>
      <c r="AJ124" s="104"/>
      <c r="AK124" s="96"/>
      <c r="AL124" s="96"/>
      <c r="AM124" s="96"/>
      <c r="AN124" s="96"/>
      <c r="AO124" s="104"/>
      <c r="AP124" s="96"/>
      <c r="AQ124" s="96"/>
      <c r="AR124" s="96"/>
      <c r="AS124" s="96"/>
      <c r="AT124" s="104"/>
      <c r="AU124" s="96"/>
      <c r="AV124" s="96"/>
      <c r="AW124" s="96"/>
      <c r="AX124" s="96"/>
      <c r="AY124" s="104"/>
      <c r="AZ124" s="96"/>
      <c r="BA124" s="96"/>
      <c r="BB124" s="96"/>
      <c r="BC124" s="96"/>
      <c r="BD124" s="104"/>
      <c r="BE124" s="96"/>
      <c r="BF124" s="96"/>
      <c r="BG124" s="96"/>
      <c r="BH124" s="96"/>
      <c r="BI124" s="104"/>
      <c r="BJ124" s="693" t="s">
        <v>82</v>
      </c>
    </row>
    <row r="125" spans="1:62" ht="20.25" customHeight="1">
      <c r="A125" s="315"/>
      <c r="B125" s="215"/>
      <c r="C125" s="330"/>
      <c r="D125" s="286"/>
      <c r="E125" s="604"/>
      <c r="F125" s="331"/>
      <c r="G125" s="331"/>
      <c r="H125" s="300"/>
      <c r="I125" s="319"/>
      <c r="J125" s="214"/>
      <c r="K125" s="104"/>
      <c r="L125" s="103"/>
      <c r="M125" s="103"/>
      <c r="N125" s="99"/>
      <c r="O125" s="314"/>
      <c r="P125" s="632"/>
      <c r="Q125" s="319"/>
      <c r="R125" s="319"/>
      <c r="S125" s="99"/>
      <c r="T125" s="337"/>
      <c r="U125" s="210"/>
      <c r="V125" s="99"/>
      <c r="W125" s="99"/>
      <c r="X125" s="99"/>
      <c r="Y125" s="99"/>
      <c r="Z125" s="100"/>
      <c r="AA125" s="121"/>
      <c r="AB125" s="99"/>
      <c r="AC125" s="99"/>
      <c r="AD125" s="99"/>
      <c r="AE125" s="100"/>
      <c r="AF125" s="96"/>
      <c r="AG125" s="96"/>
      <c r="AH125" s="96"/>
      <c r="AI125" s="96"/>
      <c r="AJ125" s="104"/>
      <c r="AK125" s="96"/>
      <c r="AL125" s="96"/>
      <c r="AM125" s="96"/>
      <c r="AN125" s="96"/>
      <c r="AO125" s="104"/>
      <c r="AP125" s="96"/>
      <c r="AQ125" s="96"/>
      <c r="AR125" s="96"/>
      <c r="AS125" s="96"/>
      <c r="AT125" s="104"/>
      <c r="AU125" s="96"/>
      <c r="AV125" s="96"/>
      <c r="AW125" s="96"/>
      <c r="AX125" s="96"/>
      <c r="AY125" s="104"/>
      <c r="AZ125" s="96"/>
      <c r="BA125" s="96"/>
      <c r="BB125" s="96"/>
      <c r="BC125" s="96"/>
      <c r="BD125" s="104"/>
      <c r="BE125" s="96"/>
      <c r="BF125" s="96"/>
      <c r="BG125" s="96"/>
      <c r="BH125" s="96"/>
      <c r="BI125" s="104"/>
      <c r="BJ125" s="693"/>
    </row>
    <row r="126" spans="1:62" ht="20.25" customHeight="1">
      <c r="A126" s="315">
        <v>129</v>
      </c>
      <c r="B126" s="215" t="s">
        <v>52</v>
      </c>
      <c r="C126" s="330" t="s">
        <v>797</v>
      </c>
      <c r="D126" s="286" t="s">
        <v>798</v>
      </c>
      <c r="E126" s="604" t="s">
        <v>799</v>
      </c>
      <c r="F126" s="331" t="s">
        <v>782</v>
      </c>
      <c r="G126" s="331" t="s">
        <v>783</v>
      </c>
      <c r="H126" s="300"/>
      <c r="I126" s="319"/>
      <c r="J126" s="214">
        <f t="shared" si="7"/>
        <v>7</v>
      </c>
      <c r="K126" s="104"/>
      <c r="L126" s="103"/>
      <c r="M126" s="103"/>
      <c r="N126" s="99"/>
      <c r="O126" s="314" t="s">
        <v>81</v>
      </c>
      <c r="P126" s="632" t="s">
        <v>784</v>
      </c>
      <c r="Q126" s="319"/>
      <c r="R126" s="319"/>
      <c r="S126" s="99"/>
      <c r="T126" s="337"/>
      <c r="U126" s="103"/>
      <c r="V126" s="99"/>
      <c r="W126" s="99"/>
      <c r="X126" s="99"/>
      <c r="Y126" s="99"/>
      <c r="Z126" s="100"/>
      <c r="AA126" s="121"/>
      <c r="AB126" s="99"/>
      <c r="AC126" s="99"/>
      <c r="AD126" s="99"/>
      <c r="AE126" s="100"/>
      <c r="AF126" s="96"/>
      <c r="AG126" s="96"/>
      <c r="AH126" s="96"/>
      <c r="AI126" s="96"/>
      <c r="AJ126" s="104"/>
      <c r="AK126" s="96"/>
      <c r="AL126" s="96"/>
      <c r="AM126" s="96"/>
      <c r="AN126" s="96"/>
      <c r="AO126" s="104"/>
      <c r="AP126" s="96"/>
      <c r="AQ126" s="96"/>
      <c r="AR126" s="96"/>
      <c r="AS126" s="96"/>
      <c r="AT126" s="104"/>
      <c r="AU126" s="96"/>
      <c r="AV126" s="96"/>
      <c r="AW126" s="96"/>
      <c r="AX126" s="96"/>
      <c r="AY126" s="104"/>
      <c r="AZ126" s="96"/>
      <c r="BA126" s="96"/>
      <c r="BB126" s="96"/>
      <c r="BC126" s="96"/>
      <c r="BD126" s="104"/>
      <c r="BE126" s="96"/>
      <c r="BF126" s="96"/>
      <c r="BG126" s="96"/>
      <c r="BH126" s="96"/>
      <c r="BI126" s="104"/>
      <c r="BJ126" s="693" t="s">
        <v>82</v>
      </c>
    </row>
    <row r="127" spans="1:62" ht="20.25" customHeight="1">
      <c r="A127" s="315">
        <v>130</v>
      </c>
      <c r="B127" s="215" t="s">
        <v>52</v>
      </c>
      <c r="C127" s="330" t="s">
        <v>800</v>
      </c>
      <c r="D127" s="286" t="s">
        <v>801</v>
      </c>
      <c r="E127" s="604" t="s">
        <v>802</v>
      </c>
      <c r="F127" s="331" t="s">
        <v>782</v>
      </c>
      <c r="G127" s="331" t="s">
        <v>783</v>
      </c>
      <c r="H127" s="300"/>
      <c r="I127" s="319"/>
      <c r="J127" s="214">
        <f t="shared" ref="J127:J189" si="8">I127+7</f>
        <v>7</v>
      </c>
      <c r="K127" s="104"/>
      <c r="L127" s="103"/>
      <c r="M127" s="103"/>
      <c r="N127" s="99"/>
      <c r="O127" s="314" t="s">
        <v>81</v>
      </c>
      <c r="P127" s="632" t="s">
        <v>784</v>
      </c>
      <c r="Q127" s="319"/>
      <c r="R127" s="319"/>
      <c r="S127" s="99"/>
      <c r="T127" s="337"/>
      <c r="U127" s="103"/>
      <c r="V127" s="99"/>
      <c r="W127" s="99"/>
      <c r="X127" s="99"/>
      <c r="Y127" s="99"/>
      <c r="Z127" s="100"/>
      <c r="AA127" s="121"/>
      <c r="AB127" s="99"/>
      <c r="AC127" s="99"/>
      <c r="AD127" s="99"/>
      <c r="AE127" s="100"/>
      <c r="AF127" s="96"/>
      <c r="AG127" s="96"/>
      <c r="AH127" s="96"/>
      <c r="AI127" s="96"/>
      <c r="AJ127" s="104"/>
      <c r="AK127" s="96"/>
      <c r="AL127" s="96"/>
      <c r="AM127" s="96"/>
      <c r="AN127" s="96"/>
      <c r="AO127" s="104"/>
      <c r="AP127" s="96"/>
      <c r="AQ127" s="96"/>
      <c r="AR127" s="96"/>
      <c r="AS127" s="96"/>
      <c r="AT127" s="104"/>
      <c r="AU127" s="96"/>
      <c r="AV127" s="96"/>
      <c r="AW127" s="96"/>
      <c r="AX127" s="96"/>
      <c r="AY127" s="104"/>
      <c r="AZ127" s="96"/>
      <c r="BA127" s="96"/>
      <c r="BB127" s="96"/>
      <c r="BC127" s="96"/>
      <c r="BD127" s="104"/>
      <c r="BE127" s="96"/>
      <c r="BF127" s="96"/>
      <c r="BG127" s="96"/>
      <c r="BH127" s="96"/>
      <c r="BI127" s="104"/>
      <c r="BJ127" s="693" t="s">
        <v>82</v>
      </c>
    </row>
    <row r="128" spans="1:62" ht="20.25" customHeight="1">
      <c r="A128" s="315">
        <v>131</v>
      </c>
      <c r="B128" s="215" t="s">
        <v>52</v>
      </c>
      <c r="C128" s="238" t="s">
        <v>803</v>
      </c>
      <c r="D128" s="280" t="s">
        <v>804</v>
      </c>
      <c r="E128" s="604" t="s">
        <v>805</v>
      </c>
      <c r="F128" s="241" t="s">
        <v>751</v>
      </c>
      <c r="G128" s="241" t="s">
        <v>404</v>
      </c>
      <c r="H128" s="233">
        <v>46077</v>
      </c>
      <c r="I128" s="319"/>
      <c r="J128" s="214">
        <f t="shared" si="8"/>
        <v>7</v>
      </c>
      <c r="K128" s="104"/>
      <c r="L128" s="103"/>
      <c r="M128" s="103"/>
      <c r="N128" s="99"/>
      <c r="O128" s="314" t="s">
        <v>81</v>
      </c>
      <c r="P128" s="320"/>
      <c r="Q128" s="319"/>
      <c r="R128" s="319"/>
      <c r="S128" s="99"/>
      <c r="T128" s="337"/>
      <c r="U128" s="103"/>
      <c r="V128" s="99"/>
      <c r="W128" s="99"/>
      <c r="X128" s="99"/>
      <c r="Y128" s="99"/>
      <c r="Z128" s="100"/>
      <c r="AA128" s="121"/>
      <c r="AB128" s="99"/>
      <c r="AC128" s="99"/>
      <c r="AD128" s="99"/>
      <c r="AE128" s="100"/>
      <c r="AF128" s="96"/>
      <c r="AG128" s="96"/>
      <c r="AH128" s="96"/>
      <c r="AI128" s="96"/>
      <c r="AJ128" s="104"/>
      <c r="AK128" s="96"/>
      <c r="AL128" s="96"/>
      <c r="AM128" s="96"/>
      <c r="AN128" s="96"/>
      <c r="AO128" s="104"/>
      <c r="AP128" s="96"/>
      <c r="AQ128" s="96"/>
      <c r="AR128" s="96"/>
      <c r="AS128" s="96"/>
      <c r="AT128" s="104"/>
      <c r="AU128" s="96"/>
      <c r="AV128" s="96"/>
      <c r="AW128" s="96"/>
      <c r="AX128" s="96"/>
      <c r="AY128" s="104"/>
      <c r="AZ128" s="96"/>
      <c r="BA128" s="96"/>
      <c r="BB128" s="96"/>
      <c r="BC128" s="96"/>
      <c r="BD128" s="104"/>
      <c r="BE128" s="96"/>
      <c r="BF128" s="96"/>
      <c r="BG128" s="96"/>
      <c r="BH128" s="96"/>
      <c r="BI128" s="104"/>
      <c r="BJ128" s="693" t="s">
        <v>82</v>
      </c>
    </row>
    <row r="129" spans="1:62" ht="20.25" customHeight="1">
      <c r="A129" s="315">
        <v>132</v>
      </c>
      <c r="B129" s="215" t="s">
        <v>52</v>
      </c>
      <c r="C129" s="238" t="s">
        <v>806</v>
      </c>
      <c r="D129" s="280" t="s">
        <v>807</v>
      </c>
      <c r="E129" s="604" t="s">
        <v>808</v>
      </c>
      <c r="F129" s="241" t="s">
        <v>751</v>
      </c>
      <c r="G129" s="241" t="s">
        <v>404</v>
      </c>
      <c r="H129" s="233">
        <v>46077</v>
      </c>
      <c r="I129" s="321"/>
      <c r="J129" s="214">
        <f t="shared" si="8"/>
        <v>7</v>
      </c>
      <c r="K129" s="332"/>
      <c r="L129" s="103"/>
      <c r="M129" s="103"/>
      <c r="N129" s="319"/>
      <c r="O129" s="314" t="s">
        <v>81</v>
      </c>
      <c r="P129" s="320"/>
      <c r="Q129" s="319"/>
      <c r="R129" s="319"/>
      <c r="S129" s="319"/>
      <c r="T129" s="319"/>
      <c r="U129" s="103"/>
      <c r="V129" s="99"/>
      <c r="W129" s="99"/>
      <c r="X129" s="99"/>
      <c r="Y129" s="99"/>
      <c r="Z129" s="100"/>
      <c r="AA129" s="121"/>
      <c r="AB129" s="99"/>
      <c r="AC129" s="99"/>
      <c r="AD129" s="99"/>
      <c r="AE129" s="100"/>
      <c r="AF129" s="96"/>
      <c r="AG129" s="96"/>
      <c r="AH129" s="96"/>
      <c r="AI129" s="96"/>
      <c r="AJ129" s="104"/>
      <c r="AK129" s="96"/>
      <c r="AL129" s="96"/>
      <c r="AM129" s="96"/>
      <c r="AN129" s="96"/>
      <c r="AO129" s="104"/>
      <c r="AP129" s="96"/>
      <c r="AQ129" s="96"/>
      <c r="AR129" s="96"/>
      <c r="AS129" s="96"/>
      <c r="AT129" s="104"/>
      <c r="AU129" s="96"/>
      <c r="AV129" s="96"/>
      <c r="AW129" s="96"/>
      <c r="AX129" s="96"/>
      <c r="AY129" s="104"/>
      <c r="AZ129" s="96"/>
      <c r="BA129" s="96"/>
      <c r="BB129" s="96"/>
      <c r="BC129" s="96"/>
      <c r="BD129" s="104"/>
      <c r="BE129" s="96"/>
      <c r="BF129" s="96"/>
      <c r="BG129" s="96"/>
      <c r="BH129" s="96"/>
      <c r="BI129" s="104"/>
      <c r="BJ129" s="693" t="s">
        <v>82</v>
      </c>
    </row>
    <row r="130" spans="1:62" ht="20.25" customHeight="1">
      <c r="A130" s="315">
        <v>133</v>
      </c>
      <c r="B130" s="215" t="s">
        <v>52</v>
      </c>
      <c r="C130" s="238" t="s">
        <v>809</v>
      </c>
      <c r="D130" s="280" t="s">
        <v>810</v>
      </c>
      <c r="E130" s="604" t="s">
        <v>811</v>
      </c>
      <c r="F130" s="241" t="s">
        <v>751</v>
      </c>
      <c r="G130" s="241" t="s">
        <v>404</v>
      </c>
      <c r="H130" s="233">
        <v>46077</v>
      </c>
      <c r="I130" s="321"/>
      <c r="J130" s="214">
        <f t="shared" si="8"/>
        <v>7</v>
      </c>
      <c r="K130" s="332"/>
      <c r="L130" s="103"/>
      <c r="M130" s="103"/>
      <c r="N130" s="319"/>
      <c r="O130" s="314" t="s">
        <v>81</v>
      </c>
      <c r="P130" s="320"/>
      <c r="Q130" s="319"/>
      <c r="R130" s="319"/>
      <c r="S130" s="319"/>
      <c r="T130" s="319"/>
      <c r="U130" s="103"/>
      <c r="V130" s="99"/>
      <c r="W130" s="99"/>
      <c r="X130" s="99"/>
      <c r="Y130" s="99"/>
      <c r="Z130" s="100"/>
      <c r="AA130" s="121"/>
      <c r="AB130" s="99"/>
      <c r="AC130" s="99"/>
      <c r="AD130" s="99"/>
      <c r="AE130" s="100"/>
      <c r="AF130" s="96"/>
      <c r="AG130" s="96"/>
      <c r="AH130" s="96"/>
      <c r="AI130" s="96"/>
      <c r="AJ130" s="104"/>
      <c r="AK130" s="96"/>
      <c r="AL130" s="96"/>
      <c r="AM130" s="96"/>
      <c r="AN130" s="96"/>
      <c r="AO130" s="104"/>
      <c r="AP130" s="96"/>
      <c r="AQ130" s="96"/>
      <c r="AR130" s="96"/>
      <c r="AS130" s="96"/>
      <c r="AT130" s="104"/>
      <c r="AU130" s="96"/>
      <c r="AV130" s="96"/>
      <c r="AW130" s="96"/>
      <c r="AX130" s="96"/>
      <c r="AY130" s="104"/>
      <c r="AZ130" s="96"/>
      <c r="BA130" s="96"/>
      <c r="BB130" s="96"/>
      <c r="BC130" s="96"/>
      <c r="BD130" s="104"/>
      <c r="BE130" s="96"/>
      <c r="BF130" s="96"/>
      <c r="BG130" s="96"/>
      <c r="BH130" s="96"/>
      <c r="BI130" s="104"/>
      <c r="BJ130" s="693" t="s">
        <v>82</v>
      </c>
    </row>
    <row r="131" spans="1:62" ht="20.25" customHeight="1">
      <c r="A131" s="315">
        <v>134</v>
      </c>
      <c r="B131" s="215" t="s">
        <v>52</v>
      </c>
      <c r="C131" s="238" t="s">
        <v>812</v>
      </c>
      <c r="D131" s="280" t="s">
        <v>813</v>
      </c>
      <c r="E131" s="604" t="s">
        <v>814</v>
      </c>
      <c r="F131" s="241" t="s">
        <v>403</v>
      </c>
      <c r="G131" s="241" t="s">
        <v>404</v>
      </c>
      <c r="H131" s="630">
        <v>46058</v>
      </c>
      <c r="I131" s="319"/>
      <c r="J131" s="214">
        <f t="shared" si="8"/>
        <v>7</v>
      </c>
      <c r="K131" s="104"/>
      <c r="L131" s="103"/>
      <c r="M131" s="103"/>
      <c r="N131" s="319"/>
      <c r="O131" s="314" t="s">
        <v>81</v>
      </c>
      <c r="P131" s="320"/>
      <c r="Q131" s="319"/>
      <c r="R131" s="319"/>
      <c r="S131" s="319"/>
      <c r="T131" s="319"/>
      <c r="U131" s="103"/>
      <c r="V131" s="99"/>
      <c r="W131" s="99"/>
      <c r="X131" s="99"/>
      <c r="Y131" s="99"/>
      <c r="Z131" s="100"/>
      <c r="AA131" s="121"/>
      <c r="AB131" s="99"/>
      <c r="AC131" s="99"/>
      <c r="AD131" s="99"/>
      <c r="AE131" s="100"/>
      <c r="AF131" s="96"/>
      <c r="AG131" s="96"/>
      <c r="AH131" s="96"/>
      <c r="AI131" s="96"/>
      <c r="AJ131" s="104"/>
      <c r="AK131" s="96"/>
      <c r="AL131" s="96"/>
      <c r="AM131" s="96"/>
      <c r="AN131" s="96"/>
      <c r="AO131" s="104"/>
      <c r="AP131" s="96"/>
      <c r="AQ131" s="96"/>
      <c r="AR131" s="96"/>
      <c r="AS131" s="96"/>
      <c r="AT131" s="104"/>
      <c r="AU131" s="96"/>
      <c r="AV131" s="96"/>
      <c r="AW131" s="96"/>
      <c r="AX131" s="96"/>
      <c r="AY131" s="104"/>
      <c r="AZ131" s="96"/>
      <c r="BA131" s="96"/>
      <c r="BB131" s="96"/>
      <c r="BC131" s="96"/>
      <c r="BD131" s="104"/>
      <c r="BE131" s="96"/>
      <c r="BF131" s="96"/>
      <c r="BG131" s="96"/>
      <c r="BH131" s="96"/>
      <c r="BI131" s="104"/>
      <c r="BJ131" s="693" t="s">
        <v>82</v>
      </c>
    </row>
    <row r="132" spans="1:62" ht="20.25" customHeight="1">
      <c r="A132" s="315">
        <v>136</v>
      </c>
      <c r="B132" s="215" t="s">
        <v>52</v>
      </c>
      <c r="C132" s="238" t="s">
        <v>815</v>
      </c>
      <c r="D132" s="280" t="s">
        <v>816</v>
      </c>
      <c r="E132" s="604" t="s">
        <v>817</v>
      </c>
      <c r="F132" s="241" t="s">
        <v>751</v>
      </c>
      <c r="G132" s="241" t="s">
        <v>752</v>
      </c>
      <c r="H132" s="233">
        <v>46065</v>
      </c>
      <c r="I132" s="319"/>
      <c r="J132" s="214">
        <f t="shared" si="8"/>
        <v>7</v>
      </c>
      <c r="K132" s="104"/>
      <c r="L132" s="103"/>
      <c r="M132" s="103"/>
      <c r="N132" s="319"/>
      <c r="O132" s="314" t="s">
        <v>81</v>
      </c>
      <c r="P132" s="320"/>
      <c r="Q132" s="319"/>
      <c r="R132" s="319"/>
      <c r="S132" s="319"/>
      <c r="T132" s="319"/>
      <c r="U132" s="103"/>
      <c r="V132" s="99"/>
      <c r="W132" s="99"/>
      <c r="X132" s="99"/>
      <c r="Y132" s="99"/>
      <c r="Z132" s="100"/>
      <c r="AA132" s="121"/>
      <c r="AB132" s="99"/>
      <c r="AC132" s="99"/>
      <c r="AD132" s="99"/>
      <c r="AE132" s="100"/>
      <c r="AF132" s="96"/>
      <c r="AG132" s="96"/>
      <c r="AH132" s="96"/>
      <c r="AI132" s="96"/>
      <c r="AJ132" s="104"/>
      <c r="AK132" s="96"/>
      <c r="AL132" s="96"/>
      <c r="AM132" s="96"/>
      <c r="AN132" s="96"/>
      <c r="AO132" s="104"/>
      <c r="AP132" s="96"/>
      <c r="AQ132" s="96"/>
      <c r="AR132" s="96"/>
      <c r="AS132" s="96"/>
      <c r="AT132" s="104"/>
      <c r="AU132" s="96"/>
      <c r="AV132" s="96"/>
      <c r="AW132" s="96"/>
      <c r="AX132" s="96"/>
      <c r="AY132" s="104"/>
      <c r="AZ132" s="96"/>
      <c r="BA132" s="96"/>
      <c r="BB132" s="96"/>
      <c r="BC132" s="96"/>
      <c r="BD132" s="104"/>
      <c r="BE132" s="96"/>
      <c r="BF132" s="96"/>
      <c r="BG132" s="96"/>
      <c r="BH132" s="96"/>
      <c r="BI132" s="104"/>
      <c r="BJ132" s="693" t="s">
        <v>253</v>
      </c>
    </row>
    <row r="133" spans="1:62" ht="20.25" customHeight="1">
      <c r="A133" s="315">
        <v>138</v>
      </c>
      <c r="B133" s="215" t="s">
        <v>52</v>
      </c>
      <c r="C133" s="238" t="s">
        <v>818</v>
      </c>
      <c r="D133" s="280" t="s">
        <v>819</v>
      </c>
      <c r="E133" s="604" t="s">
        <v>820</v>
      </c>
      <c r="F133" s="241" t="s">
        <v>751</v>
      </c>
      <c r="G133" s="241" t="s">
        <v>768</v>
      </c>
      <c r="H133" s="233">
        <v>46065</v>
      </c>
      <c r="I133" s="319"/>
      <c r="J133" s="214">
        <f t="shared" si="8"/>
        <v>7</v>
      </c>
      <c r="K133" s="104"/>
      <c r="L133" s="103"/>
      <c r="M133" s="103"/>
      <c r="N133" s="319"/>
      <c r="O133" s="314" t="s">
        <v>81</v>
      </c>
      <c r="P133" s="632" t="s">
        <v>769</v>
      </c>
      <c r="Q133" s="319"/>
      <c r="R133" s="319"/>
      <c r="S133" s="319"/>
      <c r="T133" s="319"/>
      <c r="U133" s="103"/>
      <c r="V133" s="99"/>
      <c r="W133" s="99"/>
      <c r="X133" s="99"/>
      <c r="Y133" s="319"/>
      <c r="Z133" s="100"/>
      <c r="AA133" s="121"/>
      <c r="AB133" s="99"/>
      <c r="AC133" s="99"/>
      <c r="AD133" s="99"/>
      <c r="AE133" s="100"/>
      <c r="AF133" s="96"/>
      <c r="AG133" s="96"/>
      <c r="AH133" s="96"/>
      <c r="AI133" s="96"/>
      <c r="AJ133" s="104"/>
      <c r="AK133" s="96"/>
      <c r="AL133" s="96"/>
      <c r="AM133" s="96"/>
      <c r="AN133" s="96"/>
      <c r="AO133" s="104"/>
      <c r="AP133" s="96"/>
      <c r="AQ133" s="96"/>
      <c r="AR133" s="96"/>
      <c r="AS133" s="96"/>
      <c r="AT133" s="104"/>
      <c r="AU133" s="96"/>
      <c r="AV133" s="96"/>
      <c r="AW133" s="96"/>
      <c r="AX133" s="96"/>
      <c r="AY133" s="104"/>
      <c r="AZ133" s="96"/>
      <c r="BA133" s="96"/>
      <c r="BB133" s="96"/>
      <c r="BC133" s="96"/>
      <c r="BD133" s="104"/>
      <c r="BE133" s="96"/>
      <c r="BF133" s="96"/>
      <c r="BG133" s="96"/>
      <c r="BH133" s="96"/>
      <c r="BI133" s="104"/>
      <c r="BJ133" s="693" t="s">
        <v>82</v>
      </c>
    </row>
    <row r="134" spans="1:62" ht="20.25" customHeight="1">
      <c r="A134" s="315">
        <v>139</v>
      </c>
      <c r="B134" s="215" t="s">
        <v>52</v>
      </c>
      <c r="C134" s="238" t="s">
        <v>821</v>
      </c>
      <c r="D134" s="280" t="s">
        <v>822</v>
      </c>
      <c r="E134" s="604" t="s">
        <v>823</v>
      </c>
      <c r="F134" s="241" t="s">
        <v>403</v>
      </c>
      <c r="G134" s="241" t="s">
        <v>399</v>
      </c>
      <c r="H134" s="630">
        <v>46058</v>
      </c>
      <c r="I134" s="319"/>
      <c r="J134" s="214">
        <f t="shared" si="8"/>
        <v>7</v>
      </c>
      <c r="K134" s="104"/>
      <c r="L134" s="103"/>
      <c r="M134" s="103"/>
      <c r="N134" s="319"/>
      <c r="O134" s="314" t="s">
        <v>81</v>
      </c>
      <c r="P134" s="320"/>
      <c r="Q134" s="319"/>
      <c r="R134" s="319"/>
      <c r="S134" s="319"/>
      <c r="T134" s="319"/>
      <c r="U134" s="103"/>
      <c r="V134" s="99"/>
      <c r="W134" s="99"/>
      <c r="X134" s="99"/>
      <c r="Y134" s="319"/>
      <c r="Z134" s="100"/>
      <c r="AA134" s="121"/>
      <c r="AB134" s="99"/>
      <c r="AC134" s="99"/>
      <c r="AD134" s="99"/>
      <c r="AE134" s="100"/>
      <c r="AF134" s="96"/>
      <c r="AG134" s="96"/>
      <c r="AH134" s="96"/>
      <c r="AI134" s="96"/>
      <c r="AJ134" s="104"/>
      <c r="AK134" s="96"/>
      <c r="AL134" s="96"/>
      <c r="AM134" s="96"/>
      <c r="AN134" s="96"/>
      <c r="AO134" s="104"/>
      <c r="AP134" s="96"/>
      <c r="AQ134" s="96"/>
      <c r="AR134" s="96"/>
      <c r="AS134" s="96"/>
      <c r="AT134" s="104"/>
      <c r="AU134" s="96"/>
      <c r="AV134" s="96"/>
      <c r="AW134" s="96"/>
      <c r="AX134" s="96"/>
      <c r="AY134" s="104"/>
      <c r="AZ134" s="96"/>
      <c r="BA134" s="96"/>
      <c r="BB134" s="96"/>
      <c r="BC134" s="96"/>
      <c r="BD134" s="104"/>
      <c r="BE134" s="96"/>
      <c r="BF134" s="96"/>
      <c r="BG134" s="96"/>
      <c r="BH134" s="96"/>
      <c r="BI134" s="104"/>
      <c r="BJ134" s="693" t="s">
        <v>82</v>
      </c>
    </row>
    <row r="135" spans="1:62" ht="20.25" customHeight="1">
      <c r="A135" s="315">
        <v>122</v>
      </c>
      <c r="B135" s="215" t="s">
        <v>52</v>
      </c>
      <c r="C135" s="238" t="s">
        <v>824</v>
      </c>
      <c r="D135" s="280" t="s">
        <v>825</v>
      </c>
      <c r="E135" s="604" t="s">
        <v>826</v>
      </c>
      <c r="F135" s="241" t="s">
        <v>751</v>
      </c>
      <c r="G135" s="241" t="s">
        <v>404</v>
      </c>
      <c r="H135" s="233">
        <v>46073</v>
      </c>
      <c r="I135" s="321"/>
      <c r="J135" s="214">
        <f>I135+7</f>
        <v>7</v>
      </c>
      <c r="K135" s="332"/>
      <c r="L135" s="103"/>
      <c r="M135" s="103"/>
      <c r="N135" s="319"/>
      <c r="O135" s="314" t="s">
        <v>81</v>
      </c>
      <c r="P135" s="312"/>
      <c r="Q135" s="313"/>
      <c r="R135" s="319"/>
      <c r="S135" s="319"/>
      <c r="T135" s="323"/>
      <c r="U135" s="200"/>
      <c r="V135" s="335"/>
      <c r="W135" s="99"/>
      <c r="X135" s="99"/>
      <c r="Y135" s="99"/>
      <c r="Z135" s="100"/>
      <c r="AA135" s="121"/>
      <c r="AB135" s="99"/>
      <c r="AC135" s="99"/>
      <c r="AD135" s="99"/>
      <c r="AE135" s="100"/>
      <c r="AF135" s="96"/>
      <c r="AG135" s="96"/>
      <c r="AH135" s="96"/>
      <c r="AI135" s="96"/>
      <c r="AJ135" s="104"/>
      <c r="AK135" s="96"/>
      <c r="AL135" s="96"/>
      <c r="AM135" s="96"/>
      <c r="AN135" s="96"/>
      <c r="AO135" s="104"/>
      <c r="AP135" s="96"/>
      <c r="AQ135" s="96"/>
      <c r="AR135" s="96"/>
      <c r="AS135" s="96"/>
      <c r="AT135" s="104"/>
      <c r="AU135" s="96"/>
      <c r="AV135" s="96"/>
      <c r="AW135" s="96"/>
      <c r="AX135" s="96"/>
      <c r="AY135" s="104"/>
      <c r="AZ135" s="96"/>
      <c r="BA135" s="96"/>
      <c r="BB135" s="96"/>
      <c r="BC135" s="96"/>
      <c r="BD135" s="104"/>
      <c r="BE135" s="96"/>
      <c r="BF135" s="96"/>
      <c r="BG135" s="96"/>
      <c r="BH135" s="96"/>
      <c r="BI135" s="104"/>
      <c r="BJ135" s="693" t="s">
        <v>82</v>
      </c>
    </row>
    <row r="136" spans="1:62" ht="20.25" customHeight="1">
      <c r="A136" s="315">
        <v>123</v>
      </c>
      <c r="B136" s="215" t="s">
        <v>52</v>
      </c>
      <c r="C136" s="238" t="s">
        <v>827</v>
      </c>
      <c r="D136" s="280" t="s">
        <v>828</v>
      </c>
      <c r="E136" s="604" t="s">
        <v>829</v>
      </c>
      <c r="F136" s="241" t="s">
        <v>751</v>
      </c>
      <c r="G136" s="241" t="s">
        <v>404</v>
      </c>
      <c r="H136" s="233">
        <v>46073</v>
      </c>
      <c r="I136" s="313"/>
      <c r="J136" s="214">
        <f>I136+7</f>
        <v>7</v>
      </c>
      <c r="K136" s="93"/>
      <c r="L136" s="103"/>
      <c r="M136" s="103"/>
      <c r="N136" s="314"/>
      <c r="O136" s="314" t="s">
        <v>81</v>
      </c>
      <c r="P136" s="312"/>
      <c r="Q136" s="313"/>
      <c r="R136" s="319"/>
      <c r="S136" s="319"/>
      <c r="T136" s="323"/>
      <c r="U136" s="200"/>
      <c r="V136" s="335"/>
      <c r="W136" s="99"/>
      <c r="X136" s="99"/>
      <c r="Y136" s="99"/>
      <c r="Z136" s="100"/>
      <c r="AA136" s="121"/>
      <c r="AB136" s="99"/>
      <c r="AC136" s="99"/>
      <c r="AD136" s="99"/>
      <c r="AE136" s="100"/>
      <c r="AF136" s="96"/>
      <c r="AG136" s="96"/>
      <c r="AH136" s="96"/>
      <c r="AI136" s="96"/>
      <c r="AJ136" s="104"/>
      <c r="AK136" s="96"/>
      <c r="AL136" s="96"/>
      <c r="AM136" s="96"/>
      <c r="AN136" s="96"/>
      <c r="AO136" s="104"/>
      <c r="AP136" s="96"/>
      <c r="AQ136" s="96"/>
      <c r="AR136" s="96"/>
      <c r="AS136" s="96"/>
      <c r="AT136" s="104"/>
      <c r="AU136" s="96"/>
      <c r="AV136" s="96"/>
      <c r="AW136" s="96"/>
      <c r="AX136" s="96"/>
      <c r="AY136" s="104"/>
      <c r="AZ136" s="96"/>
      <c r="BA136" s="96"/>
      <c r="BB136" s="96"/>
      <c r="BC136" s="96"/>
      <c r="BD136" s="104"/>
      <c r="BE136" s="96"/>
      <c r="BF136" s="96"/>
      <c r="BG136" s="96"/>
      <c r="BH136" s="96"/>
      <c r="BI136" s="104"/>
      <c r="BJ136" s="693" t="s">
        <v>82</v>
      </c>
    </row>
    <row r="137" spans="1:62" ht="20.25" customHeight="1">
      <c r="A137" s="315">
        <v>141</v>
      </c>
      <c r="B137" s="215" t="s">
        <v>52</v>
      </c>
      <c r="C137" s="330" t="s">
        <v>830</v>
      </c>
      <c r="D137" s="286" t="s">
        <v>831</v>
      </c>
      <c r="E137" s="604" t="s">
        <v>832</v>
      </c>
      <c r="F137" s="331" t="s">
        <v>782</v>
      </c>
      <c r="G137" s="331" t="s">
        <v>783</v>
      </c>
      <c r="H137" s="300"/>
      <c r="I137" s="319"/>
      <c r="J137" s="214">
        <f t="shared" si="8"/>
        <v>7</v>
      </c>
      <c r="K137" s="104"/>
      <c r="L137" s="103"/>
      <c r="M137" s="103"/>
      <c r="N137" s="319"/>
      <c r="O137" s="314" t="s">
        <v>81</v>
      </c>
      <c r="P137" s="632" t="s">
        <v>784</v>
      </c>
      <c r="Q137" s="319"/>
      <c r="R137" s="319"/>
      <c r="S137" s="319"/>
      <c r="T137" s="319"/>
      <c r="U137" s="103"/>
      <c r="V137" s="99"/>
      <c r="W137" s="99"/>
      <c r="X137" s="99"/>
      <c r="Y137" s="319"/>
      <c r="Z137" s="100"/>
      <c r="AA137" s="121"/>
      <c r="AB137" s="99"/>
      <c r="AC137" s="99"/>
      <c r="AD137" s="99"/>
      <c r="AE137" s="100"/>
      <c r="AF137" s="96"/>
      <c r="AG137" s="96"/>
      <c r="AH137" s="96"/>
      <c r="AI137" s="96"/>
      <c r="AJ137" s="104"/>
      <c r="AK137" s="96"/>
      <c r="AL137" s="96"/>
      <c r="AM137" s="96"/>
      <c r="AN137" s="96"/>
      <c r="AO137" s="104"/>
      <c r="AP137" s="96"/>
      <c r="AQ137" s="96"/>
      <c r="AR137" s="96"/>
      <c r="AS137" s="96"/>
      <c r="AT137" s="104"/>
      <c r="AU137" s="96"/>
      <c r="AV137" s="96"/>
      <c r="AW137" s="96"/>
      <c r="AX137" s="96"/>
      <c r="AY137" s="104"/>
      <c r="AZ137" s="96"/>
      <c r="BA137" s="96"/>
      <c r="BB137" s="96"/>
      <c r="BC137" s="96"/>
      <c r="BD137" s="104"/>
      <c r="BE137" s="96"/>
      <c r="BF137" s="96"/>
      <c r="BG137" s="96"/>
      <c r="BH137" s="96"/>
      <c r="BI137" s="104"/>
      <c r="BJ137" s="693" t="s">
        <v>82</v>
      </c>
    </row>
    <row r="138" spans="1:62" ht="20.25" customHeight="1">
      <c r="A138" s="315">
        <v>142</v>
      </c>
      <c r="B138" s="215" t="s">
        <v>52</v>
      </c>
      <c r="C138" s="330" t="s">
        <v>833</v>
      </c>
      <c r="D138" s="286" t="s">
        <v>834</v>
      </c>
      <c r="E138" s="604" t="s">
        <v>835</v>
      </c>
      <c r="F138" s="331" t="s">
        <v>782</v>
      </c>
      <c r="G138" s="331" t="s">
        <v>783</v>
      </c>
      <c r="H138" s="300"/>
      <c r="I138" s="319"/>
      <c r="J138" s="214">
        <f t="shared" si="8"/>
        <v>7</v>
      </c>
      <c r="K138" s="104"/>
      <c r="L138" s="103"/>
      <c r="M138" s="103"/>
      <c r="N138" s="319"/>
      <c r="O138" s="314" t="s">
        <v>81</v>
      </c>
      <c r="P138" s="632" t="s">
        <v>784</v>
      </c>
      <c r="Q138" s="319"/>
      <c r="R138" s="319"/>
      <c r="S138" s="319"/>
      <c r="T138" s="319"/>
      <c r="U138" s="103"/>
      <c r="V138" s="99"/>
      <c r="W138" s="99"/>
      <c r="X138" s="99"/>
      <c r="Y138" s="319"/>
      <c r="Z138" s="100"/>
      <c r="AA138" s="121"/>
      <c r="AB138" s="99"/>
      <c r="AC138" s="99"/>
      <c r="AD138" s="99"/>
      <c r="AE138" s="100"/>
      <c r="AF138" s="96"/>
      <c r="AG138" s="96"/>
      <c r="AH138" s="96"/>
      <c r="AI138" s="96"/>
      <c r="AJ138" s="104"/>
      <c r="AK138" s="96"/>
      <c r="AL138" s="96"/>
      <c r="AM138" s="96"/>
      <c r="AN138" s="96"/>
      <c r="AO138" s="104"/>
      <c r="AP138" s="96"/>
      <c r="AQ138" s="96"/>
      <c r="AR138" s="96"/>
      <c r="AS138" s="96"/>
      <c r="AT138" s="104"/>
      <c r="AU138" s="96"/>
      <c r="AV138" s="96"/>
      <c r="AW138" s="96"/>
      <c r="AX138" s="96"/>
      <c r="AY138" s="104"/>
      <c r="AZ138" s="96"/>
      <c r="BA138" s="96"/>
      <c r="BB138" s="96"/>
      <c r="BC138" s="96"/>
      <c r="BD138" s="104"/>
      <c r="BE138" s="96"/>
      <c r="BF138" s="96"/>
      <c r="BG138" s="96"/>
      <c r="BH138" s="96"/>
      <c r="BI138" s="104"/>
      <c r="BJ138" s="693" t="s">
        <v>82</v>
      </c>
    </row>
    <row r="139" spans="1:62" ht="20.25" customHeight="1">
      <c r="A139" s="315">
        <v>143</v>
      </c>
      <c r="B139" s="215" t="s">
        <v>52</v>
      </c>
      <c r="C139" s="330" t="s">
        <v>836</v>
      </c>
      <c r="D139" s="286" t="s">
        <v>837</v>
      </c>
      <c r="E139" s="604" t="s">
        <v>838</v>
      </c>
      <c r="F139" s="331" t="s">
        <v>782</v>
      </c>
      <c r="G139" s="331" t="s">
        <v>783</v>
      </c>
      <c r="H139" s="300"/>
      <c r="I139" s="319"/>
      <c r="J139" s="214">
        <f t="shared" si="8"/>
        <v>7</v>
      </c>
      <c r="K139" s="104"/>
      <c r="L139" s="103"/>
      <c r="M139" s="103"/>
      <c r="N139" s="319"/>
      <c r="O139" s="314" t="s">
        <v>81</v>
      </c>
      <c r="P139" s="632" t="s">
        <v>784</v>
      </c>
      <c r="Q139" s="319"/>
      <c r="R139" s="319"/>
      <c r="S139" s="319"/>
      <c r="T139" s="319"/>
      <c r="U139" s="103"/>
      <c r="V139" s="99"/>
      <c r="W139" s="99"/>
      <c r="X139" s="99"/>
      <c r="Y139" s="319"/>
      <c r="Z139" s="100"/>
      <c r="AA139" s="121"/>
      <c r="AB139" s="99"/>
      <c r="AC139" s="99"/>
      <c r="AD139" s="99"/>
      <c r="AE139" s="100"/>
      <c r="AF139" s="96"/>
      <c r="AG139" s="96"/>
      <c r="AH139" s="96"/>
      <c r="AI139" s="96"/>
      <c r="AJ139" s="104"/>
      <c r="AK139" s="96"/>
      <c r="AL139" s="96"/>
      <c r="AM139" s="96"/>
      <c r="AN139" s="96"/>
      <c r="AO139" s="104"/>
      <c r="AP139" s="96"/>
      <c r="AQ139" s="96"/>
      <c r="AR139" s="96"/>
      <c r="AS139" s="96"/>
      <c r="AT139" s="104"/>
      <c r="AU139" s="96"/>
      <c r="AV139" s="96"/>
      <c r="AW139" s="96"/>
      <c r="AX139" s="96"/>
      <c r="AY139" s="104"/>
      <c r="AZ139" s="96"/>
      <c r="BA139" s="96"/>
      <c r="BB139" s="96"/>
      <c r="BC139" s="96"/>
      <c r="BD139" s="104"/>
      <c r="BE139" s="96"/>
      <c r="BF139" s="96"/>
      <c r="BG139" s="96"/>
      <c r="BH139" s="96"/>
      <c r="BI139" s="104"/>
      <c r="BJ139" s="693" t="s">
        <v>82</v>
      </c>
    </row>
    <row r="140" spans="1:62" ht="20.25" customHeight="1">
      <c r="A140" s="315">
        <v>144</v>
      </c>
      <c r="B140" s="215" t="s">
        <v>52</v>
      </c>
      <c r="C140" s="330" t="s">
        <v>839</v>
      </c>
      <c r="D140" s="286" t="s">
        <v>840</v>
      </c>
      <c r="E140" s="604" t="s">
        <v>841</v>
      </c>
      <c r="F140" s="331" t="s">
        <v>782</v>
      </c>
      <c r="G140" s="331" t="s">
        <v>783</v>
      </c>
      <c r="H140" s="300"/>
      <c r="I140" s="319"/>
      <c r="J140" s="214">
        <f t="shared" si="8"/>
        <v>7</v>
      </c>
      <c r="K140" s="104"/>
      <c r="L140" s="103"/>
      <c r="M140" s="103"/>
      <c r="N140" s="319"/>
      <c r="O140" s="314" t="s">
        <v>81</v>
      </c>
      <c r="P140" s="632" t="s">
        <v>784</v>
      </c>
      <c r="Q140" s="319"/>
      <c r="R140" s="319"/>
      <c r="S140" s="319"/>
      <c r="T140" s="338"/>
      <c r="U140" s="103"/>
      <c r="V140" s="99"/>
      <c r="W140" s="99"/>
      <c r="X140" s="99"/>
      <c r="Y140" s="319"/>
      <c r="Z140" s="100"/>
      <c r="AA140" s="121"/>
      <c r="AB140" s="99"/>
      <c r="AC140" s="99"/>
      <c r="AD140" s="99"/>
      <c r="AE140" s="100"/>
      <c r="AF140" s="96"/>
      <c r="AG140" s="96"/>
      <c r="AH140" s="96"/>
      <c r="AI140" s="96"/>
      <c r="AJ140" s="104"/>
      <c r="AK140" s="96"/>
      <c r="AL140" s="96"/>
      <c r="AM140" s="96"/>
      <c r="AN140" s="96"/>
      <c r="AO140" s="104"/>
      <c r="AP140" s="96"/>
      <c r="AQ140" s="96"/>
      <c r="AR140" s="96"/>
      <c r="AS140" s="96"/>
      <c r="AT140" s="104"/>
      <c r="AU140" s="96"/>
      <c r="AV140" s="96"/>
      <c r="AW140" s="96"/>
      <c r="AX140" s="96"/>
      <c r="AY140" s="104"/>
      <c r="AZ140" s="96"/>
      <c r="BA140" s="96"/>
      <c r="BB140" s="96"/>
      <c r="BC140" s="96"/>
      <c r="BD140" s="104"/>
      <c r="BE140" s="96"/>
      <c r="BF140" s="96"/>
      <c r="BG140" s="96"/>
      <c r="BH140" s="96"/>
      <c r="BI140" s="104"/>
      <c r="BJ140" s="693" t="s">
        <v>82</v>
      </c>
    </row>
    <row r="141" spans="1:62" ht="20.25" customHeight="1">
      <c r="A141" s="315">
        <v>145</v>
      </c>
      <c r="B141" s="215" t="s">
        <v>52</v>
      </c>
      <c r="C141" s="330" t="s">
        <v>842</v>
      </c>
      <c r="D141" s="286" t="s">
        <v>843</v>
      </c>
      <c r="E141" s="604" t="s">
        <v>844</v>
      </c>
      <c r="F141" s="331" t="s">
        <v>782</v>
      </c>
      <c r="G141" s="331" t="s">
        <v>783</v>
      </c>
      <c r="H141" s="300"/>
      <c r="I141" s="319"/>
      <c r="J141" s="214">
        <f t="shared" si="8"/>
        <v>7</v>
      </c>
      <c r="K141" s="104"/>
      <c r="L141" s="103"/>
      <c r="M141" s="103"/>
      <c r="N141" s="319"/>
      <c r="O141" s="314" t="s">
        <v>81</v>
      </c>
      <c r="P141" s="632" t="s">
        <v>784</v>
      </c>
      <c r="Q141" s="319"/>
      <c r="R141" s="319"/>
      <c r="S141" s="339"/>
      <c r="T141" s="338"/>
      <c r="U141" s="103"/>
      <c r="V141" s="99"/>
      <c r="W141" s="99"/>
      <c r="X141" s="99"/>
      <c r="Y141" s="319"/>
      <c r="Z141" s="100"/>
      <c r="AA141" s="121"/>
      <c r="AB141" s="99"/>
      <c r="AC141" s="99"/>
      <c r="AD141" s="99"/>
      <c r="AE141" s="100"/>
      <c r="AF141" s="96"/>
      <c r="AG141" s="96"/>
      <c r="AH141" s="96"/>
      <c r="AI141" s="96"/>
      <c r="AJ141" s="104"/>
      <c r="AK141" s="96"/>
      <c r="AL141" s="96"/>
      <c r="AM141" s="96"/>
      <c r="AN141" s="96"/>
      <c r="AO141" s="104"/>
      <c r="AP141" s="96"/>
      <c r="AQ141" s="96"/>
      <c r="AR141" s="96"/>
      <c r="AS141" s="96"/>
      <c r="AT141" s="104"/>
      <c r="AU141" s="96"/>
      <c r="AV141" s="96"/>
      <c r="AW141" s="96"/>
      <c r="AX141" s="96"/>
      <c r="AY141" s="104"/>
      <c r="AZ141" s="96"/>
      <c r="BA141" s="96"/>
      <c r="BB141" s="96"/>
      <c r="BC141" s="96"/>
      <c r="BD141" s="104"/>
      <c r="BE141" s="96"/>
      <c r="BF141" s="96"/>
      <c r="BG141" s="96"/>
      <c r="BH141" s="96"/>
      <c r="BI141" s="104"/>
      <c r="BJ141" s="693" t="s">
        <v>82</v>
      </c>
    </row>
    <row r="142" spans="1:62" ht="20.25" customHeight="1">
      <c r="A142" s="315">
        <v>146</v>
      </c>
      <c r="B142" s="215" t="s">
        <v>52</v>
      </c>
      <c r="C142" s="238" t="s">
        <v>845</v>
      </c>
      <c r="D142" s="280" t="s">
        <v>846</v>
      </c>
      <c r="E142" s="604" t="s">
        <v>847</v>
      </c>
      <c r="F142" s="241" t="s">
        <v>751</v>
      </c>
      <c r="G142" s="241" t="s">
        <v>710</v>
      </c>
      <c r="H142" s="233">
        <v>46112</v>
      </c>
      <c r="I142" s="319"/>
      <c r="J142" s="214">
        <f t="shared" si="8"/>
        <v>7</v>
      </c>
      <c r="K142" s="104"/>
      <c r="L142" s="103"/>
      <c r="M142" s="103"/>
      <c r="N142" s="319"/>
      <c r="O142" s="314" t="s">
        <v>81</v>
      </c>
      <c r="P142" s="632" t="s">
        <v>784</v>
      </c>
      <c r="Q142" s="319"/>
      <c r="R142" s="319"/>
      <c r="S142" s="319"/>
      <c r="T142" s="338"/>
      <c r="U142" s="103"/>
      <c r="V142" s="99"/>
      <c r="W142" s="99"/>
      <c r="X142" s="99"/>
      <c r="Y142" s="319"/>
      <c r="Z142" s="100"/>
      <c r="AA142" s="121"/>
      <c r="AB142" s="99"/>
      <c r="AC142" s="99"/>
      <c r="AD142" s="99"/>
      <c r="AE142" s="100"/>
      <c r="AF142" s="96"/>
      <c r="AG142" s="96"/>
      <c r="AH142" s="96"/>
      <c r="AI142" s="96"/>
      <c r="AJ142" s="104"/>
      <c r="AK142" s="96"/>
      <c r="AL142" s="96"/>
      <c r="AM142" s="96"/>
      <c r="AN142" s="96"/>
      <c r="AO142" s="104"/>
      <c r="AP142" s="96"/>
      <c r="AQ142" s="96"/>
      <c r="AR142" s="96"/>
      <c r="AS142" s="96"/>
      <c r="AT142" s="104"/>
      <c r="AU142" s="96"/>
      <c r="AV142" s="96"/>
      <c r="AW142" s="96"/>
      <c r="AX142" s="96"/>
      <c r="AY142" s="104"/>
      <c r="AZ142" s="96"/>
      <c r="BA142" s="96"/>
      <c r="BB142" s="96"/>
      <c r="BC142" s="96"/>
      <c r="BD142" s="104"/>
      <c r="BE142" s="96"/>
      <c r="BF142" s="96"/>
      <c r="BG142" s="96"/>
      <c r="BH142" s="96"/>
      <c r="BI142" s="104"/>
      <c r="BJ142" s="693" t="s">
        <v>82</v>
      </c>
    </row>
    <row r="143" spans="1:62" ht="20.25" customHeight="1">
      <c r="A143" s="315">
        <v>147</v>
      </c>
      <c r="B143" s="215" t="s">
        <v>52</v>
      </c>
      <c r="C143" s="238" t="s">
        <v>848</v>
      </c>
      <c r="D143" s="280" t="s">
        <v>849</v>
      </c>
      <c r="E143" s="604" t="s">
        <v>850</v>
      </c>
      <c r="F143" s="241" t="s">
        <v>851</v>
      </c>
      <c r="G143" s="241" t="s">
        <v>585</v>
      </c>
      <c r="H143" s="233">
        <v>46078</v>
      </c>
      <c r="I143" s="319"/>
      <c r="J143" s="214">
        <f t="shared" si="8"/>
        <v>7</v>
      </c>
      <c r="K143" s="104"/>
      <c r="L143" s="103"/>
      <c r="M143" s="103"/>
      <c r="N143" s="319"/>
      <c r="O143" s="314" t="s">
        <v>81</v>
      </c>
      <c r="P143" s="320"/>
      <c r="Q143" s="319"/>
      <c r="R143" s="319"/>
      <c r="S143" s="319"/>
      <c r="T143" s="338"/>
      <c r="U143" s="103"/>
      <c r="V143" s="99"/>
      <c r="W143" s="99"/>
      <c r="X143" s="99"/>
      <c r="Y143" s="319"/>
      <c r="Z143" s="100"/>
      <c r="AA143" s="121"/>
      <c r="AB143" s="99"/>
      <c r="AC143" s="99"/>
      <c r="AD143" s="99"/>
      <c r="AE143" s="100"/>
      <c r="AF143" s="96"/>
      <c r="AG143" s="96"/>
      <c r="AH143" s="96"/>
      <c r="AI143" s="96"/>
      <c r="AJ143" s="104"/>
      <c r="AK143" s="96"/>
      <c r="AL143" s="96"/>
      <c r="AM143" s="96"/>
      <c r="AN143" s="96"/>
      <c r="AO143" s="104"/>
      <c r="AP143" s="96"/>
      <c r="AQ143" s="96"/>
      <c r="AR143" s="96"/>
      <c r="AS143" s="96"/>
      <c r="AT143" s="104"/>
      <c r="AU143" s="96"/>
      <c r="AV143" s="96"/>
      <c r="AW143" s="96"/>
      <c r="AX143" s="96"/>
      <c r="AY143" s="104"/>
      <c r="AZ143" s="96"/>
      <c r="BA143" s="96"/>
      <c r="BB143" s="96"/>
      <c r="BC143" s="96"/>
      <c r="BD143" s="104"/>
      <c r="BE143" s="96"/>
      <c r="BF143" s="96"/>
      <c r="BG143" s="96"/>
      <c r="BH143" s="96"/>
      <c r="BI143" s="104"/>
      <c r="BJ143" s="693" t="s">
        <v>82</v>
      </c>
    </row>
    <row r="144" spans="1:62" ht="20.25" customHeight="1">
      <c r="A144" s="315">
        <v>148</v>
      </c>
      <c r="B144" s="215" t="s">
        <v>52</v>
      </c>
      <c r="C144" s="238" t="s">
        <v>852</v>
      </c>
      <c r="D144" s="792" t="s">
        <v>853</v>
      </c>
      <c r="E144" s="604" t="s">
        <v>854</v>
      </c>
      <c r="F144" s="241" t="s">
        <v>851</v>
      </c>
      <c r="G144" s="241" t="s">
        <v>585</v>
      </c>
      <c r="H144" s="233">
        <v>46078</v>
      </c>
      <c r="I144" s="1034" t="s">
        <v>855</v>
      </c>
      <c r="J144" s="214" t="e">
        <f t="shared" si="8"/>
        <v>#VALUE!</v>
      </c>
      <c r="K144" s="104"/>
      <c r="L144" s="103"/>
      <c r="M144" s="103"/>
      <c r="N144" s="319"/>
      <c r="O144" s="314" t="s">
        <v>81</v>
      </c>
      <c r="P144" s="320"/>
      <c r="Q144" s="319"/>
      <c r="R144" s="319"/>
      <c r="S144" s="319"/>
      <c r="T144" s="338"/>
      <c r="U144" s="103"/>
      <c r="V144" s="99"/>
      <c r="W144" s="99"/>
      <c r="X144" s="99"/>
      <c r="Y144" s="319"/>
      <c r="Z144" s="100"/>
      <c r="AA144" s="121"/>
      <c r="AB144" s="99"/>
      <c r="AC144" s="99"/>
      <c r="AD144" s="99"/>
      <c r="AE144" s="100"/>
      <c r="AF144" s="96"/>
      <c r="AG144" s="96"/>
      <c r="AH144" s="96"/>
      <c r="AI144" s="96"/>
      <c r="AJ144" s="104"/>
      <c r="AK144" s="96"/>
      <c r="AL144" s="96"/>
      <c r="AM144" s="96"/>
      <c r="AN144" s="96"/>
      <c r="AO144" s="104"/>
      <c r="AP144" s="96"/>
      <c r="AQ144" s="96"/>
      <c r="AR144" s="96"/>
      <c r="AS144" s="96"/>
      <c r="AT144" s="104"/>
      <c r="AU144" s="96"/>
      <c r="AV144" s="96"/>
      <c r="AW144" s="96"/>
      <c r="AX144" s="96"/>
      <c r="AY144" s="104"/>
      <c r="AZ144" s="96"/>
      <c r="BA144" s="96"/>
      <c r="BB144" s="96"/>
      <c r="BC144" s="96"/>
      <c r="BD144" s="104"/>
      <c r="BE144" s="96"/>
      <c r="BF144" s="96"/>
      <c r="BG144" s="96"/>
      <c r="BH144" s="96"/>
      <c r="BI144" s="104"/>
      <c r="BJ144" s="693" t="s">
        <v>82</v>
      </c>
    </row>
    <row r="145" spans="1:62" ht="20.25" customHeight="1">
      <c r="A145" s="315">
        <v>149</v>
      </c>
      <c r="B145" s="215" t="s">
        <v>52</v>
      </c>
      <c r="C145" s="238" t="s">
        <v>856</v>
      </c>
      <c r="D145" s="409" t="s">
        <v>857</v>
      </c>
      <c r="E145" s="604" t="s">
        <v>858</v>
      </c>
      <c r="F145" s="241" t="s">
        <v>560</v>
      </c>
      <c r="G145" s="241" t="s">
        <v>585</v>
      </c>
      <c r="H145" s="233">
        <v>46108</v>
      </c>
      <c r="I145" s="319"/>
      <c r="J145" s="214">
        <f t="shared" si="8"/>
        <v>7</v>
      </c>
      <c r="K145" s="104"/>
      <c r="L145" s="103"/>
      <c r="M145" s="103"/>
      <c r="N145" s="319"/>
      <c r="O145" s="314" t="s">
        <v>81</v>
      </c>
      <c r="P145" s="320"/>
      <c r="Q145" s="319"/>
      <c r="R145" s="319"/>
      <c r="S145" s="319"/>
      <c r="T145" s="319"/>
      <c r="U145" s="103"/>
      <c r="V145" s="99"/>
      <c r="W145" s="99"/>
      <c r="X145" s="99"/>
      <c r="Y145" s="99"/>
      <c r="Z145" s="100"/>
      <c r="AA145" s="121"/>
      <c r="AB145" s="99"/>
      <c r="AC145" s="99"/>
      <c r="AD145" s="99"/>
      <c r="AE145" s="100"/>
      <c r="AF145" s="96"/>
      <c r="AG145" s="96"/>
      <c r="AH145" s="96"/>
      <c r="AI145" s="96"/>
      <c r="AJ145" s="104"/>
      <c r="AK145" s="96"/>
      <c r="AL145" s="96"/>
      <c r="AM145" s="96"/>
      <c r="AN145" s="96"/>
      <c r="AO145" s="104"/>
      <c r="AP145" s="96"/>
      <c r="AQ145" s="96"/>
      <c r="AR145" s="96"/>
      <c r="AS145" s="96"/>
      <c r="AT145" s="104"/>
      <c r="AU145" s="96"/>
      <c r="AV145" s="96"/>
      <c r="AW145" s="96"/>
      <c r="AX145" s="96"/>
      <c r="AY145" s="104"/>
      <c r="AZ145" s="96"/>
      <c r="BA145" s="96"/>
      <c r="BB145" s="96"/>
      <c r="BC145" s="96"/>
      <c r="BD145" s="104"/>
      <c r="BE145" s="96"/>
      <c r="BF145" s="96"/>
      <c r="BG145" s="96"/>
      <c r="BH145" s="96"/>
      <c r="BI145" s="104"/>
      <c r="BJ145" s="693" t="s">
        <v>82</v>
      </c>
    </row>
    <row r="146" spans="1:62" ht="20.25" customHeight="1">
      <c r="A146" s="315">
        <v>150</v>
      </c>
      <c r="B146" s="215" t="s">
        <v>52</v>
      </c>
      <c r="C146" s="238" t="s">
        <v>859</v>
      </c>
      <c r="D146" s="409" t="s">
        <v>860</v>
      </c>
      <c r="E146" s="604" t="s">
        <v>861</v>
      </c>
      <c r="F146" s="241" t="s">
        <v>560</v>
      </c>
      <c r="G146" s="241" t="s">
        <v>585</v>
      </c>
      <c r="H146" s="233">
        <v>46108</v>
      </c>
      <c r="I146" s="319"/>
      <c r="J146" s="214">
        <f t="shared" si="8"/>
        <v>7</v>
      </c>
      <c r="K146" s="104"/>
      <c r="L146" s="103"/>
      <c r="M146" s="103"/>
      <c r="N146" s="319"/>
      <c r="O146" s="314" t="s">
        <v>81</v>
      </c>
      <c r="P146" s="320"/>
      <c r="Q146" s="319"/>
      <c r="R146" s="319"/>
      <c r="S146" s="319"/>
      <c r="T146" s="319"/>
      <c r="U146" s="103"/>
      <c r="V146" s="99"/>
      <c r="W146" s="99"/>
      <c r="X146" s="99"/>
      <c r="Y146" s="99"/>
      <c r="Z146" s="100"/>
      <c r="AA146" s="121"/>
      <c r="AB146" s="99"/>
      <c r="AC146" s="99"/>
      <c r="AD146" s="99"/>
      <c r="AE146" s="100"/>
      <c r="AF146" s="96"/>
      <c r="AG146" s="96"/>
      <c r="AH146" s="96"/>
      <c r="AI146" s="96"/>
      <c r="AJ146" s="104"/>
      <c r="AK146" s="96"/>
      <c r="AL146" s="96"/>
      <c r="AM146" s="96"/>
      <c r="AN146" s="96"/>
      <c r="AO146" s="104"/>
      <c r="AP146" s="96"/>
      <c r="AQ146" s="96"/>
      <c r="AR146" s="96"/>
      <c r="AS146" s="96"/>
      <c r="AT146" s="104"/>
      <c r="AU146" s="96"/>
      <c r="AV146" s="96"/>
      <c r="AW146" s="96"/>
      <c r="AX146" s="96"/>
      <c r="AY146" s="104"/>
      <c r="AZ146" s="96"/>
      <c r="BA146" s="96"/>
      <c r="BB146" s="96"/>
      <c r="BC146" s="96"/>
      <c r="BD146" s="104"/>
      <c r="BE146" s="96"/>
      <c r="BF146" s="96"/>
      <c r="BG146" s="96"/>
      <c r="BH146" s="96"/>
      <c r="BI146" s="104"/>
      <c r="BJ146" s="693" t="s">
        <v>82</v>
      </c>
    </row>
    <row r="147" spans="1:62" ht="20.25" customHeight="1">
      <c r="A147" s="315">
        <v>151</v>
      </c>
      <c r="B147" s="215" t="s">
        <v>52</v>
      </c>
      <c r="C147" s="238" t="s">
        <v>862</v>
      </c>
      <c r="D147" s="409" t="s">
        <v>863</v>
      </c>
      <c r="E147" s="604" t="s">
        <v>864</v>
      </c>
      <c r="F147" s="241" t="s">
        <v>560</v>
      </c>
      <c r="G147" s="241" t="s">
        <v>585</v>
      </c>
      <c r="H147" s="233">
        <v>46108</v>
      </c>
      <c r="I147" s="319"/>
      <c r="J147" s="214">
        <f t="shared" si="8"/>
        <v>7</v>
      </c>
      <c r="K147" s="104"/>
      <c r="L147" s="103"/>
      <c r="M147" s="103"/>
      <c r="N147" s="319"/>
      <c r="O147" s="314" t="s">
        <v>81</v>
      </c>
      <c r="P147" s="320"/>
      <c r="Q147" s="319"/>
      <c r="R147" s="319"/>
      <c r="S147" s="319"/>
      <c r="T147" s="319"/>
      <c r="U147" s="103"/>
      <c r="V147" s="99"/>
      <c r="W147" s="99"/>
      <c r="X147" s="99"/>
      <c r="Y147" s="99"/>
      <c r="Z147" s="100"/>
      <c r="AA147" s="121"/>
      <c r="AB147" s="99"/>
      <c r="AC147" s="99"/>
      <c r="AD147" s="99"/>
      <c r="AE147" s="100"/>
      <c r="AF147" s="96"/>
      <c r="AG147" s="96"/>
      <c r="AH147" s="96"/>
      <c r="AI147" s="96"/>
      <c r="AJ147" s="104"/>
      <c r="AK147" s="96"/>
      <c r="AL147" s="96"/>
      <c r="AM147" s="96"/>
      <c r="AN147" s="96"/>
      <c r="AO147" s="104"/>
      <c r="AP147" s="96"/>
      <c r="AQ147" s="96"/>
      <c r="AR147" s="96"/>
      <c r="AS147" s="96"/>
      <c r="AT147" s="104"/>
      <c r="AU147" s="96"/>
      <c r="AV147" s="96"/>
      <c r="AW147" s="96"/>
      <c r="AX147" s="96"/>
      <c r="AY147" s="104"/>
      <c r="AZ147" s="96"/>
      <c r="BA147" s="96"/>
      <c r="BB147" s="96"/>
      <c r="BC147" s="96"/>
      <c r="BD147" s="104"/>
      <c r="BE147" s="96"/>
      <c r="BF147" s="96"/>
      <c r="BG147" s="96"/>
      <c r="BH147" s="96"/>
      <c r="BI147" s="104"/>
      <c r="BJ147" s="693" t="s">
        <v>82</v>
      </c>
    </row>
    <row r="148" spans="1:62" ht="20.25" customHeight="1">
      <c r="A148" s="315">
        <v>152</v>
      </c>
      <c r="B148" s="215" t="s">
        <v>52</v>
      </c>
      <c r="C148" s="238" t="s">
        <v>865</v>
      </c>
      <c r="D148" s="409" t="s">
        <v>866</v>
      </c>
      <c r="E148" s="604" t="s">
        <v>867</v>
      </c>
      <c r="F148" s="241" t="s">
        <v>560</v>
      </c>
      <c r="G148" s="241" t="s">
        <v>585</v>
      </c>
      <c r="H148" s="233">
        <v>46106</v>
      </c>
      <c r="I148" s="319"/>
      <c r="J148" s="214">
        <f t="shared" si="8"/>
        <v>7</v>
      </c>
      <c r="K148" s="104"/>
      <c r="L148" s="103"/>
      <c r="M148" s="103"/>
      <c r="N148" s="319"/>
      <c r="O148" s="314" t="s">
        <v>81</v>
      </c>
      <c r="P148" s="320"/>
      <c r="Q148" s="319"/>
      <c r="R148" s="319"/>
      <c r="S148" s="319"/>
      <c r="T148" s="319"/>
      <c r="U148" s="103"/>
      <c r="V148" s="99"/>
      <c r="W148" s="99"/>
      <c r="X148" s="99"/>
      <c r="Y148" s="319"/>
      <c r="Z148" s="100"/>
      <c r="AA148" s="121"/>
      <c r="AB148" s="99"/>
      <c r="AC148" s="99"/>
      <c r="AD148" s="99"/>
      <c r="AE148" s="100"/>
      <c r="AF148" s="96"/>
      <c r="AG148" s="96"/>
      <c r="AH148" s="96"/>
      <c r="AI148" s="96"/>
      <c r="AJ148" s="104"/>
      <c r="AK148" s="96"/>
      <c r="AL148" s="96"/>
      <c r="AM148" s="96"/>
      <c r="AN148" s="96"/>
      <c r="AO148" s="104"/>
      <c r="AP148" s="96"/>
      <c r="AQ148" s="96"/>
      <c r="AR148" s="96"/>
      <c r="AS148" s="96"/>
      <c r="AT148" s="104"/>
      <c r="AU148" s="96"/>
      <c r="AV148" s="96"/>
      <c r="AW148" s="96"/>
      <c r="AX148" s="96"/>
      <c r="AY148" s="104"/>
      <c r="AZ148" s="96"/>
      <c r="BA148" s="96"/>
      <c r="BB148" s="96"/>
      <c r="BC148" s="96"/>
      <c r="BD148" s="104"/>
      <c r="BE148" s="96"/>
      <c r="BF148" s="96"/>
      <c r="BG148" s="96"/>
      <c r="BH148" s="96"/>
      <c r="BI148" s="104"/>
      <c r="BJ148" s="693" t="s">
        <v>82</v>
      </c>
    </row>
    <row r="149" spans="1:62" s="3" customFormat="1" ht="20.25" customHeight="1">
      <c r="A149" s="315">
        <v>153</v>
      </c>
      <c r="B149" s="215" t="s">
        <v>52</v>
      </c>
      <c r="C149" s="238" t="s">
        <v>868</v>
      </c>
      <c r="D149" s="836" t="s">
        <v>869</v>
      </c>
      <c r="E149" s="604" t="s">
        <v>870</v>
      </c>
      <c r="F149" s="241" t="s">
        <v>851</v>
      </c>
      <c r="G149" s="241" t="s">
        <v>585</v>
      </c>
      <c r="H149" s="233">
        <v>46071</v>
      </c>
      <c r="I149" s="327">
        <v>46064</v>
      </c>
      <c r="J149" s="214">
        <f t="shared" ref="J149" si="9">I149+7</f>
        <v>46071</v>
      </c>
      <c r="K149" s="103">
        <v>0</v>
      </c>
      <c r="L149" s="103" t="s">
        <v>50</v>
      </c>
      <c r="M149" s="103" t="s">
        <v>89</v>
      </c>
      <c r="N149" s="319"/>
      <c r="O149" s="221" t="s">
        <v>81</v>
      </c>
      <c r="P149" s="837"/>
      <c r="Q149" s="319">
        <v>46064</v>
      </c>
      <c r="R149" s="319">
        <v>46065</v>
      </c>
      <c r="S149" s="319"/>
      <c r="T149" s="319"/>
      <c r="U149" s="103"/>
      <c r="V149" s="96"/>
      <c r="W149" s="96"/>
      <c r="X149" s="96"/>
      <c r="Y149" s="96"/>
      <c r="Z149" s="104"/>
      <c r="AA149" s="691"/>
      <c r="AB149" s="96"/>
      <c r="AC149" s="96"/>
      <c r="AD149" s="96"/>
      <c r="AE149" s="104"/>
      <c r="AF149" s="96"/>
      <c r="AG149" s="96"/>
      <c r="AH149" s="96"/>
      <c r="AI149" s="96"/>
      <c r="AJ149" s="104"/>
      <c r="AK149" s="96"/>
      <c r="AL149" s="96"/>
      <c r="AM149" s="96"/>
      <c r="AN149" s="96"/>
      <c r="AO149" s="104"/>
      <c r="AP149" s="96"/>
      <c r="AQ149" s="96"/>
      <c r="AR149" s="96"/>
      <c r="AS149" s="96"/>
      <c r="AT149" s="104"/>
      <c r="AU149" s="96"/>
      <c r="AV149" s="96"/>
      <c r="AW149" s="96"/>
      <c r="AX149" s="96"/>
      <c r="AY149" s="104"/>
      <c r="AZ149" s="96"/>
      <c r="BA149" s="96"/>
      <c r="BB149" s="96"/>
      <c r="BC149" s="96"/>
      <c r="BD149" s="104"/>
      <c r="BE149" s="96"/>
      <c r="BF149" s="96"/>
      <c r="BG149" s="96"/>
      <c r="BH149" s="96"/>
      <c r="BI149" s="104"/>
      <c r="BJ149" s="693" t="s">
        <v>82</v>
      </c>
    </row>
    <row r="150" spans="1:62" s="3" customFormat="1" ht="20.25" customHeight="1">
      <c r="A150" s="315">
        <v>154</v>
      </c>
      <c r="B150" s="215" t="s">
        <v>52</v>
      </c>
      <c r="C150" s="238" t="s">
        <v>871</v>
      </c>
      <c r="D150" s="836" t="s">
        <v>872</v>
      </c>
      <c r="E150" s="604" t="s">
        <v>873</v>
      </c>
      <c r="F150" s="241" t="s">
        <v>851</v>
      </c>
      <c r="G150" s="241" t="s">
        <v>585</v>
      </c>
      <c r="H150" s="233">
        <v>46071</v>
      </c>
      <c r="I150" s="327">
        <v>46064</v>
      </c>
      <c r="J150" s="214">
        <f t="shared" si="8"/>
        <v>46071</v>
      </c>
      <c r="K150" s="103">
        <v>0</v>
      </c>
      <c r="L150" s="103" t="s">
        <v>50</v>
      </c>
      <c r="M150" s="103" t="s">
        <v>89</v>
      </c>
      <c r="N150" s="319"/>
      <c r="O150" s="221" t="s">
        <v>81</v>
      </c>
      <c r="P150" s="837"/>
      <c r="Q150" s="319">
        <v>46064</v>
      </c>
      <c r="R150" s="319">
        <v>46065</v>
      </c>
      <c r="S150" s="319"/>
      <c r="T150" s="319"/>
      <c r="U150" s="103"/>
      <c r="V150" s="96"/>
      <c r="W150" s="96"/>
      <c r="X150" s="96"/>
      <c r="Y150" s="96"/>
      <c r="Z150" s="104"/>
      <c r="AA150" s="691"/>
      <c r="AB150" s="96"/>
      <c r="AC150" s="96"/>
      <c r="AD150" s="96"/>
      <c r="AE150" s="104"/>
      <c r="AF150" s="96"/>
      <c r="AG150" s="96"/>
      <c r="AH150" s="96"/>
      <c r="AI150" s="96"/>
      <c r="AJ150" s="104"/>
      <c r="AK150" s="96"/>
      <c r="AL150" s="96"/>
      <c r="AM150" s="96"/>
      <c r="AN150" s="96"/>
      <c r="AO150" s="104"/>
      <c r="AP150" s="96"/>
      <c r="AQ150" s="96"/>
      <c r="AR150" s="96"/>
      <c r="AS150" s="96"/>
      <c r="AT150" s="104"/>
      <c r="AU150" s="96"/>
      <c r="AV150" s="96"/>
      <c r="AW150" s="96"/>
      <c r="AX150" s="96"/>
      <c r="AY150" s="104"/>
      <c r="AZ150" s="96"/>
      <c r="BA150" s="96"/>
      <c r="BB150" s="96"/>
      <c r="BC150" s="96"/>
      <c r="BD150" s="104"/>
      <c r="BE150" s="96"/>
      <c r="BF150" s="96"/>
      <c r="BG150" s="96"/>
      <c r="BH150" s="96"/>
      <c r="BI150" s="104"/>
      <c r="BJ150" s="693" t="s">
        <v>253</v>
      </c>
    </row>
    <row r="151" spans="1:62" ht="20.25" customHeight="1">
      <c r="A151" s="315">
        <v>155</v>
      </c>
      <c r="B151" s="215" t="s">
        <v>52</v>
      </c>
      <c r="C151" s="238" t="s">
        <v>874</v>
      </c>
      <c r="D151" s="280" t="s">
        <v>875</v>
      </c>
      <c r="E151" s="604" t="s">
        <v>876</v>
      </c>
      <c r="F151" s="241" t="s">
        <v>560</v>
      </c>
      <c r="G151" s="241" t="s">
        <v>585</v>
      </c>
      <c r="H151" s="233">
        <v>46097</v>
      </c>
      <c r="I151" s="319"/>
      <c r="J151" s="214">
        <f t="shared" si="8"/>
        <v>7</v>
      </c>
      <c r="K151" s="104"/>
      <c r="L151" s="103"/>
      <c r="M151" s="103"/>
      <c r="N151" s="319"/>
      <c r="O151" s="314" t="s">
        <v>81</v>
      </c>
      <c r="P151" s="320"/>
      <c r="Q151" s="319"/>
      <c r="R151" s="319"/>
      <c r="S151" s="319"/>
      <c r="T151" s="319"/>
      <c r="U151" s="103"/>
      <c r="V151" s="99"/>
      <c r="W151" s="99"/>
      <c r="X151" s="99"/>
      <c r="Y151" s="99"/>
      <c r="Z151" s="100"/>
      <c r="AA151" s="121"/>
      <c r="AB151" s="99"/>
      <c r="AC151" s="99"/>
      <c r="AD151" s="99"/>
      <c r="AE151" s="100"/>
      <c r="AF151" s="96"/>
      <c r="AG151" s="96"/>
      <c r="AH151" s="96"/>
      <c r="AI151" s="96"/>
      <c r="AJ151" s="104"/>
      <c r="AK151" s="96"/>
      <c r="AL151" s="96"/>
      <c r="AM151" s="96"/>
      <c r="AN151" s="96"/>
      <c r="AO151" s="104"/>
      <c r="AP151" s="96"/>
      <c r="AQ151" s="96"/>
      <c r="AR151" s="96"/>
      <c r="AS151" s="96"/>
      <c r="AT151" s="104"/>
      <c r="AU151" s="96"/>
      <c r="AV151" s="96"/>
      <c r="AW151" s="96"/>
      <c r="AX151" s="96"/>
      <c r="AY151" s="104"/>
      <c r="AZ151" s="96"/>
      <c r="BA151" s="96"/>
      <c r="BB151" s="96"/>
      <c r="BC151" s="96"/>
      <c r="BD151" s="104"/>
      <c r="BE151" s="96"/>
      <c r="BF151" s="96"/>
      <c r="BG151" s="96"/>
      <c r="BH151" s="96"/>
      <c r="BI151" s="104"/>
      <c r="BJ151" s="693" t="s">
        <v>253</v>
      </c>
    </row>
    <row r="152" spans="1:62" ht="20.25" customHeight="1">
      <c r="A152" s="315">
        <v>156</v>
      </c>
      <c r="B152" s="215" t="s">
        <v>52</v>
      </c>
      <c r="C152" s="238" t="s">
        <v>877</v>
      </c>
      <c r="D152" s="280" t="s">
        <v>878</v>
      </c>
      <c r="E152" s="604" t="s">
        <v>879</v>
      </c>
      <c r="F152" s="241" t="s">
        <v>560</v>
      </c>
      <c r="G152" s="241" t="s">
        <v>585</v>
      </c>
      <c r="H152" s="233">
        <v>46097</v>
      </c>
      <c r="I152" s="319"/>
      <c r="J152" s="214">
        <f t="shared" si="8"/>
        <v>7</v>
      </c>
      <c r="K152" s="104"/>
      <c r="L152" s="103"/>
      <c r="M152" s="103"/>
      <c r="N152" s="214"/>
      <c r="O152" s="314" t="s">
        <v>81</v>
      </c>
      <c r="P152" s="320"/>
      <c r="Q152" s="319"/>
      <c r="R152" s="319"/>
      <c r="S152" s="319"/>
      <c r="T152" s="319"/>
      <c r="U152" s="103"/>
      <c r="V152" s="99"/>
      <c r="W152" s="99"/>
      <c r="X152" s="99"/>
      <c r="Y152" s="340"/>
      <c r="Z152" s="100"/>
      <c r="AA152" s="99"/>
      <c r="AB152" s="99"/>
      <c r="AC152" s="99"/>
      <c r="AD152" s="99"/>
      <c r="AE152" s="100"/>
      <c r="AF152" s="96"/>
      <c r="AG152" s="96"/>
      <c r="AH152" s="96"/>
      <c r="AI152" s="96"/>
      <c r="AJ152" s="104"/>
      <c r="AK152" s="96"/>
      <c r="AL152" s="96"/>
      <c r="AM152" s="96"/>
      <c r="AN152" s="96"/>
      <c r="AO152" s="104"/>
      <c r="AP152" s="96"/>
      <c r="AQ152" s="96"/>
      <c r="AR152" s="96"/>
      <c r="AS152" s="96"/>
      <c r="AT152" s="104"/>
      <c r="AU152" s="96"/>
      <c r="AV152" s="96"/>
      <c r="AW152" s="96"/>
      <c r="AX152" s="96"/>
      <c r="AY152" s="104"/>
      <c r="AZ152" s="96"/>
      <c r="BA152" s="96"/>
      <c r="BB152" s="96"/>
      <c r="BC152" s="96"/>
      <c r="BD152" s="104"/>
      <c r="BE152" s="96"/>
      <c r="BF152" s="96"/>
      <c r="BG152" s="96"/>
      <c r="BH152" s="96"/>
      <c r="BI152" s="104"/>
      <c r="BJ152" s="693" t="s">
        <v>82</v>
      </c>
    </row>
    <row r="153" spans="1:62" ht="20.25" customHeight="1">
      <c r="A153" s="315">
        <v>157</v>
      </c>
      <c r="B153" s="215" t="s">
        <v>52</v>
      </c>
      <c r="C153" s="238" t="s">
        <v>880</v>
      </c>
      <c r="D153" s="280" t="s">
        <v>881</v>
      </c>
      <c r="E153" s="604" t="s">
        <v>882</v>
      </c>
      <c r="F153" s="241" t="s">
        <v>560</v>
      </c>
      <c r="G153" s="241" t="s">
        <v>585</v>
      </c>
      <c r="H153" s="233">
        <v>46097</v>
      </c>
      <c r="I153" s="319"/>
      <c r="J153" s="214">
        <f t="shared" si="8"/>
        <v>7</v>
      </c>
      <c r="K153" s="104"/>
      <c r="L153" s="103"/>
      <c r="M153" s="103"/>
      <c r="N153" s="214"/>
      <c r="O153" s="314" t="s">
        <v>81</v>
      </c>
      <c r="P153" s="320"/>
      <c r="Q153" s="319"/>
      <c r="R153" s="319"/>
      <c r="S153" s="319"/>
      <c r="T153" s="341"/>
      <c r="U153" s="103"/>
      <c r="V153" s="99"/>
      <c r="W153" s="99"/>
      <c r="X153" s="99"/>
      <c r="Y153" s="99"/>
      <c r="Z153" s="100"/>
      <c r="AA153" s="99"/>
      <c r="AB153" s="99"/>
      <c r="AC153" s="99"/>
      <c r="AD153" s="99"/>
      <c r="AE153" s="100"/>
      <c r="AF153" s="96"/>
      <c r="AG153" s="96"/>
      <c r="AH153" s="96"/>
      <c r="AI153" s="96"/>
      <c r="AJ153" s="104"/>
      <c r="AK153" s="96"/>
      <c r="AL153" s="96"/>
      <c r="AM153" s="96"/>
      <c r="AN153" s="96"/>
      <c r="AO153" s="104"/>
      <c r="AP153" s="96"/>
      <c r="AQ153" s="96"/>
      <c r="AR153" s="96"/>
      <c r="AS153" s="96"/>
      <c r="AT153" s="104"/>
      <c r="AU153" s="96"/>
      <c r="AV153" s="96"/>
      <c r="AW153" s="96"/>
      <c r="AX153" s="96"/>
      <c r="AY153" s="104"/>
      <c r="AZ153" s="96"/>
      <c r="BA153" s="96"/>
      <c r="BB153" s="96"/>
      <c r="BC153" s="96"/>
      <c r="BD153" s="104"/>
      <c r="BE153" s="96"/>
      <c r="BF153" s="96"/>
      <c r="BG153" s="96"/>
      <c r="BH153" s="96"/>
      <c r="BI153" s="104"/>
      <c r="BJ153" s="693" t="s">
        <v>82</v>
      </c>
    </row>
    <row r="154" spans="1:62" ht="20.25" customHeight="1">
      <c r="A154" s="315">
        <v>158</v>
      </c>
      <c r="B154" s="215" t="s">
        <v>52</v>
      </c>
      <c r="C154" s="238" t="s">
        <v>883</v>
      </c>
      <c r="D154" s="280" t="s">
        <v>884</v>
      </c>
      <c r="E154" s="604" t="s">
        <v>885</v>
      </c>
      <c r="F154" s="241" t="s">
        <v>560</v>
      </c>
      <c r="G154" s="241" t="s">
        <v>585</v>
      </c>
      <c r="H154" s="233">
        <v>46106</v>
      </c>
      <c r="I154" s="319"/>
      <c r="J154" s="214">
        <f t="shared" si="8"/>
        <v>7</v>
      </c>
      <c r="K154" s="104"/>
      <c r="L154" s="103"/>
      <c r="M154" s="103"/>
      <c r="N154" s="319"/>
      <c r="O154" s="314" t="s">
        <v>81</v>
      </c>
      <c r="P154" s="320"/>
      <c r="Q154" s="319"/>
      <c r="R154" s="319"/>
      <c r="S154" s="319"/>
      <c r="T154" s="319"/>
      <c r="U154" s="103"/>
      <c r="V154" s="99"/>
      <c r="W154" s="99"/>
      <c r="X154" s="99"/>
      <c r="Y154" s="99"/>
      <c r="Z154" s="100"/>
      <c r="AA154" s="121"/>
      <c r="AB154" s="99"/>
      <c r="AC154" s="99"/>
      <c r="AD154" s="99"/>
      <c r="AE154" s="100"/>
      <c r="AF154" s="96"/>
      <c r="AG154" s="96"/>
      <c r="AH154" s="96"/>
      <c r="AI154" s="96"/>
      <c r="AJ154" s="104"/>
      <c r="AK154" s="96"/>
      <c r="AL154" s="96"/>
      <c r="AM154" s="96"/>
      <c r="AN154" s="96"/>
      <c r="AO154" s="104"/>
      <c r="AP154" s="96"/>
      <c r="AQ154" s="96"/>
      <c r="AR154" s="96"/>
      <c r="AS154" s="96"/>
      <c r="AT154" s="104"/>
      <c r="AU154" s="96"/>
      <c r="AV154" s="96"/>
      <c r="AW154" s="96"/>
      <c r="AX154" s="96"/>
      <c r="AY154" s="104"/>
      <c r="AZ154" s="96"/>
      <c r="BA154" s="96"/>
      <c r="BB154" s="96"/>
      <c r="BC154" s="96"/>
      <c r="BD154" s="104"/>
      <c r="BE154" s="96"/>
      <c r="BF154" s="96"/>
      <c r="BG154" s="96"/>
      <c r="BH154" s="96"/>
      <c r="BI154" s="104"/>
      <c r="BJ154" s="693" t="s">
        <v>82</v>
      </c>
    </row>
    <row r="155" spans="1:62" ht="20.25" customHeight="1">
      <c r="A155" s="315">
        <v>159</v>
      </c>
      <c r="B155" s="215" t="s">
        <v>52</v>
      </c>
      <c r="C155" s="238" t="s">
        <v>886</v>
      </c>
      <c r="D155" s="280" t="s">
        <v>887</v>
      </c>
      <c r="E155" s="604" t="s">
        <v>888</v>
      </c>
      <c r="F155" s="241" t="s">
        <v>560</v>
      </c>
      <c r="G155" s="241" t="s">
        <v>585</v>
      </c>
      <c r="H155" s="233">
        <v>46080</v>
      </c>
      <c r="I155" s="214">
        <v>46065</v>
      </c>
      <c r="J155" s="214">
        <f t="shared" si="8"/>
        <v>46072</v>
      </c>
      <c r="K155" s="103">
        <v>0</v>
      </c>
      <c r="L155" s="103" t="s">
        <v>49</v>
      </c>
      <c r="M155" s="103" t="s">
        <v>89</v>
      </c>
      <c r="N155" s="319"/>
      <c r="O155" s="314" t="s">
        <v>81</v>
      </c>
      <c r="P155" s="320"/>
      <c r="Q155" s="319">
        <v>46065</v>
      </c>
      <c r="R155" s="319"/>
      <c r="S155" s="319"/>
      <c r="T155" s="319"/>
      <c r="U155" s="103"/>
      <c r="V155" s="99"/>
      <c r="W155" s="99"/>
      <c r="X155" s="99"/>
      <c r="Y155" s="99"/>
      <c r="Z155" s="100"/>
      <c r="AA155" s="99"/>
      <c r="AB155" s="99"/>
      <c r="AC155" s="99"/>
      <c r="AD155" s="99"/>
      <c r="AE155" s="100"/>
      <c r="AF155" s="96"/>
      <c r="AG155" s="96"/>
      <c r="AH155" s="96"/>
      <c r="AI155" s="96"/>
      <c r="AJ155" s="104"/>
      <c r="AK155" s="96"/>
      <c r="AL155" s="96"/>
      <c r="AM155" s="96"/>
      <c r="AN155" s="96"/>
      <c r="AO155" s="104"/>
      <c r="AP155" s="96"/>
      <c r="AQ155" s="96"/>
      <c r="AR155" s="96"/>
      <c r="AS155" s="96"/>
      <c r="AT155" s="104"/>
      <c r="AU155" s="96"/>
      <c r="AV155" s="96"/>
      <c r="AW155" s="96"/>
      <c r="AX155" s="96"/>
      <c r="AY155" s="104"/>
      <c r="AZ155" s="96"/>
      <c r="BA155" s="96"/>
      <c r="BB155" s="96"/>
      <c r="BC155" s="96"/>
      <c r="BD155" s="104"/>
      <c r="BE155" s="96"/>
      <c r="BF155" s="96"/>
      <c r="BG155" s="96"/>
      <c r="BH155" s="96"/>
      <c r="BI155" s="104"/>
      <c r="BJ155" s="693" t="s">
        <v>82</v>
      </c>
    </row>
    <row r="156" spans="1:62" ht="20.25" customHeight="1">
      <c r="A156" s="315">
        <v>160</v>
      </c>
      <c r="B156" s="215" t="s">
        <v>52</v>
      </c>
      <c r="C156" s="238" t="s">
        <v>889</v>
      </c>
      <c r="D156" s="280" t="s">
        <v>890</v>
      </c>
      <c r="E156" s="604" t="s">
        <v>891</v>
      </c>
      <c r="F156" s="241" t="s">
        <v>560</v>
      </c>
      <c r="G156" s="241" t="s">
        <v>585</v>
      </c>
      <c r="H156" s="233">
        <v>46080</v>
      </c>
      <c r="I156" s="214">
        <v>46065</v>
      </c>
      <c r="J156" s="214">
        <f t="shared" ref="J156" si="10">I156+7</f>
        <v>46072</v>
      </c>
      <c r="K156" s="103">
        <v>0</v>
      </c>
      <c r="L156" s="103" t="s">
        <v>49</v>
      </c>
      <c r="M156" s="103" t="s">
        <v>89</v>
      </c>
      <c r="N156" s="319"/>
      <c r="O156" s="314" t="s">
        <v>81</v>
      </c>
      <c r="P156" s="320"/>
      <c r="Q156" s="319">
        <v>46065</v>
      </c>
      <c r="R156" s="319"/>
      <c r="S156" s="319"/>
      <c r="T156" s="319"/>
      <c r="U156" s="103"/>
      <c r="V156" s="99"/>
      <c r="W156" s="99"/>
      <c r="X156" s="99"/>
      <c r="Y156" s="99"/>
      <c r="Z156" s="100"/>
      <c r="AA156" s="99"/>
      <c r="AB156" s="99"/>
      <c r="AC156" s="99"/>
      <c r="AD156" s="99"/>
      <c r="AE156" s="100"/>
      <c r="AF156" s="96"/>
      <c r="AG156" s="96"/>
      <c r="AH156" s="96"/>
      <c r="AI156" s="96"/>
      <c r="AJ156" s="104"/>
      <c r="AK156" s="96"/>
      <c r="AL156" s="96"/>
      <c r="AM156" s="96"/>
      <c r="AN156" s="96"/>
      <c r="AO156" s="104"/>
      <c r="AP156" s="96"/>
      <c r="AQ156" s="96"/>
      <c r="AR156" s="96"/>
      <c r="AS156" s="96"/>
      <c r="AT156" s="104"/>
      <c r="AU156" s="96"/>
      <c r="AV156" s="96"/>
      <c r="AW156" s="96"/>
      <c r="AX156" s="96"/>
      <c r="AY156" s="104"/>
      <c r="AZ156" s="96"/>
      <c r="BA156" s="96"/>
      <c r="BB156" s="96"/>
      <c r="BC156" s="96"/>
      <c r="BD156" s="104"/>
      <c r="BE156" s="96"/>
      <c r="BF156" s="96"/>
      <c r="BG156" s="96"/>
      <c r="BH156" s="96"/>
      <c r="BI156" s="104"/>
      <c r="BJ156" s="693" t="s">
        <v>253</v>
      </c>
    </row>
    <row r="157" spans="1:62" ht="20.25" customHeight="1">
      <c r="A157" s="315">
        <v>161</v>
      </c>
      <c r="B157" s="215" t="s">
        <v>52</v>
      </c>
      <c r="C157" s="238" t="s">
        <v>892</v>
      </c>
      <c r="D157" s="280" t="s">
        <v>893</v>
      </c>
      <c r="E157" s="604" t="s">
        <v>894</v>
      </c>
      <c r="F157" s="241" t="s">
        <v>560</v>
      </c>
      <c r="G157" s="241" t="s">
        <v>585</v>
      </c>
      <c r="H157" s="233">
        <v>46080</v>
      </c>
      <c r="I157" s="214">
        <v>46065</v>
      </c>
      <c r="J157" s="214">
        <f t="shared" ref="J157" si="11">I157+7</f>
        <v>46072</v>
      </c>
      <c r="K157" s="103">
        <v>0</v>
      </c>
      <c r="L157" s="103" t="s">
        <v>49</v>
      </c>
      <c r="M157" s="103" t="s">
        <v>89</v>
      </c>
      <c r="N157" s="319"/>
      <c r="O157" s="314" t="s">
        <v>81</v>
      </c>
      <c r="P157" s="320"/>
      <c r="Q157" s="319">
        <v>46065</v>
      </c>
      <c r="R157" s="319"/>
      <c r="S157" s="319"/>
      <c r="T157" s="319"/>
      <c r="U157" s="103"/>
      <c r="V157" s="99"/>
      <c r="W157" s="99"/>
      <c r="X157" s="99"/>
      <c r="Y157" s="99"/>
      <c r="Z157" s="100"/>
      <c r="AA157" s="99"/>
      <c r="AB157" s="99"/>
      <c r="AC157" s="99"/>
      <c r="AD157" s="99"/>
      <c r="AE157" s="100"/>
      <c r="AF157" s="96"/>
      <c r="AG157" s="96"/>
      <c r="AH157" s="96"/>
      <c r="AI157" s="96"/>
      <c r="AJ157" s="104"/>
      <c r="AK157" s="96"/>
      <c r="AL157" s="96"/>
      <c r="AM157" s="96"/>
      <c r="AN157" s="96"/>
      <c r="AO157" s="104"/>
      <c r="AP157" s="96"/>
      <c r="AQ157" s="96"/>
      <c r="AR157" s="96"/>
      <c r="AS157" s="96"/>
      <c r="AT157" s="104"/>
      <c r="AU157" s="96"/>
      <c r="AV157" s="96"/>
      <c r="AW157" s="96"/>
      <c r="AX157" s="96"/>
      <c r="AY157" s="104"/>
      <c r="AZ157" s="96"/>
      <c r="BA157" s="96"/>
      <c r="BB157" s="96"/>
      <c r="BC157" s="96"/>
      <c r="BD157" s="104"/>
      <c r="BE157" s="96"/>
      <c r="BF157" s="96"/>
      <c r="BG157" s="96"/>
      <c r="BH157" s="96"/>
      <c r="BI157" s="104"/>
      <c r="BJ157" s="693" t="s">
        <v>253</v>
      </c>
    </row>
    <row r="158" spans="1:62" ht="20.25" customHeight="1">
      <c r="A158" s="315">
        <v>162</v>
      </c>
      <c r="B158" s="215" t="s">
        <v>52</v>
      </c>
      <c r="C158" s="238" t="s">
        <v>895</v>
      </c>
      <c r="D158" s="280" t="s">
        <v>896</v>
      </c>
      <c r="E158" s="604" t="s">
        <v>897</v>
      </c>
      <c r="F158" s="241" t="s">
        <v>560</v>
      </c>
      <c r="G158" s="241" t="s">
        <v>585</v>
      </c>
      <c r="H158" s="233">
        <v>46104</v>
      </c>
      <c r="I158" s="313"/>
      <c r="J158" s="214">
        <f t="shared" si="8"/>
        <v>7</v>
      </c>
      <c r="K158" s="93"/>
      <c r="L158" s="103"/>
      <c r="M158" s="103"/>
      <c r="N158" s="319"/>
      <c r="O158" s="314" t="s">
        <v>81</v>
      </c>
      <c r="P158" s="320"/>
      <c r="Q158" s="319"/>
      <c r="R158" s="319"/>
      <c r="S158" s="319"/>
      <c r="T158" s="319"/>
      <c r="U158" s="103"/>
      <c r="V158" s="99"/>
      <c r="W158" s="99"/>
      <c r="X158" s="99"/>
      <c r="Y158" s="99"/>
      <c r="Z158" s="100"/>
      <c r="AA158" s="99"/>
      <c r="AB158" s="99"/>
      <c r="AC158" s="99"/>
      <c r="AD158" s="99"/>
      <c r="AE158" s="100"/>
      <c r="AF158" s="96"/>
      <c r="AG158" s="96"/>
      <c r="AH158" s="96"/>
      <c r="AI158" s="96"/>
      <c r="AJ158" s="104"/>
      <c r="AK158" s="96"/>
      <c r="AL158" s="96"/>
      <c r="AM158" s="96"/>
      <c r="AN158" s="96"/>
      <c r="AO158" s="104"/>
      <c r="AP158" s="96"/>
      <c r="AQ158" s="96"/>
      <c r="AR158" s="96"/>
      <c r="AS158" s="96"/>
      <c r="AT158" s="104"/>
      <c r="AU158" s="96"/>
      <c r="AV158" s="96"/>
      <c r="AW158" s="96"/>
      <c r="AX158" s="96"/>
      <c r="AY158" s="104"/>
      <c r="AZ158" s="96"/>
      <c r="BA158" s="96"/>
      <c r="BB158" s="96"/>
      <c r="BC158" s="96"/>
      <c r="BD158" s="104"/>
      <c r="BE158" s="96"/>
      <c r="BF158" s="96"/>
      <c r="BG158" s="96"/>
      <c r="BH158" s="96"/>
      <c r="BI158" s="104"/>
      <c r="BJ158" s="693" t="s">
        <v>82</v>
      </c>
    </row>
    <row r="159" spans="1:62" ht="20.25" customHeight="1">
      <c r="A159" s="315">
        <v>163</v>
      </c>
      <c r="B159" s="215" t="s">
        <v>52</v>
      </c>
      <c r="C159" s="238" t="s">
        <v>898</v>
      </c>
      <c r="D159" s="280" t="s">
        <v>899</v>
      </c>
      <c r="E159" s="604" t="s">
        <v>900</v>
      </c>
      <c r="F159" s="241" t="s">
        <v>560</v>
      </c>
      <c r="G159" s="241" t="s">
        <v>585</v>
      </c>
      <c r="H159" s="233">
        <v>46104</v>
      </c>
      <c r="I159" s="313"/>
      <c r="J159" s="214">
        <f t="shared" si="8"/>
        <v>7</v>
      </c>
      <c r="K159" s="93"/>
      <c r="L159" s="103"/>
      <c r="M159" s="103"/>
      <c r="N159" s="319"/>
      <c r="O159" s="314" t="s">
        <v>81</v>
      </c>
      <c r="P159" s="320"/>
      <c r="Q159" s="319"/>
      <c r="R159" s="319"/>
      <c r="S159" s="319"/>
      <c r="T159" s="319"/>
      <c r="U159" s="103"/>
      <c r="V159" s="99"/>
      <c r="W159" s="99"/>
      <c r="X159" s="99"/>
      <c r="Y159" s="99"/>
      <c r="Z159" s="100"/>
      <c r="AA159" s="99"/>
      <c r="AB159" s="99"/>
      <c r="AC159" s="99"/>
      <c r="AD159" s="99"/>
      <c r="AE159" s="100"/>
      <c r="AF159" s="96"/>
      <c r="AG159" s="96"/>
      <c r="AH159" s="96"/>
      <c r="AI159" s="96"/>
      <c r="AJ159" s="104"/>
      <c r="AK159" s="96"/>
      <c r="AL159" s="96"/>
      <c r="AM159" s="96"/>
      <c r="AN159" s="96"/>
      <c r="AO159" s="104"/>
      <c r="AP159" s="96"/>
      <c r="AQ159" s="96"/>
      <c r="AR159" s="96"/>
      <c r="AS159" s="96"/>
      <c r="AT159" s="104"/>
      <c r="AU159" s="96"/>
      <c r="AV159" s="96"/>
      <c r="AW159" s="96"/>
      <c r="AX159" s="96"/>
      <c r="AY159" s="104"/>
      <c r="AZ159" s="96"/>
      <c r="BA159" s="96"/>
      <c r="BB159" s="96"/>
      <c r="BC159" s="96"/>
      <c r="BD159" s="104"/>
      <c r="BE159" s="96"/>
      <c r="BF159" s="96"/>
      <c r="BG159" s="96"/>
      <c r="BH159" s="96"/>
      <c r="BI159" s="104"/>
      <c r="BJ159" s="693" t="s">
        <v>82</v>
      </c>
    </row>
    <row r="160" spans="1:62" ht="20.25" customHeight="1">
      <c r="A160" s="315">
        <v>164</v>
      </c>
      <c r="B160" s="215" t="s">
        <v>52</v>
      </c>
      <c r="C160" s="238" t="s">
        <v>901</v>
      </c>
      <c r="D160" s="280" t="s">
        <v>902</v>
      </c>
      <c r="E160" s="604" t="s">
        <v>903</v>
      </c>
      <c r="F160" s="241" t="s">
        <v>560</v>
      </c>
      <c r="G160" s="241" t="s">
        <v>585</v>
      </c>
      <c r="H160" s="233">
        <v>46104</v>
      </c>
      <c r="I160" s="313"/>
      <c r="J160" s="214">
        <f t="shared" si="8"/>
        <v>7</v>
      </c>
      <c r="K160" s="93"/>
      <c r="L160" s="103"/>
      <c r="M160" s="103"/>
      <c r="N160" s="319"/>
      <c r="O160" s="314" t="s">
        <v>81</v>
      </c>
      <c r="P160" s="320"/>
      <c r="Q160" s="319"/>
      <c r="R160" s="319"/>
      <c r="S160" s="319"/>
      <c r="T160" s="319"/>
      <c r="U160" s="103"/>
      <c r="V160" s="99"/>
      <c r="W160" s="99"/>
      <c r="X160" s="99"/>
      <c r="Y160" s="99"/>
      <c r="Z160" s="100"/>
      <c r="AA160" s="99"/>
      <c r="AB160" s="99"/>
      <c r="AC160" s="99"/>
      <c r="AD160" s="99"/>
      <c r="AE160" s="100"/>
      <c r="AF160" s="96"/>
      <c r="AG160" s="96"/>
      <c r="AH160" s="96"/>
      <c r="AI160" s="96"/>
      <c r="AJ160" s="104"/>
      <c r="AK160" s="96"/>
      <c r="AL160" s="96"/>
      <c r="AM160" s="96"/>
      <c r="AN160" s="96"/>
      <c r="AO160" s="104"/>
      <c r="AP160" s="96"/>
      <c r="AQ160" s="96"/>
      <c r="AR160" s="96"/>
      <c r="AS160" s="96"/>
      <c r="AT160" s="104"/>
      <c r="AU160" s="96"/>
      <c r="AV160" s="96"/>
      <c r="AW160" s="96"/>
      <c r="AX160" s="96"/>
      <c r="AY160" s="104"/>
      <c r="AZ160" s="96"/>
      <c r="BA160" s="96"/>
      <c r="BB160" s="96"/>
      <c r="BC160" s="96"/>
      <c r="BD160" s="104"/>
      <c r="BE160" s="96"/>
      <c r="BF160" s="96"/>
      <c r="BG160" s="96"/>
      <c r="BH160" s="96"/>
      <c r="BI160" s="104"/>
      <c r="BJ160" s="693" t="s">
        <v>82</v>
      </c>
    </row>
    <row r="161" spans="1:62" ht="20.25" customHeight="1">
      <c r="A161" s="315">
        <v>165</v>
      </c>
      <c r="B161" s="215" t="s">
        <v>52</v>
      </c>
      <c r="C161" s="238" t="s">
        <v>904</v>
      </c>
      <c r="D161" s="280" t="s">
        <v>905</v>
      </c>
      <c r="E161" s="604" t="s">
        <v>906</v>
      </c>
      <c r="F161" s="241" t="s">
        <v>560</v>
      </c>
      <c r="G161" s="241" t="s">
        <v>585</v>
      </c>
      <c r="H161" s="233">
        <v>46106</v>
      </c>
      <c r="I161" s="313"/>
      <c r="J161" s="214">
        <f t="shared" si="8"/>
        <v>7</v>
      </c>
      <c r="K161" s="93"/>
      <c r="L161" s="103"/>
      <c r="M161" s="103"/>
      <c r="N161" s="319"/>
      <c r="O161" s="314" t="s">
        <v>81</v>
      </c>
      <c r="P161" s="320"/>
      <c r="Q161" s="319"/>
      <c r="R161" s="319"/>
      <c r="S161" s="319"/>
      <c r="T161" s="319"/>
      <c r="U161" s="103"/>
      <c r="V161" s="99"/>
      <c r="W161" s="99"/>
      <c r="X161" s="99"/>
      <c r="Y161" s="99"/>
      <c r="Z161" s="100"/>
      <c r="AA161" s="99"/>
      <c r="AB161" s="99"/>
      <c r="AC161" s="99"/>
      <c r="AD161" s="99"/>
      <c r="AE161" s="100"/>
      <c r="AF161" s="96"/>
      <c r="AG161" s="96"/>
      <c r="AH161" s="96"/>
      <c r="AI161" s="96"/>
      <c r="AJ161" s="104"/>
      <c r="AK161" s="96"/>
      <c r="AL161" s="96"/>
      <c r="AM161" s="96"/>
      <c r="AN161" s="96"/>
      <c r="AO161" s="104"/>
      <c r="AP161" s="96"/>
      <c r="AQ161" s="96"/>
      <c r="AR161" s="96"/>
      <c r="AS161" s="96"/>
      <c r="AT161" s="104"/>
      <c r="AU161" s="96"/>
      <c r="AV161" s="96"/>
      <c r="AW161" s="96"/>
      <c r="AX161" s="96"/>
      <c r="AY161" s="104"/>
      <c r="AZ161" s="96"/>
      <c r="BA161" s="96"/>
      <c r="BB161" s="96"/>
      <c r="BC161" s="96"/>
      <c r="BD161" s="104"/>
      <c r="BE161" s="96"/>
      <c r="BF161" s="96"/>
      <c r="BG161" s="96"/>
      <c r="BH161" s="96"/>
      <c r="BI161" s="104"/>
      <c r="BJ161" s="693" t="s">
        <v>82</v>
      </c>
    </row>
    <row r="162" spans="1:62" ht="20.25" customHeight="1">
      <c r="A162" s="315">
        <v>166</v>
      </c>
      <c r="B162" s="215" t="s">
        <v>52</v>
      </c>
      <c r="C162" s="238" t="s">
        <v>907</v>
      </c>
      <c r="D162" s="280" t="s">
        <v>908</v>
      </c>
      <c r="E162" s="604" t="s">
        <v>909</v>
      </c>
      <c r="F162" s="241" t="s">
        <v>560</v>
      </c>
      <c r="G162" s="241" t="s">
        <v>585</v>
      </c>
      <c r="H162" s="233">
        <v>46106</v>
      </c>
      <c r="I162" s="313"/>
      <c r="J162" s="214">
        <f t="shared" si="8"/>
        <v>7</v>
      </c>
      <c r="K162" s="93"/>
      <c r="L162" s="103"/>
      <c r="M162" s="103"/>
      <c r="N162" s="319"/>
      <c r="O162" s="314" t="s">
        <v>81</v>
      </c>
      <c r="P162" s="320"/>
      <c r="Q162" s="319"/>
      <c r="R162" s="319"/>
      <c r="S162" s="319"/>
      <c r="T162" s="319"/>
      <c r="U162" s="103"/>
      <c r="V162" s="99"/>
      <c r="W162" s="99"/>
      <c r="X162" s="99"/>
      <c r="Y162" s="99"/>
      <c r="Z162" s="100"/>
      <c r="AA162" s="99"/>
      <c r="AB162" s="99"/>
      <c r="AC162" s="99"/>
      <c r="AD162" s="99"/>
      <c r="AE162" s="100"/>
      <c r="AF162" s="96"/>
      <c r="AG162" s="96"/>
      <c r="AH162" s="96"/>
      <c r="AI162" s="96"/>
      <c r="AJ162" s="104"/>
      <c r="AK162" s="96"/>
      <c r="AL162" s="96"/>
      <c r="AM162" s="96"/>
      <c r="AN162" s="96"/>
      <c r="AO162" s="104"/>
      <c r="AP162" s="96"/>
      <c r="AQ162" s="96"/>
      <c r="AR162" s="96"/>
      <c r="AS162" s="96"/>
      <c r="AT162" s="104"/>
      <c r="AU162" s="96"/>
      <c r="AV162" s="96"/>
      <c r="AW162" s="96"/>
      <c r="AX162" s="96"/>
      <c r="AY162" s="104"/>
      <c r="AZ162" s="96"/>
      <c r="BA162" s="96"/>
      <c r="BB162" s="96"/>
      <c r="BC162" s="96"/>
      <c r="BD162" s="104"/>
      <c r="BE162" s="96"/>
      <c r="BF162" s="96"/>
      <c r="BG162" s="96"/>
      <c r="BH162" s="96"/>
      <c r="BI162" s="104"/>
      <c r="BJ162" s="693" t="s">
        <v>82</v>
      </c>
    </row>
    <row r="163" spans="1:62" ht="20.25" customHeight="1">
      <c r="A163" s="633">
        <v>167</v>
      </c>
      <c r="B163" s="215" t="s">
        <v>52</v>
      </c>
      <c r="C163" s="238" t="s">
        <v>910</v>
      </c>
      <c r="D163" s="280" t="s">
        <v>911</v>
      </c>
      <c r="E163" s="604" t="s">
        <v>912</v>
      </c>
      <c r="F163" s="241" t="s">
        <v>913</v>
      </c>
      <c r="G163" s="241" t="s">
        <v>541</v>
      </c>
      <c r="H163" s="781">
        <v>46071</v>
      </c>
      <c r="I163" s="313"/>
      <c r="J163" s="214">
        <f t="shared" si="8"/>
        <v>7</v>
      </c>
      <c r="K163" s="93"/>
      <c r="L163" s="103"/>
      <c r="M163" s="103"/>
      <c r="N163" s="319"/>
      <c r="O163" s="314" t="s">
        <v>81</v>
      </c>
      <c r="P163" s="320"/>
      <c r="Q163" s="319"/>
      <c r="R163" s="319"/>
      <c r="S163" s="319"/>
      <c r="T163" s="319"/>
      <c r="U163" s="103"/>
      <c r="V163" s="99"/>
      <c r="W163" s="99"/>
      <c r="X163" s="99"/>
      <c r="Y163" s="99"/>
      <c r="Z163" s="100"/>
      <c r="AA163" s="99"/>
      <c r="AB163" s="99"/>
      <c r="AC163" s="99"/>
      <c r="AD163" s="99"/>
      <c r="AE163" s="100"/>
      <c r="AF163" s="96"/>
      <c r="AG163" s="96"/>
      <c r="AH163" s="96"/>
      <c r="AI163" s="96"/>
      <c r="AJ163" s="104"/>
      <c r="AK163" s="96"/>
      <c r="AL163" s="96"/>
      <c r="AM163" s="96"/>
      <c r="AN163" s="96"/>
      <c r="AO163" s="104"/>
      <c r="AP163" s="96"/>
      <c r="AQ163" s="96"/>
      <c r="AR163" s="96"/>
      <c r="AS163" s="96"/>
      <c r="AT163" s="104"/>
      <c r="AU163" s="96"/>
      <c r="AV163" s="96"/>
      <c r="AW163" s="96"/>
      <c r="AX163" s="96"/>
      <c r="AY163" s="104"/>
      <c r="AZ163" s="96"/>
      <c r="BA163" s="96"/>
      <c r="BB163" s="96"/>
      <c r="BC163" s="96"/>
      <c r="BD163" s="104"/>
      <c r="BE163" s="96"/>
      <c r="BF163" s="96"/>
      <c r="BG163" s="96"/>
      <c r="BH163" s="96"/>
      <c r="BI163" s="104"/>
      <c r="BJ163" s="693" t="s">
        <v>82</v>
      </c>
    </row>
    <row r="164" spans="1:62" ht="20.25" customHeight="1">
      <c r="A164" s="633">
        <v>168</v>
      </c>
      <c r="B164" s="215" t="s">
        <v>52</v>
      </c>
      <c r="C164" s="238" t="s">
        <v>914</v>
      </c>
      <c r="D164" s="280" t="s">
        <v>915</v>
      </c>
      <c r="E164" s="604" t="s">
        <v>916</v>
      </c>
      <c r="F164" s="241" t="s">
        <v>917</v>
      </c>
      <c r="G164" s="241" t="s">
        <v>541</v>
      </c>
      <c r="H164" s="781">
        <v>46079</v>
      </c>
      <c r="I164" s="313"/>
      <c r="J164" s="214">
        <f t="shared" si="8"/>
        <v>7</v>
      </c>
      <c r="K164" s="93"/>
      <c r="L164" s="103"/>
      <c r="M164" s="103"/>
      <c r="N164" s="319"/>
      <c r="O164" s="314" t="s">
        <v>81</v>
      </c>
      <c r="P164" s="320"/>
      <c r="Q164" s="319"/>
      <c r="R164" s="319"/>
      <c r="S164" s="319"/>
      <c r="T164" s="319"/>
      <c r="U164" s="103"/>
      <c r="V164" s="99"/>
      <c r="W164" s="99"/>
      <c r="X164" s="99"/>
      <c r="Y164" s="99"/>
      <c r="Z164" s="100"/>
      <c r="AA164" s="99"/>
      <c r="AB164" s="99"/>
      <c r="AC164" s="99"/>
      <c r="AD164" s="99"/>
      <c r="AE164" s="100"/>
      <c r="AF164" s="96"/>
      <c r="AG164" s="96"/>
      <c r="AH164" s="96"/>
      <c r="AI164" s="96"/>
      <c r="AJ164" s="104"/>
      <c r="AK164" s="96"/>
      <c r="AL164" s="96"/>
      <c r="AM164" s="96"/>
      <c r="AN164" s="96"/>
      <c r="AO164" s="104"/>
      <c r="AP164" s="96"/>
      <c r="AQ164" s="96"/>
      <c r="AR164" s="96"/>
      <c r="AS164" s="96"/>
      <c r="AT164" s="104"/>
      <c r="AU164" s="96"/>
      <c r="AV164" s="96"/>
      <c r="AW164" s="96"/>
      <c r="AX164" s="96"/>
      <c r="AY164" s="104"/>
      <c r="AZ164" s="96"/>
      <c r="BA164" s="96"/>
      <c r="BB164" s="96"/>
      <c r="BC164" s="96"/>
      <c r="BD164" s="104"/>
      <c r="BE164" s="96"/>
      <c r="BF164" s="96"/>
      <c r="BG164" s="96"/>
      <c r="BH164" s="96"/>
      <c r="BI164" s="104"/>
      <c r="BJ164" s="693" t="s">
        <v>82</v>
      </c>
    </row>
    <row r="165" spans="1:62" ht="20.25" customHeight="1">
      <c r="A165" s="633">
        <v>169</v>
      </c>
      <c r="B165" s="215" t="s">
        <v>52</v>
      </c>
      <c r="C165" s="238" t="s">
        <v>918</v>
      </c>
      <c r="D165" s="280" t="s">
        <v>919</v>
      </c>
      <c r="E165" s="604" t="s">
        <v>920</v>
      </c>
      <c r="F165" s="241" t="s">
        <v>540</v>
      </c>
      <c r="G165" s="241" t="s">
        <v>541</v>
      </c>
      <c r="H165" s="781">
        <v>46078</v>
      </c>
      <c r="I165" s="313"/>
      <c r="J165" s="214">
        <f t="shared" si="8"/>
        <v>7</v>
      </c>
      <c r="K165" s="93"/>
      <c r="L165" s="103"/>
      <c r="M165" s="103"/>
      <c r="N165" s="319"/>
      <c r="O165" s="314" t="s">
        <v>81</v>
      </c>
      <c r="P165" s="320"/>
      <c r="Q165" s="319"/>
      <c r="R165" s="319"/>
      <c r="S165" s="319"/>
      <c r="T165" s="319"/>
      <c r="U165" s="103"/>
      <c r="V165" s="99"/>
      <c r="W165" s="99"/>
      <c r="X165" s="99"/>
      <c r="Y165" s="99"/>
      <c r="Z165" s="100"/>
      <c r="AA165" s="99"/>
      <c r="AB165" s="99"/>
      <c r="AC165" s="99"/>
      <c r="AD165" s="99"/>
      <c r="AE165" s="100"/>
      <c r="AF165" s="96"/>
      <c r="AG165" s="96"/>
      <c r="AH165" s="96"/>
      <c r="AI165" s="96"/>
      <c r="AJ165" s="104"/>
      <c r="AK165" s="96"/>
      <c r="AL165" s="96"/>
      <c r="AM165" s="96"/>
      <c r="AN165" s="96"/>
      <c r="AO165" s="104"/>
      <c r="AP165" s="96"/>
      <c r="AQ165" s="96"/>
      <c r="AR165" s="96"/>
      <c r="AS165" s="96"/>
      <c r="AT165" s="104"/>
      <c r="AU165" s="96"/>
      <c r="AV165" s="96"/>
      <c r="AW165" s="96"/>
      <c r="AX165" s="96"/>
      <c r="AY165" s="104"/>
      <c r="AZ165" s="96"/>
      <c r="BA165" s="96"/>
      <c r="BB165" s="96"/>
      <c r="BC165" s="96"/>
      <c r="BD165" s="104"/>
      <c r="BE165" s="96"/>
      <c r="BF165" s="96"/>
      <c r="BG165" s="96"/>
      <c r="BH165" s="96"/>
      <c r="BI165" s="104"/>
      <c r="BJ165" s="693" t="s">
        <v>82</v>
      </c>
    </row>
    <row r="166" spans="1:62" ht="20.25" customHeight="1">
      <c r="A166" s="633">
        <v>170</v>
      </c>
      <c r="B166" s="215" t="s">
        <v>52</v>
      </c>
      <c r="C166" s="238" t="s">
        <v>921</v>
      </c>
      <c r="D166" s="280" t="s">
        <v>922</v>
      </c>
      <c r="E166" s="604" t="s">
        <v>923</v>
      </c>
      <c r="F166" s="241" t="s">
        <v>913</v>
      </c>
      <c r="G166" s="241" t="s">
        <v>541</v>
      </c>
      <c r="H166" s="781">
        <v>46057</v>
      </c>
      <c r="I166" s="313">
        <v>46063</v>
      </c>
      <c r="J166" s="214">
        <f t="shared" si="8"/>
        <v>46070</v>
      </c>
      <c r="K166" s="93">
        <v>0</v>
      </c>
      <c r="L166" s="103" t="s">
        <v>49</v>
      </c>
      <c r="M166" s="103" t="s">
        <v>89</v>
      </c>
      <c r="N166" s="319"/>
      <c r="O166" s="314" t="s">
        <v>81</v>
      </c>
      <c r="P166" s="320"/>
      <c r="Q166" s="319">
        <v>46063</v>
      </c>
      <c r="R166" s="319"/>
      <c r="S166" s="319"/>
      <c r="T166" s="319"/>
      <c r="U166" s="103"/>
      <c r="V166" s="99"/>
      <c r="W166" s="99"/>
      <c r="X166" s="99"/>
      <c r="Y166" s="99"/>
      <c r="Z166" s="100"/>
      <c r="AA166" s="99"/>
      <c r="AB166" s="99"/>
      <c r="AC166" s="99"/>
      <c r="AD166" s="99"/>
      <c r="AE166" s="100"/>
      <c r="AF166" s="96"/>
      <c r="AG166" s="96"/>
      <c r="AH166" s="96"/>
      <c r="AI166" s="96"/>
      <c r="AJ166" s="104"/>
      <c r="AK166" s="96"/>
      <c r="AL166" s="96"/>
      <c r="AM166" s="96"/>
      <c r="AN166" s="96"/>
      <c r="AO166" s="104"/>
      <c r="AP166" s="96"/>
      <c r="AQ166" s="96"/>
      <c r="AR166" s="96"/>
      <c r="AS166" s="96"/>
      <c r="AT166" s="104"/>
      <c r="AU166" s="96"/>
      <c r="AV166" s="96"/>
      <c r="AW166" s="96"/>
      <c r="AX166" s="96"/>
      <c r="AY166" s="104"/>
      <c r="AZ166" s="96"/>
      <c r="BA166" s="96"/>
      <c r="BB166" s="96"/>
      <c r="BC166" s="96"/>
      <c r="BD166" s="104"/>
      <c r="BE166" s="96"/>
      <c r="BF166" s="96"/>
      <c r="BG166" s="96"/>
      <c r="BH166" s="96"/>
      <c r="BI166" s="104"/>
      <c r="BJ166" s="693" t="s">
        <v>82</v>
      </c>
    </row>
    <row r="167" spans="1:62" ht="20.25" customHeight="1">
      <c r="A167" s="633">
        <v>171</v>
      </c>
      <c r="B167" s="215" t="s">
        <v>52</v>
      </c>
      <c r="C167" s="238" t="s">
        <v>924</v>
      </c>
      <c r="D167" s="280" t="s">
        <v>925</v>
      </c>
      <c r="E167" s="604" t="s">
        <v>926</v>
      </c>
      <c r="F167" s="241" t="s">
        <v>917</v>
      </c>
      <c r="G167" s="241" t="s">
        <v>541</v>
      </c>
      <c r="H167" s="692">
        <v>46065</v>
      </c>
      <c r="I167" s="313"/>
      <c r="J167" s="214">
        <f t="shared" si="8"/>
        <v>7</v>
      </c>
      <c r="K167" s="93"/>
      <c r="L167" s="103"/>
      <c r="M167" s="103"/>
      <c r="N167" s="319"/>
      <c r="O167" s="314" t="s">
        <v>81</v>
      </c>
      <c r="P167" s="320"/>
      <c r="Q167" s="319"/>
      <c r="R167" s="319"/>
      <c r="S167" s="319"/>
      <c r="T167" s="319"/>
      <c r="U167" s="103"/>
      <c r="V167" s="99"/>
      <c r="W167" s="99"/>
      <c r="X167" s="99"/>
      <c r="Y167" s="99"/>
      <c r="Z167" s="100"/>
      <c r="AA167" s="99"/>
      <c r="AB167" s="99"/>
      <c r="AC167" s="99"/>
      <c r="AD167" s="99"/>
      <c r="AE167" s="100"/>
      <c r="AF167" s="96"/>
      <c r="AG167" s="96"/>
      <c r="AH167" s="96"/>
      <c r="AI167" s="96"/>
      <c r="AJ167" s="104"/>
      <c r="AK167" s="96"/>
      <c r="AL167" s="96"/>
      <c r="AM167" s="96"/>
      <c r="AN167" s="96"/>
      <c r="AO167" s="104"/>
      <c r="AP167" s="96"/>
      <c r="AQ167" s="96"/>
      <c r="AR167" s="96"/>
      <c r="AS167" s="96"/>
      <c r="AT167" s="104"/>
      <c r="AU167" s="96"/>
      <c r="AV167" s="96"/>
      <c r="AW167" s="96"/>
      <c r="AX167" s="96"/>
      <c r="AY167" s="104"/>
      <c r="AZ167" s="96"/>
      <c r="BA167" s="96"/>
      <c r="BB167" s="96"/>
      <c r="BC167" s="96"/>
      <c r="BD167" s="104"/>
      <c r="BE167" s="96"/>
      <c r="BF167" s="96"/>
      <c r="BG167" s="96"/>
      <c r="BH167" s="96"/>
      <c r="BI167" s="104"/>
      <c r="BJ167" s="693" t="s">
        <v>82</v>
      </c>
    </row>
    <row r="168" spans="1:62" ht="20.25" customHeight="1">
      <c r="A168" s="633">
        <v>172</v>
      </c>
      <c r="B168" s="215" t="s">
        <v>52</v>
      </c>
      <c r="C168" s="238" t="s">
        <v>927</v>
      </c>
      <c r="D168" s="280" t="s">
        <v>928</v>
      </c>
      <c r="E168" s="604" t="s">
        <v>929</v>
      </c>
      <c r="F168" s="241" t="s">
        <v>540</v>
      </c>
      <c r="G168" s="241" t="s">
        <v>541</v>
      </c>
      <c r="H168" s="692">
        <v>46064</v>
      </c>
      <c r="I168" s="313"/>
      <c r="J168" s="214">
        <f t="shared" si="8"/>
        <v>7</v>
      </c>
      <c r="K168" s="93"/>
      <c r="L168" s="103"/>
      <c r="M168" s="103"/>
      <c r="N168" s="319"/>
      <c r="O168" s="314" t="s">
        <v>81</v>
      </c>
      <c r="P168" s="320"/>
      <c r="Q168" s="319"/>
      <c r="R168" s="319"/>
      <c r="S168" s="319"/>
      <c r="T168" s="319"/>
      <c r="U168" s="103"/>
      <c r="V168" s="99"/>
      <c r="W168" s="99"/>
      <c r="X168" s="99"/>
      <c r="Y168" s="99"/>
      <c r="Z168" s="100"/>
      <c r="AA168" s="99"/>
      <c r="AB168" s="99"/>
      <c r="AC168" s="99"/>
      <c r="AD168" s="99"/>
      <c r="AE168" s="100"/>
      <c r="AF168" s="96"/>
      <c r="AG168" s="96"/>
      <c r="AH168" s="96"/>
      <c r="AI168" s="96"/>
      <c r="AJ168" s="104"/>
      <c r="AK168" s="96"/>
      <c r="AL168" s="96"/>
      <c r="AM168" s="96"/>
      <c r="AN168" s="96"/>
      <c r="AO168" s="104"/>
      <c r="AP168" s="96"/>
      <c r="AQ168" s="96"/>
      <c r="AR168" s="96"/>
      <c r="AS168" s="96"/>
      <c r="AT168" s="104"/>
      <c r="AU168" s="96"/>
      <c r="AV168" s="96"/>
      <c r="AW168" s="96"/>
      <c r="AX168" s="96"/>
      <c r="AY168" s="104"/>
      <c r="AZ168" s="96"/>
      <c r="BA168" s="96"/>
      <c r="BB168" s="96"/>
      <c r="BC168" s="96"/>
      <c r="BD168" s="104"/>
      <c r="BE168" s="96"/>
      <c r="BF168" s="96"/>
      <c r="BG168" s="96"/>
      <c r="BH168" s="96"/>
      <c r="BI168" s="104"/>
      <c r="BJ168" s="693" t="s">
        <v>82</v>
      </c>
    </row>
    <row r="169" spans="1:62" ht="20.25" customHeight="1">
      <c r="A169" s="633">
        <v>173</v>
      </c>
      <c r="B169" s="215" t="s">
        <v>52</v>
      </c>
      <c r="C169" s="238" t="s">
        <v>930</v>
      </c>
      <c r="D169" s="280" t="s">
        <v>931</v>
      </c>
      <c r="E169" s="604" t="s">
        <v>932</v>
      </c>
      <c r="F169" s="241" t="s">
        <v>913</v>
      </c>
      <c r="G169" s="241" t="s">
        <v>541</v>
      </c>
      <c r="H169" s="692">
        <v>46071</v>
      </c>
      <c r="I169" s="313"/>
      <c r="J169" s="214">
        <f t="shared" si="8"/>
        <v>7</v>
      </c>
      <c r="K169" s="93"/>
      <c r="L169" s="103"/>
      <c r="M169" s="103"/>
      <c r="N169" s="319"/>
      <c r="O169" s="314" t="s">
        <v>81</v>
      </c>
      <c r="P169" s="320"/>
      <c r="Q169" s="319"/>
      <c r="R169" s="319"/>
      <c r="S169" s="319"/>
      <c r="T169" s="319"/>
      <c r="U169" s="103"/>
      <c r="V169" s="99"/>
      <c r="W169" s="99"/>
      <c r="X169" s="99"/>
      <c r="Y169" s="99"/>
      <c r="Z169" s="100"/>
      <c r="AA169" s="99"/>
      <c r="AB169" s="99"/>
      <c r="AC169" s="99"/>
      <c r="AD169" s="99"/>
      <c r="AE169" s="100"/>
      <c r="AF169" s="96"/>
      <c r="AG169" s="96"/>
      <c r="AH169" s="96"/>
      <c r="AI169" s="96"/>
      <c r="AJ169" s="104"/>
      <c r="AK169" s="96"/>
      <c r="AL169" s="96"/>
      <c r="AM169" s="96"/>
      <c r="AN169" s="96"/>
      <c r="AO169" s="104"/>
      <c r="AP169" s="96"/>
      <c r="AQ169" s="96"/>
      <c r="AR169" s="96"/>
      <c r="AS169" s="96"/>
      <c r="AT169" s="104"/>
      <c r="AU169" s="96"/>
      <c r="AV169" s="96"/>
      <c r="AW169" s="96"/>
      <c r="AX169" s="96"/>
      <c r="AY169" s="104"/>
      <c r="AZ169" s="96"/>
      <c r="BA169" s="96"/>
      <c r="BB169" s="96"/>
      <c r="BC169" s="96"/>
      <c r="BD169" s="104"/>
      <c r="BE169" s="96"/>
      <c r="BF169" s="96"/>
      <c r="BG169" s="96"/>
      <c r="BH169" s="96"/>
      <c r="BI169" s="104"/>
      <c r="BJ169" s="693"/>
    </row>
    <row r="170" spans="1:62" ht="20.25" customHeight="1">
      <c r="A170" s="633">
        <v>174</v>
      </c>
      <c r="B170" s="215" t="s">
        <v>52</v>
      </c>
      <c r="C170" s="238" t="s">
        <v>933</v>
      </c>
      <c r="D170" s="280" t="s">
        <v>934</v>
      </c>
      <c r="E170" s="604" t="s">
        <v>935</v>
      </c>
      <c r="F170" s="241" t="s">
        <v>917</v>
      </c>
      <c r="G170" s="241" t="s">
        <v>541</v>
      </c>
      <c r="H170" s="692">
        <v>46078</v>
      </c>
      <c r="I170" s="313"/>
      <c r="J170" s="214">
        <f t="shared" si="8"/>
        <v>7</v>
      </c>
      <c r="K170" s="93"/>
      <c r="L170" s="103"/>
      <c r="M170" s="103"/>
      <c r="N170" s="319"/>
      <c r="O170" s="314" t="s">
        <v>81</v>
      </c>
      <c r="P170" s="320"/>
      <c r="Q170" s="319"/>
      <c r="R170" s="319"/>
      <c r="S170" s="319"/>
      <c r="T170" s="319"/>
      <c r="U170" s="103"/>
      <c r="V170" s="99"/>
      <c r="W170" s="99"/>
      <c r="X170" s="99"/>
      <c r="Y170" s="99"/>
      <c r="Z170" s="100"/>
      <c r="AA170" s="99"/>
      <c r="AB170" s="99"/>
      <c r="AC170" s="99"/>
      <c r="AD170" s="99"/>
      <c r="AE170" s="100"/>
      <c r="AF170" s="96"/>
      <c r="AG170" s="96"/>
      <c r="AH170" s="96"/>
      <c r="AI170" s="96"/>
      <c r="AJ170" s="104"/>
      <c r="AK170" s="96"/>
      <c r="AL170" s="96"/>
      <c r="AM170" s="96"/>
      <c r="AN170" s="96"/>
      <c r="AO170" s="104"/>
      <c r="AP170" s="96"/>
      <c r="AQ170" s="96"/>
      <c r="AR170" s="96"/>
      <c r="AS170" s="96"/>
      <c r="AT170" s="104"/>
      <c r="AU170" s="96"/>
      <c r="AV170" s="96"/>
      <c r="AW170" s="96"/>
      <c r="AX170" s="96"/>
      <c r="AY170" s="104"/>
      <c r="AZ170" s="96"/>
      <c r="BA170" s="96"/>
      <c r="BB170" s="96"/>
      <c r="BC170" s="96"/>
      <c r="BD170" s="104"/>
      <c r="BE170" s="96"/>
      <c r="BF170" s="96"/>
      <c r="BG170" s="96"/>
      <c r="BH170" s="96"/>
      <c r="BI170" s="104"/>
      <c r="BJ170" s="693" t="s">
        <v>82</v>
      </c>
    </row>
    <row r="171" spans="1:62" ht="20.25" customHeight="1">
      <c r="A171" s="633">
        <v>175</v>
      </c>
      <c r="B171" s="215" t="s">
        <v>52</v>
      </c>
      <c r="C171" s="238" t="s">
        <v>936</v>
      </c>
      <c r="D171" s="280" t="s">
        <v>937</v>
      </c>
      <c r="E171" s="604" t="s">
        <v>938</v>
      </c>
      <c r="F171" s="241" t="s">
        <v>913</v>
      </c>
      <c r="G171" s="241" t="s">
        <v>541</v>
      </c>
      <c r="H171" s="692">
        <v>46071</v>
      </c>
      <c r="I171" s="313"/>
      <c r="J171" s="214">
        <f t="shared" si="8"/>
        <v>7</v>
      </c>
      <c r="K171" s="93"/>
      <c r="L171" s="103"/>
      <c r="M171" s="103"/>
      <c r="N171" s="319"/>
      <c r="O171" s="314" t="s">
        <v>81</v>
      </c>
      <c r="P171" s="320"/>
      <c r="Q171" s="319"/>
      <c r="R171" s="319"/>
      <c r="S171" s="319"/>
      <c r="T171" s="319"/>
      <c r="U171" s="103"/>
      <c r="V171" s="99"/>
      <c r="W171" s="99"/>
      <c r="X171" s="99"/>
      <c r="Y171" s="99"/>
      <c r="Z171" s="100"/>
      <c r="AA171" s="99"/>
      <c r="AB171" s="99"/>
      <c r="AC171" s="99"/>
      <c r="AD171" s="99"/>
      <c r="AE171" s="100"/>
      <c r="AF171" s="96"/>
      <c r="AG171" s="96"/>
      <c r="AH171" s="96"/>
      <c r="AI171" s="96"/>
      <c r="AJ171" s="104"/>
      <c r="AK171" s="96"/>
      <c r="AL171" s="96"/>
      <c r="AM171" s="96"/>
      <c r="AN171" s="96"/>
      <c r="AO171" s="104"/>
      <c r="AP171" s="96"/>
      <c r="AQ171" s="96"/>
      <c r="AR171" s="96"/>
      <c r="AS171" s="96"/>
      <c r="AT171" s="104"/>
      <c r="AU171" s="96"/>
      <c r="AV171" s="96"/>
      <c r="AW171" s="96"/>
      <c r="AX171" s="96"/>
      <c r="AY171" s="104"/>
      <c r="AZ171" s="96"/>
      <c r="BA171" s="96"/>
      <c r="BB171" s="96"/>
      <c r="BC171" s="96"/>
      <c r="BD171" s="104"/>
      <c r="BE171" s="96"/>
      <c r="BF171" s="96"/>
      <c r="BG171" s="96"/>
      <c r="BH171" s="96"/>
      <c r="BI171" s="104"/>
      <c r="BJ171" s="693" t="s">
        <v>82</v>
      </c>
    </row>
    <row r="172" spans="1:62" ht="20.25" customHeight="1">
      <c r="A172" s="633">
        <v>176</v>
      </c>
      <c r="B172" s="215" t="s">
        <v>52</v>
      </c>
      <c r="C172" s="238" t="s">
        <v>939</v>
      </c>
      <c r="D172" s="280" t="s">
        <v>940</v>
      </c>
      <c r="E172" s="604" t="s">
        <v>941</v>
      </c>
      <c r="F172" s="241" t="s">
        <v>917</v>
      </c>
      <c r="G172" s="241" t="s">
        <v>541</v>
      </c>
      <c r="H172" s="692">
        <v>46078</v>
      </c>
      <c r="I172" s="313"/>
      <c r="J172" s="214">
        <f t="shared" si="8"/>
        <v>7</v>
      </c>
      <c r="K172" s="93"/>
      <c r="L172" s="103"/>
      <c r="M172" s="103"/>
      <c r="N172" s="319"/>
      <c r="O172" s="314" t="s">
        <v>81</v>
      </c>
      <c r="P172" s="320"/>
      <c r="Q172" s="319"/>
      <c r="R172" s="319"/>
      <c r="S172" s="319"/>
      <c r="T172" s="319"/>
      <c r="U172" s="103"/>
      <c r="V172" s="99"/>
      <c r="W172" s="99"/>
      <c r="X172" s="99"/>
      <c r="Y172" s="99"/>
      <c r="Z172" s="100"/>
      <c r="AA172" s="99"/>
      <c r="AB172" s="99"/>
      <c r="AC172" s="99"/>
      <c r="AD172" s="99"/>
      <c r="AE172" s="100"/>
      <c r="AF172" s="96"/>
      <c r="AG172" s="96"/>
      <c r="AH172" s="96"/>
      <c r="AI172" s="96"/>
      <c r="AJ172" s="104"/>
      <c r="AK172" s="96"/>
      <c r="AL172" s="96"/>
      <c r="AM172" s="96"/>
      <c r="AN172" s="96"/>
      <c r="AO172" s="104"/>
      <c r="AP172" s="96"/>
      <c r="AQ172" s="96"/>
      <c r="AR172" s="96"/>
      <c r="AS172" s="96"/>
      <c r="AT172" s="104"/>
      <c r="AU172" s="96"/>
      <c r="AV172" s="96"/>
      <c r="AW172" s="96"/>
      <c r="AX172" s="96"/>
      <c r="AY172" s="104"/>
      <c r="AZ172" s="96"/>
      <c r="BA172" s="96"/>
      <c r="BB172" s="96"/>
      <c r="BC172" s="96"/>
      <c r="BD172" s="104"/>
      <c r="BE172" s="96"/>
      <c r="BF172" s="96"/>
      <c r="BG172" s="96"/>
      <c r="BH172" s="96"/>
      <c r="BI172" s="104"/>
      <c r="BJ172" s="693" t="s">
        <v>82</v>
      </c>
    </row>
    <row r="173" spans="1:62" ht="20.25" customHeight="1">
      <c r="A173" s="633">
        <v>177</v>
      </c>
      <c r="B173" s="215" t="s">
        <v>52</v>
      </c>
      <c r="C173" s="238" t="s">
        <v>942</v>
      </c>
      <c r="D173" s="280" t="s">
        <v>943</v>
      </c>
      <c r="E173" s="604" t="s">
        <v>944</v>
      </c>
      <c r="F173" s="241" t="s">
        <v>913</v>
      </c>
      <c r="G173" s="241" t="s">
        <v>541</v>
      </c>
      <c r="H173" s="692">
        <v>46071</v>
      </c>
      <c r="I173" s="313"/>
      <c r="J173" s="214">
        <f t="shared" si="8"/>
        <v>7</v>
      </c>
      <c r="K173" s="93"/>
      <c r="L173" s="103"/>
      <c r="M173" s="103"/>
      <c r="N173" s="319"/>
      <c r="O173" s="314" t="s">
        <v>81</v>
      </c>
      <c r="P173" s="320"/>
      <c r="Q173" s="319"/>
      <c r="R173" s="319"/>
      <c r="S173" s="319"/>
      <c r="T173" s="319"/>
      <c r="U173" s="103"/>
      <c r="V173" s="99"/>
      <c r="W173" s="99"/>
      <c r="X173" s="99"/>
      <c r="Y173" s="99"/>
      <c r="Z173" s="100"/>
      <c r="AA173" s="99"/>
      <c r="AB173" s="99"/>
      <c r="AC173" s="99"/>
      <c r="AD173" s="99"/>
      <c r="AE173" s="100"/>
      <c r="AF173" s="96"/>
      <c r="AG173" s="96"/>
      <c r="AH173" s="96"/>
      <c r="AI173" s="96"/>
      <c r="AJ173" s="104"/>
      <c r="AK173" s="96"/>
      <c r="AL173" s="96"/>
      <c r="AM173" s="96"/>
      <c r="AN173" s="96"/>
      <c r="AO173" s="104"/>
      <c r="AP173" s="96"/>
      <c r="AQ173" s="96"/>
      <c r="AR173" s="96"/>
      <c r="AS173" s="96"/>
      <c r="AT173" s="104"/>
      <c r="AU173" s="96"/>
      <c r="AV173" s="96"/>
      <c r="AW173" s="96"/>
      <c r="AX173" s="96"/>
      <c r="AY173" s="104"/>
      <c r="AZ173" s="96"/>
      <c r="BA173" s="96"/>
      <c r="BB173" s="96"/>
      <c r="BC173" s="96"/>
      <c r="BD173" s="104"/>
      <c r="BE173" s="96"/>
      <c r="BF173" s="96"/>
      <c r="BG173" s="96"/>
      <c r="BH173" s="96"/>
      <c r="BI173" s="104"/>
      <c r="BJ173" s="693" t="s">
        <v>82</v>
      </c>
    </row>
    <row r="174" spans="1:62" ht="20.25" customHeight="1">
      <c r="A174" s="633">
        <v>178</v>
      </c>
      <c r="B174" s="215" t="s">
        <v>52</v>
      </c>
      <c r="C174" s="238" t="s">
        <v>945</v>
      </c>
      <c r="D174" s="280" t="s">
        <v>946</v>
      </c>
      <c r="E174" s="604" t="s">
        <v>947</v>
      </c>
      <c r="F174" s="241" t="s">
        <v>917</v>
      </c>
      <c r="G174" s="241" t="s">
        <v>541</v>
      </c>
      <c r="H174" s="692">
        <v>46078</v>
      </c>
      <c r="I174" s="313"/>
      <c r="J174" s="214">
        <f t="shared" si="8"/>
        <v>7</v>
      </c>
      <c r="K174" s="93"/>
      <c r="L174" s="103"/>
      <c r="M174" s="103"/>
      <c r="N174" s="319"/>
      <c r="O174" s="314" t="s">
        <v>81</v>
      </c>
      <c r="P174" s="320"/>
      <c r="Q174" s="319"/>
      <c r="R174" s="319"/>
      <c r="S174" s="319"/>
      <c r="T174" s="319"/>
      <c r="U174" s="103"/>
      <c r="V174" s="99"/>
      <c r="W174" s="99"/>
      <c r="X174" s="99"/>
      <c r="Y174" s="99"/>
      <c r="Z174" s="100"/>
      <c r="AA174" s="99"/>
      <c r="AB174" s="99"/>
      <c r="AC174" s="99"/>
      <c r="AD174" s="99"/>
      <c r="AE174" s="100"/>
      <c r="AF174" s="96"/>
      <c r="AG174" s="96"/>
      <c r="AH174" s="96"/>
      <c r="AI174" s="96"/>
      <c r="AJ174" s="104"/>
      <c r="AK174" s="96"/>
      <c r="AL174" s="96"/>
      <c r="AM174" s="96"/>
      <c r="AN174" s="96"/>
      <c r="AO174" s="104"/>
      <c r="AP174" s="96"/>
      <c r="AQ174" s="96"/>
      <c r="AR174" s="96"/>
      <c r="AS174" s="96"/>
      <c r="AT174" s="104"/>
      <c r="AU174" s="96"/>
      <c r="AV174" s="96"/>
      <c r="AW174" s="96"/>
      <c r="AX174" s="96"/>
      <c r="AY174" s="104"/>
      <c r="AZ174" s="96"/>
      <c r="BA174" s="96"/>
      <c r="BB174" s="96"/>
      <c r="BC174" s="96"/>
      <c r="BD174" s="104"/>
      <c r="BE174" s="96"/>
      <c r="BF174" s="96"/>
      <c r="BG174" s="96"/>
      <c r="BH174" s="96"/>
      <c r="BI174" s="104"/>
      <c r="BJ174" s="693" t="s">
        <v>82</v>
      </c>
    </row>
    <row r="175" spans="1:62" ht="20.25" customHeight="1">
      <c r="A175" s="633">
        <v>179</v>
      </c>
      <c r="B175" s="215" t="s">
        <v>52</v>
      </c>
      <c r="C175" s="238" t="s">
        <v>948</v>
      </c>
      <c r="D175" s="280" t="s">
        <v>949</v>
      </c>
      <c r="E175" s="604" t="s">
        <v>950</v>
      </c>
      <c r="F175" s="241" t="s">
        <v>913</v>
      </c>
      <c r="G175" s="241" t="s">
        <v>541</v>
      </c>
      <c r="H175" s="781">
        <v>46064</v>
      </c>
      <c r="I175" s="313">
        <v>46063</v>
      </c>
      <c r="J175" s="214">
        <f t="shared" ref="J175" si="12">I175+7</f>
        <v>46070</v>
      </c>
      <c r="K175" s="93">
        <v>0</v>
      </c>
      <c r="L175" s="103" t="s">
        <v>49</v>
      </c>
      <c r="M175" s="103" t="s">
        <v>89</v>
      </c>
      <c r="N175" s="319"/>
      <c r="O175" s="314" t="s">
        <v>81</v>
      </c>
      <c r="P175" s="320"/>
      <c r="Q175" s="319">
        <v>46063</v>
      </c>
      <c r="R175" s="319"/>
      <c r="S175" s="319"/>
      <c r="T175" s="319"/>
      <c r="U175" s="103"/>
      <c r="V175" s="99"/>
      <c r="W175" s="99"/>
      <c r="X175" s="99"/>
      <c r="Y175" s="99"/>
      <c r="Z175" s="100"/>
      <c r="AA175" s="99"/>
      <c r="AB175" s="99"/>
      <c r="AC175" s="99"/>
      <c r="AD175" s="99"/>
      <c r="AE175" s="100"/>
      <c r="AF175" s="96"/>
      <c r="AG175" s="96"/>
      <c r="AH175" s="96"/>
      <c r="AI175" s="96"/>
      <c r="AJ175" s="104"/>
      <c r="AK175" s="96"/>
      <c r="AL175" s="96"/>
      <c r="AM175" s="96"/>
      <c r="AN175" s="96"/>
      <c r="AO175" s="104"/>
      <c r="AP175" s="96"/>
      <c r="AQ175" s="96"/>
      <c r="AR175" s="96"/>
      <c r="AS175" s="96"/>
      <c r="AT175" s="104"/>
      <c r="AU175" s="96"/>
      <c r="AV175" s="96"/>
      <c r="AW175" s="96"/>
      <c r="AX175" s="96"/>
      <c r="AY175" s="104"/>
      <c r="AZ175" s="96"/>
      <c r="BA175" s="96"/>
      <c r="BB175" s="96"/>
      <c r="BC175" s="96"/>
      <c r="BD175" s="104"/>
      <c r="BE175" s="96"/>
      <c r="BF175" s="96"/>
      <c r="BG175" s="96"/>
      <c r="BH175" s="96"/>
      <c r="BI175" s="104"/>
      <c r="BJ175" s="693" t="s">
        <v>82</v>
      </c>
    </row>
    <row r="176" spans="1:62" ht="20.25" customHeight="1">
      <c r="A176" s="633">
        <v>180</v>
      </c>
      <c r="B176" s="215" t="s">
        <v>52</v>
      </c>
      <c r="C176" s="238" t="s">
        <v>951</v>
      </c>
      <c r="D176" s="280" t="s">
        <v>952</v>
      </c>
      <c r="E176" s="604" t="s">
        <v>953</v>
      </c>
      <c r="F176" s="241" t="s">
        <v>917</v>
      </c>
      <c r="G176" s="241" t="s">
        <v>541</v>
      </c>
      <c r="H176" s="781">
        <v>46072</v>
      </c>
      <c r="I176" s="313"/>
      <c r="J176" s="214">
        <f t="shared" si="8"/>
        <v>7</v>
      </c>
      <c r="K176" s="93"/>
      <c r="L176" s="103"/>
      <c r="M176" s="103"/>
      <c r="N176" s="319"/>
      <c r="O176" s="314" t="s">
        <v>81</v>
      </c>
      <c r="P176" s="320"/>
      <c r="Q176" s="319"/>
      <c r="R176" s="319"/>
      <c r="S176" s="319"/>
      <c r="T176" s="319"/>
      <c r="U176" s="103"/>
      <c r="V176" s="99"/>
      <c r="W176" s="99"/>
      <c r="X176" s="99"/>
      <c r="Y176" s="99"/>
      <c r="Z176" s="100"/>
      <c r="AA176" s="99"/>
      <c r="AB176" s="99"/>
      <c r="AC176" s="99"/>
      <c r="AD176" s="99"/>
      <c r="AE176" s="100"/>
      <c r="AF176" s="96"/>
      <c r="AG176" s="96"/>
      <c r="AH176" s="96"/>
      <c r="AI176" s="96"/>
      <c r="AJ176" s="104"/>
      <c r="AK176" s="96"/>
      <c r="AL176" s="96"/>
      <c r="AM176" s="96"/>
      <c r="AN176" s="96"/>
      <c r="AO176" s="104"/>
      <c r="AP176" s="96"/>
      <c r="AQ176" s="96"/>
      <c r="AR176" s="96"/>
      <c r="AS176" s="96"/>
      <c r="AT176" s="104"/>
      <c r="AU176" s="96"/>
      <c r="AV176" s="96"/>
      <c r="AW176" s="96"/>
      <c r="AX176" s="96"/>
      <c r="AY176" s="104"/>
      <c r="AZ176" s="96"/>
      <c r="BA176" s="96"/>
      <c r="BB176" s="96"/>
      <c r="BC176" s="96"/>
      <c r="BD176" s="104"/>
      <c r="BE176" s="96"/>
      <c r="BF176" s="96"/>
      <c r="BG176" s="96"/>
      <c r="BH176" s="96"/>
      <c r="BI176" s="104"/>
      <c r="BJ176" s="693" t="s">
        <v>82</v>
      </c>
    </row>
    <row r="177" spans="1:62" ht="20.25" customHeight="1">
      <c r="A177" s="633">
        <v>181</v>
      </c>
      <c r="B177" s="215" t="s">
        <v>52</v>
      </c>
      <c r="C177" s="238" t="s">
        <v>954</v>
      </c>
      <c r="D177" s="280" t="s">
        <v>955</v>
      </c>
      <c r="E177" s="604" t="s">
        <v>956</v>
      </c>
      <c r="F177" s="241" t="s">
        <v>540</v>
      </c>
      <c r="G177" s="241" t="s">
        <v>541</v>
      </c>
      <c r="H177" s="781">
        <v>46071</v>
      </c>
      <c r="I177" s="313"/>
      <c r="J177" s="214">
        <f t="shared" si="8"/>
        <v>7</v>
      </c>
      <c r="K177" s="93"/>
      <c r="L177" s="103"/>
      <c r="M177" s="103"/>
      <c r="N177" s="319"/>
      <c r="O177" s="314" t="s">
        <v>81</v>
      </c>
      <c r="P177" s="320"/>
      <c r="Q177" s="319"/>
      <c r="R177" s="319"/>
      <c r="S177" s="319"/>
      <c r="T177" s="319"/>
      <c r="U177" s="103"/>
      <c r="V177" s="99"/>
      <c r="W177" s="99"/>
      <c r="X177" s="99"/>
      <c r="Y177" s="99"/>
      <c r="Z177" s="100"/>
      <c r="AA177" s="99"/>
      <c r="AB177" s="99"/>
      <c r="AC177" s="99"/>
      <c r="AD177" s="99"/>
      <c r="AE177" s="100"/>
      <c r="AF177" s="96"/>
      <c r="AG177" s="96"/>
      <c r="AH177" s="96"/>
      <c r="AI177" s="96"/>
      <c r="AJ177" s="104"/>
      <c r="AK177" s="96"/>
      <c r="AL177" s="96"/>
      <c r="AM177" s="96"/>
      <c r="AN177" s="96"/>
      <c r="AO177" s="104"/>
      <c r="AP177" s="96"/>
      <c r="AQ177" s="96"/>
      <c r="AR177" s="96"/>
      <c r="AS177" s="96"/>
      <c r="AT177" s="104"/>
      <c r="AU177" s="96"/>
      <c r="AV177" s="96"/>
      <c r="AW177" s="96"/>
      <c r="AX177" s="96"/>
      <c r="AY177" s="104"/>
      <c r="AZ177" s="96"/>
      <c r="BA177" s="96"/>
      <c r="BB177" s="96"/>
      <c r="BC177" s="96"/>
      <c r="BD177" s="104"/>
      <c r="BE177" s="96"/>
      <c r="BF177" s="96"/>
      <c r="BG177" s="96"/>
      <c r="BH177" s="96"/>
      <c r="BI177" s="104"/>
      <c r="BJ177" s="693" t="s">
        <v>82</v>
      </c>
    </row>
    <row r="178" spans="1:62" ht="20.25" customHeight="1">
      <c r="A178" s="633">
        <v>182</v>
      </c>
      <c r="B178" s="215" t="s">
        <v>52</v>
      </c>
      <c r="C178" s="238" t="s">
        <v>957</v>
      </c>
      <c r="D178" s="280" t="s">
        <v>958</v>
      </c>
      <c r="E178" s="604" t="s">
        <v>959</v>
      </c>
      <c r="F178" s="241" t="s">
        <v>913</v>
      </c>
      <c r="G178" s="241" t="s">
        <v>541</v>
      </c>
      <c r="H178" s="692">
        <v>46078</v>
      </c>
      <c r="I178" s="313"/>
      <c r="J178" s="214">
        <f t="shared" si="8"/>
        <v>7</v>
      </c>
      <c r="K178" s="93"/>
      <c r="L178" s="103"/>
      <c r="M178" s="103"/>
      <c r="N178" s="319"/>
      <c r="O178" s="314" t="s">
        <v>81</v>
      </c>
      <c r="P178" s="320"/>
      <c r="Q178" s="319"/>
      <c r="R178" s="319"/>
      <c r="S178" s="319"/>
      <c r="T178" s="319"/>
      <c r="U178" s="103"/>
      <c r="V178" s="99"/>
      <c r="W178" s="99"/>
      <c r="X178" s="99"/>
      <c r="Y178" s="99"/>
      <c r="Z178" s="100"/>
      <c r="AA178" s="99"/>
      <c r="AB178" s="99"/>
      <c r="AC178" s="99"/>
      <c r="AD178" s="99"/>
      <c r="AE178" s="100"/>
      <c r="AF178" s="96"/>
      <c r="AG178" s="96"/>
      <c r="AH178" s="96"/>
      <c r="AI178" s="96"/>
      <c r="AJ178" s="104"/>
      <c r="AK178" s="96"/>
      <c r="AL178" s="96"/>
      <c r="AM178" s="96"/>
      <c r="AN178" s="96"/>
      <c r="AO178" s="104"/>
      <c r="AP178" s="96"/>
      <c r="AQ178" s="96"/>
      <c r="AR178" s="96"/>
      <c r="AS178" s="96"/>
      <c r="AT178" s="104"/>
      <c r="AU178" s="96"/>
      <c r="AV178" s="96"/>
      <c r="AW178" s="96"/>
      <c r="AX178" s="96"/>
      <c r="AY178" s="104"/>
      <c r="AZ178" s="96"/>
      <c r="BA178" s="96"/>
      <c r="BB178" s="96"/>
      <c r="BC178" s="96"/>
      <c r="BD178" s="104"/>
      <c r="BE178" s="96"/>
      <c r="BF178" s="96"/>
      <c r="BG178" s="96"/>
      <c r="BH178" s="96"/>
      <c r="BI178" s="104"/>
      <c r="BJ178" s="693" t="s">
        <v>82</v>
      </c>
    </row>
    <row r="179" spans="1:62" ht="20.25" customHeight="1">
      <c r="A179" s="633">
        <v>183</v>
      </c>
      <c r="B179" s="215" t="s">
        <v>52</v>
      </c>
      <c r="C179" s="238" t="s">
        <v>960</v>
      </c>
      <c r="D179" s="280" t="s">
        <v>961</v>
      </c>
      <c r="E179" s="604" t="s">
        <v>962</v>
      </c>
      <c r="F179" s="241" t="s">
        <v>917</v>
      </c>
      <c r="G179" s="241" t="s">
        <v>541</v>
      </c>
      <c r="H179" s="692">
        <v>46079</v>
      </c>
      <c r="I179" s="313"/>
      <c r="J179" s="214">
        <f t="shared" si="8"/>
        <v>7</v>
      </c>
      <c r="K179" s="93"/>
      <c r="L179" s="103"/>
      <c r="M179" s="103"/>
      <c r="N179" s="319"/>
      <c r="O179" s="314" t="s">
        <v>81</v>
      </c>
      <c r="P179" s="320"/>
      <c r="Q179" s="319"/>
      <c r="R179" s="319"/>
      <c r="S179" s="319"/>
      <c r="T179" s="319"/>
      <c r="U179" s="103"/>
      <c r="V179" s="99"/>
      <c r="W179" s="99"/>
      <c r="X179" s="99"/>
      <c r="Y179" s="99"/>
      <c r="Z179" s="100"/>
      <c r="AA179" s="99"/>
      <c r="AB179" s="99"/>
      <c r="AC179" s="99"/>
      <c r="AD179" s="99"/>
      <c r="AE179" s="100"/>
      <c r="AF179" s="96"/>
      <c r="AG179" s="96"/>
      <c r="AH179" s="96"/>
      <c r="AI179" s="96"/>
      <c r="AJ179" s="104"/>
      <c r="AK179" s="96"/>
      <c r="AL179" s="96"/>
      <c r="AM179" s="96"/>
      <c r="AN179" s="96"/>
      <c r="AO179" s="104"/>
      <c r="AP179" s="96"/>
      <c r="AQ179" s="96"/>
      <c r="AR179" s="96"/>
      <c r="AS179" s="96"/>
      <c r="AT179" s="104"/>
      <c r="AU179" s="96"/>
      <c r="AV179" s="96"/>
      <c r="AW179" s="96"/>
      <c r="AX179" s="96"/>
      <c r="AY179" s="104"/>
      <c r="AZ179" s="96"/>
      <c r="BA179" s="96"/>
      <c r="BB179" s="96"/>
      <c r="BC179" s="96"/>
      <c r="BD179" s="104"/>
      <c r="BE179" s="96"/>
      <c r="BF179" s="96"/>
      <c r="BG179" s="96"/>
      <c r="BH179" s="96"/>
      <c r="BI179" s="104"/>
      <c r="BJ179" s="693" t="s">
        <v>82</v>
      </c>
    </row>
    <row r="180" spans="1:62" ht="20.25" customHeight="1">
      <c r="A180" s="633">
        <v>184</v>
      </c>
      <c r="B180" s="215" t="s">
        <v>52</v>
      </c>
      <c r="C180" s="238" t="s">
        <v>963</v>
      </c>
      <c r="D180" s="280" t="s">
        <v>964</v>
      </c>
      <c r="E180" s="604" t="s">
        <v>965</v>
      </c>
      <c r="F180" s="241" t="s">
        <v>966</v>
      </c>
      <c r="G180" s="241" t="s">
        <v>541</v>
      </c>
      <c r="H180" s="692">
        <v>46067</v>
      </c>
      <c r="I180" s="313"/>
      <c r="J180" s="214">
        <f t="shared" si="8"/>
        <v>7</v>
      </c>
      <c r="K180" s="93"/>
      <c r="L180" s="103"/>
      <c r="M180" s="103"/>
      <c r="N180" s="319"/>
      <c r="O180" s="314" t="s">
        <v>81</v>
      </c>
      <c r="P180" s="320"/>
      <c r="Q180" s="319"/>
      <c r="R180" s="319"/>
      <c r="S180" s="319"/>
      <c r="T180" s="319"/>
      <c r="U180" s="103"/>
      <c r="V180" s="99"/>
      <c r="W180" s="99"/>
      <c r="X180" s="99"/>
      <c r="Y180" s="99"/>
      <c r="Z180" s="100"/>
      <c r="AA180" s="99"/>
      <c r="AB180" s="99"/>
      <c r="AC180" s="99"/>
      <c r="AD180" s="99"/>
      <c r="AE180" s="100"/>
      <c r="AF180" s="96"/>
      <c r="AG180" s="96"/>
      <c r="AH180" s="96"/>
      <c r="AI180" s="96"/>
      <c r="AJ180" s="104"/>
      <c r="AK180" s="96"/>
      <c r="AL180" s="96"/>
      <c r="AM180" s="96"/>
      <c r="AN180" s="96"/>
      <c r="AO180" s="104"/>
      <c r="AP180" s="96"/>
      <c r="AQ180" s="96"/>
      <c r="AR180" s="96"/>
      <c r="AS180" s="96"/>
      <c r="AT180" s="104"/>
      <c r="AU180" s="96"/>
      <c r="AV180" s="96"/>
      <c r="AW180" s="96"/>
      <c r="AX180" s="96"/>
      <c r="AY180" s="104"/>
      <c r="AZ180" s="96"/>
      <c r="BA180" s="96"/>
      <c r="BB180" s="96"/>
      <c r="BC180" s="96"/>
      <c r="BD180" s="104"/>
      <c r="BE180" s="96"/>
      <c r="BF180" s="96"/>
      <c r="BG180" s="96"/>
      <c r="BH180" s="96"/>
      <c r="BI180" s="104"/>
      <c r="BJ180" s="693" t="s">
        <v>82</v>
      </c>
    </row>
    <row r="181" spans="1:62" ht="20.25" customHeight="1">
      <c r="A181" s="315">
        <v>185</v>
      </c>
      <c r="B181" s="215" t="s">
        <v>52</v>
      </c>
      <c r="C181" s="238" t="s">
        <v>967</v>
      </c>
      <c r="D181" s="280" t="s">
        <v>968</v>
      </c>
      <c r="E181" s="604" t="s">
        <v>969</v>
      </c>
      <c r="F181" s="241" t="s">
        <v>970</v>
      </c>
      <c r="G181" s="241" t="s">
        <v>413</v>
      </c>
      <c r="H181" s="234">
        <v>46098</v>
      </c>
      <c r="I181" s="313"/>
      <c r="J181" s="214">
        <f t="shared" si="8"/>
        <v>7</v>
      </c>
      <c r="K181" s="93"/>
      <c r="L181" s="103"/>
      <c r="M181" s="103"/>
      <c r="N181" s="319"/>
      <c r="O181" s="314" t="s">
        <v>81</v>
      </c>
      <c r="P181" s="320"/>
      <c r="Q181" s="319"/>
      <c r="R181" s="319"/>
      <c r="S181" s="319"/>
      <c r="T181" s="319"/>
      <c r="U181" s="103"/>
      <c r="V181" s="99"/>
      <c r="W181" s="99"/>
      <c r="X181" s="99"/>
      <c r="Y181" s="99"/>
      <c r="Z181" s="100"/>
      <c r="AA181" s="99"/>
      <c r="AB181" s="99"/>
      <c r="AC181" s="99"/>
      <c r="AD181" s="99"/>
      <c r="AE181" s="100"/>
      <c r="AF181" s="96"/>
      <c r="AG181" s="96"/>
      <c r="AH181" s="96"/>
      <c r="AI181" s="96"/>
      <c r="AJ181" s="104"/>
      <c r="AK181" s="96"/>
      <c r="AL181" s="96"/>
      <c r="AM181" s="96"/>
      <c r="AN181" s="96"/>
      <c r="AO181" s="104"/>
      <c r="AP181" s="96"/>
      <c r="AQ181" s="96"/>
      <c r="AR181" s="96"/>
      <c r="AS181" s="96"/>
      <c r="AT181" s="104"/>
      <c r="AU181" s="96"/>
      <c r="AV181" s="96"/>
      <c r="AW181" s="96"/>
      <c r="AX181" s="96"/>
      <c r="AY181" s="104"/>
      <c r="AZ181" s="96"/>
      <c r="BA181" s="96"/>
      <c r="BB181" s="96"/>
      <c r="BC181" s="96"/>
      <c r="BD181" s="104"/>
      <c r="BE181" s="96"/>
      <c r="BF181" s="96"/>
      <c r="BG181" s="96"/>
      <c r="BH181" s="96"/>
      <c r="BI181" s="104"/>
      <c r="BJ181" s="693" t="s">
        <v>82</v>
      </c>
    </row>
    <row r="182" spans="1:62" ht="20.25" customHeight="1">
      <c r="A182" s="315">
        <v>186</v>
      </c>
      <c r="B182" s="215" t="s">
        <v>52</v>
      </c>
      <c r="C182" s="238" t="s">
        <v>971</v>
      </c>
      <c r="D182" s="280" t="s">
        <v>972</v>
      </c>
      <c r="E182" s="604" t="s">
        <v>973</v>
      </c>
      <c r="F182" s="241" t="s">
        <v>970</v>
      </c>
      <c r="G182" s="241" t="s">
        <v>413</v>
      </c>
      <c r="H182" s="234">
        <v>46098</v>
      </c>
      <c r="I182" s="313"/>
      <c r="J182" s="214">
        <f t="shared" si="8"/>
        <v>7</v>
      </c>
      <c r="K182" s="93"/>
      <c r="L182" s="103"/>
      <c r="M182" s="103"/>
      <c r="N182" s="319"/>
      <c r="O182" s="314" t="s">
        <v>81</v>
      </c>
      <c r="P182" s="320"/>
      <c r="Q182" s="319"/>
      <c r="R182" s="319"/>
      <c r="S182" s="319"/>
      <c r="T182" s="319"/>
      <c r="U182" s="103"/>
      <c r="V182" s="99"/>
      <c r="W182" s="99"/>
      <c r="X182" s="99"/>
      <c r="Y182" s="99"/>
      <c r="Z182" s="100"/>
      <c r="AA182" s="99"/>
      <c r="AB182" s="99"/>
      <c r="AC182" s="99"/>
      <c r="AD182" s="99"/>
      <c r="AE182" s="100"/>
      <c r="AF182" s="96"/>
      <c r="AG182" s="96"/>
      <c r="AH182" s="96"/>
      <c r="AI182" s="96"/>
      <c r="AJ182" s="104"/>
      <c r="AK182" s="96"/>
      <c r="AL182" s="96"/>
      <c r="AM182" s="96"/>
      <c r="AN182" s="96"/>
      <c r="AO182" s="104"/>
      <c r="AP182" s="96"/>
      <c r="AQ182" s="96"/>
      <c r="AR182" s="96"/>
      <c r="AS182" s="96"/>
      <c r="AT182" s="104"/>
      <c r="AU182" s="96"/>
      <c r="AV182" s="96"/>
      <c r="AW182" s="96"/>
      <c r="AX182" s="96"/>
      <c r="AY182" s="104"/>
      <c r="AZ182" s="96"/>
      <c r="BA182" s="96"/>
      <c r="BB182" s="96"/>
      <c r="BC182" s="96"/>
      <c r="BD182" s="104"/>
      <c r="BE182" s="96"/>
      <c r="BF182" s="96"/>
      <c r="BG182" s="96"/>
      <c r="BH182" s="96"/>
      <c r="BI182" s="104"/>
      <c r="BJ182" s="693" t="s">
        <v>82</v>
      </c>
    </row>
    <row r="183" spans="1:62" ht="20.25" customHeight="1">
      <c r="A183" s="315">
        <v>187</v>
      </c>
      <c r="B183" s="215" t="s">
        <v>52</v>
      </c>
      <c r="C183" s="238" t="s">
        <v>974</v>
      </c>
      <c r="D183" s="280" t="s">
        <v>975</v>
      </c>
      <c r="E183" s="604" t="s">
        <v>976</v>
      </c>
      <c r="F183" s="241" t="s">
        <v>546</v>
      </c>
      <c r="G183" s="241" t="s">
        <v>547</v>
      </c>
      <c r="H183" s="234">
        <v>46070</v>
      </c>
      <c r="I183" s="313"/>
      <c r="J183" s="214">
        <f t="shared" si="8"/>
        <v>7</v>
      </c>
      <c r="K183" s="93"/>
      <c r="L183" s="103"/>
      <c r="M183" s="103"/>
      <c r="N183" s="319"/>
      <c r="O183" s="314" t="s">
        <v>81</v>
      </c>
      <c r="P183" s="320"/>
      <c r="Q183" s="319"/>
      <c r="R183" s="319"/>
      <c r="S183" s="319"/>
      <c r="T183" s="319"/>
      <c r="U183" s="103"/>
      <c r="V183" s="99"/>
      <c r="W183" s="99"/>
      <c r="X183" s="99"/>
      <c r="Y183" s="99"/>
      <c r="Z183" s="100"/>
      <c r="AA183" s="99"/>
      <c r="AB183" s="99"/>
      <c r="AC183" s="99"/>
      <c r="AD183" s="99"/>
      <c r="AE183" s="100"/>
      <c r="AF183" s="96"/>
      <c r="AG183" s="96"/>
      <c r="AH183" s="96"/>
      <c r="AI183" s="96"/>
      <c r="AJ183" s="104"/>
      <c r="AK183" s="96"/>
      <c r="AL183" s="96"/>
      <c r="AM183" s="96"/>
      <c r="AN183" s="96"/>
      <c r="AO183" s="104"/>
      <c r="AP183" s="96"/>
      <c r="AQ183" s="96"/>
      <c r="AR183" s="96"/>
      <c r="AS183" s="96"/>
      <c r="AT183" s="104"/>
      <c r="AU183" s="96"/>
      <c r="AV183" s="96"/>
      <c r="AW183" s="96"/>
      <c r="AX183" s="96"/>
      <c r="AY183" s="104"/>
      <c r="AZ183" s="96"/>
      <c r="BA183" s="96"/>
      <c r="BB183" s="96"/>
      <c r="BC183" s="96"/>
      <c r="BD183" s="104"/>
      <c r="BE183" s="96"/>
      <c r="BF183" s="96"/>
      <c r="BG183" s="96"/>
      <c r="BH183" s="96"/>
      <c r="BI183" s="104"/>
      <c r="BJ183" s="693" t="s">
        <v>82</v>
      </c>
    </row>
    <row r="184" spans="1:62" ht="20.25" customHeight="1">
      <c r="A184" s="315">
        <v>188</v>
      </c>
      <c r="B184" s="215" t="s">
        <v>52</v>
      </c>
      <c r="C184" s="238" t="s">
        <v>977</v>
      </c>
      <c r="D184" s="280" t="s">
        <v>978</v>
      </c>
      <c r="E184" s="604" t="s">
        <v>979</v>
      </c>
      <c r="F184" s="241" t="s">
        <v>970</v>
      </c>
      <c r="G184" s="241" t="s">
        <v>561</v>
      </c>
      <c r="H184" s="234">
        <v>46101</v>
      </c>
      <c r="I184" s="313"/>
      <c r="J184" s="214">
        <f t="shared" si="8"/>
        <v>7</v>
      </c>
      <c r="K184" s="93"/>
      <c r="L184" s="103"/>
      <c r="M184" s="103"/>
      <c r="N184" s="319"/>
      <c r="O184" s="314" t="s">
        <v>81</v>
      </c>
      <c r="P184" s="320"/>
      <c r="Q184" s="319"/>
      <c r="R184" s="319"/>
      <c r="S184" s="319"/>
      <c r="T184" s="319"/>
      <c r="U184" s="103"/>
      <c r="V184" s="99"/>
      <c r="W184" s="99"/>
      <c r="X184" s="99"/>
      <c r="Y184" s="99"/>
      <c r="Z184" s="100"/>
      <c r="AA184" s="99"/>
      <c r="AB184" s="99"/>
      <c r="AC184" s="99"/>
      <c r="AD184" s="99"/>
      <c r="AE184" s="100"/>
      <c r="AF184" s="96"/>
      <c r="AG184" s="96"/>
      <c r="AH184" s="96"/>
      <c r="AI184" s="96"/>
      <c r="AJ184" s="104"/>
      <c r="AK184" s="96"/>
      <c r="AL184" s="96"/>
      <c r="AM184" s="96"/>
      <c r="AN184" s="96"/>
      <c r="AO184" s="104"/>
      <c r="AP184" s="96"/>
      <c r="AQ184" s="96"/>
      <c r="AR184" s="96"/>
      <c r="AS184" s="96"/>
      <c r="AT184" s="104"/>
      <c r="AU184" s="96"/>
      <c r="AV184" s="96"/>
      <c r="AW184" s="96"/>
      <c r="AX184" s="96"/>
      <c r="AY184" s="104"/>
      <c r="AZ184" s="96"/>
      <c r="BA184" s="96"/>
      <c r="BB184" s="96"/>
      <c r="BC184" s="96"/>
      <c r="BD184" s="104"/>
      <c r="BE184" s="96"/>
      <c r="BF184" s="96"/>
      <c r="BG184" s="96"/>
      <c r="BH184" s="96"/>
      <c r="BI184" s="104"/>
      <c r="BJ184" s="693" t="s">
        <v>82</v>
      </c>
    </row>
    <row r="185" spans="1:62" ht="20.25" customHeight="1">
      <c r="A185" s="633">
        <v>189</v>
      </c>
      <c r="B185" s="215" t="s">
        <v>52</v>
      </c>
      <c r="C185" s="238" t="s">
        <v>980</v>
      </c>
      <c r="D185" s="280" t="s">
        <v>981</v>
      </c>
      <c r="E185" s="604" t="s">
        <v>982</v>
      </c>
      <c r="F185" s="241" t="s">
        <v>966</v>
      </c>
      <c r="G185" s="241" t="s">
        <v>541</v>
      </c>
      <c r="H185" s="786">
        <v>46059</v>
      </c>
      <c r="I185" s="313"/>
      <c r="J185" s="214">
        <f t="shared" si="8"/>
        <v>7</v>
      </c>
      <c r="K185" s="93"/>
      <c r="L185" s="103"/>
      <c r="M185" s="103"/>
      <c r="N185" s="319"/>
      <c r="O185" s="314" t="s">
        <v>81</v>
      </c>
      <c r="P185" s="320"/>
      <c r="Q185" s="319"/>
      <c r="R185" s="319"/>
      <c r="S185" s="319"/>
      <c r="T185" s="319"/>
      <c r="U185" s="103"/>
      <c r="V185" s="99"/>
      <c r="W185" s="99"/>
      <c r="X185" s="99"/>
      <c r="Y185" s="99"/>
      <c r="Z185" s="100"/>
      <c r="AA185" s="99"/>
      <c r="AB185" s="99"/>
      <c r="AC185" s="99"/>
      <c r="AD185" s="99"/>
      <c r="AE185" s="100"/>
      <c r="AF185" s="96"/>
      <c r="AG185" s="96"/>
      <c r="AH185" s="96"/>
      <c r="AI185" s="96"/>
      <c r="AJ185" s="104"/>
      <c r="AK185" s="96"/>
      <c r="AL185" s="96"/>
      <c r="AM185" s="96"/>
      <c r="AN185" s="96"/>
      <c r="AO185" s="104"/>
      <c r="AP185" s="96"/>
      <c r="AQ185" s="96"/>
      <c r="AR185" s="96"/>
      <c r="AS185" s="96"/>
      <c r="AT185" s="104"/>
      <c r="AU185" s="96"/>
      <c r="AV185" s="96"/>
      <c r="AW185" s="96"/>
      <c r="AX185" s="96"/>
      <c r="AY185" s="104"/>
      <c r="AZ185" s="96"/>
      <c r="BA185" s="96"/>
      <c r="BB185" s="96"/>
      <c r="BC185" s="96"/>
      <c r="BD185" s="104"/>
      <c r="BE185" s="96"/>
      <c r="BF185" s="96"/>
      <c r="BG185" s="96"/>
      <c r="BH185" s="96"/>
      <c r="BI185" s="104"/>
      <c r="BJ185" s="693" t="s">
        <v>82</v>
      </c>
    </row>
    <row r="186" spans="1:62" ht="20.25" customHeight="1">
      <c r="A186" s="315">
        <v>190</v>
      </c>
      <c r="B186" s="215" t="s">
        <v>52</v>
      </c>
      <c r="C186" s="238" t="s">
        <v>983</v>
      </c>
      <c r="D186" s="280" t="s">
        <v>984</v>
      </c>
      <c r="E186" s="604" t="s">
        <v>985</v>
      </c>
      <c r="F186" s="241" t="s">
        <v>970</v>
      </c>
      <c r="G186" s="241" t="s">
        <v>986</v>
      </c>
      <c r="H186" s="234">
        <v>46084</v>
      </c>
      <c r="I186" s="313"/>
      <c r="J186" s="214">
        <f t="shared" si="8"/>
        <v>7</v>
      </c>
      <c r="K186" s="93"/>
      <c r="L186" s="103"/>
      <c r="M186" s="103"/>
      <c r="N186" s="319"/>
      <c r="O186" s="314" t="s">
        <v>81</v>
      </c>
      <c r="P186" s="320"/>
      <c r="Q186" s="319"/>
      <c r="R186" s="319"/>
      <c r="S186" s="319"/>
      <c r="T186" s="319"/>
      <c r="U186" s="103"/>
      <c r="V186" s="99"/>
      <c r="W186" s="99"/>
      <c r="X186" s="99"/>
      <c r="Y186" s="99"/>
      <c r="Z186" s="100"/>
      <c r="AA186" s="99"/>
      <c r="AB186" s="99"/>
      <c r="AC186" s="99"/>
      <c r="AD186" s="99"/>
      <c r="AE186" s="100"/>
      <c r="AF186" s="96"/>
      <c r="AG186" s="96"/>
      <c r="AH186" s="96"/>
      <c r="AI186" s="96"/>
      <c r="AJ186" s="104"/>
      <c r="AK186" s="96"/>
      <c r="AL186" s="96"/>
      <c r="AM186" s="96"/>
      <c r="AN186" s="96"/>
      <c r="AO186" s="104"/>
      <c r="AP186" s="96"/>
      <c r="AQ186" s="96"/>
      <c r="AR186" s="96"/>
      <c r="AS186" s="96"/>
      <c r="AT186" s="104"/>
      <c r="AU186" s="96"/>
      <c r="AV186" s="96"/>
      <c r="AW186" s="96"/>
      <c r="AX186" s="96"/>
      <c r="AY186" s="104"/>
      <c r="AZ186" s="96"/>
      <c r="BA186" s="96"/>
      <c r="BB186" s="96"/>
      <c r="BC186" s="96"/>
      <c r="BD186" s="104"/>
      <c r="BE186" s="96"/>
      <c r="BF186" s="96"/>
      <c r="BG186" s="96"/>
      <c r="BH186" s="96"/>
      <c r="BI186" s="104"/>
      <c r="BJ186" s="693" t="s">
        <v>82</v>
      </c>
    </row>
    <row r="187" spans="1:62" ht="20.25" customHeight="1">
      <c r="A187" s="315">
        <v>191</v>
      </c>
      <c r="B187" s="215" t="s">
        <v>52</v>
      </c>
      <c r="C187" s="238" t="s">
        <v>987</v>
      </c>
      <c r="D187" s="280" t="s">
        <v>988</v>
      </c>
      <c r="E187" s="604" t="s">
        <v>989</v>
      </c>
      <c r="F187" s="241" t="s">
        <v>970</v>
      </c>
      <c r="G187" s="241" t="s">
        <v>986</v>
      </c>
      <c r="H187" s="234">
        <v>46084</v>
      </c>
      <c r="I187" s="313"/>
      <c r="J187" s="214">
        <f t="shared" si="8"/>
        <v>7</v>
      </c>
      <c r="K187" s="93"/>
      <c r="L187" s="103"/>
      <c r="M187" s="103"/>
      <c r="N187" s="319"/>
      <c r="O187" s="314" t="s">
        <v>81</v>
      </c>
      <c r="P187" s="320"/>
      <c r="Q187" s="319"/>
      <c r="R187" s="319"/>
      <c r="S187" s="319"/>
      <c r="T187" s="319"/>
      <c r="U187" s="103"/>
      <c r="V187" s="99"/>
      <c r="W187" s="99"/>
      <c r="X187" s="99"/>
      <c r="Y187" s="99"/>
      <c r="Z187" s="100"/>
      <c r="AA187" s="99"/>
      <c r="AB187" s="99"/>
      <c r="AC187" s="99"/>
      <c r="AD187" s="99"/>
      <c r="AE187" s="100"/>
      <c r="AF187" s="96"/>
      <c r="AG187" s="96"/>
      <c r="AH187" s="96"/>
      <c r="AI187" s="96"/>
      <c r="AJ187" s="104"/>
      <c r="AK187" s="96"/>
      <c r="AL187" s="96"/>
      <c r="AM187" s="96"/>
      <c r="AN187" s="96"/>
      <c r="AO187" s="104"/>
      <c r="AP187" s="96"/>
      <c r="AQ187" s="96"/>
      <c r="AR187" s="96"/>
      <c r="AS187" s="96"/>
      <c r="AT187" s="104"/>
      <c r="AU187" s="96"/>
      <c r="AV187" s="96"/>
      <c r="AW187" s="96"/>
      <c r="AX187" s="96"/>
      <c r="AY187" s="104"/>
      <c r="AZ187" s="96"/>
      <c r="BA187" s="96"/>
      <c r="BB187" s="96"/>
      <c r="BC187" s="96"/>
      <c r="BD187" s="104"/>
      <c r="BE187" s="96"/>
      <c r="BF187" s="96"/>
      <c r="BG187" s="96"/>
      <c r="BH187" s="96"/>
      <c r="BI187" s="104"/>
      <c r="BJ187" s="693" t="s">
        <v>82</v>
      </c>
    </row>
    <row r="188" spans="1:62" ht="20.25" customHeight="1">
      <c r="A188" s="315">
        <v>192</v>
      </c>
      <c r="B188" s="215" t="s">
        <v>52</v>
      </c>
      <c r="C188" s="238" t="s">
        <v>990</v>
      </c>
      <c r="D188" s="280" t="s">
        <v>991</v>
      </c>
      <c r="E188" s="604" t="s">
        <v>992</v>
      </c>
      <c r="F188" s="241" t="s">
        <v>546</v>
      </c>
      <c r="G188" s="241" t="s">
        <v>547</v>
      </c>
      <c r="H188" s="234">
        <v>46062</v>
      </c>
      <c r="I188" s="327">
        <v>46062</v>
      </c>
      <c r="J188" s="214">
        <f t="shared" si="8"/>
        <v>46069</v>
      </c>
      <c r="K188" s="103">
        <v>0</v>
      </c>
      <c r="L188" s="103" t="s">
        <v>49</v>
      </c>
      <c r="M188" s="103" t="s">
        <v>89</v>
      </c>
      <c r="N188" s="319"/>
      <c r="O188" s="314" t="s">
        <v>81</v>
      </c>
      <c r="P188" s="320"/>
      <c r="Q188" s="319">
        <v>46062</v>
      </c>
      <c r="R188" s="319"/>
      <c r="S188" s="319"/>
      <c r="T188" s="319"/>
      <c r="U188" s="103"/>
      <c r="V188" s="99"/>
      <c r="W188" s="99"/>
      <c r="X188" s="99"/>
      <c r="Y188" s="99"/>
      <c r="Z188" s="100"/>
      <c r="AA188" s="99"/>
      <c r="AB188" s="99"/>
      <c r="AC188" s="99"/>
      <c r="AD188" s="99"/>
      <c r="AE188" s="100"/>
      <c r="AF188" s="96"/>
      <c r="AG188" s="96"/>
      <c r="AH188" s="96"/>
      <c r="AI188" s="96"/>
      <c r="AJ188" s="104"/>
      <c r="AK188" s="96"/>
      <c r="AL188" s="96"/>
      <c r="AM188" s="96"/>
      <c r="AN188" s="96"/>
      <c r="AO188" s="104"/>
      <c r="AP188" s="96"/>
      <c r="AQ188" s="96"/>
      <c r="AR188" s="96"/>
      <c r="AS188" s="96"/>
      <c r="AT188" s="104"/>
      <c r="AU188" s="96"/>
      <c r="AV188" s="96"/>
      <c r="AW188" s="96"/>
      <c r="AX188" s="96"/>
      <c r="AY188" s="104"/>
      <c r="AZ188" s="96"/>
      <c r="BA188" s="96"/>
      <c r="BB188" s="96"/>
      <c r="BC188" s="96"/>
      <c r="BD188" s="104"/>
      <c r="BE188" s="96"/>
      <c r="BF188" s="96"/>
      <c r="BG188" s="96"/>
      <c r="BH188" s="96"/>
      <c r="BI188" s="104"/>
      <c r="BJ188" s="693" t="s">
        <v>82</v>
      </c>
    </row>
    <row r="189" spans="1:62" ht="20.25" customHeight="1">
      <c r="A189" s="315">
        <v>193</v>
      </c>
      <c r="B189" s="215" t="s">
        <v>52</v>
      </c>
      <c r="C189" s="238" t="s">
        <v>993</v>
      </c>
      <c r="D189" s="280" t="s">
        <v>994</v>
      </c>
      <c r="E189" s="604" t="s">
        <v>995</v>
      </c>
      <c r="F189" s="241" t="s">
        <v>970</v>
      </c>
      <c r="G189" s="241" t="s">
        <v>561</v>
      </c>
      <c r="H189" s="234">
        <v>46094</v>
      </c>
      <c r="I189" s="313"/>
      <c r="J189" s="214">
        <f t="shared" si="8"/>
        <v>7</v>
      </c>
      <c r="K189" s="93"/>
      <c r="L189" s="103"/>
      <c r="M189" s="103"/>
      <c r="N189" s="319"/>
      <c r="O189" s="314" t="s">
        <v>81</v>
      </c>
      <c r="P189" s="320"/>
      <c r="Q189" s="319"/>
      <c r="R189" s="319"/>
      <c r="S189" s="319"/>
      <c r="T189" s="319"/>
      <c r="U189" s="103"/>
      <c r="V189" s="99"/>
      <c r="W189" s="99"/>
      <c r="X189" s="99"/>
      <c r="Y189" s="99"/>
      <c r="Z189" s="100"/>
      <c r="AA189" s="99"/>
      <c r="AB189" s="99"/>
      <c r="AC189" s="99"/>
      <c r="AD189" s="99"/>
      <c r="AE189" s="100"/>
      <c r="AF189" s="96"/>
      <c r="AG189" s="96"/>
      <c r="AH189" s="96"/>
      <c r="AI189" s="96"/>
      <c r="AJ189" s="104"/>
      <c r="AK189" s="96"/>
      <c r="AL189" s="96"/>
      <c r="AM189" s="96"/>
      <c r="AN189" s="96"/>
      <c r="AO189" s="104"/>
      <c r="AP189" s="96"/>
      <c r="AQ189" s="96"/>
      <c r="AR189" s="96"/>
      <c r="AS189" s="96"/>
      <c r="AT189" s="104"/>
      <c r="AU189" s="96"/>
      <c r="AV189" s="96"/>
      <c r="AW189" s="96"/>
      <c r="AX189" s="96"/>
      <c r="AY189" s="104"/>
      <c r="AZ189" s="96"/>
      <c r="BA189" s="96"/>
      <c r="BB189" s="96"/>
      <c r="BC189" s="96"/>
      <c r="BD189" s="104"/>
      <c r="BE189" s="96"/>
      <c r="BF189" s="96"/>
      <c r="BG189" s="96"/>
      <c r="BH189" s="96"/>
      <c r="BI189" s="104"/>
      <c r="BJ189" s="693" t="s">
        <v>82</v>
      </c>
    </row>
    <row r="190" spans="1:62" ht="20.25" customHeight="1">
      <c r="A190" s="633">
        <v>194</v>
      </c>
      <c r="B190" s="215" t="s">
        <v>52</v>
      </c>
      <c r="C190" s="238" t="s">
        <v>996</v>
      </c>
      <c r="D190" s="280" t="s">
        <v>997</v>
      </c>
      <c r="E190" s="604" t="s">
        <v>998</v>
      </c>
      <c r="F190" s="241" t="s">
        <v>966</v>
      </c>
      <c r="G190" s="241" t="s">
        <v>541</v>
      </c>
      <c r="H190" s="692">
        <v>46074</v>
      </c>
      <c r="I190" s="313"/>
      <c r="J190" s="214">
        <f t="shared" ref="J190:J248" si="13">I190+7</f>
        <v>7</v>
      </c>
      <c r="K190" s="93"/>
      <c r="L190" s="103"/>
      <c r="M190" s="103"/>
      <c r="N190" s="319"/>
      <c r="O190" s="314" t="s">
        <v>81</v>
      </c>
      <c r="P190" s="320"/>
      <c r="Q190" s="319"/>
      <c r="R190" s="319"/>
      <c r="S190" s="319"/>
      <c r="T190" s="319"/>
      <c r="U190" s="103"/>
      <c r="V190" s="99"/>
      <c r="W190" s="99"/>
      <c r="X190" s="99"/>
      <c r="Y190" s="99"/>
      <c r="Z190" s="100"/>
      <c r="AA190" s="99"/>
      <c r="AB190" s="99"/>
      <c r="AC190" s="99"/>
      <c r="AD190" s="99"/>
      <c r="AE190" s="100"/>
      <c r="AF190" s="96"/>
      <c r="AG190" s="96"/>
      <c r="AH190" s="96"/>
      <c r="AI190" s="96"/>
      <c r="AJ190" s="104"/>
      <c r="AK190" s="96"/>
      <c r="AL190" s="96"/>
      <c r="AM190" s="96"/>
      <c r="AN190" s="96"/>
      <c r="AO190" s="104"/>
      <c r="AP190" s="96"/>
      <c r="AQ190" s="96"/>
      <c r="AR190" s="96"/>
      <c r="AS190" s="96"/>
      <c r="AT190" s="104"/>
      <c r="AU190" s="96"/>
      <c r="AV190" s="96"/>
      <c r="AW190" s="96"/>
      <c r="AX190" s="96"/>
      <c r="AY190" s="104"/>
      <c r="AZ190" s="96"/>
      <c r="BA190" s="96"/>
      <c r="BB190" s="96"/>
      <c r="BC190" s="96"/>
      <c r="BD190" s="104"/>
      <c r="BE190" s="96"/>
      <c r="BF190" s="96"/>
      <c r="BG190" s="96"/>
      <c r="BH190" s="96"/>
      <c r="BI190" s="104"/>
      <c r="BJ190" s="693" t="s">
        <v>82</v>
      </c>
    </row>
    <row r="191" spans="1:62" ht="20.25" customHeight="1">
      <c r="A191" s="633">
        <v>195</v>
      </c>
      <c r="B191" s="215" t="s">
        <v>52</v>
      </c>
      <c r="C191" s="238" t="s">
        <v>999</v>
      </c>
      <c r="D191" s="280" t="s">
        <v>1000</v>
      </c>
      <c r="E191" s="604" t="s">
        <v>1001</v>
      </c>
      <c r="F191" s="241" t="s">
        <v>966</v>
      </c>
      <c r="G191" s="241" t="s">
        <v>541</v>
      </c>
      <c r="H191" s="692">
        <v>46074</v>
      </c>
      <c r="I191" s="313"/>
      <c r="J191" s="214">
        <f t="shared" si="13"/>
        <v>7</v>
      </c>
      <c r="K191" s="93"/>
      <c r="L191" s="103"/>
      <c r="M191" s="103"/>
      <c r="N191" s="319"/>
      <c r="O191" s="314" t="s">
        <v>81</v>
      </c>
      <c r="P191" s="320"/>
      <c r="Q191" s="319"/>
      <c r="R191" s="319"/>
      <c r="S191" s="319"/>
      <c r="T191" s="319"/>
      <c r="U191" s="103"/>
      <c r="V191" s="99"/>
      <c r="W191" s="99"/>
      <c r="X191" s="99"/>
      <c r="Y191" s="99"/>
      <c r="Z191" s="100"/>
      <c r="AA191" s="99"/>
      <c r="AB191" s="99"/>
      <c r="AC191" s="99"/>
      <c r="AD191" s="99"/>
      <c r="AE191" s="100"/>
      <c r="AF191" s="96"/>
      <c r="AG191" s="96"/>
      <c r="AH191" s="96"/>
      <c r="AI191" s="96"/>
      <c r="AJ191" s="104"/>
      <c r="AK191" s="96"/>
      <c r="AL191" s="96"/>
      <c r="AM191" s="96"/>
      <c r="AN191" s="96"/>
      <c r="AO191" s="104"/>
      <c r="AP191" s="96"/>
      <c r="AQ191" s="96"/>
      <c r="AR191" s="96"/>
      <c r="AS191" s="96"/>
      <c r="AT191" s="104"/>
      <c r="AU191" s="96"/>
      <c r="AV191" s="96"/>
      <c r="AW191" s="96"/>
      <c r="AX191" s="96"/>
      <c r="AY191" s="104"/>
      <c r="AZ191" s="96"/>
      <c r="BA191" s="96"/>
      <c r="BB191" s="96"/>
      <c r="BC191" s="96"/>
      <c r="BD191" s="104"/>
      <c r="BE191" s="96"/>
      <c r="BF191" s="96"/>
      <c r="BG191" s="96"/>
      <c r="BH191" s="96"/>
      <c r="BI191" s="104"/>
      <c r="BJ191" s="693" t="s">
        <v>82</v>
      </c>
    </row>
    <row r="192" spans="1:62" ht="20.25" customHeight="1">
      <c r="A192" s="633">
        <v>196</v>
      </c>
      <c r="B192" s="215" t="s">
        <v>52</v>
      </c>
      <c r="C192" s="238" t="s">
        <v>1002</v>
      </c>
      <c r="D192" s="280" t="s">
        <v>1003</v>
      </c>
      <c r="E192" s="604" t="s">
        <v>1004</v>
      </c>
      <c r="F192" s="241" t="s">
        <v>966</v>
      </c>
      <c r="G192" s="241" t="s">
        <v>541</v>
      </c>
      <c r="H192" s="692">
        <v>46074</v>
      </c>
      <c r="I192" s="313"/>
      <c r="J192" s="214">
        <f t="shared" si="13"/>
        <v>7</v>
      </c>
      <c r="K192" s="93"/>
      <c r="L192" s="103"/>
      <c r="M192" s="103"/>
      <c r="N192" s="319"/>
      <c r="O192" s="314" t="s">
        <v>81</v>
      </c>
      <c r="P192" s="320"/>
      <c r="Q192" s="319"/>
      <c r="R192" s="319"/>
      <c r="S192" s="319"/>
      <c r="T192" s="319"/>
      <c r="U192" s="103"/>
      <c r="V192" s="99"/>
      <c r="W192" s="99"/>
      <c r="X192" s="99"/>
      <c r="Y192" s="99"/>
      <c r="Z192" s="100"/>
      <c r="AA192" s="99"/>
      <c r="AB192" s="99"/>
      <c r="AC192" s="99"/>
      <c r="AD192" s="99"/>
      <c r="AE192" s="100"/>
      <c r="AF192" s="96"/>
      <c r="AG192" s="96"/>
      <c r="AH192" s="96"/>
      <c r="AI192" s="96"/>
      <c r="AJ192" s="104"/>
      <c r="AK192" s="96"/>
      <c r="AL192" s="96"/>
      <c r="AM192" s="96"/>
      <c r="AN192" s="96"/>
      <c r="AO192" s="104"/>
      <c r="AP192" s="96"/>
      <c r="AQ192" s="96"/>
      <c r="AR192" s="96"/>
      <c r="AS192" s="96"/>
      <c r="AT192" s="104"/>
      <c r="AU192" s="96"/>
      <c r="AV192" s="96"/>
      <c r="AW192" s="96"/>
      <c r="AX192" s="96"/>
      <c r="AY192" s="104"/>
      <c r="AZ192" s="96"/>
      <c r="BA192" s="96"/>
      <c r="BB192" s="96"/>
      <c r="BC192" s="96"/>
      <c r="BD192" s="104"/>
      <c r="BE192" s="96"/>
      <c r="BF192" s="96"/>
      <c r="BG192" s="96"/>
      <c r="BH192" s="96"/>
      <c r="BI192" s="104"/>
      <c r="BJ192" s="693" t="s">
        <v>82</v>
      </c>
    </row>
    <row r="193" spans="1:62" ht="20.25" customHeight="1">
      <c r="A193" s="633">
        <v>197</v>
      </c>
      <c r="B193" s="215" t="s">
        <v>52</v>
      </c>
      <c r="C193" s="238" t="s">
        <v>1005</v>
      </c>
      <c r="D193" s="280" t="s">
        <v>1006</v>
      </c>
      <c r="E193" s="604" t="s">
        <v>1007</v>
      </c>
      <c r="F193" s="241" t="s">
        <v>966</v>
      </c>
      <c r="G193" s="241" t="s">
        <v>541</v>
      </c>
      <c r="H193" s="692">
        <v>46066</v>
      </c>
      <c r="I193" s="313"/>
      <c r="J193" s="214">
        <f t="shared" si="13"/>
        <v>7</v>
      </c>
      <c r="K193" s="93"/>
      <c r="L193" s="103"/>
      <c r="M193" s="103"/>
      <c r="N193" s="319"/>
      <c r="O193" s="314" t="s">
        <v>81</v>
      </c>
      <c r="P193" s="320"/>
      <c r="Q193" s="319"/>
      <c r="R193" s="319"/>
      <c r="S193" s="319"/>
      <c r="T193" s="319"/>
      <c r="U193" s="103"/>
      <c r="V193" s="99"/>
      <c r="W193" s="99"/>
      <c r="X193" s="99"/>
      <c r="Y193" s="99"/>
      <c r="Z193" s="100"/>
      <c r="AA193" s="99"/>
      <c r="AB193" s="99"/>
      <c r="AC193" s="99"/>
      <c r="AD193" s="99"/>
      <c r="AE193" s="100"/>
      <c r="AF193" s="96"/>
      <c r="AG193" s="96"/>
      <c r="AH193" s="96"/>
      <c r="AI193" s="96"/>
      <c r="AJ193" s="104"/>
      <c r="AK193" s="96"/>
      <c r="AL193" s="96"/>
      <c r="AM193" s="96"/>
      <c r="AN193" s="96"/>
      <c r="AO193" s="104"/>
      <c r="AP193" s="96"/>
      <c r="AQ193" s="96"/>
      <c r="AR193" s="96"/>
      <c r="AS193" s="96"/>
      <c r="AT193" s="104"/>
      <c r="AU193" s="96"/>
      <c r="AV193" s="96"/>
      <c r="AW193" s="96"/>
      <c r="AX193" s="96"/>
      <c r="AY193" s="104"/>
      <c r="AZ193" s="96"/>
      <c r="BA193" s="96"/>
      <c r="BB193" s="96"/>
      <c r="BC193" s="96"/>
      <c r="BD193" s="104"/>
      <c r="BE193" s="96"/>
      <c r="BF193" s="96"/>
      <c r="BG193" s="96"/>
      <c r="BH193" s="96"/>
      <c r="BI193" s="104"/>
      <c r="BJ193" s="693" t="s">
        <v>82</v>
      </c>
    </row>
    <row r="194" spans="1:62" ht="20.25" customHeight="1">
      <c r="A194" s="315">
        <v>198</v>
      </c>
      <c r="B194" s="215" t="s">
        <v>52</v>
      </c>
      <c r="C194" s="238" t="s">
        <v>1008</v>
      </c>
      <c r="D194" s="280" t="s">
        <v>1009</v>
      </c>
      <c r="E194" s="604" t="s">
        <v>1010</v>
      </c>
      <c r="F194" s="241" t="s">
        <v>970</v>
      </c>
      <c r="G194" s="241" t="s">
        <v>413</v>
      </c>
      <c r="H194" s="234">
        <v>46091</v>
      </c>
      <c r="I194" s="313"/>
      <c r="J194" s="214">
        <f t="shared" si="13"/>
        <v>7</v>
      </c>
      <c r="K194" s="93"/>
      <c r="L194" s="103"/>
      <c r="M194" s="103"/>
      <c r="N194" s="319"/>
      <c r="O194" s="314" t="s">
        <v>81</v>
      </c>
      <c r="P194" s="320"/>
      <c r="Q194" s="319"/>
      <c r="R194" s="319"/>
      <c r="S194" s="319"/>
      <c r="T194" s="319"/>
      <c r="U194" s="103"/>
      <c r="V194" s="99"/>
      <c r="W194" s="99"/>
      <c r="X194" s="99"/>
      <c r="Y194" s="99"/>
      <c r="Z194" s="100"/>
      <c r="AA194" s="99"/>
      <c r="AB194" s="99"/>
      <c r="AC194" s="99"/>
      <c r="AD194" s="99"/>
      <c r="AE194" s="100"/>
      <c r="AF194" s="96"/>
      <c r="AG194" s="96"/>
      <c r="AH194" s="96"/>
      <c r="AI194" s="96"/>
      <c r="AJ194" s="104"/>
      <c r="AK194" s="96"/>
      <c r="AL194" s="96"/>
      <c r="AM194" s="96"/>
      <c r="AN194" s="96"/>
      <c r="AO194" s="104"/>
      <c r="AP194" s="96"/>
      <c r="AQ194" s="96"/>
      <c r="AR194" s="96"/>
      <c r="AS194" s="96"/>
      <c r="AT194" s="104"/>
      <c r="AU194" s="96"/>
      <c r="AV194" s="96"/>
      <c r="AW194" s="96"/>
      <c r="AX194" s="96"/>
      <c r="AY194" s="104"/>
      <c r="AZ194" s="96"/>
      <c r="BA194" s="96"/>
      <c r="BB194" s="96"/>
      <c r="BC194" s="96"/>
      <c r="BD194" s="104"/>
      <c r="BE194" s="96"/>
      <c r="BF194" s="96"/>
      <c r="BG194" s="96"/>
      <c r="BH194" s="96"/>
      <c r="BI194" s="104"/>
      <c r="BJ194" s="693" t="s">
        <v>82</v>
      </c>
    </row>
    <row r="195" spans="1:62" ht="20.25" customHeight="1">
      <c r="A195" s="315">
        <v>199</v>
      </c>
      <c r="B195" s="215" t="s">
        <v>52</v>
      </c>
      <c r="C195" s="238" t="s">
        <v>1011</v>
      </c>
      <c r="D195" s="280" t="s">
        <v>1012</v>
      </c>
      <c r="E195" s="604" t="s">
        <v>1013</v>
      </c>
      <c r="F195" s="241" t="s">
        <v>970</v>
      </c>
      <c r="G195" s="241" t="s">
        <v>413</v>
      </c>
      <c r="H195" s="234">
        <v>46091</v>
      </c>
      <c r="I195" s="313"/>
      <c r="J195" s="214">
        <f t="shared" si="13"/>
        <v>7</v>
      </c>
      <c r="K195" s="93"/>
      <c r="L195" s="103"/>
      <c r="M195" s="103"/>
      <c r="N195" s="319"/>
      <c r="O195" s="314" t="s">
        <v>81</v>
      </c>
      <c r="P195" s="320"/>
      <c r="Q195" s="319"/>
      <c r="R195" s="319"/>
      <c r="S195" s="319"/>
      <c r="T195" s="319"/>
      <c r="U195" s="103"/>
      <c r="V195" s="99"/>
      <c r="W195" s="99"/>
      <c r="X195" s="99"/>
      <c r="Y195" s="99"/>
      <c r="Z195" s="100"/>
      <c r="AA195" s="99"/>
      <c r="AB195" s="99"/>
      <c r="AC195" s="99"/>
      <c r="AD195" s="99"/>
      <c r="AE195" s="100"/>
      <c r="AF195" s="96"/>
      <c r="AG195" s="96"/>
      <c r="AH195" s="96"/>
      <c r="AI195" s="96"/>
      <c r="AJ195" s="104"/>
      <c r="AK195" s="96"/>
      <c r="AL195" s="96"/>
      <c r="AM195" s="96"/>
      <c r="AN195" s="96"/>
      <c r="AO195" s="104"/>
      <c r="AP195" s="96"/>
      <c r="AQ195" s="96"/>
      <c r="AR195" s="96"/>
      <c r="AS195" s="96"/>
      <c r="AT195" s="104"/>
      <c r="AU195" s="96"/>
      <c r="AV195" s="96"/>
      <c r="AW195" s="96"/>
      <c r="AX195" s="96"/>
      <c r="AY195" s="104"/>
      <c r="AZ195" s="96"/>
      <c r="BA195" s="96"/>
      <c r="BB195" s="96"/>
      <c r="BC195" s="96"/>
      <c r="BD195" s="104"/>
      <c r="BE195" s="96"/>
      <c r="BF195" s="96"/>
      <c r="BG195" s="96"/>
      <c r="BH195" s="96"/>
      <c r="BI195" s="104"/>
      <c r="BJ195" s="693" t="s">
        <v>82</v>
      </c>
    </row>
    <row r="196" spans="1:62" ht="20.25" customHeight="1">
      <c r="A196" s="315">
        <v>200</v>
      </c>
      <c r="B196" s="215" t="s">
        <v>52</v>
      </c>
      <c r="C196" s="238" t="s">
        <v>1014</v>
      </c>
      <c r="D196" s="280" t="s">
        <v>1015</v>
      </c>
      <c r="E196" s="604" t="s">
        <v>1016</v>
      </c>
      <c r="F196" s="241" t="s">
        <v>546</v>
      </c>
      <c r="G196" s="241" t="s">
        <v>547</v>
      </c>
      <c r="H196" s="234">
        <v>46069</v>
      </c>
      <c r="I196" s="313"/>
      <c r="J196" s="214">
        <f t="shared" si="13"/>
        <v>7</v>
      </c>
      <c r="K196" s="93"/>
      <c r="L196" s="103"/>
      <c r="M196" s="103"/>
      <c r="N196" s="319"/>
      <c r="O196" s="314" t="s">
        <v>81</v>
      </c>
      <c r="P196" s="320"/>
      <c r="Q196" s="319"/>
      <c r="R196" s="319"/>
      <c r="S196" s="319"/>
      <c r="T196" s="319"/>
      <c r="U196" s="103"/>
      <c r="V196" s="99"/>
      <c r="W196" s="99"/>
      <c r="X196" s="99"/>
      <c r="Y196" s="99"/>
      <c r="Z196" s="100"/>
      <c r="AA196" s="99"/>
      <c r="AB196" s="99"/>
      <c r="AC196" s="99"/>
      <c r="AD196" s="99"/>
      <c r="AE196" s="100"/>
      <c r="AF196" s="96"/>
      <c r="AG196" s="96"/>
      <c r="AH196" s="96"/>
      <c r="AI196" s="96"/>
      <c r="AJ196" s="104"/>
      <c r="AK196" s="96"/>
      <c r="AL196" s="96"/>
      <c r="AM196" s="96"/>
      <c r="AN196" s="96"/>
      <c r="AO196" s="104"/>
      <c r="AP196" s="96"/>
      <c r="AQ196" s="96"/>
      <c r="AR196" s="96"/>
      <c r="AS196" s="96"/>
      <c r="AT196" s="104"/>
      <c r="AU196" s="96"/>
      <c r="AV196" s="96"/>
      <c r="AW196" s="96"/>
      <c r="AX196" s="96"/>
      <c r="AY196" s="104"/>
      <c r="AZ196" s="96"/>
      <c r="BA196" s="96"/>
      <c r="BB196" s="96"/>
      <c r="BC196" s="96"/>
      <c r="BD196" s="104"/>
      <c r="BE196" s="96"/>
      <c r="BF196" s="96"/>
      <c r="BG196" s="96"/>
      <c r="BH196" s="96"/>
      <c r="BI196" s="104"/>
      <c r="BJ196" s="693" t="s">
        <v>82</v>
      </c>
    </row>
    <row r="197" spans="1:62" ht="20.25" customHeight="1">
      <c r="A197" s="633">
        <v>201</v>
      </c>
      <c r="B197" s="215" t="s">
        <v>52</v>
      </c>
      <c r="C197" s="238" t="s">
        <v>1017</v>
      </c>
      <c r="D197" s="280" t="s">
        <v>1018</v>
      </c>
      <c r="E197" s="604" t="s">
        <v>1019</v>
      </c>
      <c r="F197" s="241" t="s">
        <v>970</v>
      </c>
      <c r="G197" s="241" t="s">
        <v>541</v>
      </c>
      <c r="H197" s="692">
        <v>46105</v>
      </c>
      <c r="I197" s="313"/>
      <c r="J197" s="214">
        <f t="shared" si="13"/>
        <v>7</v>
      </c>
      <c r="K197" s="93"/>
      <c r="L197" s="103"/>
      <c r="M197" s="103"/>
      <c r="N197" s="319"/>
      <c r="O197" s="314" t="s">
        <v>81</v>
      </c>
      <c r="P197" s="320"/>
      <c r="Q197" s="319"/>
      <c r="R197" s="319"/>
      <c r="S197" s="319"/>
      <c r="T197" s="319"/>
      <c r="U197" s="103"/>
      <c r="V197" s="99"/>
      <c r="W197" s="99"/>
      <c r="X197" s="99"/>
      <c r="Y197" s="99"/>
      <c r="Z197" s="100"/>
      <c r="AA197" s="99"/>
      <c r="AB197" s="99"/>
      <c r="AC197" s="99"/>
      <c r="AD197" s="99"/>
      <c r="AE197" s="100"/>
      <c r="AF197" s="96"/>
      <c r="AG197" s="96"/>
      <c r="AH197" s="96"/>
      <c r="AI197" s="96"/>
      <c r="AJ197" s="104"/>
      <c r="AK197" s="96"/>
      <c r="AL197" s="96"/>
      <c r="AM197" s="96"/>
      <c r="AN197" s="96"/>
      <c r="AO197" s="104"/>
      <c r="AP197" s="96"/>
      <c r="AQ197" s="96"/>
      <c r="AR197" s="96"/>
      <c r="AS197" s="96"/>
      <c r="AT197" s="104"/>
      <c r="AU197" s="96"/>
      <c r="AV197" s="96"/>
      <c r="AW197" s="96"/>
      <c r="AX197" s="96"/>
      <c r="AY197" s="104"/>
      <c r="AZ197" s="96"/>
      <c r="BA197" s="96"/>
      <c r="BB197" s="96"/>
      <c r="BC197" s="96"/>
      <c r="BD197" s="104"/>
      <c r="BE197" s="96"/>
      <c r="BF197" s="96"/>
      <c r="BG197" s="96"/>
      <c r="BH197" s="96"/>
      <c r="BI197" s="104"/>
      <c r="BJ197" s="693" t="s">
        <v>82</v>
      </c>
    </row>
    <row r="198" spans="1:62" ht="20.25" customHeight="1">
      <c r="A198" s="315">
        <v>202</v>
      </c>
      <c r="B198" s="215" t="s">
        <v>52</v>
      </c>
      <c r="C198" s="238" t="s">
        <v>1020</v>
      </c>
      <c r="D198" s="280" t="s">
        <v>1021</v>
      </c>
      <c r="E198" s="604" t="s">
        <v>1022</v>
      </c>
      <c r="F198" s="241" t="s">
        <v>529</v>
      </c>
      <c r="G198" s="241" t="s">
        <v>1023</v>
      </c>
      <c r="H198" s="234">
        <v>46065</v>
      </c>
      <c r="I198" s="313"/>
      <c r="J198" s="214">
        <f t="shared" si="13"/>
        <v>7</v>
      </c>
      <c r="K198" s="93"/>
      <c r="L198" s="103"/>
      <c r="M198" s="103"/>
      <c r="N198" s="319"/>
      <c r="O198" s="314" t="s">
        <v>81</v>
      </c>
      <c r="P198" s="320"/>
      <c r="Q198" s="319"/>
      <c r="R198" s="319"/>
      <c r="S198" s="319"/>
      <c r="T198" s="319"/>
      <c r="U198" s="103"/>
      <c r="V198" s="99"/>
      <c r="W198" s="99"/>
      <c r="X198" s="99"/>
      <c r="Y198" s="99"/>
      <c r="Z198" s="100"/>
      <c r="AA198" s="99"/>
      <c r="AB198" s="99"/>
      <c r="AC198" s="99"/>
      <c r="AD198" s="99"/>
      <c r="AE198" s="100"/>
      <c r="AF198" s="96"/>
      <c r="AG198" s="96"/>
      <c r="AH198" s="96"/>
      <c r="AI198" s="96"/>
      <c r="AJ198" s="104"/>
      <c r="AK198" s="96"/>
      <c r="AL198" s="96"/>
      <c r="AM198" s="96"/>
      <c r="AN198" s="96"/>
      <c r="AO198" s="104"/>
      <c r="AP198" s="96"/>
      <c r="AQ198" s="96"/>
      <c r="AR198" s="96"/>
      <c r="AS198" s="96"/>
      <c r="AT198" s="104"/>
      <c r="AU198" s="96"/>
      <c r="AV198" s="96"/>
      <c r="AW198" s="96"/>
      <c r="AX198" s="96"/>
      <c r="AY198" s="104"/>
      <c r="AZ198" s="96"/>
      <c r="BA198" s="96"/>
      <c r="BB198" s="96"/>
      <c r="BC198" s="96"/>
      <c r="BD198" s="104"/>
      <c r="BE198" s="96"/>
      <c r="BF198" s="96"/>
      <c r="BG198" s="96"/>
      <c r="BH198" s="96"/>
      <c r="BI198" s="104"/>
      <c r="BJ198" s="693" t="s">
        <v>82</v>
      </c>
    </row>
    <row r="199" spans="1:62" ht="20.25" customHeight="1">
      <c r="A199" s="315">
        <v>203</v>
      </c>
      <c r="B199" s="215" t="s">
        <v>52</v>
      </c>
      <c r="C199" s="238" t="s">
        <v>1024</v>
      </c>
      <c r="D199" s="280" t="s">
        <v>1025</v>
      </c>
      <c r="E199" s="604" t="s">
        <v>1026</v>
      </c>
      <c r="F199" s="241" t="s">
        <v>535</v>
      </c>
      <c r="G199" s="241" t="s">
        <v>1023</v>
      </c>
      <c r="H199" s="234">
        <v>46067</v>
      </c>
      <c r="I199" s="313"/>
      <c r="J199" s="214">
        <f t="shared" si="13"/>
        <v>7</v>
      </c>
      <c r="K199" s="93"/>
      <c r="L199" s="103"/>
      <c r="M199" s="103"/>
      <c r="N199" s="319"/>
      <c r="O199" s="314" t="s">
        <v>81</v>
      </c>
      <c r="P199" s="320"/>
      <c r="Q199" s="319"/>
      <c r="R199" s="319"/>
      <c r="S199" s="319"/>
      <c r="T199" s="319"/>
      <c r="U199" s="103"/>
      <c r="V199" s="99"/>
      <c r="W199" s="99"/>
      <c r="X199" s="99"/>
      <c r="Y199" s="99"/>
      <c r="Z199" s="100"/>
      <c r="AA199" s="99"/>
      <c r="AB199" s="99"/>
      <c r="AC199" s="99"/>
      <c r="AD199" s="99"/>
      <c r="AE199" s="100"/>
      <c r="AF199" s="96"/>
      <c r="AG199" s="96"/>
      <c r="AH199" s="96"/>
      <c r="AI199" s="96"/>
      <c r="AJ199" s="104"/>
      <c r="AK199" s="96"/>
      <c r="AL199" s="96"/>
      <c r="AM199" s="96"/>
      <c r="AN199" s="96"/>
      <c r="AO199" s="104"/>
      <c r="AP199" s="96"/>
      <c r="AQ199" s="96"/>
      <c r="AR199" s="96"/>
      <c r="AS199" s="96"/>
      <c r="AT199" s="104"/>
      <c r="AU199" s="96"/>
      <c r="AV199" s="96"/>
      <c r="AW199" s="96"/>
      <c r="AX199" s="96"/>
      <c r="AY199" s="104"/>
      <c r="AZ199" s="96"/>
      <c r="BA199" s="96"/>
      <c r="BB199" s="96"/>
      <c r="BC199" s="96"/>
      <c r="BD199" s="104"/>
      <c r="BE199" s="96"/>
      <c r="BF199" s="96"/>
      <c r="BG199" s="96"/>
      <c r="BH199" s="96"/>
      <c r="BI199" s="104"/>
      <c r="BJ199" s="693" t="s">
        <v>82</v>
      </c>
    </row>
    <row r="200" spans="1:62" ht="20.25" customHeight="1">
      <c r="A200" s="315">
        <v>204</v>
      </c>
      <c r="B200" s="215" t="s">
        <v>52</v>
      </c>
      <c r="C200" s="238" t="s">
        <v>1027</v>
      </c>
      <c r="D200" s="280" t="s">
        <v>1028</v>
      </c>
      <c r="E200" s="604" t="s">
        <v>1029</v>
      </c>
      <c r="F200" s="241" t="s">
        <v>672</v>
      </c>
      <c r="G200" s="241" t="s">
        <v>1030</v>
      </c>
      <c r="H200" s="234">
        <v>46100</v>
      </c>
      <c r="I200" s="313"/>
      <c r="J200" s="214">
        <f t="shared" si="13"/>
        <v>7</v>
      </c>
      <c r="K200" s="93"/>
      <c r="L200" s="103"/>
      <c r="M200" s="103"/>
      <c r="N200" s="319"/>
      <c r="O200" s="314" t="s">
        <v>81</v>
      </c>
      <c r="P200" s="320"/>
      <c r="Q200" s="319"/>
      <c r="R200" s="319"/>
      <c r="S200" s="319"/>
      <c r="T200" s="319"/>
      <c r="U200" s="103"/>
      <c r="V200" s="99"/>
      <c r="W200" s="99"/>
      <c r="X200" s="99"/>
      <c r="Y200" s="99"/>
      <c r="Z200" s="100"/>
      <c r="AA200" s="99"/>
      <c r="AB200" s="99"/>
      <c r="AC200" s="99"/>
      <c r="AD200" s="99"/>
      <c r="AE200" s="100"/>
      <c r="AF200" s="96"/>
      <c r="AG200" s="96"/>
      <c r="AH200" s="96"/>
      <c r="AI200" s="96"/>
      <c r="AJ200" s="104"/>
      <c r="AK200" s="96"/>
      <c r="AL200" s="96"/>
      <c r="AM200" s="96"/>
      <c r="AN200" s="96"/>
      <c r="AO200" s="104"/>
      <c r="AP200" s="96"/>
      <c r="AQ200" s="96"/>
      <c r="AR200" s="96"/>
      <c r="AS200" s="96"/>
      <c r="AT200" s="104"/>
      <c r="AU200" s="96"/>
      <c r="AV200" s="96"/>
      <c r="AW200" s="96"/>
      <c r="AX200" s="96"/>
      <c r="AY200" s="104"/>
      <c r="AZ200" s="96"/>
      <c r="BA200" s="96"/>
      <c r="BB200" s="96"/>
      <c r="BC200" s="96"/>
      <c r="BD200" s="104"/>
      <c r="BE200" s="96"/>
      <c r="BF200" s="96"/>
      <c r="BG200" s="96"/>
      <c r="BH200" s="96"/>
      <c r="BI200" s="104"/>
      <c r="BJ200" s="693" t="s">
        <v>82</v>
      </c>
    </row>
    <row r="201" spans="1:62" ht="20.25" customHeight="1">
      <c r="A201" s="315">
        <v>205</v>
      </c>
      <c r="B201" s="215" t="s">
        <v>52</v>
      </c>
      <c r="C201" s="238" t="s">
        <v>1031</v>
      </c>
      <c r="D201" s="280" t="s">
        <v>1032</v>
      </c>
      <c r="E201" s="604" t="s">
        <v>1033</v>
      </c>
      <c r="F201" s="241" t="s">
        <v>529</v>
      </c>
      <c r="G201" s="241" t="s">
        <v>1023</v>
      </c>
      <c r="H201" s="233">
        <v>46052</v>
      </c>
      <c r="I201" s="214">
        <v>46065</v>
      </c>
      <c r="J201" s="214">
        <f t="shared" si="13"/>
        <v>46072</v>
      </c>
      <c r="K201" s="103">
        <v>0</v>
      </c>
      <c r="L201" s="103" t="s">
        <v>49</v>
      </c>
      <c r="M201" s="103" t="s">
        <v>89</v>
      </c>
      <c r="N201" s="319"/>
      <c r="O201" s="314" t="s">
        <v>81</v>
      </c>
      <c r="P201" s="632" t="s">
        <v>531</v>
      </c>
      <c r="Q201" s="319">
        <v>46065</v>
      </c>
      <c r="R201" s="319"/>
      <c r="S201" s="319"/>
      <c r="T201" s="319"/>
      <c r="U201" s="103"/>
      <c r="V201" s="99"/>
      <c r="W201" s="99"/>
      <c r="X201" s="99"/>
      <c r="Y201" s="99"/>
      <c r="Z201" s="100"/>
      <c r="AA201" s="99"/>
      <c r="AB201" s="99"/>
      <c r="AC201" s="99"/>
      <c r="AD201" s="99"/>
      <c r="AE201" s="100"/>
      <c r="AF201" s="96"/>
      <c r="AG201" s="96"/>
      <c r="AH201" s="96"/>
      <c r="AI201" s="96"/>
      <c r="AJ201" s="104"/>
      <c r="AK201" s="96"/>
      <c r="AL201" s="96"/>
      <c r="AM201" s="96"/>
      <c r="AN201" s="96"/>
      <c r="AO201" s="104"/>
      <c r="AP201" s="96"/>
      <c r="AQ201" s="96"/>
      <c r="AR201" s="96"/>
      <c r="AS201" s="96"/>
      <c r="AT201" s="104"/>
      <c r="AU201" s="96"/>
      <c r="AV201" s="96"/>
      <c r="AW201" s="96"/>
      <c r="AX201" s="96"/>
      <c r="AY201" s="104"/>
      <c r="AZ201" s="96"/>
      <c r="BA201" s="96"/>
      <c r="BB201" s="96"/>
      <c r="BC201" s="96"/>
      <c r="BD201" s="104"/>
      <c r="BE201" s="96"/>
      <c r="BF201" s="96"/>
      <c r="BG201" s="96"/>
      <c r="BH201" s="96"/>
      <c r="BI201" s="104"/>
      <c r="BJ201" s="693" t="s">
        <v>82</v>
      </c>
    </row>
    <row r="202" spans="1:62" ht="20.25" customHeight="1">
      <c r="A202" s="315">
        <v>206</v>
      </c>
      <c r="B202" s="215" t="s">
        <v>52</v>
      </c>
      <c r="C202" s="238" t="s">
        <v>1034</v>
      </c>
      <c r="D202" s="280" t="s">
        <v>1035</v>
      </c>
      <c r="E202" s="604" t="s">
        <v>1036</v>
      </c>
      <c r="F202" s="241" t="s">
        <v>535</v>
      </c>
      <c r="G202" s="241" t="s">
        <v>1023</v>
      </c>
      <c r="H202" s="234">
        <v>46055</v>
      </c>
      <c r="I202" s="214">
        <v>46058</v>
      </c>
      <c r="J202" s="214">
        <f t="shared" ref="J202" si="14">I202+7</f>
        <v>46065</v>
      </c>
      <c r="K202" s="103">
        <v>0</v>
      </c>
      <c r="L202" s="103" t="s">
        <v>50</v>
      </c>
      <c r="M202" s="103" t="s">
        <v>89</v>
      </c>
      <c r="N202" s="319"/>
      <c r="O202" s="314" t="s">
        <v>81</v>
      </c>
      <c r="P202" s="320"/>
      <c r="Q202" s="319">
        <v>46058</v>
      </c>
      <c r="R202" s="319">
        <v>46065</v>
      </c>
      <c r="S202" s="319"/>
      <c r="T202" s="319"/>
      <c r="U202" s="103"/>
      <c r="V202" s="99"/>
      <c r="W202" s="99"/>
      <c r="X202" s="99"/>
      <c r="Y202" s="99"/>
      <c r="Z202" s="100"/>
      <c r="AA202" s="99"/>
      <c r="AB202" s="99"/>
      <c r="AC202" s="99"/>
      <c r="AD202" s="99"/>
      <c r="AE202" s="100"/>
      <c r="AF202" s="96"/>
      <c r="AG202" s="96"/>
      <c r="AH202" s="96"/>
      <c r="AI202" s="96"/>
      <c r="AJ202" s="104"/>
      <c r="AK202" s="96"/>
      <c r="AL202" s="96"/>
      <c r="AM202" s="96"/>
      <c r="AN202" s="96"/>
      <c r="AO202" s="104"/>
      <c r="AP202" s="96"/>
      <c r="AQ202" s="96"/>
      <c r="AR202" s="96"/>
      <c r="AS202" s="96"/>
      <c r="AT202" s="104"/>
      <c r="AU202" s="96"/>
      <c r="AV202" s="96"/>
      <c r="AW202" s="96"/>
      <c r="AX202" s="96"/>
      <c r="AY202" s="104"/>
      <c r="AZ202" s="96"/>
      <c r="BA202" s="96"/>
      <c r="BB202" s="96"/>
      <c r="BC202" s="96"/>
      <c r="BD202" s="104"/>
      <c r="BE202" s="96"/>
      <c r="BF202" s="96"/>
      <c r="BG202" s="96"/>
      <c r="BH202" s="96"/>
      <c r="BI202" s="104"/>
      <c r="BJ202" s="693" t="s">
        <v>82</v>
      </c>
    </row>
    <row r="203" spans="1:62" ht="20.25" customHeight="1">
      <c r="A203" s="315">
        <v>207</v>
      </c>
      <c r="B203" s="215" t="s">
        <v>52</v>
      </c>
      <c r="C203" s="238" t="s">
        <v>1037</v>
      </c>
      <c r="D203" s="280" t="s">
        <v>1038</v>
      </c>
      <c r="E203" s="604" t="s">
        <v>1039</v>
      </c>
      <c r="F203" s="241" t="s">
        <v>672</v>
      </c>
      <c r="G203" s="241" t="s">
        <v>1030</v>
      </c>
      <c r="H203" s="234">
        <v>46093</v>
      </c>
      <c r="I203" s="313"/>
      <c r="J203" s="214">
        <f t="shared" si="13"/>
        <v>7</v>
      </c>
      <c r="K203" s="93"/>
      <c r="L203" s="103"/>
      <c r="M203" s="103"/>
      <c r="N203" s="319"/>
      <c r="O203" s="314" t="s">
        <v>81</v>
      </c>
      <c r="P203" s="320"/>
      <c r="Q203" s="319"/>
      <c r="R203" s="319"/>
      <c r="S203" s="319"/>
      <c r="T203" s="319"/>
      <c r="U203" s="103"/>
      <c r="V203" s="99"/>
      <c r="W203" s="99"/>
      <c r="X203" s="99"/>
      <c r="Y203" s="99"/>
      <c r="Z203" s="100"/>
      <c r="AA203" s="99"/>
      <c r="AB203" s="99"/>
      <c r="AC203" s="99"/>
      <c r="AD203" s="99"/>
      <c r="AE203" s="100"/>
      <c r="AF203" s="96"/>
      <c r="AG203" s="96"/>
      <c r="AH203" s="96"/>
      <c r="AI203" s="96"/>
      <c r="AJ203" s="104"/>
      <c r="AK203" s="96"/>
      <c r="AL203" s="96"/>
      <c r="AM203" s="96"/>
      <c r="AN203" s="96"/>
      <c r="AO203" s="104"/>
      <c r="AP203" s="96"/>
      <c r="AQ203" s="96"/>
      <c r="AR203" s="96"/>
      <c r="AS203" s="96"/>
      <c r="AT203" s="104"/>
      <c r="AU203" s="96"/>
      <c r="AV203" s="96"/>
      <c r="AW203" s="96"/>
      <c r="AX203" s="96"/>
      <c r="AY203" s="104"/>
      <c r="AZ203" s="96"/>
      <c r="BA203" s="96"/>
      <c r="BB203" s="96"/>
      <c r="BC203" s="96"/>
      <c r="BD203" s="104"/>
      <c r="BE203" s="96"/>
      <c r="BF203" s="96"/>
      <c r="BG203" s="96"/>
      <c r="BH203" s="96"/>
      <c r="BI203" s="104"/>
      <c r="BJ203" s="693" t="s">
        <v>82</v>
      </c>
    </row>
    <row r="204" spans="1:62" ht="20.25" customHeight="1">
      <c r="A204" s="315">
        <v>208</v>
      </c>
      <c r="B204" s="215" t="s">
        <v>52</v>
      </c>
      <c r="C204" s="238" t="s">
        <v>1040</v>
      </c>
      <c r="D204" s="280" t="s">
        <v>1041</v>
      </c>
      <c r="E204" s="604" t="s">
        <v>1042</v>
      </c>
      <c r="F204" s="241" t="s">
        <v>529</v>
      </c>
      <c r="G204" s="241" t="s">
        <v>1023</v>
      </c>
      <c r="H204" s="630">
        <v>46052</v>
      </c>
      <c r="I204" s="313"/>
      <c r="J204" s="214">
        <f t="shared" si="13"/>
        <v>7</v>
      </c>
      <c r="K204" s="93"/>
      <c r="L204" s="103"/>
      <c r="M204" s="103"/>
      <c r="N204" s="319"/>
      <c r="O204" s="314" t="s">
        <v>81</v>
      </c>
      <c r="P204" s="632" t="s">
        <v>531</v>
      </c>
      <c r="Q204" s="319"/>
      <c r="R204" s="319"/>
      <c r="S204" s="319"/>
      <c r="T204" s="319"/>
      <c r="U204" s="103"/>
      <c r="V204" s="99"/>
      <c r="W204" s="99"/>
      <c r="X204" s="99"/>
      <c r="Y204" s="99"/>
      <c r="Z204" s="100"/>
      <c r="AA204" s="99"/>
      <c r="AB204" s="99"/>
      <c r="AC204" s="99"/>
      <c r="AD204" s="99"/>
      <c r="AE204" s="100"/>
      <c r="AF204" s="96"/>
      <c r="AG204" s="96"/>
      <c r="AH204" s="96"/>
      <c r="AI204" s="96"/>
      <c r="AJ204" s="104"/>
      <c r="AK204" s="96"/>
      <c r="AL204" s="96"/>
      <c r="AM204" s="96"/>
      <c r="AN204" s="96"/>
      <c r="AO204" s="104"/>
      <c r="AP204" s="96"/>
      <c r="AQ204" s="96"/>
      <c r="AR204" s="96"/>
      <c r="AS204" s="96"/>
      <c r="AT204" s="104"/>
      <c r="AU204" s="96"/>
      <c r="AV204" s="96"/>
      <c r="AW204" s="96"/>
      <c r="AX204" s="96"/>
      <c r="AY204" s="104"/>
      <c r="AZ204" s="96"/>
      <c r="BA204" s="96"/>
      <c r="BB204" s="96"/>
      <c r="BC204" s="96"/>
      <c r="BD204" s="104"/>
      <c r="BE204" s="96"/>
      <c r="BF204" s="96"/>
      <c r="BG204" s="96"/>
      <c r="BH204" s="96"/>
      <c r="BI204" s="104"/>
      <c r="BJ204" s="693" t="s">
        <v>82</v>
      </c>
    </row>
    <row r="205" spans="1:62" ht="20.25" customHeight="1">
      <c r="A205" s="315">
        <v>209</v>
      </c>
      <c r="B205" s="215" t="s">
        <v>52</v>
      </c>
      <c r="C205" s="238" t="s">
        <v>1043</v>
      </c>
      <c r="D205" s="280" t="s">
        <v>1044</v>
      </c>
      <c r="E205" s="604" t="s">
        <v>1045</v>
      </c>
      <c r="F205" s="241" t="s">
        <v>535</v>
      </c>
      <c r="G205" s="241" t="s">
        <v>1023</v>
      </c>
      <c r="H205" s="234">
        <v>46055</v>
      </c>
      <c r="I205" s="214">
        <v>46058</v>
      </c>
      <c r="J205" s="214">
        <f t="shared" ref="J205" si="15">I205+7</f>
        <v>46065</v>
      </c>
      <c r="K205" s="103">
        <v>0</v>
      </c>
      <c r="L205" s="103" t="s">
        <v>50</v>
      </c>
      <c r="M205" s="103" t="s">
        <v>89</v>
      </c>
      <c r="N205" s="319"/>
      <c r="O205" s="314" t="s">
        <v>81</v>
      </c>
      <c r="P205" s="320"/>
      <c r="Q205" s="319">
        <v>46058</v>
      </c>
      <c r="R205" s="319">
        <v>46065</v>
      </c>
      <c r="S205" s="319"/>
      <c r="T205" s="319"/>
      <c r="U205" s="103"/>
      <c r="V205" s="99"/>
      <c r="W205" s="99"/>
      <c r="X205" s="99"/>
      <c r="Y205" s="99"/>
      <c r="Z205" s="100"/>
      <c r="AA205" s="99"/>
      <c r="AB205" s="99"/>
      <c r="AC205" s="99"/>
      <c r="AD205" s="99"/>
      <c r="AE205" s="100"/>
      <c r="AF205" s="96"/>
      <c r="AG205" s="96"/>
      <c r="AH205" s="96"/>
      <c r="AI205" s="96"/>
      <c r="AJ205" s="104"/>
      <c r="AK205" s="96"/>
      <c r="AL205" s="96"/>
      <c r="AM205" s="96"/>
      <c r="AN205" s="96"/>
      <c r="AO205" s="104"/>
      <c r="AP205" s="96"/>
      <c r="AQ205" s="96"/>
      <c r="AR205" s="96"/>
      <c r="AS205" s="96"/>
      <c r="AT205" s="104"/>
      <c r="AU205" s="96"/>
      <c r="AV205" s="96"/>
      <c r="AW205" s="96"/>
      <c r="AX205" s="96"/>
      <c r="AY205" s="104"/>
      <c r="AZ205" s="96"/>
      <c r="BA205" s="96"/>
      <c r="BB205" s="96"/>
      <c r="BC205" s="96"/>
      <c r="BD205" s="104"/>
      <c r="BE205" s="96"/>
      <c r="BF205" s="96"/>
      <c r="BG205" s="96"/>
      <c r="BH205" s="96"/>
      <c r="BI205" s="104"/>
      <c r="BJ205" s="693" t="s">
        <v>82</v>
      </c>
    </row>
    <row r="206" spans="1:62" ht="20.25" customHeight="1">
      <c r="A206" s="315">
        <v>210</v>
      </c>
      <c r="B206" s="215" t="s">
        <v>52</v>
      </c>
      <c r="C206" s="238" t="s">
        <v>1046</v>
      </c>
      <c r="D206" s="280" t="s">
        <v>1047</v>
      </c>
      <c r="E206" s="604" t="s">
        <v>1048</v>
      </c>
      <c r="F206" s="241" t="s">
        <v>672</v>
      </c>
      <c r="G206" s="241" t="s">
        <v>1030</v>
      </c>
      <c r="H206" s="234">
        <v>46093</v>
      </c>
      <c r="I206" s="313"/>
      <c r="J206" s="214">
        <f t="shared" si="13"/>
        <v>7</v>
      </c>
      <c r="K206" s="93"/>
      <c r="L206" s="103"/>
      <c r="M206" s="103"/>
      <c r="N206" s="319"/>
      <c r="O206" s="314" t="s">
        <v>81</v>
      </c>
      <c r="P206" s="320"/>
      <c r="Q206" s="319"/>
      <c r="R206" s="319"/>
      <c r="S206" s="319"/>
      <c r="T206" s="319"/>
      <c r="U206" s="103"/>
      <c r="V206" s="99"/>
      <c r="W206" s="99"/>
      <c r="X206" s="99"/>
      <c r="Y206" s="99"/>
      <c r="Z206" s="100"/>
      <c r="AA206" s="99"/>
      <c r="AB206" s="99"/>
      <c r="AC206" s="99"/>
      <c r="AD206" s="99"/>
      <c r="AE206" s="100"/>
      <c r="AF206" s="96"/>
      <c r="AG206" s="96"/>
      <c r="AH206" s="96"/>
      <c r="AI206" s="96"/>
      <c r="AJ206" s="104"/>
      <c r="AK206" s="96"/>
      <c r="AL206" s="96"/>
      <c r="AM206" s="96"/>
      <c r="AN206" s="96"/>
      <c r="AO206" s="104"/>
      <c r="AP206" s="96"/>
      <c r="AQ206" s="96"/>
      <c r="AR206" s="96"/>
      <c r="AS206" s="96"/>
      <c r="AT206" s="104"/>
      <c r="AU206" s="96"/>
      <c r="AV206" s="96"/>
      <c r="AW206" s="96"/>
      <c r="AX206" s="96"/>
      <c r="AY206" s="104"/>
      <c r="AZ206" s="96"/>
      <c r="BA206" s="96"/>
      <c r="BB206" s="96"/>
      <c r="BC206" s="96"/>
      <c r="BD206" s="104"/>
      <c r="BE206" s="96"/>
      <c r="BF206" s="96"/>
      <c r="BG206" s="96"/>
      <c r="BH206" s="96"/>
      <c r="BI206" s="104"/>
      <c r="BJ206" s="693" t="s">
        <v>82</v>
      </c>
    </row>
    <row r="207" spans="1:62" ht="20.25" customHeight="1">
      <c r="A207" s="315">
        <v>211</v>
      </c>
      <c r="B207" s="215" t="s">
        <v>52</v>
      </c>
      <c r="C207" s="238" t="s">
        <v>1049</v>
      </c>
      <c r="D207" s="280" t="s">
        <v>1050</v>
      </c>
      <c r="E207" s="604" t="s">
        <v>1051</v>
      </c>
      <c r="F207" s="241" t="s">
        <v>529</v>
      </c>
      <c r="G207" s="241" t="s">
        <v>1023</v>
      </c>
      <c r="H207" s="233">
        <v>46055</v>
      </c>
      <c r="I207" s="214">
        <v>46062</v>
      </c>
      <c r="J207" s="214">
        <f t="shared" si="13"/>
        <v>46069</v>
      </c>
      <c r="K207" s="103">
        <v>0</v>
      </c>
      <c r="L207" s="103" t="s">
        <v>49</v>
      </c>
      <c r="M207" s="103" t="s">
        <v>89</v>
      </c>
      <c r="N207" s="319"/>
      <c r="O207" s="314" t="s">
        <v>81</v>
      </c>
      <c r="P207" s="320"/>
      <c r="Q207" s="319">
        <v>46062</v>
      </c>
      <c r="R207" s="319"/>
      <c r="S207" s="319"/>
      <c r="T207" s="319"/>
      <c r="U207" s="103"/>
      <c r="V207" s="99"/>
      <c r="W207" s="99"/>
      <c r="X207" s="99"/>
      <c r="Y207" s="99"/>
      <c r="Z207" s="100"/>
      <c r="AA207" s="99"/>
      <c r="AB207" s="99"/>
      <c r="AC207" s="99"/>
      <c r="AD207" s="99"/>
      <c r="AE207" s="100"/>
      <c r="AF207" s="96"/>
      <c r="AG207" s="96"/>
      <c r="AH207" s="96"/>
      <c r="AI207" s="96"/>
      <c r="AJ207" s="104"/>
      <c r="AK207" s="96"/>
      <c r="AL207" s="96"/>
      <c r="AM207" s="96"/>
      <c r="AN207" s="96"/>
      <c r="AO207" s="104"/>
      <c r="AP207" s="96"/>
      <c r="AQ207" s="96"/>
      <c r="AR207" s="96"/>
      <c r="AS207" s="96"/>
      <c r="AT207" s="104"/>
      <c r="AU207" s="96"/>
      <c r="AV207" s="96"/>
      <c r="AW207" s="96"/>
      <c r="AX207" s="96"/>
      <c r="AY207" s="104"/>
      <c r="AZ207" s="96"/>
      <c r="BA207" s="96"/>
      <c r="BB207" s="96"/>
      <c r="BC207" s="96"/>
      <c r="BD207" s="104"/>
      <c r="BE207" s="96"/>
      <c r="BF207" s="96"/>
      <c r="BG207" s="96"/>
      <c r="BH207" s="96"/>
      <c r="BI207" s="104"/>
      <c r="BJ207" s="693" t="s">
        <v>82</v>
      </c>
    </row>
    <row r="208" spans="1:62" ht="20.25" customHeight="1">
      <c r="A208" s="315">
        <v>212</v>
      </c>
      <c r="B208" s="215" t="s">
        <v>52</v>
      </c>
      <c r="C208" s="238" t="s">
        <v>1052</v>
      </c>
      <c r="D208" s="280" t="s">
        <v>1053</v>
      </c>
      <c r="E208" s="604" t="s">
        <v>1054</v>
      </c>
      <c r="F208" s="241" t="s">
        <v>535</v>
      </c>
      <c r="G208" s="241" t="s">
        <v>1023</v>
      </c>
      <c r="H208" s="233">
        <v>46055</v>
      </c>
      <c r="I208" s="214">
        <v>46058</v>
      </c>
      <c r="J208" s="214">
        <f t="shared" ref="J208:J209" si="16">I208+7</f>
        <v>46065</v>
      </c>
      <c r="K208" s="103">
        <v>0</v>
      </c>
      <c r="L208" s="103" t="s">
        <v>49</v>
      </c>
      <c r="M208" s="103" t="s">
        <v>89</v>
      </c>
      <c r="N208" s="319"/>
      <c r="O208" s="314" t="s">
        <v>81</v>
      </c>
      <c r="P208" s="320"/>
      <c r="Q208" s="319">
        <v>46058</v>
      </c>
      <c r="R208" s="319"/>
      <c r="S208" s="319"/>
      <c r="T208" s="319"/>
      <c r="U208" s="103"/>
      <c r="V208" s="99"/>
      <c r="W208" s="99"/>
      <c r="X208" s="99"/>
      <c r="Y208" s="99"/>
      <c r="Z208" s="100"/>
      <c r="AA208" s="99"/>
      <c r="AB208" s="99"/>
      <c r="AC208" s="99"/>
      <c r="AD208" s="99"/>
      <c r="AE208" s="100"/>
      <c r="AF208" s="96"/>
      <c r="AG208" s="96"/>
      <c r="AH208" s="96"/>
      <c r="AI208" s="96"/>
      <c r="AJ208" s="104"/>
      <c r="AK208" s="96"/>
      <c r="AL208" s="96"/>
      <c r="AM208" s="96"/>
      <c r="AN208" s="96"/>
      <c r="AO208" s="104"/>
      <c r="AP208" s="96"/>
      <c r="AQ208" s="96"/>
      <c r="AR208" s="96"/>
      <c r="AS208" s="96"/>
      <c r="AT208" s="104"/>
      <c r="AU208" s="96"/>
      <c r="AV208" s="96"/>
      <c r="AW208" s="96"/>
      <c r="AX208" s="96"/>
      <c r="AY208" s="104"/>
      <c r="AZ208" s="96"/>
      <c r="BA208" s="96"/>
      <c r="BB208" s="96"/>
      <c r="BC208" s="96"/>
      <c r="BD208" s="104"/>
      <c r="BE208" s="96"/>
      <c r="BF208" s="96"/>
      <c r="BG208" s="96"/>
      <c r="BH208" s="96"/>
      <c r="BI208" s="104"/>
      <c r="BJ208" s="693" t="s">
        <v>82</v>
      </c>
    </row>
    <row r="209" spans="1:62" ht="20.25" customHeight="1">
      <c r="A209" s="315">
        <v>213</v>
      </c>
      <c r="B209" s="215" t="s">
        <v>52</v>
      </c>
      <c r="C209" s="238" t="s">
        <v>1055</v>
      </c>
      <c r="D209" s="280" t="s">
        <v>1056</v>
      </c>
      <c r="E209" s="604" t="s">
        <v>1057</v>
      </c>
      <c r="F209" s="241" t="s">
        <v>529</v>
      </c>
      <c r="G209" s="241" t="s">
        <v>1023</v>
      </c>
      <c r="H209" s="233">
        <v>46055</v>
      </c>
      <c r="I209" s="214">
        <v>46062</v>
      </c>
      <c r="J209" s="214">
        <f t="shared" si="16"/>
        <v>46069</v>
      </c>
      <c r="K209" s="103">
        <v>0</v>
      </c>
      <c r="L209" s="103" t="s">
        <v>49</v>
      </c>
      <c r="M209" s="103" t="s">
        <v>89</v>
      </c>
      <c r="N209" s="319"/>
      <c r="O209" s="314" t="s">
        <v>81</v>
      </c>
      <c r="P209" s="320"/>
      <c r="Q209" s="319">
        <v>46062</v>
      </c>
      <c r="R209" s="319"/>
      <c r="S209" s="319"/>
      <c r="T209" s="319"/>
      <c r="U209" s="103"/>
      <c r="V209" s="99"/>
      <c r="W209" s="99"/>
      <c r="X209" s="99"/>
      <c r="Y209" s="99"/>
      <c r="Z209" s="100"/>
      <c r="AA209" s="99"/>
      <c r="AB209" s="99"/>
      <c r="AC209" s="99"/>
      <c r="AD209" s="99"/>
      <c r="AE209" s="100"/>
      <c r="AF209" s="96"/>
      <c r="AG209" s="96"/>
      <c r="AH209" s="96"/>
      <c r="AI209" s="96"/>
      <c r="AJ209" s="104"/>
      <c r="AK209" s="96"/>
      <c r="AL209" s="96"/>
      <c r="AM209" s="96"/>
      <c r="AN209" s="96"/>
      <c r="AO209" s="104"/>
      <c r="AP209" s="96"/>
      <c r="AQ209" s="96"/>
      <c r="AR209" s="96"/>
      <c r="AS209" s="96"/>
      <c r="AT209" s="104"/>
      <c r="AU209" s="96"/>
      <c r="AV209" s="96"/>
      <c r="AW209" s="96"/>
      <c r="AX209" s="96"/>
      <c r="AY209" s="104"/>
      <c r="AZ209" s="96"/>
      <c r="BA209" s="96"/>
      <c r="BB209" s="96"/>
      <c r="BC209" s="96"/>
      <c r="BD209" s="104"/>
      <c r="BE209" s="96"/>
      <c r="BF209" s="96"/>
      <c r="BG209" s="96"/>
      <c r="BH209" s="96"/>
      <c r="BI209" s="104"/>
      <c r="BJ209" s="693" t="s">
        <v>82</v>
      </c>
    </row>
    <row r="210" spans="1:62" ht="20.25" customHeight="1">
      <c r="A210" s="315">
        <v>214</v>
      </c>
      <c r="B210" s="215" t="s">
        <v>52</v>
      </c>
      <c r="C210" s="238" t="s">
        <v>1058</v>
      </c>
      <c r="D210" s="280" t="s">
        <v>1059</v>
      </c>
      <c r="E210" s="604" t="s">
        <v>1060</v>
      </c>
      <c r="F210" s="241" t="s">
        <v>535</v>
      </c>
      <c r="G210" s="241" t="s">
        <v>1023</v>
      </c>
      <c r="H210" s="234">
        <v>46055</v>
      </c>
      <c r="I210" s="214">
        <v>46058</v>
      </c>
      <c r="J210" s="214">
        <f t="shared" ref="J210" si="17">I210+7</f>
        <v>46065</v>
      </c>
      <c r="K210" s="103">
        <v>0</v>
      </c>
      <c r="L210" s="103" t="s">
        <v>49</v>
      </c>
      <c r="M210" s="103" t="s">
        <v>89</v>
      </c>
      <c r="N210" s="319"/>
      <c r="O210" s="314" t="s">
        <v>81</v>
      </c>
      <c r="P210" s="320"/>
      <c r="Q210" s="319">
        <v>46058</v>
      </c>
      <c r="R210" s="319"/>
      <c r="S210" s="319"/>
      <c r="T210" s="319"/>
      <c r="U210" s="103"/>
      <c r="V210" s="99"/>
      <c r="W210" s="99"/>
      <c r="X210" s="99"/>
      <c r="Y210" s="99"/>
      <c r="Z210" s="100"/>
      <c r="AA210" s="99"/>
      <c r="AB210" s="99"/>
      <c r="AC210" s="99"/>
      <c r="AD210" s="99"/>
      <c r="AE210" s="100"/>
      <c r="AF210" s="96"/>
      <c r="AG210" s="96"/>
      <c r="AH210" s="96"/>
      <c r="AI210" s="96"/>
      <c r="AJ210" s="104"/>
      <c r="AK210" s="96"/>
      <c r="AL210" s="96"/>
      <c r="AM210" s="96"/>
      <c r="AN210" s="96"/>
      <c r="AO210" s="104"/>
      <c r="AP210" s="96"/>
      <c r="AQ210" s="96"/>
      <c r="AR210" s="96"/>
      <c r="AS210" s="96"/>
      <c r="AT210" s="104"/>
      <c r="AU210" s="96"/>
      <c r="AV210" s="96"/>
      <c r="AW210" s="96"/>
      <c r="AX210" s="96"/>
      <c r="AY210" s="104"/>
      <c r="AZ210" s="96"/>
      <c r="BA210" s="96"/>
      <c r="BB210" s="96"/>
      <c r="BC210" s="96"/>
      <c r="BD210" s="104"/>
      <c r="BE210" s="96"/>
      <c r="BF210" s="96"/>
      <c r="BG210" s="96"/>
      <c r="BH210" s="96"/>
      <c r="BI210" s="104"/>
      <c r="BJ210" s="693" t="s">
        <v>82</v>
      </c>
    </row>
    <row r="211" spans="1:62" ht="20.25" customHeight="1">
      <c r="A211" s="315">
        <v>215</v>
      </c>
      <c r="B211" s="215" t="s">
        <v>52</v>
      </c>
      <c r="C211" s="238" t="s">
        <v>1061</v>
      </c>
      <c r="D211" s="280" t="s">
        <v>1062</v>
      </c>
      <c r="E211" s="604" t="s">
        <v>1063</v>
      </c>
      <c r="F211" s="241" t="s">
        <v>529</v>
      </c>
      <c r="G211" s="241" t="s">
        <v>1023</v>
      </c>
      <c r="H211" s="630">
        <v>46058</v>
      </c>
      <c r="I211" s="313"/>
      <c r="J211" s="214">
        <f t="shared" si="13"/>
        <v>7</v>
      </c>
      <c r="K211" s="93"/>
      <c r="L211" s="103"/>
      <c r="M211" s="103"/>
      <c r="N211" s="319"/>
      <c r="O211" s="314" t="s">
        <v>81</v>
      </c>
      <c r="P211" s="787" t="s">
        <v>784</v>
      </c>
      <c r="Q211" s="319"/>
      <c r="R211" s="319"/>
      <c r="S211" s="319"/>
      <c r="T211" s="319"/>
      <c r="U211" s="103"/>
      <c r="V211" s="99"/>
      <c r="W211" s="99"/>
      <c r="X211" s="99"/>
      <c r="Y211" s="99"/>
      <c r="Z211" s="100"/>
      <c r="AA211" s="99"/>
      <c r="AB211" s="99"/>
      <c r="AC211" s="99"/>
      <c r="AD211" s="99"/>
      <c r="AE211" s="100"/>
      <c r="AF211" s="96"/>
      <c r="AG211" s="96"/>
      <c r="AH211" s="96"/>
      <c r="AI211" s="96"/>
      <c r="AJ211" s="104"/>
      <c r="AK211" s="96"/>
      <c r="AL211" s="96"/>
      <c r="AM211" s="96"/>
      <c r="AN211" s="96"/>
      <c r="AO211" s="104"/>
      <c r="AP211" s="96"/>
      <c r="AQ211" s="96"/>
      <c r="AR211" s="96"/>
      <c r="AS211" s="96"/>
      <c r="AT211" s="104"/>
      <c r="AU211" s="96"/>
      <c r="AV211" s="96"/>
      <c r="AW211" s="96"/>
      <c r="AX211" s="96"/>
      <c r="AY211" s="104"/>
      <c r="AZ211" s="96"/>
      <c r="BA211" s="96"/>
      <c r="BB211" s="96"/>
      <c r="BC211" s="96"/>
      <c r="BD211" s="104"/>
      <c r="BE211" s="96"/>
      <c r="BF211" s="96"/>
      <c r="BG211" s="96"/>
      <c r="BH211" s="96"/>
      <c r="BI211" s="104"/>
      <c r="BJ211" s="693" t="s">
        <v>82</v>
      </c>
    </row>
    <row r="212" spans="1:62" ht="20.25" customHeight="1">
      <c r="A212" s="315">
        <v>216</v>
      </c>
      <c r="B212" s="215" t="s">
        <v>52</v>
      </c>
      <c r="C212" s="238" t="s">
        <v>1064</v>
      </c>
      <c r="D212" s="280" t="s">
        <v>1065</v>
      </c>
      <c r="E212" s="604" t="s">
        <v>1066</v>
      </c>
      <c r="F212" s="241" t="s">
        <v>535</v>
      </c>
      <c r="G212" s="241" t="s">
        <v>1023</v>
      </c>
      <c r="H212" s="630">
        <v>46060</v>
      </c>
      <c r="I212" s="313"/>
      <c r="J212" s="214">
        <f t="shared" si="13"/>
        <v>7</v>
      </c>
      <c r="K212" s="93"/>
      <c r="L212" s="103"/>
      <c r="M212" s="103"/>
      <c r="N212" s="319"/>
      <c r="O212" s="314" t="s">
        <v>81</v>
      </c>
      <c r="P212" s="320"/>
      <c r="Q212" s="319"/>
      <c r="R212" s="319"/>
      <c r="S212" s="319"/>
      <c r="T212" s="319"/>
      <c r="U212" s="103"/>
      <c r="V212" s="99"/>
      <c r="W212" s="99"/>
      <c r="X212" s="99"/>
      <c r="Y212" s="99"/>
      <c r="Z212" s="100"/>
      <c r="AA212" s="99"/>
      <c r="AB212" s="99"/>
      <c r="AC212" s="99"/>
      <c r="AD212" s="99"/>
      <c r="AE212" s="100"/>
      <c r="AF212" s="96"/>
      <c r="AG212" s="96"/>
      <c r="AH212" s="96"/>
      <c r="AI212" s="96"/>
      <c r="AJ212" s="104"/>
      <c r="AK212" s="96"/>
      <c r="AL212" s="96"/>
      <c r="AM212" s="96"/>
      <c r="AN212" s="96"/>
      <c r="AO212" s="104"/>
      <c r="AP212" s="96"/>
      <c r="AQ212" s="96"/>
      <c r="AR212" s="96"/>
      <c r="AS212" s="96"/>
      <c r="AT212" s="104"/>
      <c r="AU212" s="96"/>
      <c r="AV212" s="96"/>
      <c r="AW212" s="96"/>
      <c r="AX212" s="96"/>
      <c r="AY212" s="104"/>
      <c r="AZ212" s="96"/>
      <c r="BA212" s="96"/>
      <c r="BB212" s="96"/>
      <c r="BC212" s="96"/>
      <c r="BD212" s="104"/>
      <c r="BE212" s="96"/>
      <c r="BF212" s="96"/>
      <c r="BG212" s="96"/>
      <c r="BH212" s="96"/>
      <c r="BI212" s="104"/>
      <c r="BJ212" s="693" t="s">
        <v>82</v>
      </c>
    </row>
    <row r="213" spans="1:62" ht="20.25" customHeight="1">
      <c r="A213" s="315">
        <v>217</v>
      </c>
      <c r="B213" s="215" t="s">
        <v>52</v>
      </c>
      <c r="C213" s="238" t="s">
        <v>1067</v>
      </c>
      <c r="D213" s="280" t="s">
        <v>1068</v>
      </c>
      <c r="E213" s="604" t="s">
        <v>1069</v>
      </c>
      <c r="F213" s="241" t="s">
        <v>672</v>
      </c>
      <c r="G213" s="241" t="s">
        <v>547</v>
      </c>
      <c r="H213" s="234">
        <v>46100</v>
      </c>
      <c r="I213" s="313"/>
      <c r="J213" s="214">
        <f t="shared" si="13"/>
        <v>7</v>
      </c>
      <c r="K213" s="93"/>
      <c r="L213" s="103"/>
      <c r="M213" s="103"/>
      <c r="N213" s="319"/>
      <c r="O213" s="314" t="s">
        <v>81</v>
      </c>
      <c r="P213" s="320"/>
      <c r="Q213" s="319"/>
      <c r="R213" s="319"/>
      <c r="S213" s="319"/>
      <c r="T213" s="319"/>
      <c r="U213" s="103"/>
      <c r="V213" s="99"/>
      <c r="W213" s="99"/>
      <c r="X213" s="99"/>
      <c r="Y213" s="99"/>
      <c r="Z213" s="100"/>
      <c r="AA213" s="99"/>
      <c r="AB213" s="99"/>
      <c r="AC213" s="99"/>
      <c r="AD213" s="99"/>
      <c r="AE213" s="100"/>
      <c r="AF213" s="96"/>
      <c r="AG213" s="96"/>
      <c r="AH213" s="96"/>
      <c r="AI213" s="96"/>
      <c r="AJ213" s="104"/>
      <c r="AK213" s="96"/>
      <c r="AL213" s="96"/>
      <c r="AM213" s="96"/>
      <c r="AN213" s="96"/>
      <c r="AO213" s="104"/>
      <c r="AP213" s="96"/>
      <c r="AQ213" s="96"/>
      <c r="AR213" s="96"/>
      <c r="AS213" s="96"/>
      <c r="AT213" s="104"/>
      <c r="AU213" s="96"/>
      <c r="AV213" s="96"/>
      <c r="AW213" s="96"/>
      <c r="AX213" s="96"/>
      <c r="AY213" s="104"/>
      <c r="AZ213" s="96"/>
      <c r="BA213" s="96"/>
      <c r="BB213" s="96"/>
      <c r="BC213" s="96"/>
      <c r="BD213" s="104"/>
      <c r="BE213" s="96"/>
      <c r="BF213" s="96"/>
      <c r="BG213" s="96"/>
      <c r="BH213" s="96"/>
      <c r="BI213" s="104"/>
      <c r="BJ213" s="693" t="s">
        <v>82</v>
      </c>
    </row>
    <row r="214" spans="1:62" ht="20.25" customHeight="1">
      <c r="A214" s="315">
        <v>218</v>
      </c>
      <c r="B214" s="215" t="s">
        <v>52</v>
      </c>
      <c r="C214" s="238" t="s">
        <v>1070</v>
      </c>
      <c r="D214" s="280" t="s">
        <v>1071</v>
      </c>
      <c r="E214" s="604" t="s">
        <v>1072</v>
      </c>
      <c r="F214" s="241" t="s">
        <v>529</v>
      </c>
      <c r="G214" s="241" t="s">
        <v>710</v>
      </c>
      <c r="H214" s="234">
        <v>46072</v>
      </c>
      <c r="I214" s="313"/>
      <c r="J214" s="214">
        <f t="shared" si="13"/>
        <v>7</v>
      </c>
      <c r="K214" s="93"/>
      <c r="L214" s="103"/>
      <c r="M214" s="103"/>
      <c r="N214" s="319"/>
      <c r="O214" s="314" t="s">
        <v>81</v>
      </c>
      <c r="P214" s="320"/>
      <c r="Q214" s="319"/>
      <c r="R214" s="319"/>
      <c r="S214" s="319"/>
      <c r="T214" s="319"/>
      <c r="U214" s="103"/>
      <c r="V214" s="99"/>
      <c r="W214" s="99"/>
      <c r="X214" s="99"/>
      <c r="Y214" s="99"/>
      <c r="Z214" s="100"/>
      <c r="AA214" s="99"/>
      <c r="AB214" s="99"/>
      <c r="AC214" s="99"/>
      <c r="AD214" s="99"/>
      <c r="AE214" s="100"/>
      <c r="AF214" s="96"/>
      <c r="AG214" s="96"/>
      <c r="AH214" s="96"/>
      <c r="AI214" s="96"/>
      <c r="AJ214" s="104"/>
      <c r="AK214" s="96"/>
      <c r="AL214" s="96"/>
      <c r="AM214" s="96"/>
      <c r="AN214" s="96"/>
      <c r="AO214" s="104"/>
      <c r="AP214" s="96"/>
      <c r="AQ214" s="96"/>
      <c r="AR214" s="96"/>
      <c r="AS214" s="96"/>
      <c r="AT214" s="104"/>
      <c r="AU214" s="96"/>
      <c r="AV214" s="96"/>
      <c r="AW214" s="96"/>
      <c r="AX214" s="96"/>
      <c r="AY214" s="104"/>
      <c r="AZ214" s="96"/>
      <c r="BA214" s="96"/>
      <c r="BB214" s="96"/>
      <c r="BC214" s="96"/>
      <c r="BD214" s="104"/>
      <c r="BE214" s="96"/>
      <c r="BF214" s="96"/>
      <c r="BG214" s="96"/>
      <c r="BH214" s="96"/>
      <c r="BI214" s="104"/>
      <c r="BJ214" s="693" t="s">
        <v>82</v>
      </c>
    </row>
    <row r="215" spans="1:62" ht="20.25" customHeight="1">
      <c r="A215" s="315">
        <v>219</v>
      </c>
      <c r="B215" s="215" t="s">
        <v>52</v>
      </c>
      <c r="C215" s="238" t="s">
        <v>1073</v>
      </c>
      <c r="D215" s="280" t="s">
        <v>1074</v>
      </c>
      <c r="E215" s="604" t="s">
        <v>1075</v>
      </c>
      <c r="F215" s="241" t="s">
        <v>535</v>
      </c>
      <c r="G215" s="241" t="s">
        <v>710</v>
      </c>
      <c r="H215" s="234">
        <v>46072</v>
      </c>
      <c r="I215" s="313"/>
      <c r="J215" s="214">
        <f t="shared" si="13"/>
        <v>7</v>
      </c>
      <c r="K215" s="93"/>
      <c r="L215" s="103"/>
      <c r="M215" s="103"/>
      <c r="N215" s="319"/>
      <c r="O215" s="314" t="s">
        <v>81</v>
      </c>
      <c r="P215" s="320"/>
      <c r="Q215" s="319"/>
      <c r="R215" s="319"/>
      <c r="S215" s="319"/>
      <c r="T215" s="319"/>
      <c r="U215" s="103"/>
      <c r="V215" s="99"/>
      <c r="W215" s="99"/>
      <c r="X215" s="99"/>
      <c r="Y215" s="99"/>
      <c r="Z215" s="100"/>
      <c r="AA215" s="99"/>
      <c r="AB215" s="99"/>
      <c r="AC215" s="99"/>
      <c r="AD215" s="99"/>
      <c r="AE215" s="100"/>
      <c r="AF215" s="96"/>
      <c r="AG215" s="96"/>
      <c r="AH215" s="96"/>
      <c r="AI215" s="96"/>
      <c r="AJ215" s="104"/>
      <c r="AK215" s="96"/>
      <c r="AL215" s="96"/>
      <c r="AM215" s="96"/>
      <c r="AN215" s="96"/>
      <c r="AO215" s="104"/>
      <c r="AP215" s="96"/>
      <c r="AQ215" s="96"/>
      <c r="AR215" s="96"/>
      <c r="AS215" s="96"/>
      <c r="AT215" s="104"/>
      <c r="AU215" s="96"/>
      <c r="AV215" s="96"/>
      <c r="AW215" s="96"/>
      <c r="AX215" s="96"/>
      <c r="AY215" s="104"/>
      <c r="AZ215" s="96"/>
      <c r="BA215" s="96"/>
      <c r="BB215" s="96"/>
      <c r="BC215" s="96"/>
      <c r="BD215" s="104"/>
      <c r="BE215" s="96"/>
      <c r="BF215" s="96"/>
      <c r="BG215" s="96"/>
      <c r="BH215" s="96"/>
      <c r="BI215" s="104"/>
      <c r="BJ215" s="693" t="s">
        <v>82</v>
      </c>
    </row>
    <row r="216" spans="1:62" ht="20.25" customHeight="1">
      <c r="A216" s="315">
        <v>220</v>
      </c>
      <c r="B216" s="215" t="s">
        <v>52</v>
      </c>
      <c r="C216" s="238" t="s">
        <v>1076</v>
      </c>
      <c r="D216" s="280" t="s">
        <v>1077</v>
      </c>
      <c r="E216" s="604" t="s">
        <v>1078</v>
      </c>
      <c r="F216" s="241" t="s">
        <v>551</v>
      </c>
      <c r="G216" s="241" t="s">
        <v>530</v>
      </c>
      <c r="H216" s="233">
        <v>46098</v>
      </c>
      <c r="I216" s="214">
        <v>46065</v>
      </c>
      <c r="J216" s="214">
        <f t="shared" si="13"/>
        <v>46072</v>
      </c>
      <c r="K216" s="103">
        <v>1</v>
      </c>
      <c r="L216" s="103" t="s">
        <v>49</v>
      </c>
      <c r="M216" s="103" t="s">
        <v>89</v>
      </c>
      <c r="N216" s="319"/>
      <c r="O216" s="314" t="s">
        <v>81</v>
      </c>
      <c r="P216" s="320"/>
      <c r="Q216" s="319">
        <v>46058</v>
      </c>
      <c r="R216" s="319">
        <v>46065</v>
      </c>
      <c r="S216" s="319"/>
      <c r="T216" s="319"/>
      <c r="U216" s="103"/>
      <c r="V216" s="99">
        <v>46065</v>
      </c>
      <c r="W216" s="99"/>
      <c r="X216" s="99"/>
      <c r="Y216" s="99"/>
      <c r="Z216" s="100"/>
      <c r="AA216" s="99"/>
      <c r="AB216" s="99"/>
      <c r="AC216" s="99"/>
      <c r="AD216" s="99"/>
      <c r="AE216" s="100"/>
      <c r="AF216" s="96"/>
      <c r="AG216" s="96"/>
      <c r="AH216" s="96"/>
      <c r="AI216" s="96"/>
      <c r="AJ216" s="104"/>
      <c r="AK216" s="96"/>
      <c r="AL216" s="96"/>
      <c r="AM216" s="96"/>
      <c r="AN216" s="96"/>
      <c r="AO216" s="104"/>
      <c r="AP216" s="96"/>
      <c r="AQ216" s="96"/>
      <c r="AR216" s="96"/>
      <c r="AS216" s="96"/>
      <c r="AT216" s="104"/>
      <c r="AU216" s="96"/>
      <c r="AV216" s="96"/>
      <c r="AW216" s="96"/>
      <c r="AX216" s="96"/>
      <c r="AY216" s="104"/>
      <c r="AZ216" s="96"/>
      <c r="BA216" s="96"/>
      <c r="BB216" s="96"/>
      <c r="BC216" s="96"/>
      <c r="BD216" s="104"/>
      <c r="BE216" s="96"/>
      <c r="BF216" s="96"/>
      <c r="BG216" s="96"/>
      <c r="BH216" s="96"/>
      <c r="BI216" s="104"/>
      <c r="BJ216" s="693" t="s">
        <v>82</v>
      </c>
    </row>
    <row r="217" spans="1:62" ht="20.25" customHeight="1">
      <c r="A217" s="315">
        <v>221</v>
      </c>
      <c r="B217" s="215" t="s">
        <v>52</v>
      </c>
      <c r="C217" s="238" t="s">
        <v>1079</v>
      </c>
      <c r="D217" s="280" t="s">
        <v>1080</v>
      </c>
      <c r="E217" s="604" t="s">
        <v>1081</v>
      </c>
      <c r="F217" s="241" t="s">
        <v>551</v>
      </c>
      <c r="G217" s="241" t="s">
        <v>530</v>
      </c>
      <c r="H217" s="233">
        <v>46098</v>
      </c>
      <c r="I217" s="313"/>
      <c r="J217" s="214">
        <f t="shared" si="13"/>
        <v>7</v>
      </c>
      <c r="K217" s="93"/>
      <c r="L217" s="103"/>
      <c r="M217" s="103"/>
      <c r="N217" s="319"/>
      <c r="O217" s="314" t="s">
        <v>81</v>
      </c>
      <c r="P217" s="320"/>
      <c r="Q217" s="319"/>
      <c r="R217" s="319"/>
      <c r="S217" s="319"/>
      <c r="T217" s="319"/>
      <c r="U217" s="103"/>
      <c r="V217" s="99"/>
      <c r="W217" s="99"/>
      <c r="X217" s="99"/>
      <c r="Y217" s="99"/>
      <c r="Z217" s="100"/>
      <c r="AA217" s="99"/>
      <c r="AB217" s="99"/>
      <c r="AC217" s="99"/>
      <c r="AD217" s="99"/>
      <c r="AE217" s="100"/>
      <c r="AF217" s="96"/>
      <c r="AG217" s="96"/>
      <c r="AH217" s="96"/>
      <c r="AI217" s="96"/>
      <c r="AJ217" s="104"/>
      <c r="AK217" s="96"/>
      <c r="AL217" s="96"/>
      <c r="AM217" s="96"/>
      <c r="AN217" s="96"/>
      <c r="AO217" s="104"/>
      <c r="AP217" s="96"/>
      <c r="AQ217" s="96"/>
      <c r="AR217" s="96"/>
      <c r="AS217" s="96"/>
      <c r="AT217" s="104"/>
      <c r="AU217" s="96"/>
      <c r="AV217" s="96"/>
      <c r="AW217" s="96"/>
      <c r="AX217" s="96"/>
      <c r="AY217" s="104"/>
      <c r="AZ217" s="96"/>
      <c r="BA217" s="96"/>
      <c r="BB217" s="96"/>
      <c r="BC217" s="96"/>
      <c r="BD217" s="104"/>
      <c r="BE217" s="96"/>
      <c r="BF217" s="96"/>
      <c r="BG217" s="96"/>
      <c r="BH217" s="96"/>
      <c r="BI217" s="104"/>
      <c r="BJ217" s="693" t="s">
        <v>82</v>
      </c>
    </row>
    <row r="218" spans="1:62" ht="20.25" customHeight="1">
      <c r="A218" s="315">
        <v>222</v>
      </c>
      <c r="B218" s="215" t="s">
        <v>52</v>
      </c>
      <c r="C218" s="238" t="s">
        <v>1082</v>
      </c>
      <c r="D218" s="280" t="s">
        <v>1083</v>
      </c>
      <c r="E218" s="604" t="s">
        <v>1084</v>
      </c>
      <c r="F218" s="241" t="s">
        <v>551</v>
      </c>
      <c r="G218" s="241" t="s">
        <v>530</v>
      </c>
      <c r="H218" s="234">
        <v>46084</v>
      </c>
      <c r="I218" s="313"/>
      <c r="J218" s="214">
        <f t="shared" si="13"/>
        <v>7</v>
      </c>
      <c r="K218" s="93"/>
      <c r="L218" s="103"/>
      <c r="M218" s="103"/>
      <c r="N218" s="319"/>
      <c r="O218" s="314" t="s">
        <v>81</v>
      </c>
      <c r="P218" s="320"/>
      <c r="Q218" s="319"/>
      <c r="R218" s="319"/>
      <c r="S218" s="319"/>
      <c r="T218" s="319"/>
      <c r="U218" s="103"/>
      <c r="V218" s="99"/>
      <c r="W218" s="99"/>
      <c r="X218" s="99"/>
      <c r="Y218" s="99"/>
      <c r="Z218" s="100"/>
      <c r="AA218" s="99"/>
      <c r="AB218" s="99"/>
      <c r="AC218" s="99"/>
      <c r="AD218" s="99"/>
      <c r="AE218" s="100"/>
      <c r="AF218" s="96"/>
      <c r="AG218" s="96"/>
      <c r="AH218" s="96"/>
      <c r="AI218" s="96"/>
      <c r="AJ218" s="104"/>
      <c r="AK218" s="96"/>
      <c r="AL218" s="96"/>
      <c r="AM218" s="96"/>
      <c r="AN218" s="96"/>
      <c r="AO218" s="104"/>
      <c r="AP218" s="96"/>
      <c r="AQ218" s="96"/>
      <c r="AR218" s="96"/>
      <c r="AS218" s="96"/>
      <c r="AT218" s="104"/>
      <c r="AU218" s="96"/>
      <c r="AV218" s="96"/>
      <c r="AW218" s="96"/>
      <c r="AX218" s="96"/>
      <c r="AY218" s="104"/>
      <c r="AZ218" s="96"/>
      <c r="BA218" s="96"/>
      <c r="BB218" s="96"/>
      <c r="BC218" s="96"/>
      <c r="BD218" s="104"/>
      <c r="BE218" s="96"/>
      <c r="BF218" s="96"/>
      <c r="BG218" s="96"/>
      <c r="BH218" s="96"/>
      <c r="BI218" s="104"/>
      <c r="BJ218" s="693" t="s">
        <v>82</v>
      </c>
    </row>
    <row r="219" spans="1:62" ht="20.25" customHeight="1">
      <c r="A219" s="315">
        <v>223</v>
      </c>
      <c r="B219" s="215" t="s">
        <v>52</v>
      </c>
      <c r="C219" s="238" t="s">
        <v>1085</v>
      </c>
      <c r="D219" s="280" t="s">
        <v>1086</v>
      </c>
      <c r="E219" s="604" t="s">
        <v>1087</v>
      </c>
      <c r="F219" s="241" t="s">
        <v>551</v>
      </c>
      <c r="G219" s="241" t="s">
        <v>530</v>
      </c>
      <c r="H219" s="233">
        <v>46084</v>
      </c>
      <c r="I219" s="313"/>
      <c r="J219" s="214">
        <f t="shared" si="13"/>
        <v>7</v>
      </c>
      <c r="K219" s="93"/>
      <c r="L219" s="103"/>
      <c r="M219" s="103"/>
      <c r="N219" s="319"/>
      <c r="O219" s="314" t="s">
        <v>81</v>
      </c>
      <c r="P219" s="320"/>
      <c r="Q219" s="319"/>
      <c r="R219" s="319"/>
      <c r="S219" s="319"/>
      <c r="T219" s="319"/>
      <c r="U219" s="103"/>
      <c r="V219" s="99"/>
      <c r="W219" s="99"/>
      <c r="X219" s="99"/>
      <c r="Y219" s="99"/>
      <c r="Z219" s="100"/>
      <c r="AA219" s="99"/>
      <c r="AB219" s="99"/>
      <c r="AC219" s="99"/>
      <c r="AD219" s="99"/>
      <c r="AE219" s="100"/>
      <c r="AF219" s="96"/>
      <c r="AG219" s="96"/>
      <c r="AH219" s="96"/>
      <c r="AI219" s="96"/>
      <c r="AJ219" s="104"/>
      <c r="AK219" s="96"/>
      <c r="AL219" s="96"/>
      <c r="AM219" s="96"/>
      <c r="AN219" s="96"/>
      <c r="AO219" s="104"/>
      <c r="AP219" s="96"/>
      <c r="AQ219" s="96"/>
      <c r="AR219" s="96"/>
      <c r="AS219" s="96"/>
      <c r="AT219" s="104"/>
      <c r="AU219" s="96"/>
      <c r="AV219" s="96"/>
      <c r="AW219" s="96"/>
      <c r="AX219" s="96"/>
      <c r="AY219" s="104"/>
      <c r="AZ219" s="96"/>
      <c r="BA219" s="96"/>
      <c r="BB219" s="96"/>
      <c r="BC219" s="96"/>
      <c r="BD219" s="104"/>
      <c r="BE219" s="96"/>
      <c r="BF219" s="96"/>
      <c r="BG219" s="96"/>
      <c r="BH219" s="96"/>
      <c r="BI219" s="104"/>
      <c r="BJ219" s="693" t="s">
        <v>82</v>
      </c>
    </row>
    <row r="220" spans="1:62" ht="20.25" customHeight="1">
      <c r="A220" s="315">
        <v>224</v>
      </c>
      <c r="B220" s="215" t="s">
        <v>52</v>
      </c>
      <c r="C220" s="238" t="s">
        <v>1088</v>
      </c>
      <c r="D220" s="280" t="s">
        <v>1089</v>
      </c>
      <c r="E220" s="604" t="s">
        <v>1090</v>
      </c>
      <c r="F220" s="241" t="s">
        <v>551</v>
      </c>
      <c r="G220" s="241" t="s">
        <v>530</v>
      </c>
      <c r="H220" s="233">
        <v>46091</v>
      </c>
      <c r="I220" s="313"/>
      <c r="J220" s="214">
        <f t="shared" si="13"/>
        <v>7</v>
      </c>
      <c r="K220" s="93"/>
      <c r="L220" s="103"/>
      <c r="M220" s="103"/>
      <c r="N220" s="319"/>
      <c r="O220" s="314" t="s">
        <v>81</v>
      </c>
      <c r="P220" s="320"/>
      <c r="Q220" s="319"/>
      <c r="R220" s="319"/>
      <c r="S220" s="319"/>
      <c r="T220" s="319"/>
      <c r="U220" s="103"/>
      <c r="V220" s="99"/>
      <c r="W220" s="99"/>
      <c r="X220" s="99"/>
      <c r="Y220" s="99"/>
      <c r="Z220" s="100"/>
      <c r="AA220" s="99"/>
      <c r="AB220" s="99"/>
      <c r="AC220" s="99"/>
      <c r="AD220" s="99"/>
      <c r="AE220" s="100"/>
      <c r="AF220" s="96"/>
      <c r="AG220" s="96"/>
      <c r="AH220" s="96"/>
      <c r="AI220" s="96"/>
      <c r="AJ220" s="104"/>
      <c r="AK220" s="96"/>
      <c r="AL220" s="96"/>
      <c r="AM220" s="96"/>
      <c r="AN220" s="96"/>
      <c r="AO220" s="104"/>
      <c r="AP220" s="96"/>
      <c r="AQ220" s="96"/>
      <c r="AR220" s="96"/>
      <c r="AS220" s="96"/>
      <c r="AT220" s="104"/>
      <c r="AU220" s="96"/>
      <c r="AV220" s="96"/>
      <c r="AW220" s="96"/>
      <c r="AX220" s="96"/>
      <c r="AY220" s="104"/>
      <c r="AZ220" s="96"/>
      <c r="BA220" s="96"/>
      <c r="BB220" s="96"/>
      <c r="BC220" s="96"/>
      <c r="BD220" s="104"/>
      <c r="BE220" s="96"/>
      <c r="BF220" s="96"/>
      <c r="BG220" s="96"/>
      <c r="BH220" s="96"/>
      <c r="BI220" s="104"/>
      <c r="BJ220" s="693" t="s">
        <v>82</v>
      </c>
    </row>
    <row r="221" spans="1:62" ht="20.25" customHeight="1">
      <c r="A221" s="315">
        <v>225</v>
      </c>
      <c r="B221" s="215" t="s">
        <v>52</v>
      </c>
      <c r="C221" s="238" t="s">
        <v>1091</v>
      </c>
      <c r="D221" s="280" t="s">
        <v>1092</v>
      </c>
      <c r="E221" s="604" t="s">
        <v>1093</v>
      </c>
      <c r="F221" s="241" t="s">
        <v>551</v>
      </c>
      <c r="G221" s="241" t="s">
        <v>530</v>
      </c>
      <c r="H221" s="233">
        <v>46091</v>
      </c>
      <c r="I221" s="313"/>
      <c r="J221" s="214">
        <f t="shared" si="13"/>
        <v>7</v>
      </c>
      <c r="K221" s="93"/>
      <c r="L221" s="103"/>
      <c r="M221" s="103"/>
      <c r="N221" s="319"/>
      <c r="O221" s="314" t="s">
        <v>81</v>
      </c>
      <c r="P221" s="320"/>
      <c r="Q221" s="319"/>
      <c r="R221" s="319"/>
      <c r="S221" s="319"/>
      <c r="T221" s="319"/>
      <c r="U221" s="103"/>
      <c r="V221" s="99"/>
      <c r="W221" s="99"/>
      <c r="X221" s="99"/>
      <c r="Y221" s="99"/>
      <c r="Z221" s="100"/>
      <c r="AA221" s="99"/>
      <c r="AB221" s="99"/>
      <c r="AC221" s="99"/>
      <c r="AD221" s="99"/>
      <c r="AE221" s="100"/>
      <c r="AF221" s="96"/>
      <c r="AG221" s="96"/>
      <c r="AH221" s="96"/>
      <c r="AI221" s="96"/>
      <c r="AJ221" s="104"/>
      <c r="AK221" s="96"/>
      <c r="AL221" s="96"/>
      <c r="AM221" s="96"/>
      <c r="AN221" s="96"/>
      <c r="AO221" s="104"/>
      <c r="AP221" s="96"/>
      <c r="AQ221" s="96"/>
      <c r="AR221" s="96"/>
      <c r="AS221" s="96"/>
      <c r="AT221" s="104"/>
      <c r="AU221" s="96"/>
      <c r="AV221" s="96"/>
      <c r="AW221" s="96"/>
      <c r="AX221" s="96"/>
      <c r="AY221" s="104"/>
      <c r="AZ221" s="96"/>
      <c r="BA221" s="96"/>
      <c r="BB221" s="96"/>
      <c r="BC221" s="96"/>
      <c r="BD221" s="104"/>
      <c r="BE221" s="96"/>
      <c r="BF221" s="96"/>
      <c r="BG221" s="96"/>
      <c r="BH221" s="96"/>
      <c r="BI221" s="104"/>
      <c r="BJ221" s="693" t="s">
        <v>82</v>
      </c>
    </row>
    <row r="222" spans="1:62" ht="20.25" customHeight="1">
      <c r="A222" s="315">
        <v>226</v>
      </c>
      <c r="B222" s="215" t="s">
        <v>52</v>
      </c>
      <c r="C222" s="238" t="s">
        <v>1094</v>
      </c>
      <c r="D222" s="280" t="s">
        <v>1095</v>
      </c>
      <c r="E222" s="604" t="s">
        <v>1096</v>
      </c>
      <c r="F222" s="241" t="s">
        <v>551</v>
      </c>
      <c r="G222" s="241" t="s">
        <v>530</v>
      </c>
      <c r="H222" s="233">
        <v>46105</v>
      </c>
      <c r="I222" s="313"/>
      <c r="J222" s="214">
        <f t="shared" si="13"/>
        <v>7</v>
      </c>
      <c r="K222" s="93"/>
      <c r="L222" s="103"/>
      <c r="M222" s="103"/>
      <c r="N222" s="319"/>
      <c r="O222" s="314" t="s">
        <v>81</v>
      </c>
      <c r="P222" s="320"/>
      <c r="Q222" s="319"/>
      <c r="R222" s="319"/>
      <c r="S222" s="319"/>
      <c r="T222" s="319"/>
      <c r="U222" s="103"/>
      <c r="V222" s="99"/>
      <c r="W222" s="99"/>
      <c r="X222" s="99"/>
      <c r="Y222" s="99"/>
      <c r="Z222" s="100"/>
      <c r="AA222" s="99"/>
      <c r="AB222" s="99"/>
      <c r="AC222" s="99"/>
      <c r="AD222" s="99"/>
      <c r="AE222" s="100"/>
      <c r="AF222" s="96"/>
      <c r="AG222" s="96"/>
      <c r="AH222" s="96"/>
      <c r="AI222" s="96"/>
      <c r="AJ222" s="104"/>
      <c r="AK222" s="96"/>
      <c r="AL222" s="96"/>
      <c r="AM222" s="96"/>
      <c r="AN222" s="96"/>
      <c r="AO222" s="104"/>
      <c r="AP222" s="96"/>
      <c r="AQ222" s="96"/>
      <c r="AR222" s="96"/>
      <c r="AS222" s="96"/>
      <c r="AT222" s="104"/>
      <c r="AU222" s="96"/>
      <c r="AV222" s="96"/>
      <c r="AW222" s="96"/>
      <c r="AX222" s="96"/>
      <c r="AY222" s="104"/>
      <c r="AZ222" s="96"/>
      <c r="BA222" s="96"/>
      <c r="BB222" s="96"/>
      <c r="BC222" s="96"/>
      <c r="BD222" s="104"/>
      <c r="BE222" s="96"/>
      <c r="BF222" s="96"/>
      <c r="BG222" s="96"/>
      <c r="BH222" s="96"/>
      <c r="BI222" s="104"/>
      <c r="BJ222" s="693" t="s">
        <v>82</v>
      </c>
    </row>
    <row r="223" spans="1:62" ht="20.25" customHeight="1">
      <c r="A223" s="315">
        <v>227</v>
      </c>
      <c r="B223" s="215" t="s">
        <v>52</v>
      </c>
      <c r="C223" s="238" t="s">
        <v>1097</v>
      </c>
      <c r="D223" s="280" t="s">
        <v>1098</v>
      </c>
      <c r="E223" s="604" t="s">
        <v>1099</v>
      </c>
      <c r="F223" s="241" t="s">
        <v>551</v>
      </c>
      <c r="G223" s="241" t="s">
        <v>530</v>
      </c>
      <c r="H223" s="233">
        <v>46105</v>
      </c>
      <c r="I223" s="313"/>
      <c r="J223" s="214">
        <f t="shared" si="13"/>
        <v>7</v>
      </c>
      <c r="K223" s="93"/>
      <c r="L223" s="103"/>
      <c r="M223" s="103"/>
      <c r="N223" s="319"/>
      <c r="O223" s="314" t="s">
        <v>81</v>
      </c>
      <c r="P223" s="320"/>
      <c r="Q223" s="319"/>
      <c r="R223" s="319"/>
      <c r="S223" s="319"/>
      <c r="T223" s="319"/>
      <c r="U223" s="103"/>
      <c r="V223" s="99"/>
      <c r="W223" s="99"/>
      <c r="X223" s="99"/>
      <c r="Y223" s="99"/>
      <c r="Z223" s="100"/>
      <c r="AA223" s="99"/>
      <c r="AB223" s="99"/>
      <c r="AC223" s="99"/>
      <c r="AD223" s="99"/>
      <c r="AE223" s="100"/>
      <c r="AF223" s="96"/>
      <c r="AG223" s="96"/>
      <c r="AH223" s="96"/>
      <c r="AI223" s="96"/>
      <c r="AJ223" s="104"/>
      <c r="AK223" s="96"/>
      <c r="AL223" s="96"/>
      <c r="AM223" s="96"/>
      <c r="AN223" s="96"/>
      <c r="AO223" s="104"/>
      <c r="AP223" s="96"/>
      <c r="AQ223" s="96"/>
      <c r="AR223" s="96"/>
      <c r="AS223" s="96"/>
      <c r="AT223" s="104"/>
      <c r="AU223" s="96"/>
      <c r="AV223" s="96"/>
      <c r="AW223" s="96"/>
      <c r="AX223" s="96"/>
      <c r="AY223" s="104"/>
      <c r="AZ223" s="96"/>
      <c r="BA223" s="96"/>
      <c r="BB223" s="96"/>
      <c r="BC223" s="96"/>
      <c r="BD223" s="104"/>
      <c r="BE223" s="96"/>
      <c r="BF223" s="96"/>
      <c r="BG223" s="96"/>
      <c r="BH223" s="96"/>
      <c r="BI223" s="104"/>
      <c r="BJ223" s="693" t="s">
        <v>253</v>
      </c>
    </row>
    <row r="224" spans="1:62" ht="20.25" customHeight="1">
      <c r="A224" s="315">
        <v>228</v>
      </c>
      <c r="B224" s="215" t="s">
        <v>52</v>
      </c>
      <c r="C224" s="238" t="s">
        <v>1100</v>
      </c>
      <c r="D224" s="280" t="s">
        <v>1101</v>
      </c>
      <c r="E224" s="604" t="s">
        <v>1102</v>
      </c>
      <c r="F224" s="241" t="s">
        <v>551</v>
      </c>
      <c r="G224" s="241" t="s">
        <v>530</v>
      </c>
      <c r="H224" s="233">
        <v>46105</v>
      </c>
      <c r="I224" s="313"/>
      <c r="J224" s="214">
        <f t="shared" si="13"/>
        <v>7</v>
      </c>
      <c r="K224" s="93"/>
      <c r="L224" s="103"/>
      <c r="M224" s="103"/>
      <c r="N224" s="319"/>
      <c r="O224" s="314" t="s">
        <v>81</v>
      </c>
      <c r="P224" s="320"/>
      <c r="Q224" s="319"/>
      <c r="R224" s="319"/>
      <c r="S224" s="319"/>
      <c r="T224" s="319"/>
      <c r="U224" s="103"/>
      <c r="V224" s="99"/>
      <c r="W224" s="99"/>
      <c r="X224" s="99"/>
      <c r="Y224" s="99"/>
      <c r="Z224" s="100"/>
      <c r="AA224" s="99"/>
      <c r="AB224" s="99"/>
      <c r="AC224" s="99"/>
      <c r="AD224" s="99"/>
      <c r="AE224" s="100"/>
      <c r="AF224" s="96"/>
      <c r="AG224" s="96"/>
      <c r="AH224" s="96"/>
      <c r="AI224" s="96"/>
      <c r="AJ224" s="104"/>
      <c r="AK224" s="96"/>
      <c r="AL224" s="96"/>
      <c r="AM224" s="96"/>
      <c r="AN224" s="96"/>
      <c r="AO224" s="104"/>
      <c r="AP224" s="96"/>
      <c r="AQ224" s="96"/>
      <c r="AR224" s="96"/>
      <c r="AS224" s="96"/>
      <c r="AT224" s="104"/>
      <c r="AU224" s="96"/>
      <c r="AV224" s="96"/>
      <c r="AW224" s="96"/>
      <c r="AX224" s="96"/>
      <c r="AY224" s="104"/>
      <c r="AZ224" s="96"/>
      <c r="BA224" s="96"/>
      <c r="BB224" s="96"/>
      <c r="BC224" s="96"/>
      <c r="BD224" s="104"/>
      <c r="BE224" s="96"/>
      <c r="BF224" s="96"/>
      <c r="BG224" s="96"/>
      <c r="BH224" s="96"/>
      <c r="BI224" s="104"/>
      <c r="BJ224" s="693" t="s">
        <v>253</v>
      </c>
    </row>
    <row r="225" spans="1:62" ht="20.25" customHeight="1">
      <c r="A225" s="315">
        <v>229</v>
      </c>
      <c r="B225" s="215" t="s">
        <v>52</v>
      </c>
      <c r="C225" s="238" t="s">
        <v>1103</v>
      </c>
      <c r="D225" s="280" t="s">
        <v>1104</v>
      </c>
      <c r="E225" s="604" t="s">
        <v>1105</v>
      </c>
      <c r="F225" s="241" t="s">
        <v>551</v>
      </c>
      <c r="G225" s="241" t="s">
        <v>530</v>
      </c>
      <c r="H225" s="233">
        <v>46105</v>
      </c>
      <c r="I225" s="313"/>
      <c r="J225" s="214">
        <f t="shared" si="13"/>
        <v>7</v>
      </c>
      <c r="K225" s="93"/>
      <c r="L225" s="103"/>
      <c r="M225" s="103"/>
      <c r="N225" s="319"/>
      <c r="O225" s="314" t="s">
        <v>81</v>
      </c>
      <c r="P225" s="320"/>
      <c r="Q225" s="319"/>
      <c r="R225" s="319"/>
      <c r="S225" s="319"/>
      <c r="T225" s="319"/>
      <c r="U225" s="103"/>
      <c r="V225" s="99"/>
      <c r="W225" s="99"/>
      <c r="X225" s="99"/>
      <c r="Y225" s="99"/>
      <c r="Z225" s="100"/>
      <c r="AA225" s="99"/>
      <c r="AB225" s="99"/>
      <c r="AC225" s="99"/>
      <c r="AD225" s="99"/>
      <c r="AE225" s="100"/>
      <c r="AF225" s="96"/>
      <c r="AG225" s="96"/>
      <c r="AH225" s="96"/>
      <c r="AI225" s="96"/>
      <c r="AJ225" s="104"/>
      <c r="AK225" s="96"/>
      <c r="AL225" s="96"/>
      <c r="AM225" s="96"/>
      <c r="AN225" s="96"/>
      <c r="AO225" s="104"/>
      <c r="AP225" s="96"/>
      <c r="AQ225" s="96"/>
      <c r="AR225" s="96"/>
      <c r="AS225" s="96"/>
      <c r="AT225" s="104"/>
      <c r="AU225" s="96"/>
      <c r="AV225" s="96"/>
      <c r="AW225" s="96"/>
      <c r="AX225" s="96"/>
      <c r="AY225" s="104"/>
      <c r="AZ225" s="96"/>
      <c r="BA225" s="96"/>
      <c r="BB225" s="96"/>
      <c r="BC225" s="96"/>
      <c r="BD225" s="104"/>
      <c r="BE225" s="96"/>
      <c r="BF225" s="96"/>
      <c r="BG225" s="96"/>
      <c r="BH225" s="96"/>
      <c r="BI225" s="104"/>
      <c r="BJ225" s="693" t="s">
        <v>253</v>
      </c>
    </row>
    <row r="226" spans="1:62" ht="20.25" customHeight="1">
      <c r="A226" s="315">
        <v>230</v>
      </c>
      <c r="B226" s="215" t="s">
        <v>52</v>
      </c>
      <c r="C226" s="238" t="s">
        <v>1106</v>
      </c>
      <c r="D226" s="280" t="s">
        <v>1107</v>
      </c>
      <c r="E226" s="604" t="s">
        <v>1108</v>
      </c>
      <c r="F226" s="241" t="s">
        <v>551</v>
      </c>
      <c r="G226" s="241" t="s">
        <v>530</v>
      </c>
      <c r="H226" s="233">
        <v>46091</v>
      </c>
      <c r="I226" s="313"/>
      <c r="J226" s="214">
        <f t="shared" si="13"/>
        <v>7</v>
      </c>
      <c r="K226" s="93"/>
      <c r="L226" s="103"/>
      <c r="M226" s="103"/>
      <c r="N226" s="319"/>
      <c r="O226" s="314" t="s">
        <v>81</v>
      </c>
      <c r="P226" s="320"/>
      <c r="Q226" s="319"/>
      <c r="R226" s="319"/>
      <c r="S226" s="319"/>
      <c r="T226" s="319"/>
      <c r="U226" s="103"/>
      <c r="V226" s="99"/>
      <c r="W226" s="99"/>
      <c r="X226" s="99"/>
      <c r="Y226" s="99"/>
      <c r="Z226" s="100"/>
      <c r="AA226" s="99"/>
      <c r="AB226" s="99"/>
      <c r="AC226" s="99"/>
      <c r="AD226" s="99"/>
      <c r="AE226" s="100"/>
      <c r="AF226" s="96"/>
      <c r="AG226" s="96"/>
      <c r="AH226" s="96"/>
      <c r="AI226" s="96"/>
      <c r="AJ226" s="104"/>
      <c r="AK226" s="96"/>
      <c r="AL226" s="96"/>
      <c r="AM226" s="96"/>
      <c r="AN226" s="96"/>
      <c r="AO226" s="104"/>
      <c r="AP226" s="96"/>
      <c r="AQ226" s="96"/>
      <c r="AR226" s="96"/>
      <c r="AS226" s="96"/>
      <c r="AT226" s="104"/>
      <c r="AU226" s="96"/>
      <c r="AV226" s="96"/>
      <c r="AW226" s="96"/>
      <c r="AX226" s="96"/>
      <c r="AY226" s="104"/>
      <c r="AZ226" s="96"/>
      <c r="BA226" s="96"/>
      <c r="BB226" s="96"/>
      <c r="BC226" s="96"/>
      <c r="BD226" s="104"/>
      <c r="BE226" s="96"/>
      <c r="BF226" s="96"/>
      <c r="BG226" s="96"/>
      <c r="BH226" s="96"/>
      <c r="BI226" s="104"/>
      <c r="BJ226" s="693" t="s">
        <v>253</v>
      </c>
    </row>
    <row r="227" spans="1:62" ht="20.25" customHeight="1">
      <c r="A227" s="315">
        <v>231</v>
      </c>
      <c r="B227" s="215" t="s">
        <v>52</v>
      </c>
      <c r="C227" s="238" t="s">
        <v>1109</v>
      </c>
      <c r="D227" s="280" t="s">
        <v>1110</v>
      </c>
      <c r="E227" s="604" t="s">
        <v>1111</v>
      </c>
      <c r="F227" s="241" t="s">
        <v>551</v>
      </c>
      <c r="G227" s="241" t="s">
        <v>530</v>
      </c>
      <c r="H227" s="233">
        <v>46091</v>
      </c>
      <c r="I227" s="313"/>
      <c r="J227" s="214">
        <f t="shared" si="13"/>
        <v>7</v>
      </c>
      <c r="K227" s="93"/>
      <c r="L227" s="103"/>
      <c r="M227" s="103"/>
      <c r="N227" s="319"/>
      <c r="O227" s="314" t="s">
        <v>81</v>
      </c>
      <c r="P227" s="320"/>
      <c r="Q227" s="319"/>
      <c r="R227" s="319"/>
      <c r="S227" s="319"/>
      <c r="T227" s="319"/>
      <c r="U227" s="103"/>
      <c r="V227" s="99"/>
      <c r="W227" s="99"/>
      <c r="X227" s="99"/>
      <c r="Y227" s="99"/>
      <c r="Z227" s="100"/>
      <c r="AA227" s="99"/>
      <c r="AB227" s="99"/>
      <c r="AC227" s="99"/>
      <c r="AD227" s="99"/>
      <c r="AE227" s="100"/>
      <c r="AF227" s="96"/>
      <c r="AG227" s="96"/>
      <c r="AH227" s="96"/>
      <c r="AI227" s="96"/>
      <c r="AJ227" s="104"/>
      <c r="AK227" s="96"/>
      <c r="AL227" s="96"/>
      <c r="AM227" s="96"/>
      <c r="AN227" s="96"/>
      <c r="AO227" s="104"/>
      <c r="AP227" s="96"/>
      <c r="AQ227" s="96"/>
      <c r="AR227" s="96"/>
      <c r="AS227" s="96"/>
      <c r="AT227" s="104"/>
      <c r="AU227" s="96"/>
      <c r="AV227" s="96"/>
      <c r="AW227" s="96"/>
      <c r="AX227" s="96"/>
      <c r="AY227" s="104"/>
      <c r="AZ227" s="96"/>
      <c r="BA227" s="96"/>
      <c r="BB227" s="96"/>
      <c r="BC227" s="96"/>
      <c r="BD227" s="104"/>
      <c r="BE227" s="96"/>
      <c r="BF227" s="96"/>
      <c r="BG227" s="96"/>
      <c r="BH227" s="96"/>
      <c r="BI227" s="104"/>
      <c r="BJ227" s="693" t="s">
        <v>253</v>
      </c>
    </row>
    <row r="228" spans="1:62" ht="20.25" customHeight="1">
      <c r="A228" s="315">
        <v>232</v>
      </c>
      <c r="B228" s="215" t="s">
        <v>52</v>
      </c>
      <c r="C228" s="238" t="s">
        <v>1112</v>
      </c>
      <c r="D228" s="280" t="s">
        <v>1113</v>
      </c>
      <c r="E228" s="604" t="s">
        <v>1114</v>
      </c>
      <c r="F228" s="241" t="s">
        <v>551</v>
      </c>
      <c r="G228" s="241" t="s">
        <v>530</v>
      </c>
      <c r="H228" s="233">
        <v>46105</v>
      </c>
      <c r="I228" s="313"/>
      <c r="J228" s="214">
        <f t="shared" si="13"/>
        <v>7</v>
      </c>
      <c r="K228" s="93"/>
      <c r="L228" s="103"/>
      <c r="M228" s="103"/>
      <c r="N228" s="319"/>
      <c r="O228" s="314" t="s">
        <v>81</v>
      </c>
      <c r="P228" s="320"/>
      <c r="Q228" s="319"/>
      <c r="R228" s="319"/>
      <c r="S228" s="319"/>
      <c r="T228" s="319"/>
      <c r="U228" s="103"/>
      <c r="V228" s="99"/>
      <c r="W228" s="99"/>
      <c r="X228" s="99"/>
      <c r="Y228" s="99"/>
      <c r="Z228" s="100"/>
      <c r="AA228" s="99"/>
      <c r="AB228" s="99"/>
      <c r="AC228" s="99"/>
      <c r="AD228" s="99"/>
      <c r="AE228" s="100"/>
      <c r="AF228" s="96"/>
      <c r="AG228" s="96"/>
      <c r="AH228" s="96"/>
      <c r="AI228" s="96"/>
      <c r="AJ228" s="104"/>
      <c r="AK228" s="96"/>
      <c r="AL228" s="96"/>
      <c r="AM228" s="96"/>
      <c r="AN228" s="96"/>
      <c r="AO228" s="104"/>
      <c r="AP228" s="96"/>
      <c r="AQ228" s="96"/>
      <c r="AR228" s="96"/>
      <c r="AS228" s="96"/>
      <c r="AT228" s="104"/>
      <c r="AU228" s="96"/>
      <c r="AV228" s="96"/>
      <c r="AW228" s="96"/>
      <c r="AX228" s="96"/>
      <c r="AY228" s="104"/>
      <c r="AZ228" s="96"/>
      <c r="BA228" s="96"/>
      <c r="BB228" s="96"/>
      <c r="BC228" s="96"/>
      <c r="BD228" s="104"/>
      <c r="BE228" s="96"/>
      <c r="BF228" s="96"/>
      <c r="BG228" s="96"/>
      <c r="BH228" s="96"/>
      <c r="BI228" s="104"/>
      <c r="BJ228" s="693" t="s">
        <v>253</v>
      </c>
    </row>
    <row r="229" spans="1:62" ht="20.25" customHeight="1">
      <c r="A229" s="315">
        <v>233</v>
      </c>
      <c r="B229" s="215" t="s">
        <v>52</v>
      </c>
      <c r="C229" s="238" t="s">
        <v>1115</v>
      </c>
      <c r="D229" s="280" t="s">
        <v>1116</v>
      </c>
      <c r="E229" s="604" t="s">
        <v>1117</v>
      </c>
      <c r="F229" s="241" t="s">
        <v>551</v>
      </c>
      <c r="G229" s="241" t="s">
        <v>530</v>
      </c>
      <c r="H229" s="233">
        <v>46105</v>
      </c>
      <c r="I229" s="313"/>
      <c r="J229" s="214">
        <f t="shared" si="13"/>
        <v>7</v>
      </c>
      <c r="K229" s="93"/>
      <c r="L229" s="103"/>
      <c r="M229" s="103"/>
      <c r="N229" s="319"/>
      <c r="O229" s="314" t="s">
        <v>81</v>
      </c>
      <c r="P229" s="320"/>
      <c r="Q229" s="319"/>
      <c r="R229" s="319"/>
      <c r="S229" s="319"/>
      <c r="T229" s="319"/>
      <c r="U229" s="103"/>
      <c r="V229" s="99"/>
      <c r="W229" s="99"/>
      <c r="X229" s="99"/>
      <c r="Y229" s="99"/>
      <c r="Z229" s="100"/>
      <c r="AA229" s="99"/>
      <c r="AB229" s="99"/>
      <c r="AC229" s="99"/>
      <c r="AD229" s="99"/>
      <c r="AE229" s="100"/>
      <c r="AF229" s="96"/>
      <c r="AG229" s="96"/>
      <c r="AH229" s="96"/>
      <c r="AI229" s="96"/>
      <c r="AJ229" s="104"/>
      <c r="AK229" s="96"/>
      <c r="AL229" s="96"/>
      <c r="AM229" s="96"/>
      <c r="AN229" s="96"/>
      <c r="AO229" s="104"/>
      <c r="AP229" s="96"/>
      <c r="AQ229" s="96"/>
      <c r="AR229" s="96"/>
      <c r="AS229" s="96"/>
      <c r="AT229" s="104"/>
      <c r="AU229" s="96"/>
      <c r="AV229" s="96"/>
      <c r="AW229" s="96"/>
      <c r="AX229" s="96"/>
      <c r="AY229" s="104"/>
      <c r="AZ229" s="96"/>
      <c r="BA229" s="96"/>
      <c r="BB229" s="96"/>
      <c r="BC229" s="96"/>
      <c r="BD229" s="104"/>
      <c r="BE229" s="96"/>
      <c r="BF229" s="96"/>
      <c r="BG229" s="96"/>
      <c r="BH229" s="96"/>
      <c r="BI229" s="104"/>
      <c r="BJ229" s="693" t="s">
        <v>253</v>
      </c>
    </row>
    <row r="230" spans="1:62" ht="20.25" customHeight="1">
      <c r="A230" s="315">
        <v>234</v>
      </c>
      <c r="B230" s="215" t="s">
        <v>52</v>
      </c>
      <c r="C230" s="238" t="s">
        <v>1118</v>
      </c>
      <c r="D230" s="280" t="s">
        <v>1119</v>
      </c>
      <c r="E230" s="604" t="s">
        <v>1120</v>
      </c>
      <c r="F230" s="241" t="s">
        <v>556</v>
      </c>
      <c r="G230" s="241" t="s">
        <v>399</v>
      </c>
      <c r="H230" s="234">
        <v>46072</v>
      </c>
      <c r="I230" s="313"/>
      <c r="J230" s="214">
        <f t="shared" si="13"/>
        <v>7</v>
      </c>
      <c r="K230" s="93"/>
      <c r="L230" s="103"/>
      <c r="M230" s="103"/>
      <c r="N230" s="319"/>
      <c r="O230" s="314" t="s">
        <v>81</v>
      </c>
      <c r="P230" s="320"/>
      <c r="Q230" s="319"/>
      <c r="R230" s="319"/>
      <c r="S230" s="319"/>
      <c r="T230" s="319"/>
      <c r="U230" s="103"/>
      <c r="V230" s="99"/>
      <c r="W230" s="99"/>
      <c r="X230" s="99"/>
      <c r="Y230" s="99"/>
      <c r="Z230" s="100"/>
      <c r="AA230" s="99"/>
      <c r="AB230" s="99"/>
      <c r="AC230" s="99"/>
      <c r="AD230" s="99"/>
      <c r="AE230" s="100"/>
      <c r="AF230" s="96"/>
      <c r="AG230" s="96"/>
      <c r="AH230" s="96"/>
      <c r="AI230" s="96"/>
      <c r="AJ230" s="104"/>
      <c r="AK230" s="96"/>
      <c r="AL230" s="96"/>
      <c r="AM230" s="96"/>
      <c r="AN230" s="96"/>
      <c r="AO230" s="104"/>
      <c r="AP230" s="96"/>
      <c r="AQ230" s="96"/>
      <c r="AR230" s="96"/>
      <c r="AS230" s="96"/>
      <c r="AT230" s="104"/>
      <c r="AU230" s="96"/>
      <c r="AV230" s="96"/>
      <c r="AW230" s="96"/>
      <c r="AX230" s="96"/>
      <c r="AY230" s="104"/>
      <c r="AZ230" s="96"/>
      <c r="BA230" s="96"/>
      <c r="BB230" s="96"/>
      <c r="BC230" s="96"/>
      <c r="BD230" s="104"/>
      <c r="BE230" s="96"/>
      <c r="BF230" s="96"/>
      <c r="BG230" s="96"/>
      <c r="BH230" s="96"/>
      <c r="BI230" s="104"/>
      <c r="BJ230" s="693" t="s">
        <v>253</v>
      </c>
    </row>
    <row r="231" spans="1:62" ht="20.25" customHeight="1">
      <c r="A231" s="315">
        <v>235</v>
      </c>
      <c r="B231" s="215" t="s">
        <v>52</v>
      </c>
      <c r="C231" s="238" t="s">
        <v>1121</v>
      </c>
      <c r="D231" s="280" t="s">
        <v>1122</v>
      </c>
      <c r="E231" s="604" t="s">
        <v>1123</v>
      </c>
      <c r="F231" s="241" t="s">
        <v>556</v>
      </c>
      <c r="G231" s="241" t="s">
        <v>399</v>
      </c>
      <c r="H231" s="234">
        <v>46063</v>
      </c>
      <c r="I231" s="313"/>
      <c r="J231" s="214">
        <f t="shared" si="13"/>
        <v>7</v>
      </c>
      <c r="K231" s="93"/>
      <c r="L231" s="103"/>
      <c r="M231" s="103"/>
      <c r="N231" s="319"/>
      <c r="O231" s="314" t="s">
        <v>81</v>
      </c>
      <c r="P231" s="320"/>
      <c r="Q231" s="319"/>
      <c r="R231" s="319"/>
      <c r="S231" s="319"/>
      <c r="T231" s="319"/>
      <c r="U231" s="103"/>
      <c r="V231" s="99"/>
      <c r="W231" s="99"/>
      <c r="X231" s="99"/>
      <c r="Y231" s="99"/>
      <c r="Z231" s="100"/>
      <c r="AA231" s="99"/>
      <c r="AB231" s="99"/>
      <c r="AC231" s="99"/>
      <c r="AD231" s="99"/>
      <c r="AE231" s="100"/>
      <c r="AF231" s="96"/>
      <c r="AG231" s="96"/>
      <c r="AH231" s="96"/>
      <c r="AI231" s="96"/>
      <c r="AJ231" s="104"/>
      <c r="AK231" s="96"/>
      <c r="AL231" s="96"/>
      <c r="AM231" s="96"/>
      <c r="AN231" s="96"/>
      <c r="AO231" s="104"/>
      <c r="AP231" s="96"/>
      <c r="AQ231" s="96"/>
      <c r="AR231" s="96"/>
      <c r="AS231" s="96"/>
      <c r="AT231" s="104"/>
      <c r="AU231" s="96"/>
      <c r="AV231" s="96"/>
      <c r="AW231" s="96"/>
      <c r="AX231" s="96"/>
      <c r="AY231" s="104"/>
      <c r="AZ231" s="96"/>
      <c r="BA231" s="96"/>
      <c r="BB231" s="96"/>
      <c r="BC231" s="96"/>
      <c r="BD231" s="104"/>
      <c r="BE231" s="96"/>
      <c r="BF231" s="96"/>
      <c r="BG231" s="96"/>
      <c r="BH231" s="96"/>
      <c r="BI231" s="104"/>
      <c r="BJ231" s="693" t="s">
        <v>253</v>
      </c>
    </row>
    <row r="232" spans="1:62" ht="20.25" customHeight="1">
      <c r="A232" s="315">
        <v>236</v>
      </c>
      <c r="B232" s="215" t="s">
        <v>52</v>
      </c>
      <c r="C232" s="238" t="s">
        <v>1124</v>
      </c>
      <c r="D232" s="280" t="s">
        <v>1125</v>
      </c>
      <c r="E232" s="604" t="s">
        <v>1126</v>
      </c>
      <c r="F232" s="241" t="s">
        <v>556</v>
      </c>
      <c r="G232" s="241" t="s">
        <v>399</v>
      </c>
      <c r="H232" s="234">
        <v>46065</v>
      </c>
      <c r="I232" s="313"/>
      <c r="J232" s="214">
        <f t="shared" si="13"/>
        <v>7</v>
      </c>
      <c r="K232" s="93"/>
      <c r="L232" s="103"/>
      <c r="M232" s="103"/>
      <c r="N232" s="319"/>
      <c r="O232" s="314" t="s">
        <v>81</v>
      </c>
      <c r="P232" s="320"/>
      <c r="Q232" s="319"/>
      <c r="R232" s="319"/>
      <c r="S232" s="319"/>
      <c r="T232" s="319"/>
      <c r="U232" s="103"/>
      <c r="V232" s="99"/>
      <c r="W232" s="99"/>
      <c r="X232" s="99"/>
      <c r="Y232" s="99"/>
      <c r="Z232" s="100"/>
      <c r="AA232" s="99"/>
      <c r="AB232" s="99"/>
      <c r="AC232" s="99"/>
      <c r="AD232" s="99"/>
      <c r="AE232" s="100"/>
      <c r="AF232" s="96"/>
      <c r="AG232" s="96"/>
      <c r="AH232" s="96"/>
      <c r="AI232" s="96"/>
      <c r="AJ232" s="104"/>
      <c r="AK232" s="96"/>
      <c r="AL232" s="96"/>
      <c r="AM232" s="96"/>
      <c r="AN232" s="96"/>
      <c r="AO232" s="104"/>
      <c r="AP232" s="96"/>
      <c r="AQ232" s="96"/>
      <c r="AR232" s="96"/>
      <c r="AS232" s="96"/>
      <c r="AT232" s="104"/>
      <c r="AU232" s="96"/>
      <c r="AV232" s="96"/>
      <c r="AW232" s="96"/>
      <c r="AX232" s="96"/>
      <c r="AY232" s="104"/>
      <c r="AZ232" s="96"/>
      <c r="BA232" s="96"/>
      <c r="BB232" s="96"/>
      <c r="BC232" s="96"/>
      <c r="BD232" s="104"/>
      <c r="BE232" s="96"/>
      <c r="BF232" s="96"/>
      <c r="BG232" s="96"/>
      <c r="BH232" s="96"/>
      <c r="BI232" s="104"/>
      <c r="BJ232" s="693" t="s">
        <v>253</v>
      </c>
    </row>
    <row r="233" spans="1:62" ht="20.25" customHeight="1">
      <c r="A233" s="315">
        <v>237</v>
      </c>
      <c r="B233" s="215" t="s">
        <v>52</v>
      </c>
      <c r="C233" s="238" t="s">
        <v>1127</v>
      </c>
      <c r="D233" s="280" t="s">
        <v>1128</v>
      </c>
      <c r="E233" s="604" t="s">
        <v>1129</v>
      </c>
      <c r="F233" s="241" t="s">
        <v>556</v>
      </c>
      <c r="G233" s="241" t="s">
        <v>399</v>
      </c>
      <c r="H233" s="234">
        <v>46065</v>
      </c>
      <c r="I233" s="313"/>
      <c r="J233" s="214">
        <f t="shared" si="13"/>
        <v>7</v>
      </c>
      <c r="K233" s="93"/>
      <c r="L233" s="103"/>
      <c r="M233" s="103"/>
      <c r="N233" s="319"/>
      <c r="O233" s="314" t="s">
        <v>81</v>
      </c>
      <c r="P233" s="320"/>
      <c r="Q233" s="319"/>
      <c r="R233" s="319"/>
      <c r="S233" s="319"/>
      <c r="T233" s="319"/>
      <c r="U233" s="103"/>
      <c r="V233" s="99"/>
      <c r="W233" s="99"/>
      <c r="X233" s="99"/>
      <c r="Y233" s="99"/>
      <c r="Z233" s="100"/>
      <c r="AA233" s="99"/>
      <c r="AB233" s="99"/>
      <c r="AC233" s="99"/>
      <c r="AD233" s="99"/>
      <c r="AE233" s="100"/>
      <c r="AF233" s="96"/>
      <c r="AG233" s="96"/>
      <c r="AH233" s="96"/>
      <c r="AI233" s="96"/>
      <c r="AJ233" s="104"/>
      <c r="AK233" s="96"/>
      <c r="AL233" s="96"/>
      <c r="AM233" s="96"/>
      <c r="AN233" s="96"/>
      <c r="AO233" s="104"/>
      <c r="AP233" s="96"/>
      <c r="AQ233" s="96"/>
      <c r="AR233" s="96"/>
      <c r="AS233" s="96"/>
      <c r="AT233" s="104"/>
      <c r="AU233" s="96"/>
      <c r="AV233" s="96"/>
      <c r="AW233" s="96"/>
      <c r="AX233" s="96"/>
      <c r="AY233" s="104"/>
      <c r="AZ233" s="96"/>
      <c r="BA233" s="96"/>
      <c r="BB233" s="96"/>
      <c r="BC233" s="96"/>
      <c r="BD233" s="104"/>
      <c r="BE233" s="96"/>
      <c r="BF233" s="96"/>
      <c r="BG233" s="96"/>
      <c r="BH233" s="96"/>
      <c r="BI233" s="104"/>
      <c r="BJ233" s="693" t="s">
        <v>253</v>
      </c>
    </row>
    <row r="234" spans="1:62" ht="20.25" customHeight="1">
      <c r="A234" s="315">
        <v>238</v>
      </c>
      <c r="B234" s="215" t="s">
        <v>52</v>
      </c>
      <c r="C234" s="238" t="s">
        <v>1130</v>
      </c>
      <c r="D234" s="280" t="s">
        <v>1131</v>
      </c>
      <c r="E234" s="604" t="s">
        <v>1132</v>
      </c>
      <c r="F234" s="241" t="s">
        <v>556</v>
      </c>
      <c r="G234" s="241" t="s">
        <v>399</v>
      </c>
      <c r="H234" s="234">
        <v>46065</v>
      </c>
      <c r="I234" s="313"/>
      <c r="J234" s="214">
        <f t="shared" si="13"/>
        <v>7</v>
      </c>
      <c r="K234" s="93"/>
      <c r="L234" s="103"/>
      <c r="M234" s="103"/>
      <c r="N234" s="319"/>
      <c r="O234" s="314" t="s">
        <v>81</v>
      </c>
      <c r="P234" s="320"/>
      <c r="Q234" s="319"/>
      <c r="R234" s="319"/>
      <c r="S234" s="319"/>
      <c r="T234" s="319"/>
      <c r="U234" s="103"/>
      <c r="V234" s="99"/>
      <c r="W234" s="99"/>
      <c r="X234" s="99"/>
      <c r="Y234" s="99"/>
      <c r="Z234" s="100"/>
      <c r="AA234" s="99"/>
      <c r="AB234" s="99"/>
      <c r="AC234" s="99"/>
      <c r="AD234" s="99"/>
      <c r="AE234" s="100"/>
      <c r="AF234" s="96"/>
      <c r="AG234" s="96"/>
      <c r="AH234" s="96"/>
      <c r="AI234" s="96"/>
      <c r="AJ234" s="104"/>
      <c r="AK234" s="96"/>
      <c r="AL234" s="96"/>
      <c r="AM234" s="96"/>
      <c r="AN234" s="96"/>
      <c r="AO234" s="104"/>
      <c r="AP234" s="96"/>
      <c r="AQ234" s="96"/>
      <c r="AR234" s="96"/>
      <c r="AS234" s="96"/>
      <c r="AT234" s="104"/>
      <c r="AU234" s="96"/>
      <c r="AV234" s="96"/>
      <c r="AW234" s="96"/>
      <c r="AX234" s="96"/>
      <c r="AY234" s="104"/>
      <c r="AZ234" s="96"/>
      <c r="BA234" s="96"/>
      <c r="BB234" s="96"/>
      <c r="BC234" s="96"/>
      <c r="BD234" s="104"/>
      <c r="BE234" s="96"/>
      <c r="BF234" s="96"/>
      <c r="BG234" s="96"/>
      <c r="BH234" s="96"/>
      <c r="BI234" s="104"/>
      <c r="BJ234" s="693" t="s">
        <v>253</v>
      </c>
    </row>
    <row r="235" spans="1:62" ht="20.25" customHeight="1">
      <c r="A235" s="315">
        <v>239</v>
      </c>
      <c r="B235" s="215" t="s">
        <v>52</v>
      </c>
      <c r="C235" s="238" t="s">
        <v>1133</v>
      </c>
      <c r="D235" s="280" t="s">
        <v>1134</v>
      </c>
      <c r="E235" s="604" t="s">
        <v>1135</v>
      </c>
      <c r="F235" s="241" t="s">
        <v>556</v>
      </c>
      <c r="G235" s="241" t="s">
        <v>399</v>
      </c>
      <c r="H235" s="234">
        <v>46069</v>
      </c>
      <c r="I235" s="313"/>
      <c r="J235" s="214">
        <f t="shared" si="13"/>
        <v>7</v>
      </c>
      <c r="K235" s="93"/>
      <c r="L235" s="103"/>
      <c r="M235" s="103"/>
      <c r="N235" s="319"/>
      <c r="O235" s="314" t="s">
        <v>81</v>
      </c>
      <c r="P235" s="320"/>
      <c r="Q235" s="319"/>
      <c r="R235" s="319"/>
      <c r="S235" s="319"/>
      <c r="T235" s="319"/>
      <c r="U235" s="103"/>
      <c r="V235" s="99"/>
      <c r="W235" s="99"/>
      <c r="X235" s="99"/>
      <c r="Y235" s="99"/>
      <c r="Z235" s="100"/>
      <c r="AA235" s="99"/>
      <c r="AB235" s="99"/>
      <c r="AC235" s="99"/>
      <c r="AD235" s="99"/>
      <c r="AE235" s="100"/>
      <c r="AF235" s="96"/>
      <c r="AG235" s="96"/>
      <c r="AH235" s="96"/>
      <c r="AI235" s="96"/>
      <c r="AJ235" s="104"/>
      <c r="AK235" s="96"/>
      <c r="AL235" s="96"/>
      <c r="AM235" s="96"/>
      <c r="AN235" s="96"/>
      <c r="AO235" s="104"/>
      <c r="AP235" s="96"/>
      <c r="AQ235" s="96"/>
      <c r="AR235" s="96"/>
      <c r="AS235" s="96"/>
      <c r="AT235" s="104"/>
      <c r="AU235" s="96"/>
      <c r="AV235" s="96"/>
      <c r="AW235" s="96"/>
      <c r="AX235" s="96"/>
      <c r="AY235" s="104"/>
      <c r="AZ235" s="96"/>
      <c r="BA235" s="96"/>
      <c r="BB235" s="96"/>
      <c r="BC235" s="96"/>
      <c r="BD235" s="104"/>
      <c r="BE235" s="96"/>
      <c r="BF235" s="96"/>
      <c r="BG235" s="96"/>
      <c r="BH235" s="96"/>
      <c r="BI235" s="104"/>
      <c r="BJ235" s="693" t="s">
        <v>253</v>
      </c>
    </row>
    <row r="236" spans="1:62" ht="20.25" customHeight="1">
      <c r="A236" s="315">
        <v>240</v>
      </c>
      <c r="B236" s="215" t="s">
        <v>52</v>
      </c>
      <c r="C236" s="238" t="s">
        <v>1136</v>
      </c>
      <c r="D236" s="280" t="s">
        <v>1137</v>
      </c>
      <c r="E236" s="604" t="s">
        <v>1138</v>
      </c>
      <c r="F236" s="241" t="s">
        <v>556</v>
      </c>
      <c r="G236" s="241" t="s">
        <v>399</v>
      </c>
      <c r="H236" s="234">
        <v>46092</v>
      </c>
      <c r="I236" s="313"/>
      <c r="J236" s="214">
        <f t="shared" si="13"/>
        <v>7</v>
      </c>
      <c r="K236" s="93"/>
      <c r="L236" s="103"/>
      <c r="M236" s="103"/>
      <c r="N236" s="319"/>
      <c r="O236" s="314" t="s">
        <v>81</v>
      </c>
      <c r="P236" s="320"/>
      <c r="Q236" s="319"/>
      <c r="R236" s="319"/>
      <c r="S236" s="319"/>
      <c r="T236" s="319"/>
      <c r="U236" s="103"/>
      <c r="V236" s="99"/>
      <c r="W236" s="99"/>
      <c r="X236" s="99"/>
      <c r="Y236" s="99"/>
      <c r="Z236" s="100"/>
      <c r="AA236" s="99"/>
      <c r="AB236" s="99"/>
      <c r="AC236" s="99"/>
      <c r="AD236" s="99"/>
      <c r="AE236" s="100"/>
      <c r="AF236" s="96"/>
      <c r="AG236" s="96"/>
      <c r="AH236" s="96"/>
      <c r="AI236" s="96"/>
      <c r="AJ236" s="104"/>
      <c r="AK236" s="96"/>
      <c r="AL236" s="96"/>
      <c r="AM236" s="96"/>
      <c r="AN236" s="96"/>
      <c r="AO236" s="104"/>
      <c r="AP236" s="96"/>
      <c r="AQ236" s="96"/>
      <c r="AR236" s="96"/>
      <c r="AS236" s="96"/>
      <c r="AT236" s="104"/>
      <c r="AU236" s="96"/>
      <c r="AV236" s="96"/>
      <c r="AW236" s="96"/>
      <c r="AX236" s="96"/>
      <c r="AY236" s="104"/>
      <c r="AZ236" s="96"/>
      <c r="BA236" s="96"/>
      <c r="BB236" s="96"/>
      <c r="BC236" s="96"/>
      <c r="BD236" s="104"/>
      <c r="BE236" s="96"/>
      <c r="BF236" s="96"/>
      <c r="BG236" s="96"/>
      <c r="BH236" s="96"/>
      <c r="BI236" s="104"/>
      <c r="BJ236" s="693" t="s">
        <v>253</v>
      </c>
    </row>
    <row r="237" spans="1:62" ht="20.25" customHeight="1">
      <c r="A237" s="315">
        <v>241</v>
      </c>
      <c r="B237" s="215" t="s">
        <v>52</v>
      </c>
      <c r="C237" s="238" t="s">
        <v>1139</v>
      </c>
      <c r="D237" s="669" t="s">
        <v>1140</v>
      </c>
      <c r="E237" s="604" t="s">
        <v>1141</v>
      </c>
      <c r="F237" s="241" t="s">
        <v>556</v>
      </c>
      <c r="G237" s="241" t="s">
        <v>399</v>
      </c>
      <c r="H237" s="234">
        <v>46092</v>
      </c>
      <c r="I237" s="313"/>
      <c r="J237" s="214">
        <f t="shared" si="13"/>
        <v>7</v>
      </c>
      <c r="K237" s="93"/>
      <c r="L237" s="103"/>
      <c r="M237" s="103"/>
      <c r="N237" s="319"/>
      <c r="O237" s="314" t="s">
        <v>81</v>
      </c>
      <c r="P237" s="320"/>
      <c r="Q237" s="319"/>
      <c r="R237" s="319"/>
      <c r="S237" s="319"/>
      <c r="T237" s="319"/>
      <c r="U237" s="103"/>
      <c r="V237" s="99"/>
      <c r="W237" s="99"/>
      <c r="X237" s="99"/>
      <c r="Y237" s="99"/>
      <c r="Z237" s="100"/>
      <c r="AA237" s="99"/>
      <c r="AB237" s="99"/>
      <c r="AC237" s="99"/>
      <c r="AD237" s="99"/>
      <c r="AE237" s="100"/>
      <c r="AF237" s="96"/>
      <c r="AG237" s="96"/>
      <c r="AH237" s="96"/>
      <c r="AI237" s="96"/>
      <c r="AJ237" s="104"/>
      <c r="AK237" s="96"/>
      <c r="AL237" s="96"/>
      <c r="AM237" s="96"/>
      <c r="AN237" s="96"/>
      <c r="AO237" s="104"/>
      <c r="AP237" s="96"/>
      <c r="AQ237" s="96"/>
      <c r="AR237" s="96"/>
      <c r="AS237" s="96"/>
      <c r="AT237" s="104"/>
      <c r="AU237" s="96"/>
      <c r="AV237" s="96"/>
      <c r="AW237" s="96"/>
      <c r="AX237" s="96"/>
      <c r="AY237" s="104"/>
      <c r="AZ237" s="96"/>
      <c r="BA237" s="96"/>
      <c r="BB237" s="96"/>
      <c r="BC237" s="96"/>
      <c r="BD237" s="104"/>
      <c r="BE237" s="96"/>
      <c r="BF237" s="96"/>
      <c r="BG237" s="96"/>
      <c r="BH237" s="96"/>
      <c r="BI237" s="104"/>
      <c r="BJ237" s="693" t="s">
        <v>82</v>
      </c>
    </row>
    <row r="238" spans="1:62" ht="20.25" customHeight="1">
      <c r="A238" s="315">
        <v>242</v>
      </c>
      <c r="B238" s="215" t="s">
        <v>52</v>
      </c>
      <c r="C238" s="301" t="s">
        <v>1142</v>
      </c>
      <c r="D238" s="667" t="s">
        <v>1143</v>
      </c>
      <c r="E238" s="668" t="s">
        <v>1144</v>
      </c>
      <c r="F238" s="241"/>
      <c r="G238" s="241" t="s">
        <v>1145</v>
      </c>
      <c r="H238" s="234">
        <v>46106</v>
      </c>
      <c r="I238" s="313"/>
      <c r="J238" s="214">
        <f t="shared" si="13"/>
        <v>7</v>
      </c>
      <c r="K238" s="93"/>
      <c r="L238" s="103"/>
      <c r="M238" s="103"/>
      <c r="N238" s="319"/>
      <c r="O238" s="314" t="s">
        <v>81</v>
      </c>
      <c r="P238" s="320"/>
      <c r="Q238" s="319"/>
      <c r="R238" s="319"/>
      <c r="S238" s="319"/>
      <c r="T238" s="319"/>
      <c r="U238" s="103"/>
      <c r="V238" s="99"/>
      <c r="W238" s="99"/>
      <c r="X238" s="99"/>
      <c r="Y238" s="99"/>
      <c r="Z238" s="100"/>
      <c r="AA238" s="99"/>
      <c r="AB238" s="99"/>
      <c r="AC238" s="99"/>
      <c r="AD238" s="99"/>
      <c r="AE238" s="100"/>
      <c r="AF238" s="96"/>
      <c r="AG238" s="96"/>
      <c r="AH238" s="96"/>
      <c r="AI238" s="96"/>
      <c r="AJ238" s="104"/>
      <c r="AK238" s="96"/>
      <c r="AL238" s="96"/>
      <c r="AM238" s="96"/>
      <c r="AN238" s="96"/>
      <c r="AO238" s="104"/>
      <c r="AP238" s="96"/>
      <c r="AQ238" s="96"/>
      <c r="AR238" s="96"/>
      <c r="AS238" s="96"/>
      <c r="AT238" s="104"/>
      <c r="AU238" s="96"/>
      <c r="AV238" s="96"/>
      <c r="AW238" s="96"/>
      <c r="AX238" s="96"/>
      <c r="AY238" s="104"/>
      <c r="AZ238" s="96"/>
      <c r="BA238" s="96"/>
      <c r="BB238" s="96"/>
      <c r="BC238" s="96"/>
      <c r="BD238" s="104"/>
      <c r="BE238" s="96"/>
      <c r="BF238" s="96"/>
      <c r="BG238" s="96"/>
      <c r="BH238" s="96"/>
      <c r="BI238" s="104"/>
      <c r="BJ238" s="693" t="s">
        <v>82</v>
      </c>
    </row>
    <row r="239" spans="1:62" ht="20.25" customHeight="1">
      <c r="A239" s="315">
        <v>243</v>
      </c>
      <c r="B239" s="215" t="s">
        <v>52</v>
      </c>
      <c r="C239" s="301" t="s">
        <v>1146</v>
      </c>
      <c r="D239" s="667" t="s">
        <v>1147</v>
      </c>
      <c r="E239" s="668" t="s">
        <v>1148</v>
      </c>
      <c r="F239" s="241"/>
      <c r="G239" s="241" t="s">
        <v>1149</v>
      </c>
      <c r="H239" s="234">
        <v>46096</v>
      </c>
      <c r="I239" s="313"/>
      <c r="J239" s="214">
        <f t="shared" si="13"/>
        <v>7</v>
      </c>
      <c r="K239" s="93"/>
      <c r="L239" s="103"/>
      <c r="M239" s="103"/>
      <c r="N239" s="319"/>
      <c r="O239" s="314" t="s">
        <v>81</v>
      </c>
      <c r="P239" s="320"/>
      <c r="Q239" s="319"/>
      <c r="R239" s="319"/>
      <c r="S239" s="319"/>
      <c r="T239" s="319"/>
      <c r="U239" s="103"/>
      <c r="V239" s="99"/>
      <c r="W239" s="99"/>
      <c r="X239" s="99"/>
      <c r="Y239" s="99"/>
      <c r="Z239" s="100"/>
      <c r="AA239" s="99"/>
      <c r="AB239" s="99"/>
      <c r="AC239" s="99"/>
      <c r="AD239" s="99"/>
      <c r="AE239" s="100"/>
      <c r="AF239" s="96"/>
      <c r="AG239" s="96"/>
      <c r="AH239" s="96"/>
      <c r="AI239" s="96"/>
      <c r="AJ239" s="104"/>
      <c r="AK239" s="96"/>
      <c r="AL239" s="96"/>
      <c r="AM239" s="96"/>
      <c r="AN239" s="96"/>
      <c r="AO239" s="104"/>
      <c r="AP239" s="96"/>
      <c r="AQ239" s="96"/>
      <c r="AR239" s="96"/>
      <c r="AS239" s="96"/>
      <c r="AT239" s="104"/>
      <c r="AU239" s="96"/>
      <c r="AV239" s="96"/>
      <c r="AW239" s="96"/>
      <c r="AX239" s="96"/>
      <c r="AY239" s="104"/>
      <c r="AZ239" s="96"/>
      <c r="BA239" s="96"/>
      <c r="BB239" s="96"/>
      <c r="BC239" s="96"/>
      <c r="BD239" s="104"/>
      <c r="BE239" s="96"/>
      <c r="BF239" s="96"/>
      <c r="BG239" s="96"/>
      <c r="BH239" s="96"/>
      <c r="BI239" s="104"/>
      <c r="BJ239" s="693" t="s">
        <v>82</v>
      </c>
    </row>
    <row r="240" spans="1:62" ht="20.25" customHeight="1">
      <c r="A240" s="315">
        <v>244</v>
      </c>
      <c r="B240" s="215" t="s">
        <v>52</v>
      </c>
      <c r="C240" s="301" t="s">
        <v>1150</v>
      </c>
      <c r="D240" s="667" t="s">
        <v>1151</v>
      </c>
      <c r="E240" s="668" t="s">
        <v>1152</v>
      </c>
      <c r="F240" s="241"/>
      <c r="G240" s="241" t="s">
        <v>1145</v>
      </c>
      <c r="H240" s="234">
        <v>46111</v>
      </c>
      <c r="I240" s="313"/>
      <c r="J240" s="214">
        <f t="shared" si="13"/>
        <v>7</v>
      </c>
      <c r="K240" s="93"/>
      <c r="L240" s="103"/>
      <c r="M240" s="103"/>
      <c r="N240" s="319"/>
      <c r="O240" s="314" t="s">
        <v>81</v>
      </c>
      <c r="P240" s="320"/>
      <c r="Q240" s="319"/>
      <c r="R240" s="319"/>
      <c r="S240" s="319"/>
      <c r="T240" s="319"/>
      <c r="U240" s="103"/>
      <c r="V240" s="99"/>
      <c r="W240" s="99"/>
      <c r="X240" s="99"/>
      <c r="Y240" s="99"/>
      <c r="Z240" s="100"/>
      <c r="AA240" s="99"/>
      <c r="AB240" s="99"/>
      <c r="AC240" s="99"/>
      <c r="AD240" s="99"/>
      <c r="AE240" s="100"/>
      <c r="AF240" s="96"/>
      <c r="AG240" s="96"/>
      <c r="AH240" s="96"/>
      <c r="AI240" s="96"/>
      <c r="AJ240" s="104"/>
      <c r="AK240" s="96"/>
      <c r="AL240" s="96"/>
      <c r="AM240" s="96"/>
      <c r="AN240" s="96"/>
      <c r="AO240" s="104"/>
      <c r="AP240" s="96"/>
      <c r="AQ240" s="96"/>
      <c r="AR240" s="96"/>
      <c r="AS240" s="96"/>
      <c r="AT240" s="104"/>
      <c r="AU240" s="96"/>
      <c r="AV240" s="96"/>
      <c r="AW240" s="96"/>
      <c r="AX240" s="96"/>
      <c r="AY240" s="104"/>
      <c r="AZ240" s="96"/>
      <c r="BA240" s="96"/>
      <c r="BB240" s="96"/>
      <c r="BC240" s="96"/>
      <c r="BD240" s="104"/>
      <c r="BE240" s="96"/>
      <c r="BF240" s="96"/>
      <c r="BG240" s="96"/>
      <c r="BH240" s="96"/>
      <c r="BI240" s="104"/>
      <c r="BJ240" s="693" t="s">
        <v>82</v>
      </c>
    </row>
    <row r="241" spans="1:62" ht="20.25" customHeight="1">
      <c r="A241" s="315">
        <v>245</v>
      </c>
      <c r="B241" s="215" t="s">
        <v>52</v>
      </c>
      <c r="C241" s="301" t="s">
        <v>1153</v>
      </c>
      <c r="D241" s="667" t="s">
        <v>1154</v>
      </c>
      <c r="E241" s="668" t="s">
        <v>1155</v>
      </c>
      <c r="F241" s="241"/>
      <c r="G241" s="241" t="s">
        <v>1149</v>
      </c>
      <c r="H241" s="234">
        <v>46111</v>
      </c>
      <c r="I241" s="313"/>
      <c r="J241" s="214">
        <f t="shared" si="13"/>
        <v>7</v>
      </c>
      <c r="K241" s="93"/>
      <c r="L241" s="103"/>
      <c r="M241" s="103"/>
      <c r="N241" s="319"/>
      <c r="O241" s="314" t="s">
        <v>81</v>
      </c>
      <c r="P241" s="320"/>
      <c r="Q241" s="319"/>
      <c r="R241" s="319"/>
      <c r="S241" s="319"/>
      <c r="T241" s="319"/>
      <c r="U241" s="103"/>
      <c r="V241" s="99"/>
      <c r="W241" s="99"/>
      <c r="X241" s="99"/>
      <c r="Y241" s="99"/>
      <c r="Z241" s="100"/>
      <c r="AA241" s="99"/>
      <c r="AB241" s="99"/>
      <c r="AC241" s="99"/>
      <c r="AD241" s="99"/>
      <c r="AE241" s="100"/>
      <c r="AF241" s="96"/>
      <c r="AG241" s="96"/>
      <c r="AH241" s="96"/>
      <c r="AI241" s="96"/>
      <c r="AJ241" s="104"/>
      <c r="AK241" s="96"/>
      <c r="AL241" s="96"/>
      <c r="AM241" s="96"/>
      <c r="AN241" s="96"/>
      <c r="AO241" s="104"/>
      <c r="AP241" s="96"/>
      <c r="AQ241" s="96"/>
      <c r="AR241" s="96"/>
      <c r="AS241" s="96"/>
      <c r="AT241" s="104"/>
      <c r="AU241" s="96"/>
      <c r="AV241" s="96"/>
      <c r="AW241" s="96"/>
      <c r="AX241" s="96"/>
      <c r="AY241" s="104"/>
      <c r="AZ241" s="96"/>
      <c r="BA241" s="96"/>
      <c r="BB241" s="96"/>
      <c r="BC241" s="96"/>
      <c r="BD241" s="104"/>
      <c r="BE241" s="96"/>
      <c r="BF241" s="96"/>
      <c r="BG241" s="96"/>
      <c r="BH241" s="96"/>
      <c r="BI241" s="104"/>
      <c r="BJ241" s="693" t="s">
        <v>82</v>
      </c>
    </row>
    <row r="242" spans="1:62" ht="20.25" customHeight="1">
      <c r="A242" s="315">
        <v>246</v>
      </c>
      <c r="B242" s="215" t="s">
        <v>52</v>
      </c>
      <c r="C242" s="301" t="s">
        <v>1156</v>
      </c>
      <c r="D242" s="667" t="s">
        <v>1157</v>
      </c>
      <c r="E242" s="668" t="s">
        <v>1158</v>
      </c>
      <c r="F242" s="241"/>
      <c r="G242" s="241" t="s">
        <v>1145</v>
      </c>
      <c r="H242" s="234">
        <v>46122</v>
      </c>
      <c r="I242" s="313"/>
      <c r="J242" s="214">
        <f t="shared" si="13"/>
        <v>7</v>
      </c>
      <c r="K242" s="93"/>
      <c r="L242" s="103"/>
      <c r="M242" s="103"/>
      <c r="N242" s="319"/>
      <c r="O242" s="314" t="s">
        <v>81</v>
      </c>
      <c r="P242" s="320"/>
      <c r="Q242" s="319"/>
      <c r="R242" s="319"/>
      <c r="S242" s="319"/>
      <c r="T242" s="319"/>
      <c r="U242" s="103"/>
      <c r="V242" s="99"/>
      <c r="W242" s="99"/>
      <c r="X242" s="99"/>
      <c r="Y242" s="99"/>
      <c r="Z242" s="100"/>
      <c r="AA242" s="99"/>
      <c r="AB242" s="99"/>
      <c r="AC242" s="99"/>
      <c r="AD242" s="99"/>
      <c r="AE242" s="100"/>
      <c r="AF242" s="96"/>
      <c r="AG242" s="96"/>
      <c r="AH242" s="96"/>
      <c r="AI242" s="96"/>
      <c r="AJ242" s="104"/>
      <c r="AK242" s="96"/>
      <c r="AL242" s="96"/>
      <c r="AM242" s="96"/>
      <c r="AN242" s="96"/>
      <c r="AO242" s="104"/>
      <c r="AP242" s="96"/>
      <c r="AQ242" s="96"/>
      <c r="AR242" s="96"/>
      <c r="AS242" s="96"/>
      <c r="AT242" s="104"/>
      <c r="AU242" s="96"/>
      <c r="AV242" s="96"/>
      <c r="AW242" s="96"/>
      <c r="AX242" s="96"/>
      <c r="AY242" s="104"/>
      <c r="AZ242" s="96"/>
      <c r="BA242" s="96"/>
      <c r="BB242" s="96"/>
      <c r="BC242" s="96"/>
      <c r="BD242" s="104"/>
      <c r="BE242" s="96"/>
      <c r="BF242" s="96"/>
      <c r="BG242" s="96"/>
      <c r="BH242" s="96"/>
      <c r="BI242" s="104"/>
      <c r="BJ242" s="693" t="s">
        <v>82</v>
      </c>
    </row>
    <row r="243" spans="1:62" ht="20.25" customHeight="1">
      <c r="A243" s="315">
        <v>247</v>
      </c>
      <c r="B243" s="215" t="s">
        <v>52</v>
      </c>
      <c r="C243" s="301" t="s">
        <v>1159</v>
      </c>
      <c r="D243" s="667" t="s">
        <v>1160</v>
      </c>
      <c r="E243" s="668" t="s">
        <v>1161</v>
      </c>
      <c r="F243" s="241"/>
      <c r="G243" s="241" t="s">
        <v>1149</v>
      </c>
      <c r="H243" s="234">
        <v>46101</v>
      </c>
      <c r="I243" s="313"/>
      <c r="J243" s="214">
        <f t="shared" si="13"/>
        <v>7</v>
      </c>
      <c r="K243" s="93"/>
      <c r="L243" s="103"/>
      <c r="M243" s="103"/>
      <c r="N243" s="319"/>
      <c r="O243" s="314" t="s">
        <v>81</v>
      </c>
      <c r="P243" s="320"/>
      <c r="Q243" s="319"/>
      <c r="R243" s="319"/>
      <c r="S243" s="319"/>
      <c r="T243" s="319"/>
      <c r="U243" s="103"/>
      <c r="V243" s="99"/>
      <c r="W243" s="99"/>
      <c r="X243" s="99"/>
      <c r="Y243" s="99"/>
      <c r="Z243" s="100"/>
      <c r="AA243" s="99"/>
      <c r="AB243" s="99"/>
      <c r="AC243" s="99"/>
      <c r="AD243" s="99"/>
      <c r="AE243" s="100"/>
      <c r="AF243" s="96"/>
      <c r="AG243" s="96"/>
      <c r="AH243" s="96"/>
      <c r="AI243" s="96"/>
      <c r="AJ243" s="104"/>
      <c r="AK243" s="96"/>
      <c r="AL243" s="96"/>
      <c r="AM243" s="96"/>
      <c r="AN243" s="96"/>
      <c r="AO243" s="104"/>
      <c r="AP243" s="96"/>
      <c r="AQ243" s="96"/>
      <c r="AR243" s="96"/>
      <c r="AS243" s="96"/>
      <c r="AT243" s="104"/>
      <c r="AU243" s="96"/>
      <c r="AV243" s="96"/>
      <c r="AW243" s="96"/>
      <c r="AX243" s="96"/>
      <c r="AY243" s="104"/>
      <c r="AZ243" s="96"/>
      <c r="BA243" s="96"/>
      <c r="BB243" s="96"/>
      <c r="BC243" s="96"/>
      <c r="BD243" s="104"/>
      <c r="BE243" s="96"/>
      <c r="BF243" s="96"/>
      <c r="BG243" s="96"/>
      <c r="BH243" s="96"/>
      <c r="BI243" s="104"/>
      <c r="BJ243" s="693" t="s">
        <v>82</v>
      </c>
    </row>
    <row r="244" spans="1:62" ht="20.25" customHeight="1">
      <c r="A244" s="315">
        <v>248</v>
      </c>
      <c r="B244" s="215" t="s">
        <v>52</v>
      </c>
      <c r="C244" s="301" t="s">
        <v>1162</v>
      </c>
      <c r="D244" s="667" t="s">
        <v>1163</v>
      </c>
      <c r="E244" s="668" t="s">
        <v>1164</v>
      </c>
      <c r="F244" s="241"/>
      <c r="G244" s="241" t="s">
        <v>1145</v>
      </c>
      <c r="H244" s="234"/>
      <c r="I244" s="313"/>
      <c r="J244" s="214">
        <f t="shared" si="13"/>
        <v>7</v>
      </c>
      <c r="K244" s="93"/>
      <c r="L244" s="103"/>
      <c r="M244" s="103"/>
      <c r="N244" s="319"/>
      <c r="O244" s="314" t="s">
        <v>81</v>
      </c>
      <c r="P244" s="320"/>
      <c r="Q244" s="319"/>
      <c r="R244" s="319"/>
      <c r="S244" s="319"/>
      <c r="T244" s="319"/>
      <c r="U244" s="103"/>
      <c r="V244" s="99"/>
      <c r="W244" s="99"/>
      <c r="X244" s="99"/>
      <c r="Y244" s="99"/>
      <c r="Z244" s="100"/>
      <c r="AA244" s="99"/>
      <c r="AB244" s="99"/>
      <c r="AC244" s="99"/>
      <c r="AD244" s="99"/>
      <c r="AE244" s="100"/>
      <c r="AF244" s="96"/>
      <c r="AG244" s="96"/>
      <c r="AH244" s="96"/>
      <c r="AI244" s="96"/>
      <c r="AJ244" s="104"/>
      <c r="AK244" s="96"/>
      <c r="AL244" s="96"/>
      <c r="AM244" s="96"/>
      <c r="AN244" s="96"/>
      <c r="AO244" s="104"/>
      <c r="AP244" s="96"/>
      <c r="AQ244" s="96"/>
      <c r="AR244" s="96"/>
      <c r="AS244" s="96"/>
      <c r="AT244" s="104"/>
      <c r="AU244" s="96"/>
      <c r="AV244" s="96"/>
      <c r="AW244" s="96"/>
      <c r="AX244" s="96"/>
      <c r="AY244" s="104"/>
      <c r="AZ244" s="96"/>
      <c r="BA244" s="96"/>
      <c r="BB244" s="96"/>
      <c r="BC244" s="96"/>
      <c r="BD244" s="104"/>
      <c r="BE244" s="96"/>
      <c r="BF244" s="96"/>
      <c r="BG244" s="96"/>
      <c r="BH244" s="96"/>
      <c r="BI244" s="104"/>
      <c r="BJ244" s="693" t="s">
        <v>82</v>
      </c>
    </row>
    <row r="245" spans="1:62" ht="20.25" customHeight="1">
      <c r="A245" s="315">
        <v>249</v>
      </c>
      <c r="B245" s="215" t="s">
        <v>52</v>
      </c>
      <c r="C245" s="238" t="s">
        <v>1165</v>
      </c>
      <c r="D245" s="408" t="s">
        <v>1166</v>
      </c>
      <c r="E245" s="604" t="s">
        <v>1167</v>
      </c>
      <c r="F245" s="241" t="s">
        <v>551</v>
      </c>
      <c r="G245" s="241" t="s">
        <v>530</v>
      </c>
      <c r="H245" s="234">
        <v>46080</v>
      </c>
      <c r="I245" s="313"/>
      <c r="J245" s="214">
        <f t="shared" si="13"/>
        <v>7</v>
      </c>
      <c r="K245" s="93"/>
      <c r="L245" s="103"/>
      <c r="M245" s="103"/>
      <c r="N245" s="319"/>
      <c r="O245" s="314" t="s">
        <v>81</v>
      </c>
      <c r="P245" s="320"/>
      <c r="Q245" s="319"/>
      <c r="R245" s="319"/>
      <c r="S245" s="319"/>
      <c r="T245" s="319"/>
      <c r="U245" s="103"/>
      <c r="V245" s="99"/>
      <c r="W245" s="99"/>
      <c r="X245" s="99"/>
      <c r="Y245" s="99"/>
      <c r="Z245" s="100"/>
      <c r="AA245" s="99"/>
      <c r="AB245" s="99"/>
      <c r="AC245" s="99"/>
      <c r="AD245" s="99"/>
      <c r="AE245" s="100"/>
      <c r="AF245" s="96"/>
      <c r="AG245" s="96"/>
      <c r="AH245" s="96"/>
      <c r="AI245" s="96"/>
      <c r="AJ245" s="104"/>
      <c r="AK245" s="96"/>
      <c r="AL245" s="96"/>
      <c r="AM245" s="96"/>
      <c r="AN245" s="96"/>
      <c r="AO245" s="104"/>
      <c r="AP245" s="96"/>
      <c r="AQ245" s="96"/>
      <c r="AR245" s="96"/>
      <c r="AS245" s="96"/>
      <c r="AT245" s="104"/>
      <c r="AU245" s="96"/>
      <c r="AV245" s="96"/>
      <c r="AW245" s="96"/>
      <c r="AX245" s="96"/>
      <c r="AY245" s="104"/>
      <c r="AZ245" s="96"/>
      <c r="BA245" s="96"/>
      <c r="BB245" s="96"/>
      <c r="BC245" s="96"/>
      <c r="BD245" s="104"/>
      <c r="BE245" s="96"/>
      <c r="BF245" s="96"/>
      <c r="BG245" s="96"/>
      <c r="BH245" s="96"/>
      <c r="BI245" s="104"/>
      <c r="BJ245" s="693" t="s">
        <v>82</v>
      </c>
    </row>
    <row r="246" spans="1:62" ht="20.25" customHeight="1">
      <c r="A246" s="315">
        <v>250</v>
      </c>
      <c r="B246" s="215" t="s">
        <v>52</v>
      </c>
      <c r="C246" s="238" t="s">
        <v>1168</v>
      </c>
      <c r="D246" s="280" t="s">
        <v>1169</v>
      </c>
      <c r="E246" s="604" t="s">
        <v>1170</v>
      </c>
      <c r="F246" s="241" t="s">
        <v>551</v>
      </c>
      <c r="G246" s="241" t="s">
        <v>530</v>
      </c>
      <c r="H246" s="234">
        <v>46080</v>
      </c>
      <c r="I246" s="313"/>
      <c r="J246" s="214">
        <f t="shared" si="13"/>
        <v>7</v>
      </c>
      <c r="K246" s="93"/>
      <c r="L246" s="103"/>
      <c r="M246" s="103"/>
      <c r="N246" s="319"/>
      <c r="O246" s="314" t="s">
        <v>81</v>
      </c>
      <c r="P246" s="320"/>
      <c r="Q246" s="319"/>
      <c r="R246" s="319"/>
      <c r="S246" s="319"/>
      <c r="T246" s="319"/>
      <c r="U246" s="103"/>
      <c r="V246" s="99"/>
      <c r="W246" s="99"/>
      <c r="X246" s="99"/>
      <c r="Y246" s="99"/>
      <c r="Z246" s="100"/>
      <c r="AA246" s="99"/>
      <c r="AB246" s="99"/>
      <c r="AC246" s="99"/>
      <c r="AD246" s="99"/>
      <c r="AE246" s="100"/>
      <c r="AF246" s="96"/>
      <c r="AG246" s="96"/>
      <c r="AH246" s="96"/>
      <c r="AI246" s="96"/>
      <c r="AJ246" s="104"/>
      <c r="AK246" s="96"/>
      <c r="AL246" s="96"/>
      <c r="AM246" s="96"/>
      <c r="AN246" s="96"/>
      <c r="AO246" s="104"/>
      <c r="AP246" s="96"/>
      <c r="AQ246" s="96"/>
      <c r="AR246" s="96"/>
      <c r="AS246" s="96"/>
      <c r="AT246" s="104"/>
      <c r="AU246" s="96"/>
      <c r="AV246" s="96"/>
      <c r="AW246" s="96"/>
      <c r="AX246" s="96"/>
      <c r="AY246" s="104"/>
      <c r="AZ246" s="96"/>
      <c r="BA246" s="96"/>
      <c r="BB246" s="96"/>
      <c r="BC246" s="96"/>
      <c r="BD246" s="104"/>
      <c r="BE246" s="96"/>
      <c r="BF246" s="96"/>
      <c r="BG246" s="96"/>
      <c r="BH246" s="96"/>
      <c r="BI246" s="104"/>
      <c r="BJ246" s="693" t="s">
        <v>82</v>
      </c>
    </row>
    <row r="247" spans="1:62" ht="20.25" customHeight="1">
      <c r="A247" s="315">
        <v>251</v>
      </c>
      <c r="B247" s="215" t="s">
        <v>52</v>
      </c>
      <c r="C247" s="238" t="s">
        <v>1171</v>
      </c>
      <c r="D247" s="280" t="s">
        <v>1172</v>
      </c>
      <c r="E247" s="604" t="s">
        <v>1173</v>
      </c>
      <c r="F247" s="241" t="s">
        <v>551</v>
      </c>
      <c r="G247" s="241" t="s">
        <v>530</v>
      </c>
      <c r="H247" s="234">
        <v>46080</v>
      </c>
      <c r="I247" s="313"/>
      <c r="J247" s="214">
        <f t="shared" si="13"/>
        <v>7</v>
      </c>
      <c r="K247" s="93"/>
      <c r="L247" s="103"/>
      <c r="M247" s="103"/>
      <c r="N247" s="319"/>
      <c r="O247" s="314" t="s">
        <v>81</v>
      </c>
      <c r="P247" s="320"/>
      <c r="Q247" s="319"/>
      <c r="R247" s="319"/>
      <c r="S247" s="319"/>
      <c r="T247" s="319"/>
      <c r="U247" s="103"/>
      <c r="V247" s="99"/>
      <c r="W247" s="99"/>
      <c r="X247" s="99"/>
      <c r="Y247" s="99"/>
      <c r="Z247" s="100"/>
      <c r="AA247" s="99"/>
      <c r="AB247" s="99"/>
      <c r="AC247" s="99"/>
      <c r="AD247" s="99"/>
      <c r="AE247" s="100"/>
      <c r="AF247" s="96"/>
      <c r="AG247" s="96"/>
      <c r="AH247" s="96"/>
      <c r="AI247" s="96"/>
      <c r="AJ247" s="104"/>
      <c r="AK247" s="96"/>
      <c r="AL247" s="96"/>
      <c r="AM247" s="96"/>
      <c r="AN247" s="96"/>
      <c r="AO247" s="104"/>
      <c r="AP247" s="96"/>
      <c r="AQ247" s="96"/>
      <c r="AR247" s="96"/>
      <c r="AS247" s="96"/>
      <c r="AT247" s="104"/>
      <c r="AU247" s="96"/>
      <c r="AV247" s="96"/>
      <c r="AW247" s="96"/>
      <c r="AX247" s="96"/>
      <c r="AY247" s="104"/>
      <c r="AZ247" s="96"/>
      <c r="BA247" s="96"/>
      <c r="BB247" s="96"/>
      <c r="BC247" s="96"/>
      <c r="BD247" s="104"/>
      <c r="BE247" s="96"/>
      <c r="BF247" s="96"/>
      <c r="BG247" s="96"/>
      <c r="BH247" s="96"/>
      <c r="BI247" s="104"/>
      <c r="BJ247" s="693" t="s">
        <v>82</v>
      </c>
    </row>
    <row r="248" spans="1:62" ht="20.25" customHeight="1">
      <c r="A248" s="315">
        <v>252</v>
      </c>
      <c r="B248" s="215" t="s">
        <v>52</v>
      </c>
      <c r="C248" s="791" t="s">
        <v>1174</v>
      </c>
      <c r="D248" s="792" t="s">
        <v>1175</v>
      </c>
      <c r="E248" s="793" t="s">
        <v>1176</v>
      </c>
      <c r="F248" s="794" t="s">
        <v>1177</v>
      </c>
      <c r="G248" s="794"/>
      <c r="H248" s="630">
        <v>46064</v>
      </c>
      <c r="I248" s="795"/>
      <c r="J248" s="796">
        <f t="shared" si="13"/>
        <v>7</v>
      </c>
      <c r="K248" s="797"/>
      <c r="L248" s="798"/>
      <c r="M248" s="798"/>
      <c r="N248" s="796"/>
      <c r="O248" s="799" t="s">
        <v>81</v>
      </c>
      <c r="P248" s="806" t="s">
        <v>1178</v>
      </c>
      <c r="Q248" s="319"/>
      <c r="R248" s="319"/>
      <c r="S248" s="319"/>
      <c r="T248" s="319"/>
      <c r="U248" s="103"/>
      <c r="V248" s="99"/>
      <c r="W248" s="99"/>
      <c r="X248" s="99"/>
      <c r="Y248" s="99"/>
      <c r="Z248" s="100"/>
      <c r="AA248" s="99"/>
      <c r="AB248" s="99"/>
      <c r="AC248" s="99"/>
      <c r="AD248" s="99"/>
      <c r="AE248" s="100"/>
      <c r="AF248" s="96"/>
      <c r="AG248" s="96"/>
      <c r="AH248" s="96"/>
      <c r="AI248" s="96"/>
      <c r="AJ248" s="104"/>
      <c r="AK248" s="96"/>
      <c r="AL248" s="96"/>
      <c r="AM248" s="96"/>
      <c r="AN248" s="96"/>
      <c r="AO248" s="104"/>
      <c r="AP248" s="96"/>
      <c r="AQ248" s="96"/>
      <c r="AR248" s="96"/>
      <c r="AS248" s="96"/>
      <c r="AT248" s="104"/>
      <c r="AU248" s="96"/>
      <c r="AV248" s="96"/>
      <c r="AW248" s="96"/>
      <c r="AX248" s="96"/>
      <c r="AY248" s="104"/>
      <c r="AZ248" s="96"/>
      <c r="BA248" s="96"/>
      <c r="BB248" s="96"/>
      <c r="BC248" s="96"/>
      <c r="BD248" s="104"/>
      <c r="BE248" s="96"/>
      <c r="BF248" s="96"/>
      <c r="BG248" s="96"/>
      <c r="BH248" s="96"/>
      <c r="BI248" s="104"/>
      <c r="BJ248" s="693" t="s">
        <v>82</v>
      </c>
    </row>
    <row r="249" spans="1:62" ht="20.25" customHeight="1">
      <c r="A249" s="283">
        <v>253</v>
      </c>
      <c r="B249" s="215" t="s">
        <v>52</v>
      </c>
      <c r="C249" s="791" t="s">
        <v>1179</v>
      </c>
      <c r="D249" s="792" t="s">
        <v>1180</v>
      </c>
      <c r="E249" s="800" t="s">
        <v>1181</v>
      </c>
      <c r="F249" s="794" t="s">
        <v>1177</v>
      </c>
      <c r="G249" s="794"/>
      <c r="H249" s="630">
        <v>46064</v>
      </c>
      <c r="I249" s="801"/>
      <c r="J249" s="796">
        <f t="shared" ref="J249:J256" si="18">I249+7</f>
        <v>7</v>
      </c>
      <c r="K249" s="802"/>
      <c r="L249" s="803"/>
      <c r="M249" s="798"/>
      <c r="N249" s="804"/>
      <c r="O249" s="799" t="s">
        <v>81</v>
      </c>
      <c r="P249" s="807"/>
      <c r="Q249" s="97"/>
      <c r="R249" s="97"/>
      <c r="S249" s="97"/>
      <c r="T249" s="97"/>
      <c r="U249" s="89"/>
      <c r="V249" s="99"/>
      <c r="W249" s="99"/>
      <c r="X249" s="99"/>
      <c r="Y249" s="99"/>
      <c r="Z249" s="100"/>
      <c r="AA249" s="99"/>
      <c r="AB249" s="99"/>
      <c r="AC249" s="99"/>
      <c r="AD249" s="99"/>
      <c r="AE249" s="100"/>
      <c r="AF249" s="96"/>
      <c r="AG249" s="96"/>
      <c r="AH249" s="96"/>
      <c r="AI249" s="96"/>
      <c r="AJ249" s="104"/>
      <c r="AK249" s="96"/>
      <c r="AL249" s="96"/>
      <c r="AM249" s="96"/>
      <c r="AN249" s="96"/>
      <c r="AO249" s="104"/>
      <c r="AP249" s="96"/>
      <c r="AQ249" s="96"/>
      <c r="AR249" s="96"/>
      <c r="AS249" s="96"/>
      <c r="AT249" s="104"/>
      <c r="AU249" s="96"/>
      <c r="AV249" s="96"/>
      <c r="AW249" s="96"/>
      <c r="AX249" s="96"/>
      <c r="AY249" s="104"/>
      <c r="AZ249" s="96"/>
      <c r="BA249" s="96"/>
      <c r="BB249" s="96"/>
      <c r="BC249" s="96"/>
      <c r="BD249" s="104"/>
      <c r="BE249" s="96"/>
      <c r="BF249" s="96"/>
      <c r="BG249" s="96"/>
      <c r="BH249" s="96"/>
      <c r="BI249" s="104"/>
      <c r="BJ249" s="693" t="s">
        <v>82</v>
      </c>
    </row>
    <row r="250" spans="1:62" ht="20.25" customHeight="1">
      <c r="A250" s="283">
        <v>254</v>
      </c>
      <c r="B250" s="215" t="s">
        <v>52</v>
      </c>
      <c r="C250" s="791" t="s">
        <v>1182</v>
      </c>
      <c r="D250" s="792" t="s">
        <v>1183</v>
      </c>
      <c r="E250" s="800" t="s">
        <v>1184</v>
      </c>
      <c r="F250" s="794" t="s">
        <v>1177</v>
      </c>
      <c r="G250" s="794"/>
      <c r="H250" s="630">
        <v>46064</v>
      </c>
      <c r="I250" s="801"/>
      <c r="J250" s="796">
        <f t="shared" si="18"/>
        <v>7</v>
      </c>
      <c r="K250" s="802"/>
      <c r="L250" s="803"/>
      <c r="M250" s="798"/>
      <c r="N250" s="804"/>
      <c r="O250" s="799" t="s">
        <v>81</v>
      </c>
      <c r="P250" s="807"/>
      <c r="Q250" s="97"/>
      <c r="R250" s="97"/>
      <c r="S250" s="97"/>
      <c r="T250" s="97"/>
      <c r="U250" s="89"/>
      <c r="V250" s="99"/>
      <c r="W250" s="99"/>
      <c r="X250" s="99"/>
      <c r="Y250" s="99"/>
      <c r="Z250" s="100"/>
      <c r="AA250" s="99"/>
      <c r="AB250" s="99"/>
      <c r="AC250" s="99"/>
      <c r="AD250" s="99"/>
      <c r="AE250" s="100"/>
      <c r="AF250" s="96"/>
      <c r="AG250" s="96"/>
      <c r="AH250" s="96"/>
      <c r="AI250" s="96"/>
      <c r="AJ250" s="104"/>
      <c r="AK250" s="96"/>
      <c r="AL250" s="96"/>
      <c r="AM250" s="96"/>
      <c r="AN250" s="96"/>
      <c r="AO250" s="104"/>
      <c r="AP250" s="96"/>
      <c r="AQ250" s="96"/>
      <c r="AR250" s="96"/>
      <c r="AS250" s="96"/>
      <c r="AT250" s="104"/>
      <c r="AU250" s="96"/>
      <c r="AV250" s="96"/>
      <c r="AW250" s="96"/>
      <c r="AX250" s="96"/>
      <c r="AY250" s="104"/>
      <c r="AZ250" s="96"/>
      <c r="BA250" s="96"/>
      <c r="BB250" s="96"/>
      <c r="BC250" s="96"/>
      <c r="BD250" s="104"/>
      <c r="BE250" s="96"/>
      <c r="BF250" s="96"/>
      <c r="BG250" s="96"/>
      <c r="BH250" s="96"/>
      <c r="BI250" s="104"/>
      <c r="BJ250" s="693" t="s">
        <v>82</v>
      </c>
    </row>
    <row r="251" spans="1:62" ht="20.25" customHeight="1">
      <c r="A251" s="283">
        <v>255</v>
      </c>
      <c r="B251" s="215" t="s">
        <v>52</v>
      </c>
      <c r="C251" s="791" t="s">
        <v>1185</v>
      </c>
      <c r="D251" s="792" t="s">
        <v>1186</v>
      </c>
      <c r="E251" s="800" t="s">
        <v>1187</v>
      </c>
      <c r="F251" s="794" t="s">
        <v>1177</v>
      </c>
      <c r="G251" s="794"/>
      <c r="H251" s="630">
        <v>46064</v>
      </c>
      <c r="I251" s="801"/>
      <c r="J251" s="796">
        <f t="shared" si="18"/>
        <v>7</v>
      </c>
      <c r="K251" s="802"/>
      <c r="L251" s="803"/>
      <c r="M251" s="798"/>
      <c r="N251" s="804"/>
      <c r="O251" s="799" t="s">
        <v>81</v>
      </c>
      <c r="P251" s="808"/>
      <c r="Q251" s="97"/>
      <c r="R251" s="97"/>
      <c r="S251" s="97"/>
      <c r="T251" s="97"/>
      <c r="U251" s="89"/>
      <c r="V251" s="99"/>
      <c r="W251" s="99"/>
      <c r="X251" s="99"/>
      <c r="Y251" s="99"/>
      <c r="Z251" s="100"/>
      <c r="AA251" s="99"/>
      <c r="AB251" s="99"/>
      <c r="AC251" s="99"/>
      <c r="AD251" s="99"/>
      <c r="AE251" s="100"/>
      <c r="AF251" s="96"/>
      <c r="AG251" s="96"/>
      <c r="AH251" s="96"/>
      <c r="AI251" s="96"/>
      <c r="AJ251" s="104"/>
      <c r="AK251" s="96"/>
      <c r="AL251" s="96"/>
      <c r="AM251" s="96"/>
      <c r="AN251" s="96"/>
      <c r="AO251" s="104"/>
      <c r="AP251" s="96"/>
      <c r="AQ251" s="96"/>
      <c r="AR251" s="96"/>
      <c r="AS251" s="96"/>
      <c r="AT251" s="104"/>
      <c r="AU251" s="96"/>
      <c r="AV251" s="96"/>
      <c r="AW251" s="96"/>
      <c r="AX251" s="96"/>
      <c r="AY251" s="104"/>
      <c r="AZ251" s="96"/>
      <c r="BA251" s="96"/>
      <c r="BB251" s="96"/>
      <c r="BC251" s="96"/>
      <c r="BD251" s="104"/>
      <c r="BE251" s="96"/>
      <c r="BF251" s="96"/>
      <c r="BG251" s="96"/>
      <c r="BH251" s="96"/>
      <c r="BI251" s="104"/>
      <c r="BJ251" s="693" t="s">
        <v>82</v>
      </c>
    </row>
    <row r="252" spans="1:62" ht="20.25" customHeight="1">
      <c r="A252" s="283">
        <v>256</v>
      </c>
      <c r="B252" s="215" t="s">
        <v>52</v>
      </c>
      <c r="C252" s="238" t="s">
        <v>1188</v>
      </c>
      <c r="D252" s="280" t="s">
        <v>1189</v>
      </c>
      <c r="E252" s="666" t="s">
        <v>1190</v>
      </c>
      <c r="F252" s="241" t="s">
        <v>1191</v>
      </c>
      <c r="G252" s="241"/>
      <c r="H252" s="234">
        <v>46064</v>
      </c>
      <c r="I252" s="214">
        <v>46058</v>
      </c>
      <c r="J252" s="214">
        <f t="shared" si="18"/>
        <v>46065</v>
      </c>
      <c r="K252" s="103">
        <v>0</v>
      </c>
      <c r="L252" s="103" t="s">
        <v>49</v>
      </c>
      <c r="M252" s="103" t="s">
        <v>89</v>
      </c>
      <c r="N252" s="319"/>
      <c r="O252" s="314" t="s">
        <v>81</v>
      </c>
      <c r="P252" s="120"/>
      <c r="Q252" s="214">
        <v>46058</v>
      </c>
      <c r="R252" s="97"/>
      <c r="S252" s="97"/>
      <c r="T252" s="97"/>
      <c r="U252" s="89"/>
      <c r="V252" s="99"/>
      <c r="W252" s="99"/>
      <c r="X252" s="99"/>
      <c r="Y252" s="99"/>
      <c r="Z252" s="100"/>
      <c r="AA252" s="99"/>
      <c r="AB252" s="99"/>
      <c r="AC252" s="99"/>
      <c r="AD252" s="99"/>
      <c r="AE252" s="100"/>
      <c r="AF252" s="96"/>
      <c r="AG252" s="96"/>
      <c r="AH252" s="96"/>
      <c r="AI252" s="96"/>
      <c r="AJ252" s="104"/>
      <c r="AK252" s="96"/>
      <c r="AL252" s="96"/>
      <c r="AM252" s="96"/>
      <c r="AN252" s="96"/>
      <c r="AO252" s="104"/>
      <c r="AP252" s="96"/>
      <c r="AQ252" s="96"/>
      <c r="AR252" s="96"/>
      <c r="AS252" s="96"/>
      <c r="AT252" s="104"/>
      <c r="AU252" s="96"/>
      <c r="AV252" s="96"/>
      <c r="AW252" s="96"/>
      <c r="AX252" s="96"/>
      <c r="AY252" s="104"/>
      <c r="AZ252" s="96"/>
      <c r="BA252" s="96"/>
      <c r="BB252" s="96"/>
      <c r="BC252" s="96"/>
      <c r="BD252" s="104"/>
      <c r="BE252" s="96"/>
      <c r="BF252" s="96"/>
      <c r="BG252" s="96"/>
      <c r="BH252" s="96"/>
      <c r="BI252" s="104"/>
      <c r="BJ252" s="693" t="s">
        <v>82</v>
      </c>
    </row>
    <row r="253" spans="1:62" ht="20.25" customHeight="1">
      <c r="A253" s="283">
        <v>257</v>
      </c>
      <c r="B253" s="215" t="s">
        <v>52</v>
      </c>
      <c r="C253" s="238" t="s">
        <v>1192</v>
      </c>
      <c r="D253" s="280" t="s">
        <v>1193</v>
      </c>
      <c r="E253" s="666" t="s">
        <v>1194</v>
      </c>
      <c r="F253" s="241" t="s">
        <v>1191</v>
      </c>
      <c r="G253" s="241"/>
      <c r="H253" s="234">
        <v>46064</v>
      </c>
      <c r="I253" s="214">
        <v>46058</v>
      </c>
      <c r="J253" s="214">
        <f t="shared" si="18"/>
        <v>46065</v>
      </c>
      <c r="K253" s="103">
        <v>0</v>
      </c>
      <c r="L253" s="103" t="s">
        <v>49</v>
      </c>
      <c r="M253" s="103" t="s">
        <v>89</v>
      </c>
      <c r="N253" s="319"/>
      <c r="O253" s="314" t="s">
        <v>81</v>
      </c>
      <c r="P253" s="120"/>
      <c r="Q253" s="214">
        <v>46058</v>
      </c>
      <c r="R253" s="97"/>
      <c r="S253" s="97"/>
      <c r="T253" s="97"/>
      <c r="U253" s="89"/>
      <c r="V253" s="99"/>
      <c r="W253" s="99"/>
      <c r="X253" s="99"/>
      <c r="Y253" s="99"/>
      <c r="Z253" s="100"/>
      <c r="AA253" s="99"/>
      <c r="AB253" s="99"/>
      <c r="AC253" s="99"/>
      <c r="AD253" s="99"/>
      <c r="AE253" s="100"/>
      <c r="AF253" s="96"/>
      <c r="AG253" s="96"/>
      <c r="AH253" s="96"/>
      <c r="AI253" s="96"/>
      <c r="AJ253" s="104"/>
      <c r="AK253" s="96"/>
      <c r="AL253" s="96"/>
      <c r="AM253" s="96"/>
      <c r="AN253" s="96"/>
      <c r="AO253" s="104"/>
      <c r="AP253" s="96"/>
      <c r="AQ253" s="96"/>
      <c r="AR253" s="96"/>
      <c r="AS253" s="96"/>
      <c r="AT253" s="104"/>
      <c r="AU253" s="96"/>
      <c r="AV253" s="96"/>
      <c r="AW253" s="96"/>
      <c r="AX253" s="96"/>
      <c r="AY253" s="104"/>
      <c r="AZ253" s="96"/>
      <c r="BA253" s="96"/>
      <c r="BB253" s="96"/>
      <c r="BC253" s="96"/>
      <c r="BD253" s="104"/>
      <c r="BE253" s="96"/>
      <c r="BF253" s="96"/>
      <c r="BG253" s="96"/>
      <c r="BH253" s="96"/>
      <c r="BI253" s="104"/>
      <c r="BJ253" s="693" t="s">
        <v>82</v>
      </c>
    </row>
    <row r="254" spans="1:62" ht="20.25" customHeight="1">
      <c r="A254" s="283">
        <v>258</v>
      </c>
      <c r="B254" s="215" t="s">
        <v>52</v>
      </c>
      <c r="C254" s="238" t="s">
        <v>1195</v>
      </c>
      <c r="D254" s="280" t="s">
        <v>1196</v>
      </c>
      <c r="E254" s="666" t="s">
        <v>1197</v>
      </c>
      <c r="F254" s="241" t="s">
        <v>1191</v>
      </c>
      <c r="G254" s="241"/>
      <c r="H254" s="234">
        <v>46064</v>
      </c>
      <c r="I254" s="214">
        <v>46058</v>
      </c>
      <c r="J254" s="214">
        <f t="shared" si="18"/>
        <v>46065</v>
      </c>
      <c r="K254" s="103">
        <v>0</v>
      </c>
      <c r="L254" s="103" t="s">
        <v>49</v>
      </c>
      <c r="M254" s="103" t="s">
        <v>89</v>
      </c>
      <c r="N254" s="319"/>
      <c r="O254" s="314" t="s">
        <v>81</v>
      </c>
      <c r="P254" s="120"/>
      <c r="Q254" s="214">
        <v>46058</v>
      </c>
      <c r="R254" s="97"/>
      <c r="S254" s="97"/>
      <c r="T254" s="97"/>
      <c r="U254" s="89"/>
      <c r="V254" s="99"/>
      <c r="W254" s="99"/>
      <c r="X254" s="99"/>
      <c r="Y254" s="99"/>
      <c r="Z254" s="100"/>
      <c r="AA254" s="99"/>
      <c r="AB254" s="99"/>
      <c r="AC254" s="99"/>
      <c r="AD254" s="99"/>
      <c r="AE254" s="100"/>
      <c r="AF254" s="96"/>
      <c r="AG254" s="96"/>
      <c r="AH254" s="96"/>
      <c r="AI254" s="96"/>
      <c r="AJ254" s="104"/>
      <c r="AK254" s="96"/>
      <c r="AL254" s="96"/>
      <c r="AM254" s="96"/>
      <c r="AN254" s="96"/>
      <c r="AO254" s="104"/>
      <c r="AP254" s="96"/>
      <c r="AQ254" s="96"/>
      <c r="AR254" s="96"/>
      <c r="AS254" s="96"/>
      <c r="AT254" s="104"/>
      <c r="AU254" s="96"/>
      <c r="AV254" s="96"/>
      <c r="AW254" s="96"/>
      <c r="AX254" s="96"/>
      <c r="AY254" s="104"/>
      <c r="AZ254" s="96"/>
      <c r="BA254" s="96"/>
      <c r="BB254" s="96"/>
      <c r="BC254" s="96"/>
      <c r="BD254" s="104"/>
      <c r="BE254" s="96"/>
      <c r="BF254" s="96"/>
      <c r="BG254" s="96"/>
      <c r="BH254" s="96"/>
      <c r="BI254" s="104"/>
      <c r="BJ254" s="693" t="s">
        <v>82</v>
      </c>
    </row>
    <row r="255" spans="1:62" ht="20.25" customHeight="1">
      <c r="A255" s="283">
        <v>259</v>
      </c>
      <c r="B255" s="215" t="s">
        <v>52</v>
      </c>
      <c r="C255" s="238" t="s">
        <v>1198</v>
      </c>
      <c r="D255" s="280" t="s">
        <v>1199</v>
      </c>
      <c r="E255" s="666" t="s">
        <v>1200</v>
      </c>
      <c r="F255" s="241" t="s">
        <v>1191</v>
      </c>
      <c r="G255" s="241"/>
      <c r="H255" s="234">
        <v>46064</v>
      </c>
      <c r="I255" s="214">
        <v>46058</v>
      </c>
      <c r="J255" s="214">
        <f t="shared" si="18"/>
        <v>46065</v>
      </c>
      <c r="K255" s="103">
        <v>0</v>
      </c>
      <c r="L255" s="103" t="s">
        <v>49</v>
      </c>
      <c r="M255" s="103" t="s">
        <v>89</v>
      </c>
      <c r="N255" s="319"/>
      <c r="O255" s="314" t="s">
        <v>81</v>
      </c>
      <c r="P255" s="120"/>
      <c r="Q255" s="214">
        <v>46058</v>
      </c>
      <c r="R255" s="97"/>
      <c r="S255" s="97"/>
      <c r="T255" s="97"/>
      <c r="U255" s="89"/>
      <c r="V255" s="99"/>
      <c r="W255" s="99"/>
      <c r="X255" s="99"/>
      <c r="Y255" s="99"/>
      <c r="Z255" s="100"/>
      <c r="AA255" s="99"/>
      <c r="AB255" s="99"/>
      <c r="AC255" s="99"/>
      <c r="AD255" s="99"/>
      <c r="AE255" s="100"/>
      <c r="AF255" s="96"/>
      <c r="AG255" s="96"/>
      <c r="AH255" s="96"/>
      <c r="AI255" s="96"/>
      <c r="AJ255" s="104"/>
      <c r="AK255" s="96"/>
      <c r="AL255" s="96"/>
      <c r="AM255" s="96"/>
      <c r="AN255" s="96"/>
      <c r="AO255" s="104"/>
      <c r="AP255" s="96"/>
      <c r="AQ255" s="96"/>
      <c r="AR255" s="96"/>
      <c r="AS255" s="96"/>
      <c r="AT255" s="104"/>
      <c r="AU255" s="96"/>
      <c r="AV255" s="96"/>
      <c r="AW255" s="96"/>
      <c r="AX255" s="96"/>
      <c r="AY255" s="104"/>
      <c r="AZ255" s="96"/>
      <c r="BA255" s="96"/>
      <c r="BB255" s="96"/>
      <c r="BC255" s="96"/>
      <c r="BD255" s="104"/>
      <c r="BE255" s="96"/>
      <c r="BF255" s="96"/>
      <c r="BG255" s="96"/>
      <c r="BH255" s="96"/>
      <c r="BI255" s="104"/>
      <c r="BJ255" s="693" t="s">
        <v>82</v>
      </c>
    </row>
    <row r="256" spans="1:62" ht="20.25" customHeight="1">
      <c r="A256" s="814">
        <v>260</v>
      </c>
      <c r="B256" s="215" t="s">
        <v>52</v>
      </c>
      <c r="C256" s="288" t="s">
        <v>1201</v>
      </c>
      <c r="D256" s="287" t="s">
        <v>1202</v>
      </c>
      <c r="E256" s="666" t="s">
        <v>1203</v>
      </c>
      <c r="F256" s="302" t="s">
        <v>1204</v>
      </c>
      <c r="G256" s="302"/>
      <c r="H256" s="299" t="s">
        <v>711</v>
      </c>
      <c r="I256" s="313"/>
      <c r="J256" s="214">
        <f t="shared" si="18"/>
        <v>7</v>
      </c>
      <c r="K256" s="93"/>
      <c r="L256" s="103"/>
      <c r="M256" s="103"/>
      <c r="N256" s="314"/>
      <c r="O256" s="314" t="s">
        <v>712</v>
      </c>
      <c r="P256" s="312"/>
      <c r="Q256" s="313"/>
      <c r="R256" s="319"/>
      <c r="S256" s="319"/>
      <c r="T256" s="323"/>
      <c r="U256" s="200"/>
      <c r="V256" s="335"/>
      <c r="W256" s="99"/>
      <c r="X256" s="99"/>
      <c r="Y256" s="99"/>
      <c r="Z256" s="100"/>
      <c r="AA256" s="121"/>
      <c r="AB256" s="99"/>
      <c r="AC256" s="99"/>
      <c r="AD256" s="99"/>
      <c r="AE256" s="100"/>
      <c r="AF256" s="96"/>
      <c r="AG256" s="96"/>
      <c r="AH256" s="96"/>
      <c r="AI256" s="96"/>
      <c r="AJ256" s="104"/>
      <c r="AK256" s="96"/>
      <c r="AL256" s="96"/>
      <c r="AM256" s="96"/>
      <c r="AN256" s="96"/>
      <c r="AO256" s="104"/>
      <c r="AP256" s="96"/>
      <c r="AQ256" s="96"/>
      <c r="AR256" s="96"/>
      <c r="AS256" s="96"/>
      <c r="AT256" s="104"/>
      <c r="AU256" s="96"/>
      <c r="AV256" s="96"/>
      <c r="AW256" s="96"/>
      <c r="AX256" s="96"/>
      <c r="AY256" s="104"/>
      <c r="AZ256" s="96"/>
      <c r="BA256" s="96"/>
      <c r="BB256" s="96"/>
      <c r="BC256" s="96"/>
      <c r="BD256" s="104"/>
      <c r="BE256" s="96"/>
      <c r="BF256" s="96"/>
      <c r="BG256" s="96"/>
      <c r="BH256" s="96"/>
      <c r="BI256" s="104"/>
      <c r="BJ256" s="693" t="s">
        <v>82</v>
      </c>
    </row>
    <row r="257" spans="1:62" ht="20.25" customHeight="1">
      <c r="A257" s="814">
        <v>261</v>
      </c>
      <c r="B257" s="215" t="s">
        <v>52</v>
      </c>
      <c r="C257" s="288" t="s">
        <v>1205</v>
      </c>
      <c r="D257" s="287" t="s">
        <v>1202</v>
      </c>
      <c r="E257" s="666" t="s">
        <v>1206</v>
      </c>
      <c r="F257" s="302" t="s">
        <v>1204</v>
      </c>
      <c r="G257" s="302"/>
      <c r="H257" s="299" t="s">
        <v>711</v>
      </c>
      <c r="I257" s="313"/>
      <c r="J257" s="214">
        <f t="shared" ref="J257" si="19">I257+7</f>
        <v>7</v>
      </c>
      <c r="K257" s="93"/>
      <c r="L257" s="103"/>
      <c r="M257" s="103"/>
      <c r="N257" s="314"/>
      <c r="O257" s="314" t="s">
        <v>712</v>
      </c>
      <c r="P257" s="312"/>
      <c r="Q257" s="313"/>
      <c r="R257" s="319"/>
      <c r="S257" s="319"/>
      <c r="T257" s="323"/>
      <c r="U257" s="200"/>
      <c r="V257" s="335"/>
      <c r="W257" s="99"/>
      <c r="X257" s="99"/>
      <c r="Y257" s="99"/>
      <c r="Z257" s="100"/>
      <c r="AA257" s="121"/>
      <c r="AB257" s="99"/>
      <c r="AC257" s="99"/>
      <c r="AD257" s="99"/>
      <c r="AE257" s="100"/>
      <c r="AF257" s="96"/>
      <c r="AG257" s="96"/>
      <c r="AH257" s="96"/>
      <c r="AI257" s="96"/>
      <c r="AJ257" s="104"/>
      <c r="AK257" s="96"/>
      <c r="AL257" s="96"/>
      <c r="AM257" s="96"/>
      <c r="AN257" s="96"/>
      <c r="AO257" s="104"/>
      <c r="AP257" s="96"/>
      <c r="AQ257" s="96"/>
      <c r="AR257" s="96"/>
      <c r="AS257" s="96"/>
      <c r="AT257" s="104"/>
      <c r="AU257" s="96"/>
      <c r="AV257" s="96"/>
      <c r="AW257" s="96"/>
      <c r="AX257" s="96"/>
      <c r="AY257" s="104"/>
      <c r="AZ257" s="96"/>
      <c r="BA257" s="96"/>
      <c r="BB257" s="96"/>
      <c r="BC257" s="96"/>
      <c r="BD257" s="104"/>
      <c r="BE257" s="96"/>
      <c r="BF257" s="96"/>
      <c r="BG257" s="96"/>
      <c r="BH257" s="96"/>
      <c r="BI257" s="104"/>
      <c r="BJ257" s="693" t="s">
        <v>82</v>
      </c>
    </row>
    <row r="258" spans="1:62" s="3" customFormat="1" ht="20.25" customHeight="1">
      <c r="A258" s="814">
        <v>262</v>
      </c>
      <c r="B258" s="633" t="s">
        <v>52</v>
      </c>
      <c r="C258" s="238" t="s">
        <v>1207</v>
      </c>
      <c r="D258" s="317" t="s">
        <v>1208</v>
      </c>
      <c r="E258" s="666" t="s">
        <v>1209</v>
      </c>
      <c r="F258" s="302" t="s">
        <v>1204</v>
      </c>
      <c r="G258" s="241"/>
      <c r="H258" s="234" t="s">
        <v>711</v>
      </c>
      <c r="I258" s="214">
        <v>46063</v>
      </c>
      <c r="J258" s="214">
        <f>I258+7</f>
        <v>46070</v>
      </c>
      <c r="K258" s="103">
        <v>0</v>
      </c>
      <c r="L258" s="103" t="s">
        <v>50</v>
      </c>
      <c r="M258" s="103" t="s">
        <v>89</v>
      </c>
      <c r="N258" s="221"/>
      <c r="O258" s="221" t="s">
        <v>712</v>
      </c>
      <c r="P258" s="318"/>
      <c r="Q258" s="214">
        <v>46063</v>
      </c>
      <c r="R258" s="319">
        <v>46065</v>
      </c>
      <c r="S258" s="319"/>
      <c r="T258" s="324"/>
      <c r="U258" s="336"/>
      <c r="V258" s="690"/>
      <c r="W258" s="96"/>
      <c r="X258" s="96"/>
      <c r="Y258" s="96"/>
      <c r="Z258" s="104"/>
      <c r="AA258" s="691"/>
      <c r="AB258" s="96"/>
      <c r="AC258" s="96"/>
      <c r="AD258" s="96"/>
      <c r="AE258" s="104"/>
      <c r="AF258" s="96"/>
      <c r="AG258" s="96"/>
      <c r="AH258" s="96"/>
      <c r="AI258" s="96"/>
      <c r="AJ258" s="104"/>
      <c r="AK258" s="96"/>
      <c r="AL258" s="96"/>
      <c r="AM258" s="96"/>
      <c r="AN258" s="96"/>
      <c r="AO258" s="104"/>
      <c r="AP258" s="96"/>
      <c r="AQ258" s="96"/>
      <c r="AR258" s="96"/>
      <c r="AS258" s="96"/>
      <c r="AT258" s="104"/>
      <c r="AU258" s="96"/>
      <c r="AV258" s="96"/>
      <c r="AW258" s="96"/>
      <c r="AX258" s="96"/>
      <c r="AY258" s="104"/>
      <c r="AZ258" s="96"/>
      <c r="BA258" s="96"/>
      <c r="BB258" s="96"/>
      <c r="BC258" s="96"/>
      <c r="BD258" s="104"/>
      <c r="BE258" s="96"/>
      <c r="BF258" s="96"/>
      <c r="BG258" s="96"/>
      <c r="BH258" s="96"/>
      <c r="BI258" s="104"/>
      <c r="BJ258" s="693" t="s">
        <v>82</v>
      </c>
    </row>
    <row r="259" spans="1:62" s="3" customFormat="1" ht="20.25" customHeight="1">
      <c r="A259" s="814">
        <v>263</v>
      </c>
      <c r="B259" s="633" t="s">
        <v>52</v>
      </c>
      <c r="C259" s="238" t="s">
        <v>1210</v>
      </c>
      <c r="D259" s="317" t="s">
        <v>1211</v>
      </c>
      <c r="E259" s="666" t="s">
        <v>1212</v>
      </c>
      <c r="F259" s="302" t="s">
        <v>1204</v>
      </c>
      <c r="G259" s="241"/>
      <c r="H259" s="234" t="s">
        <v>711</v>
      </c>
      <c r="I259" s="214">
        <v>46063</v>
      </c>
      <c r="J259" s="214">
        <f>I259+7</f>
        <v>46070</v>
      </c>
      <c r="K259" s="103">
        <v>0</v>
      </c>
      <c r="L259" s="103" t="s">
        <v>50</v>
      </c>
      <c r="M259" s="103" t="s">
        <v>89</v>
      </c>
      <c r="N259" s="314"/>
      <c r="O259" s="314" t="s">
        <v>712</v>
      </c>
      <c r="P259" s="312"/>
      <c r="Q259" s="313">
        <v>46063</v>
      </c>
      <c r="R259" s="319">
        <v>46064</v>
      </c>
      <c r="S259" s="319"/>
      <c r="T259" s="324"/>
      <c r="U259" s="336"/>
      <c r="V259" s="690"/>
      <c r="W259" s="96"/>
      <c r="X259" s="96"/>
      <c r="Y259" s="96"/>
      <c r="Z259" s="104"/>
      <c r="AA259" s="691"/>
      <c r="AB259" s="96"/>
      <c r="AC259" s="96"/>
      <c r="AD259" s="96"/>
      <c r="AE259" s="104"/>
      <c r="AF259" s="96"/>
      <c r="AG259" s="96"/>
      <c r="AH259" s="96"/>
      <c r="AI259" s="96"/>
      <c r="AJ259" s="104"/>
      <c r="AK259" s="96"/>
      <c r="AL259" s="96"/>
      <c r="AM259" s="96"/>
      <c r="AN259" s="96"/>
      <c r="AO259" s="104"/>
      <c r="AP259" s="96"/>
      <c r="AQ259" s="96"/>
      <c r="AR259" s="96"/>
      <c r="AS259" s="96"/>
      <c r="AT259" s="104"/>
      <c r="AU259" s="96"/>
      <c r="AV259" s="96"/>
      <c r="AW259" s="96"/>
      <c r="AX259" s="96"/>
      <c r="AY259" s="104"/>
      <c r="AZ259" s="96"/>
      <c r="BA259" s="96"/>
      <c r="BB259" s="96"/>
      <c r="BC259" s="96"/>
      <c r="BD259" s="104"/>
      <c r="BE259" s="96"/>
      <c r="BF259" s="96"/>
      <c r="BG259" s="96"/>
      <c r="BH259" s="96"/>
      <c r="BI259" s="104"/>
      <c r="BJ259" s="693" t="s">
        <v>82</v>
      </c>
    </row>
    <row r="260" spans="1:62" ht="20.25" customHeight="1">
      <c r="A260" s="814">
        <v>264</v>
      </c>
      <c r="B260" s="215" t="s">
        <v>52</v>
      </c>
      <c r="C260" s="288" t="s">
        <v>1213</v>
      </c>
      <c r="D260" s="287" t="s">
        <v>1202</v>
      </c>
      <c r="E260" s="666" t="s">
        <v>1214</v>
      </c>
      <c r="F260" s="302" t="s">
        <v>1204</v>
      </c>
      <c r="G260" s="302"/>
      <c r="H260" s="299" t="s">
        <v>711</v>
      </c>
      <c r="I260" s="313"/>
      <c r="J260" s="214">
        <f t="shared" ref="J258:J260" si="20">I260+7</f>
        <v>7</v>
      </c>
      <c r="K260" s="93"/>
      <c r="L260" s="103"/>
      <c r="M260" s="103"/>
      <c r="N260" s="314"/>
      <c r="O260" s="314" t="s">
        <v>712</v>
      </c>
      <c r="P260" s="312"/>
      <c r="Q260" s="313"/>
      <c r="R260" s="319"/>
      <c r="S260" s="319"/>
      <c r="T260" s="323"/>
      <c r="U260" s="200"/>
      <c r="V260" s="335"/>
      <c r="W260" s="99"/>
      <c r="X260" s="99"/>
      <c r="Y260" s="99"/>
      <c r="Z260" s="100"/>
      <c r="AA260" s="121"/>
      <c r="AB260" s="99"/>
      <c r="AC260" s="99"/>
      <c r="AD260" s="99"/>
      <c r="AE260" s="100"/>
      <c r="AF260" s="96"/>
      <c r="AG260" s="96"/>
      <c r="AH260" s="96"/>
      <c r="AI260" s="96"/>
      <c r="AJ260" s="104"/>
      <c r="AK260" s="96"/>
      <c r="AL260" s="96"/>
      <c r="AM260" s="96"/>
      <c r="AN260" s="96"/>
      <c r="AO260" s="104"/>
      <c r="AP260" s="96"/>
      <c r="AQ260" s="96"/>
      <c r="AR260" s="96"/>
      <c r="AS260" s="96"/>
      <c r="AT260" s="104"/>
      <c r="AU260" s="96"/>
      <c r="AV260" s="96"/>
      <c r="AW260" s="96"/>
      <c r="AX260" s="96"/>
      <c r="AY260" s="104"/>
      <c r="AZ260" s="96"/>
      <c r="BA260" s="96"/>
      <c r="BB260" s="96"/>
      <c r="BC260" s="96"/>
      <c r="BD260" s="104"/>
      <c r="BE260" s="96"/>
      <c r="BF260" s="96"/>
      <c r="BG260" s="96"/>
      <c r="BH260" s="96"/>
      <c r="BI260" s="104"/>
      <c r="BJ260" s="693" t="s">
        <v>82</v>
      </c>
    </row>
    <row r="261" spans="1:62" ht="20.25" customHeight="1">
      <c r="A261" s="814">
        <v>265</v>
      </c>
      <c r="B261" s="215" t="s">
        <v>52</v>
      </c>
      <c r="C261" s="288" t="s">
        <v>1215</v>
      </c>
      <c r="D261" s="287" t="s">
        <v>1202</v>
      </c>
      <c r="E261" s="666" t="s">
        <v>1216</v>
      </c>
      <c r="F261" s="302" t="s">
        <v>1204</v>
      </c>
      <c r="G261" s="302"/>
      <c r="H261" s="299" t="s">
        <v>711</v>
      </c>
      <c r="I261" s="313"/>
      <c r="J261" s="214">
        <f t="shared" ref="J261" si="21">I261+7</f>
        <v>7</v>
      </c>
      <c r="K261" s="93"/>
      <c r="L261" s="103"/>
      <c r="M261" s="103"/>
      <c r="N261" s="314"/>
      <c r="O261" s="314" t="s">
        <v>712</v>
      </c>
      <c r="P261" s="312"/>
      <c r="Q261" s="313"/>
      <c r="R261" s="319"/>
      <c r="S261" s="319"/>
      <c r="T261" s="323"/>
      <c r="U261" s="200"/>
      <c r="V261" s="335"/>
      <c r="W261" s="99"/>
      <c r="X261" s="99"/>
      <c r="Y261" s="99"/>
      <c r="Z261" s="100"/>
      <c r="AA261" s="121"/>
      <c r="AB261" s="99"/>
      <c r="AC261" s="99"/>
      <c r="AD261" s="99"/>
      <c r="AE261" s="100"/>
      <c r="AF261" s="96"/>
      <c r="AG261" s="96"/>
      <c r="AH261" s="96"/>
      <c r="AI261" s="96"/>
      <c r="AJ261" s="104"/>
      <c r="AK261" s="96"/>
      <c r="AL261" s="96"/>
      <c r="AM261" s="96"/>
      <c r="AN261" s="96"/>
      <c r="AO261" s="104"/>
      <c r="AP261" s="96"/>
      <c r="AQ261" s="96"/>
      <c r="AR261" s="96"/>
      <c r="AS261" s="96"/>
      <c r="AT261" s="104"/>
      <c r="AU261" s="96"/>
      <c r="AV261" s="96"/>
      <c r="AW261" s="96"/>
      <c r="AX261" s="96"/>
      <c r="AY261" s="104"/>
      <c r="AZ261" s="96"/>
      <c r="BA261" s="96"/>
      <c r="BB261" s="96"/>
      <c r="BC261" s="96"/>
      <c r="BD261" s="104"/>
      <c r="BE261" s="96"/>
      <c r="BF261" s="96"/>
      <c r="BG261" s="96"/>
      <c r="BH261" s="96"/>
      <c r="BI261" s="104"/>
      <c r="BJ261" s="693" t="s">
        <v>82</v>
      </c>
    </row>
    <row r="262" spans="1:62" s="3" customFormat="1" ht="20.25" customHeight="1">
      <c r="A262" s="814">
        <v>266</v>
      </c>
      <c r="B262" s="633" t="s">
        <v>52</v>
      </c>
      <c r="C262" s="238" t="s">
        <v>1217</v>
      </c>
      <c r="D262" s="317" t="s">
        <v>1218</v>
      </c>
      <c r="E262" s="666" t="s">
        <v>1219</v>
      </c>
      <c r="F262" s="302" t="s">
        <v>1204</v>
      </c>
      <c r="G262" s="241"/>
      <c r="H262" s="234" t="s">
        <v>711</v>
      </c>
      <c r="I262" s="214">
        <v>46064</v>
      </c>
      <c r="J262" s="214">
        <f>I262+7</f>
        <v>46071</v>
      </c>
      <c r="K262" s="103">
        <v>0</v>
      </c>
      <c r="L262" s="103" t="s">
        <v>50</v>
      </c>
      <c r="M262" s="103" t="s">
        <v>89</v>
      </c>
      <c r="N262" s="221"/>
      <c r="O262" s="221" t="s">
        <v>712</v>
      </c>
      <c r="P262" s="318"/>
      <c r="Q262" s="214">
        <v>46064</v>
      </c>
      <c r="R262" s="319">
        <v>46065</v>
      </c>
      <c r="S262" s="319"/>
      <c r="T262" s="324"/>
      <c r="U262" s="336"/>
      <c r="V262" s="690"/>
      <c r="W262" s="96"/>
      <c r="X262" s="96"/>
      <c r="Y262" s="96"/>
      <c r="Z262" s="104"/>
      <c r="AA262" s="691"/>
      <c r="AB262" s="96"/>
      <c r="AC262" s="96"/>
      <c r="AD262" s="96"/>
      <c r="AE262" s="104"/>
      <c r="AF262" s="96"/>
      <c r="AG262" s="96"/>
      <c r="AH262" s="96"/>
      <c r="AI262" s="96"/>
      <c r="AJ262" s="104"/>
      <c r="AK262" s="96"/>
      <c r="AL262" s="96"/>
      <c r="AM262" s="96"/>
      <c r="AN262" s="96"/>
      <c r="AO262" s="104"/>
      <c r="AP262" s="96"/>
      <c r="AQ262" s="96"/>
      <c r="AR262" s="96"/>
      <c r="AS262" s="96"/>
      <c r="AT262" s="104"/>
      <c r="AU262" s="96"/>
      <c r="AV262" s="96"/>
      <c r="AW262" s="96"/>
      <c r="AX262" s="96"/>
      <c r="AY262" s="104"/>
      <c r="AZ262" s="96"/>
      <c r="BA262" s="96"/>
      <c r="BB262" s="96"/>
      <c r="BC262" s="96"/>
      <c r="BD262" s="104"/>
      <c r="BE262" s="96"/>
      <c r="BF262" s="96"/>
      <c r="BG262" s="96"/>
      <c r="BH262" s="96"/>
      <c r="BI262" s="104"/>
      <c r="BJ262" s="693" t="s">
        <v>82</v>
      </c>
    </row>
    <row r="263" spans="1:62">
      <c r="A263" s="284"/>
      <c r="B263" s="261"/>
      <c r="E263" s="535"/>
      <c r="F263" s="3"/>
      <c r="G263" s="3"/>
      <c r="H263" s="3"/>
      <c r="I263" s="262"/>
      <c r="J263" s="262"/>
      <c r="K263" s="279"/>
      <c r="L263" s="257"/>
      <c r="M263" s="257"/>
      <c r="N263" s="262"/>
      <c r="O263" s="262"/>
      <c r="P263" s="263"/>
      <c r="Q263" s="262"/>
      <c r="R263" s="262"/>
      <c r="S263" s="262"/>
      <c r="T263" s="262"/>
      <c r="U263" s="257"/>
      <c r="AF263" s="48"/>
      <c r="AG263" s="48"/>
      <c r="AH263" s="48"/>
      <c r="AI263" s="48"/>
      <c r="AJ263" s="3"/>
      <c r="AK263" s="48"/>
      <c r="AL263" s="48"/>
      <c r="AM263" s="48"/>
      <c r="AN263" s="48"/>
      <c r="AO263" s="3"/>
      <c r="AP263" s="48"/>
      <c r="AQ263" s="48"/>
      <c r="AR263" s="48"/>
      <c r="AS263" s="48"/>
      <c r="AT263" s="3"/>
      <c r="AU263" s="48"/>
      <c r="AV263" s="48"/>
      <c r="AW263" s="48"/>
      <c r="AX263" s="48"/>
      <c r="AY263" s="3"/>
      <c r="AZ263" s="48"/>
      <c r="BA263" s="48"/>
      <c r="BB263" s="48"/>
      <c r="BC263" s="48"/>
      <c r="BD263" s="3"/>
      <c r="BE263" s="48"/>
      <c r="BF263" s="48"/>
      <c r="BG263" s="48"/>
      <c r="BH263" s="48"/>
      <c r="BI263" s="3"/>
    </row>
    <row r="264" spans="1:62">
      <c r="A264" s="284"/>
      <c r="B264" s="261"/>
      <c r="E264" s="535"/>
      <c r="F264" s="3"/>
      <c r="G264" s="3"/>
      <c r="H264" s="3"/>
      <c r="I264" s="262"/>
      <c r="J264" s="262"/>
      <c r="K264" s="279"/>
      <c r="L264" s="257"/>
      <c r="M264" s="257"/>
      <c r="N264" s="262"/>
      <c r="O264" s="262"/>
      <c r="P264" s="263"/>
      <c r="Q264" s="262"/>
      <c r="R264" s="262"/>
      <c r="S264" s="262"/>
      <c r="T264" s="262"/>
      <c r="U264" s="257"/>
      <c r="AF264" s="48"/>
      <c r="AG264" s="48"/>
      <c r="AH264" s="48"/>
      <c r="AI264" s="48"/>
      <c r="AJ264" s="3"/>
      <c r="AK264" s="48"/>
      <c r="AL264" s="48"/>
      <c r="AM264" s="48"/>
      <c r="AN264" s="48"/>
      <c r="AO264" s="3"/>
      <c r="AP264" s="48"/>
      <c r="AQ264" s="48"/>
      <c r="AR264" s="48"/>
      <c r="AS264" s="48"/>
      <c r="AT264" s="3"/>
      <c r="AU264" s="48"/>
      <c r="AV264" s="48"/>
      <c r="AW264" s="48"/>
      <c r="AX264" s="48"/>
      <c r="AY264" s="3"/>
      <c r="AZ264" s="48"/>
      <c r="BA264" s="48"/>
      <c r="BB264" s="48"/>
      <c r="BC264" s="48"/>
      <c r="BD264" s="3"/>
      <c r="BE264" s="48"/>
      <c r="BF264" s="48"/>
      <c r="BG264" s="48"/>
      <c r="BH264" s="48"/>
      <c r="BI264" s="3"/>
    </row>
    <row r="265" spans="1:62">
      <c r="A265" s="284"/>
      <c r="B265" s="261"/>
      <c r="E265" s="535"/>
      <c r="F265" s="3"/>
      <c r="G265" s="3"/>
      <c r="H265" s="3"/>
      <c r="I265" s="262"/>
      <c r="J265" s="262"/>
      <c r="K265" s="279"/>
      <c r="L265" s="257"/>
      <c r="M265" s="257"/>
      <c r="N265" s="262"/>
      <c r="O265" s="262"/>
      <c r="P265" s="263"/>
      <c r="Q265" s="262"/>
      <c r="R265" s="262"/>
      <c r="S265" s="262"/>
      <c r="T265" s="262"/>
      <c r="U265" s="257"/>
      <c r="AF265" s="48"/>
      <c r="AG265" s="48"/>
      <c r="AH265" s="48"/>
      <c r="AI265" s="48"/>
      <c r="AJ265" s="3"/>
      <c r="AK265" s="48"/>
      <c r="AL265" s="48"/>
      <c r="AM265" s="48"/>
      <c r="AN265" s="48"/>
      <c r="AO265" s="3"/>
      <c r="AP265" s="48"/>
      <c r="AQ265" s="48"/>
      <c r="AR265" s="48"/>
      <c r="AS265" s="48"/>
      <c r="AT265" s="3"/>
      <c r="AU265" s="48"/>
      <c r="AV265" s="48"/>
      <c r="AW265" s="48"/>
      <c r="AX265" s="48"/>
      <c r="AY265" s="3"/>
      <c r="AZ265" s="48"/>
      <c r="BA265" s="48"/>
      <c r="BB265" s="48"/>
      <c r="BC265" s="48"/>
      <c r="BD265" s="3"/>
      <c r="BE265" s="48"/>
      <c r="BF265" s="48"/>
      <c r="BG265" s="48"/>
      <c r="BH265" s="48"/>
      <c r="BI265" s="3"/>
    </row>
    <row r="266" spans="1:62">
      <c r="A266" s="284"/>
      <c r="B266" s="261"/>
      <c r="C266" s="3"/>
      <c r="D266" s="278"/>
      <c r="E266" s="535"/>
      <c r="F266" s="3"/>
      <c r="G266" s="3"/>
      <c r="H266" s="3"/>
      <c r="I266" s="262"/>
      <c r="J266" s="262"/>
      <c r="K266" s="279"/>
      <c r="L266" s="257"/>
      <c r="M266" s="257"/>
      <c r="N266" s="262"/>
      <c r="O266" s="262"/>
      <c r="P266" s="263"/>
      <c r="Q266" s="262"/>
      <c r="R266" s="262"/>
      <c r="S266" s="262"/>
      <c r="T266" s="262"/>
      <c r="U266" s="257"/>
      <c r="AF266" s="48"/>
      <c r="AG266" s="48"/>
      <c r="AH266" s="48"/>
      <c r="AI266" s="48"/>
      <c r="AJ266" s="3"/>
      <c r="AK266" s="48"/>
      <c r="AL266" s="48"/>
      <c r="AM266" s="48"/>
      <c r="AN266" s="48"/>
      <c r="AO266" s="3"/>
      <c r="AP266" s="48"/>
      <c r="AQ266" s="48"/>
      <c r="AR266" s="48"/>
      <c r="AS266" s="48"/>
      <c r="AT266" s="3"/>
      <c r="AU266" s="48"/>
      <c r="AV266" s="48"/>
      <c r="AW266" s="48"/>
      <c r="AX266" s="48"/>
      <c r="AY266" s="3"/>
      <c r="AZ266" s="48"/>
      <c r="BA266" s="48"/>
      <c r="BB266" s="48"/>
      <c r="BC266" s="48"/>
      <c r="BD266" s="3"/>
      <c r="BE266" s="48"/>
      <c r="BF266" s="48"/>
      <c r="BG266" s="48"/>
      <c r="BH266" s="48"/>
      <c r="BI266" s="3"/>
    </row>
    <row r="267" spans="1:62">
      <c r="A267" s="284"/>
      <c r="B267" s="261"/>
      <c r="C267" s="3"/>
      <c r="D267" s="278"/>
      <c r="E267" s="535"/>
      <c r="F267" s="3"/>
      <c r="G267" s="3"/>
      <c r="H267" s="3"/>
      <c r="I267" s="262"/>
      <c r="J267" s="262"/>
      <c r="K267" s="279"/>
      <c r="L267" s="257"/>
      <c r="M267" s="257"/>
      <c r="N267" s="262"/>
      <c r="O267" s="262"/>
      <c r="P267" s="263"/>
      <c r="Q267" s="262"/>
      <c r="R267" s="262"/>
      <c r="S267" s="262"/>
      <c r="T267" s="262"/>
      <c r="U267" s="257"/>
      <c r="AF267" s="48"/>
      <c r="AG267" s="48"/>
      <c r="AH267" s="48"/>
      <c r="AI267" s="48"/>
      <c r="AJ267" s="3"/>
      <c r="AK267" s="48"/>
      <c r="AL267" s="48"/>
      <c r="AM267" s="48"/>
      <c r="AN267" s="48"/>
      <c r="AO267" s="3"/>
      <c r="AP267" s="48"/>
      <c r="AQ267" s="48"/>
      <c r="AR267" s="48"/>
      <c r="AS267" s="48"/>
      <c r="AT267" s="3"/>
      <c r="AU267" s="48"/>
      <c r="AV267" s="48"/>
      <c r="AW267" s="48"/>
      <c r="AX267" s="48"/>
      <c r="AY267" s="3"/>
      <c r="AZ267" s="48"/>
      <c r="BA267" s="48"/>
      <c r="BB267" s="48"/>
      <c r="BC267" s="48"/>
      <c r="BD267" s="3"/>
      <c r="BE267" s="48"/>
      <c r="BF267" s="48"/>
      <c r="BG267" s="48"/>
      <c r="BH267" s="48"/>
      <c r="BI267" s="3"/>
    </row>
    <row r="268" spans="1:62">
      <c r="A268" s="284"/>
      <c r="B268" s="261"/>
      <c r="C268" s="3"/>
      <c r="D268" s="278"/>
      <c r="E268" s="535"/>
      <c r="F268" s="3"/>
      <c r="G268" s="3"/>
      <c r="H268" s="3"/>
      <c r="I268" s="262"/>
      <c r="J268" s="262"/>
      <c r="K268" s="279"/>
      <c r="L268" s="257"/>
      <c r="M268" s="257"/>
      <c r="N268" s="262"/>
      <c r="O268" s="262"/>
      <c r="P268" s="263"/>
      <c r="Q268" s="262"/>
      <c r="R268" s="262"/>
      <c r="S268" s="262"/>
      <c r="T268" s="262"/>
      <c r="U268" s="257"/>
      <c r="AF268" s="48"/>
      <c r="AG268" s="48"/>
      <c r="AH268" s="48"/>
      <c r="AI268" s="48"/>
      <c r="AJ268" s="3"/>
      <c r="AK268" s="48"/>
      <c r="AL268" s="48"/>
      <c r="AM268" s="48"/>
      <c r="AN268" s="48"/>
      <c r="AO268" s="3"/>
      <c r="AP268" s="48"/>
      <c r="AQ268" s="48"/>
      <c r="AR268" s="48"/>
      <c r="AS268" s="48"/>
      <c r="AT268" s="3"/>
      <c r="AU268" s="48"/>
      <c r="AV268" s="48"/>
      <c r="AW268" s="48"/>
      <c r="AX268" s="48"/>
      <c r="AY268" s="3"/>
      <c r="AZ268" s="48"/>
      <c r="BA268" s="48"/>
      <c r="BB268" s="48"/>
      <c r="BC268" s="48"/>
      <c r="BD268" s="3"/>
      <c r="BE268" s="48"/>
      <c r="BF268" s="48"/>
      <c r="BG268" s="48"/>
      <c r="BH268" s="48"/>
      <c r="BI268" s="3"/>
    </row>
    <row r="269" spans="1:62">
      <c r="A269" s="284"/>
      <c r="B269" s="261"/>
      <c r="C269" s="3"/>
      <c r="D269" s="278"/>
      <c r="E269" s="535"/>
      <c r="F269" s="3"/>
      <c r="G269" s="3"/>
      <c r="H269" s="3"/>
      <c r="I269" s="262"/>
      <c r="J269" s="262"/>
      <c r="K269" s="279"/>
      <c r="L269" s="257"/>
      <c r="M269" s="257"/>
      <c r="N269" s="262"/>
      <c r="O269" s="262"/>
      <c r="P269" s="263"/>
      <c r="Q269" s="262"/>
      <c r="R269" s="262"/>
      <c r="S269" s="262"/>
      <c r="T269" s="262"/>
      <c r="U269" s="257"/>
      <c r="AF269" s="48"/>
      <c r="AG269" s="48"/>
      <c r="AH269" s="48"/>
      <c r="AI269" s="48"/>
      <c r="AJ269" s="3"/>
      <c r="AK269" s="48"/>
      <c r="AL269" s="48"/>
      <c r="AM269" s="48"/>
      <c r="AN269" s="48"/>
      <c r="AO269" s="3"/>
      <c r="AP269" s="48"/>
      <c r="AQ269" s="48"/>
      <c r="AR269" s="48"/>
      <c r="AS269" s="48"/>
      <c r="AT269" s="3"/>
      <c r="AU269" s="48"/>
      <c r="AV269" s="48"/>
      <c r="AW269" s="48"/>
      <c r="AX269" s="48"/>
      <c r="AY269" s="3"/>
      <c r="AZ269" s="48"/>
      <c r="BA269" s="48"/>
      <c r="BB269" s="48"/>
      <c r="BC269" s="48"/>
      <c r="BD269" s="3"/>
      <c r="BE269" s="48"/>
      <c r="BF269" s="48"/>
      <c r="BG269" s="48"/>
      <c r="BH269" s="48"/>
      <c r="BI269" s="3"/>
    </row>
    <row r="270" spans="1:62">
      <c r="A270" s="284"/>
      <c r="B270" s="261"/>
      <c r="C270" s="3"/>
      <c r="D270" s="278"/>
      <c r="E270" s="535"/>
      <c r="F270" s="3"/>
      <c r="G270" s="3"/>
      <c r="H270" s="3"/>
      <c r="I270" s="262"/>
      <c r="J270" s="262"/>
      <c r="K270" s="279"/>
      <c r="L270" s="257"/>
      <c r="M270" s="257"/>
      <c r="N270" s="262"/>
      <c r="O270" s="262"/>
      <c r="P270" s="263"/>
      <c r="Q270" s="262"/>
      <c r="R270" s="262"/>
      <c r="S270" s="262"/>
      <c r="T270" s="262"/>
      <c r="U270" s="257"/>
      <c r="AF270" s="48"/>
      <c r="AG270" s="48"/>
      <c r="AH270" s="48"/>
      <c r="AI270" s="48"/>
      <c r="AJ270" s="3"/>
      <c r="AK270" s="48"/>
      <c r="AL270" s="48"/>
      <c r="AM270" s="48"/>
      <c r="AN270" s="48"/>
      <c r="AO270" s="3"/>
      <c r="AP270" s="48"/>
      <c r="AQ270" s="48"/>
      <c r="AR270" s="48"/>
      <c r="AS270" s="48"/>
      <c r="AT270" s="3"/>
      <c r="AU270" s="48"/>
      <c r="AV270" s="48"/>
      <c r="AW270" s="48"/>
      <c r="AX270" s="48"/>
      <c r="AY270" s="3"/>
      <c r="AZ270" s="48"/>
      <c r="BA270" s="48"/>
      <c r="BB270" s="48"/>
      <c r="BC270" s="48"/>
      <c r="BD270" s="3"/>
      <c r="BE270" s="48"/>
      <c r="BF270" s="48"/>
      <c r="BG270" s="48"/>
      <c r="BH270" s="48"/>
      <c r="BI270" s="3"/>
    </row>
    <row r="271" spans="1:62">
      <c r="A271" s="284"/>
      <c r="B271" s="261"/>
      <c r="C271" s="3"/>
      <c r="D271" s="278"/>
      <c r="E271" s="535"/>
      <c r="F271" s="3"/>
      <c r="G271" s="3"/>
      <c r="H271" s="3"/>
      <c r="I271" s="262"/>
      <c r="J271" s="262"/>
      <c r="K271" s="279"/>
      <c r="L271" s="257"/>
      <c r="M271" s="257"/>
      <c r="N271" s="262"/>
      <c r="O271" s="262"/>
      <c r="P271" s="263"/>
      <c r="Q271" s="262"/>
      <c r="R271" s="262"/>
      <c r="S271" s="262"/>
      <c r="T271" s="262"/>
      <c r="U271" s="257"/>
      <c r="AF271" s="48"/>
      <c r="AG271" s="48"/>
      <c r="AH271" s="48"/>
      <c r="AI271" s="48"/>
      <c r="AJ271" s="3"/>
      <c r="AK271" s="48"/>
      <c r="AL271" s="48"/>
      <c r="AM271" s="48"/>
      <c r="AN271" s="48"/>
      <c r="AO271" s="3"/>
      <c r="AP271" s="48"/>
      <c r="AQ271" s="48"/>
      <c r="AR271" s="48"/>
      <c r="AS271" s="48"/>
      <c r="AT271" s="3"/>
      <c r="AU271" s="48"/>
      <c r="AV271" s="48"/>
      <c r="AW271" s="48"/>
      <c r="AX271" s="48"/>
      <c r="AY271" s="3"/>
      <c r="AZ271" s="48"/>
      <c r="BA271" s="48"/>
      <c r="BB271" s="48"/>
      <c r="BC271" s="48"/>
      <c r="BD271" s="3"/>
      <c r="BE271" s="48"/>
      <c r="BF271" s="48"/>
      <c r="BG271" s="48"/>
      <c r="BH271" s="48"/>
      <c r="BI271" s="3"/>
    </row>
    <row r="272" spans="1:62">
      <c r="A272" s="284"/>
      <c r="B272" s="261"/>
      <c r="C272" s="3"/>
      <c r="D272" s="278"/>
      <c r="E272" s="535"/>
      <c r="F272" s="3"/>
      <c r="G272" s="3"/>
      <c r="H272" s="3"/>
      <c r="I272" s="262"/>
      <c r="J272" s="262"/>
      <c r="K272" s="279"/>
      <c r="L272" s="257"/>
      <c r="M272" s="257"/>
      <c r="N272" s="262"/>
      <c r="O272" s="262"/>
      <c r="P272" s="263"/>
      <c r="Q272" s="262"/>
      <c r="R272" s="262"/>
      <c r="S272" s="262"/>
      <c r="T272" s="262"/>
      <c r="U272" s="257"/>
      <c r="AF272" s="48"/>
      <c r="AG272" s="48"/>
      <c r="AH272" s="48"/>
      <c r="AI272" s="48"/>
      <c r="AJ272" s="3"/>
      <c r="AK272" s="48"/>
      <c r="AL272" s="48"/>
      <c r="AM272" s="48"/>
      <c r="AN272" s="48"/>
      <c r="AO272" s="3"/>
      <c r="AP272" s="48"/>
      <c r="AQ272" s="48"/>
      <c r="AR272" s="48"/>
      <c r="AS272" s="48"/>
      <c r="AT272" s="3"/>
      <c r="AU272" s="48"/>
      <c r="AV272" s="48"/>
      <c r="AW272" s="48"/>
      <c r="AX272" s="48"/>
      <c r="AY272" s="3"/>
      <c r="AZ272" s="48"/>
      <c r="BA272" s="48"/>
      <c r="BB272" s="48"/>
      <c r="BC272" s="48"/>
      <c r="BD272" s="3"/>
      <c r="BE272" s="48"/>
      <c r="BF272" s="48"/>
      <c r="BG272" s="48"/>
      <c r="BH272" s="48"/>
      <c r="BI272" s="3"/>
    </row>
    <row r="273" spans="1:61">
      <c r="A273" s="285"/>
      <c r="B273" s="261"/>
      <c r="C273" s="3"/>
      <c r="D273" s="229"/>
      <c r="E273" s="535"/>
      <c r="F273" s="3"/>
      <c r="G273" s="3"/>
      <c r="H273" s="3"/>
      <c r="I273" s="255"/>
      <c r="J273" s="255"/>
      <c r="K273" s="256"/>
      <c r="L273" s="257"/>
      <c r="M273" s="257"/>
      <c r="N273" s="262"/>
      <c r="O273" s="262"/>
      <c r="P273" s="263"/>
      <c r="Q273" s="262"/>
      <c r="R273" s="262"/>
      <c r="S273" s="262"/>
      <c r="T273" s="262"/>
      <c r="U273" s="257"/>
      <c r="AA273" s="253"/>
      <c r="AF273" s="48"/>
      <c r="AG273" s="48"/>
      <c r="AH273" s="48"/>
      <c r="AI273" s="48"/>
      <c r="AJ273" s="3"/>
      <c r="AK273" s="48"/>
      <c r="AL273" s="48"/>
      <c r="AM273" s="48"/>
      <c r="AN273" s="48"/>
      <c r="AO273" s="3"/>
      <c r="AP273" s="48"/>
      <c r="AQ273" s="48"/>
      <c r="AR273" s="48"/>
      <c r="AS273" s="48"/>
      <c r="AT273" s="3"/>
      <c r="AU273" s="48"/>
      <c r="AV273" s="48"/>
      <c r="AW273" s="48"/>
      <c r="AX273" s="48"/>
      <c r="AY273" s="3"/>
      <c r="AZ273" s="48"/>
      <c r="BA273" s="48"/>
      <c r="BB273" s="48"/>
      <c r="BC273" s="48"/>
      <c r="BD273" s="3"/>
      <c r="BE273" s="48"/>
      <c r="BF273" s="48"/>
      <c r="BG273" s="48"/>
      <c r="BH273" s="48"/>
      <c r="BI273" s="3"/>
    </row>
    <row r="274" spans="1:61">
      <c r="A274" s="284"/>
      <c r="B274" s="261"/>
      <c r="C274" s="3"/>
      <c r="D274" s="229"/>
      <c r="E274" s="535"/>
      <c r="F274" s="3"/>
      <c r="G274" s="3"/>
      <c r="I274" s="255"/>
      <c r="J274" s="255"/>
      <c r="K274" s="256"/>
      <c r="L274" s="257"/>
      <c r="M274" s="257"/>
      <c r="N274" s="262"/>
      <c r="O274" s="262"/>
      <c r="P274" s="263"/>
      <c r="Q274" s="262"/>
      <c r="R274" s="262"/>
      <c r="S274" s="262"/>
      <c r="T274" s="262"/>
      <c r="U274" s="257"/>
      <c r="AA274" s="253"/>
      <c r="AF274" s="48"/>
      <c r="AG274" s="48"/>
      <c r="AH274" s="48"/>
      <c r="AI274" s="48"/>
      <c r="AJ274" s="3"/>
      <c r="AK274" s="48"/>
      <c r="AL274" s="48"/>
      <c r="AM274" s="48"/>
      <c r="AN274" s="48"/>
      <c r="AO274" s="3"/>
      <c r="AP274" s="48"/>
      <c r="AQ274" s="48"/>
      <c r="AR274" s="48"/>
      <c r="AS274" s="48"/>
      <c r="AT274" s="3"/>
      <c r="AU274" s="48"/>
      <c r="AV274" s="48"/>
      <c r="AW274" s="48"/>
      <c r="AX274" s="48"/>
      <c r="AY274" s="3"/>
      <c r="AZ274" s="48"/>
      <c r="BA274" s="48"/>
      <c r="BB274" s="48"/>
      <c r="BC274" s="48"/>
      <c r="BD274" s="3"/>
      <c r="BE274" s="48"/>
      <c r="BF274" s="48"/>
      <c r="BG274" s="48"/>
      <c r="BH274" s="48"/>
      <c r="BI274" s="3"/>
    </row>
    <row r="275" spans="1:61">
      <c r="A275" s="284"/>
      <c r="B275" s="261"/>
      <c r="C275" s="3"/>
      <c r="E275" s="535"/>
      <c r="F275" s="3"/>
      <c r="G275" s="3"/>
      <c r="I275" s="264"/>
      <c r="J275" s="264"/>
      <c r="K275" s="265"/>
      <c r="L275" s="257"/>
      <c r="M275" s="257"/>
      <c r="N275" s="262"/>
      <c r="O275" s="262"/>
      <c r="P275" s="266"/>
      <c r="Q275" s="250"/>
      <c r="R275" s="262"/>
      <c r="S275" s="262"/>
      <c r="T275" s="262"/>
      <c r="U275" s="257"/>
      <c r="AA275" s="253"/>
      <c r="AF275" s="48"/>
      <c r="AG275" s="48"/>
      <c r="AH275" s="48"/>
      <c r="AI275" s="48"/>
      <c r="AJ275" s="3"/>
      <c r="AK275" s="48"/>
      <c r="AL275" s="48"/>
      <c r="AM275" s="48"/>
      <c r="AN275" s="48"/>
      <c r="AO275" s="3"/>
      <c r="AP275" s="48"/>
      <c r="AQ275" s="48"/>
      <c r="AR275" s="48"/>
      <c r="AS275" s="48"/>
      <c r="AT275" s="3"/>
      <c r="AU275" s="48"/>
      <c r="AV275" s="48"/>
      <c r="AW275" s="48"/>
      <c r="AX275" s="48"/>
      <c r="AY275" s="3"/>
      <c r="AZ275" s="48"/>
      <c r="BA275" s="48"/>
      <c r="BB275" s="48"/>
      <c r="BC275" s="48"/>
      <c r="BD275" s="3"/>
      <c r="BE275" s="48"/>
      <c r="BF275" s="48"/>
      <c r="BG275" s="48"/>
      <c r="BH275" s="48"/>
      <c r="BI275" s="3"/>
    </row>
    <row r="276" spans="1:61">
      <c r="L276" s="59" t="s">
        <v>331</v>
      </c>
      <c r="M276" s="59"/>
    </row>
    <row r="277" spans="1:61">
      <c r="L277" s="1" t="s">
        <v>56</v>
      </c>
    </row>
    <row r="278" spans="1:61">
      <c r="A278" s="3"/>
      <c r="L278" s="32" t="s">
        <v>49</v>
      </c>
      <c r="M278" s="32"/>
      <c r="N278" s="32"/>
      <c r="O278" s="32"/>
      <c r="P278" s="60"/>
      <c r="Q278" s="48"/>
      <c r="R278" s="48"/>
      <c r="S278" s="48"/>
      <c r="U278" s="2"/>
      <c r="Y278" s="1"/>
      <c r="Z278" s="2"/>
      <c r="AD278" s="1"/>
    </row>
    <row r="279" spans="1:61">
      <c r="A279" s="3"/>
      <c r="L279" s="32" t="s">
        <v>50</v>
      </c>
      <c r="M279" s="32"/>
      <c r="N279" s="32"/>
      <c r="O279" s="32"/>
      <c r="P279" s="60"/>
      <c r="Q279" s="48"/>
      <c r="R279" s="48"/>
      <c r="S279" s="48"/>
      <c r="U279" s="2"/>
      <c r="Y279" s="1"/>
      <c r="Z279" s="2"/>
      <c r="AD279" s="1"/>
    </row>
    <row r="280" spans="1:61">
      <c r="A280" s="3"/>
      <c r="L280" s="32" t="s">
        <v>51</v>
      </c>
      <c r="M280" s="32"/>
      <c r="N280" s="32"/>
      <c r="O280" s="32"/>
      <c r="P280" s="60"/>
      <c r="Q280" s="48"/>
      <c r="R280" s="48"/>
      <c r="S280" s="48"/>
      <c r="U280" s="2"/>
      <c r="Y280" s="1"/>
      <c r="Z280" s="2"/>
      <c r="AD280" s="1"/>
    </row>
    <row r="281" spans="1:61">
      <c r="A281" s="3"/>
      <c r="L281" s="32" t="s">
        <v>80</v>
      </c>
      <c r="M281" s="32"/>
      <c r="N281" s="32"/>
      <c r="O281" s="32"/>
      <c r="P281" s="60"/>
      <c r="Q281" s="48"/>
      <c r="R281" s="48"/>
      <c r="S281" s="48"/>
      <c r="U281" s="2"/>
      <c r="Y281" s="1"/>
      <c r="Z281" s="2"/>
      <c r="AD281" s="1"/>
    </row>
    <row r="282" spans="1:61"/>
  </sheetData>
  <autoFilter ref="A1:AT255" xr:uid="{1E6BCED9-E5FA-44F5-B652-998456F0541A}"/>
  <mergeCells count="65">
    <mergeCell ref="AZ27:AZ30"/>
    <mergeCell ref="BF27:BF30"/>
    <mergeCell ref="BG27:BG30"/>
    <mergeCell ref="BH27:BH30"/>
    <mergeCell ref="BI27:BI30"/>
    <mergeCell ref="BA27:BA30"/>
    <mergeCell ref="BB27:BB30"/>
    <mergeCell ref="BC27:BC30"/>
    <mergeCell ref="BD27:BD30"/>
    <mergeCell ref="BE27:BE30"/>
    <mergeCell ref="AU27:AU30"/>
    <mergeCell ref="AV27:AV30"/>
    <mergeCell ref="AW27:AW30"/>
    <mergeCell ref="AX27:AX30"/>
    <mergeCell ref="AY27:AY30"/>
    <mergeCell ref="AP27:AP30"/>
    <mergeCell ref="AQ27:AQ30"/>
    <mergeCell ref="AR27:AR30"/>
    <mergeCell ref="AS27:AS30"/>
    <mergeCell ref="AT27:AT30"/>
    <mergeCell ref="AK27:AK30"/>
    <mergeCell ref="AL27:AL30"/>
    <mergeCell ref="AM27:AM30"/>
    <mergeCell ref="AN27:AN30"/>
    <mergeCell ref="AO27:AO30"/>
    <mergeCell ref="AF27:AF30"/>
    <mergeCell ref="AG27:AG30"/>
    <mergeCell ref="AH27:AH30"/>
    <mergeCell ref="AI27:AI30"/>
    <mergeCell ref="AJ27:AJ30"/>
    <mergeCell ref="AA27:AA30"/>
    <mergeCell ref="AB27:AB30"/>
    <mergeCell ref="AC27:AC30"/>
    <mergeCell ref="AD27:AD30"/>
    <mergeCell ref="AE27:AE30"/>
    <mergeCell ref="V27:V30"/>
    <mergeCell ref="W27:W30"/>
    <mergeCell ref="X27:X30"/>
    <mergeCell ref="Y27:Y30"/>
    <mergeCell ref="Z27:Z30"/>
    <mergeCell ref="BE2:BI2"/>
    <mergeCell ref="AZ2:BD2"/>
    <mergeCell ref="AU2:AY2"/>
    <mergeCell ref="AP2:AT2"/>
    <mergeCell ref="Q2:U2"/>
    <mergeCell ref="V2:Z2"/>
    <mergeCell ref="AA2:AE2"/>
    <mergeCell ref="AF2:AJ2"/>
    <mergeCell ref="AK2:AO2"/>
    <mergeCell ref="BJ27:BJ30"/>
    <mergeCell ref="E27:E30"/>
    <mergeCell ref="H27:H30"/>
    <mergeCell ref="F27:F30"/>
    <mergeCell ref="I27:I30"/>
    <mergeCell ref="J27:J30"/>
    <mergeCell ref="K27:K30"/>
    <mergeCell ref="L27:L30"/>
    <mergeCell ref="M27:M30"/>
    <mergeCell ref="N27:N30"/>
    <mergeCell ref="P27:P30"/>
    <mergeCell ref="Q27:Q30"/>
    <mergeCell ref="R27:R30"/>
    <mergeCell ref="S27:S30"/>
    <mergeCell ref="T27:T30"/>
    <mergeCell ref="U27:U30"/>
  </mergeCells>
  <phoneticPr fontId="11" type="noConversion"/>
  <conditionalFormatting sqref="A4:BI4 A5:N8 P5:BI27 H21:N27 A21:G46 H28:H30 E263:XFD263 A10:N20 A9:K9 M9:N9 E238:BI248 A256:BI257 A212:BI237 A211:O211 Q211:BI211 A260:BI261 E252:BI257 E249:O251 Q249:BI251 Q258:BI259 A258:O259 Q262:BI262 A238:B263 E256:E262 O5:O74 BK4:XFD262 P31:BI74 AU75:AY246 H31:N46 A47:N74 A262:O262 A75:BI210">
    <cfRule type="expression" dxfId="297" priority="551">
      <formula>$L4="GAA"</formula>
    </cfRule>
  </conditionalFormatting>
  <conditionalFormatting sqref="H131:H149 C133:D237 A263:B265 E263:G265 D266:G272 A266:C274 B249:B262 K247:AY248 K260:AY261 K252:AY257 K249:O251 Q249:AY251 Q258:AY259 K258:O259 Q262:AY262 K262:O262 E249:I262">
    <cfRule type="expression" dxfId="296" priority="218">
      <formula>$L131="GAA"</formula>
    </cfRule>
  </conditionalFormatting>
  <conditionalFormatting sqref="B61:D68 F61:F68">
    <cfRule type="expression" dxfId="295" priority="86">
      <formula>$M61="AUR"</formula>
    </cfRule>
    <cfRule type="expression" dxfId="294" priority="87">
      <formula>$M61="CTA"</formula>
    </cfRule>
    <cfRule type="expression" dxfId="293" priority="88">
      <formula>$M61="GAA"</formula>
    </cfRule>
  </conditionalFormatting>
  <conditionalFormatting sqref="C238:C244">
    <cfRule type="expression" dxfId="292" priority="66">
      <formula>$L238="GAA"</formula>
    </cfRule>
    <cfRule type="expression" dxfId="291" priority="67">
      <formula>$L238="AUR"</formula>
    </cfRule>
    <cfRule type="expression" dxfId="290" priority="69">
      <formula>$L238="GAA"</formula>
    </cfRule>
  </conditionalFormatting>
  <conditionalFormatting sqref="C245:D251">
    <cfRule type="expression" dxfId="289" priority="7199">
      <formula>$L249="GAA"</formula>
    </cfRule>
  </conditionalFormatting>
  <conditionalFormatting sqref="C245:D262">
    <cfRule type="expression" dxfId="288" priority="7164">
      <formula>$L238="GAA"</formula>
    </cfRule>
    <cfRule type="expression" dxfId="287" priority="7166">
      <formula>$L238="AUR"</formula>
    </cfRule>
    <cfRule type="expression" dxfId="286" priority="7187">
      <formula>$L238="GAA"</formula>
    </cfRule>
  </conditionalFormatting>
  <conditionalFormatting sqref="C252:D252">
    <cfRule type="expression" dxfId="285" priority="7249">
      <formula>#REF!="CTA"</formula>
    </cfRule>
    <cfRule type="expression" dxfId="284" priority="7253">
      <formula>#REF!="GAA"</formula>
    </cfRule>
  </conditionalFormatting>
  <conditionalFormatting sqref="C253:D262">
    <cfRule type="expression" dxfId="283" priority="7248">
      <formula>$L263="CTA"</formula>
    </cfRule>
    <cfRule type="expression" dxfId="282" priority="7252">
      <formula>$L263="GAA"</formula>
    </cfRule>
  </conditionalFormatting>
  <conditionalFormatting sqref="D78:D79">
    <cfRule type="expression" dxfId="281" priority="4410">
      <formula>#REF!="AUR"</formula>
    </cfRule>
    <cfRule type="expression" dxfId="280" priority="4411">
      <formula>#REF!="CTA"</formula>
    </cfRule>
    <cfRule type="expression" dxfId="279" priority="4412">
      <formula>#REF!="GAA"</formula>
    </cfRule>
  </conditionalFormatting>
  <conditionalFormatting sqref="E274:AT275 H124:I132 D124:D237 C133:C244 F245:F262 H245:H262 A263:B265 E263:G265 D266:G272 A266:C274 H263:AT273 AU4:BI26 AU263:AY282 E273:G273 A275:D275 B124:B262 K247:AY248 K212:AT246 K211:O211 Q211:AT211 K260:AY261 K252:AY257 K249:O251 Q249:AY251 Q258:AY259 K258:O259 Q262:AY262 AU31:AY246 B78:B79 B76 K262:O262 E249:I262 F133:I248 K124:AT210">
    <cfRule type="expression" dxfId="278" priority="242">
      <formula>$L4="CTA"</formula>
    </cfRule>
  </conditionalFormatting>
  <conditionalFormatting sqref="F87:G90 AZ31:BI277">
    <cfRule type="expression" dxfId="277" priority="161">
      <formula>$L31="CTA"</formula>
    </cfRule>
    <cfRule type="expression" dxfId="276" priority="162">
      <formula>$L31="GAA"</formula>
    </cfRule>
  </conditionalFormatting>
  <conditionalFormatting sqref="G47:G49">
    <cfRule type="expression" dxfId="275" priority="72">
      <formula>$L47="CTA"</formula>
    </cfRule>
    <cfRule type="expression" dxfId="274" priority="73">
      <formula>$L47="GAA"</formula>
    </cfRule>
  </conditionalFormatting>
  <conditionalFormatting sqref="G69:G71">
    <cfRule type="expression" dxfId="273" priority="74">
      <formula>$L69="CTA"</formula>
    </cfRule>
    <cfRule type="expression" dxfId="272" priority="75">
      <formula>$L69="GAA"</formula>
    </cfRule>
  </conditionalFormatting>
  <conditionalFormatting sqref="G91:G98">
    <cfRule type="expression" dxfId="271" priority="70">
      <formula>$L91="CTA"</formula>
    </cfRule>
    <cfRule type="expression" dxfId="270" priority="71">
      <formula>$L91="GAA"</formula>
    </cfRule>
  </conditionalFormatting>
  <conditionalFormatting sqref="H59 H111:H112">
    <cfRule type="expression" dxfId="269" priority="201">
      <formula>$L59="CTA"</formula>
    </cfRule>
    <cfRule type="expression" dxfId="268" priority="202">
      <formula>$L59="GAA"</formula>
    </cfRule>
    <cfRule type="expression" dxfId="267" priority="203">
      <formula>$L59="CTA"</formula>
    </cfRule>
    <cfRule type="expression" dxfId="266" priority="204">
      <formula>$L59="GAA"</formula>
    </cfRule>
  </conditionalFormatting>
  <conditionalFormatting sqref="H81">
    <cfRule type="expression" dxfId="265" priority="137">
      <formula>$L81="CTA"</formula>
    </cfRule>
    <cfRule type="expression" dxfId="264" priority="138">
      <formula>$L81="GAA"</formula>
    </cfRule>
  </conditionalFormatting>
  <conditionalFormatting sqref="H81:H82">
    <cfRule type="expression" dxfId="263" priority="139">
      <formula>$L81="CTA"</formula>
    </cfRule>
    <cfRule type="expression" dxfId="262" priority="140">
      <formula>$L81="GAA"</formula>
    </cfRule>
  </conditionalFormatting>
  <conditionalFormatting sqref="H82">
    <cfRule type="expression" dxfId="261" priority="143">
      <formula>$L82="CTA"</formula>
    </cfRule>
    <cfRule type="expression" dxfId="260" priority="144">
      <formula>$L82="GAA"</formula>
    </cfRule>
    <cfRule type="expression" dxfId="259" priority="145">
      <formula>$L82="CTA"</formula>
    </cfRule>
    <cfRule type="expression" dxfId="258" priority="146">
      <formula>$L82="GAA"</formula>
    </cfRule>
    <cfRule type="expression" dxfId="257" priority="147">
      <formula>$L82="CTA"</formula>
    </cfRule>
    <cfRule type="expression" dxfId="256" priority="148">
      <formula>$L82="GAA"</formula>
    </cfRule>
  </conditionalFormatting>
  <conditionalFormatting sqref="H91:H92">
    <cfRule type="expression" dxfId="255" priority="129">
      <formula>$L91="CTA"</formula>
    </cfRule>
    <cfRule type="expression" dxfId="254" priority="130">
      <formula>$L91="GAA"</formula>
    </cfRule>
  </conditionalFormatting>
  <conditionalFormatting sqref="H92:H96">
    <cfRule type="expression" dxfId="253" priority="117">
      <formula>$L92="CTA"</formula>
    </cfRule>
    <cfRule type="expression" dxfId="252" priority="118">
      <formula>$L92="GAA"</formula>
    </cfRule>
  </conditionalFormatting>
  <conditionalFormatting sqref="H96:H98">
    <cfRule type="expression" dxfId="251" priority="115">
      <formula>$L96="CTA"</formula>
    </cfRule>
    <cfRule type="expression" dxfId="250" priority="116">
      <formula>$L96="GAA"</formula>
    </cfRule>
  </conditionalFormatting>
  <conditionalFormatting sqref="H128:H131">
    <cfRule type="expression" dxfId="249" priority="173">
      <formula>$L128="CTA"</formula>
    </cfRule>
    <cfRule type="expression" dxfId="248" priority="174">
      <formula>$L128="GAA"</formula>
    </cfRule>
  </conditionalFormatting>
  <conditionalFormatting sqref="H131:H149">
    <cfRule type="expression" dxfId="247" priority="217">
      <formula>$L131="CTA"</formula>
    </cfRule>
  </conditionalFormatting>
  <conditionalFormatting sqref="H151:H157">
    <cfRule type="expression" dxfId="246" priority="199">
      <formula>$L151="CTA"</formula>
    </cfRule>
    <cfRule type="expression" dxfId="245" priority="200">
      <formula>$L151="GAA"</formula>
    </cfRule>
  </conditionalFormatting>
  <conditionalFormatting sqref="H152:H153">
    <cfRule type="expression" dxfId="244" priority="195">
      <formula>$L152="CTA"</formula>
    </cfRule>
    <cfRule type="expression" dxfId="243" priority="196">
      <formula>$L152="GAA"</formula>
    </cfRule>
  </conditionalFormatting>
  <conditionalFormatting sqref="H158:H160">
    <cfRule type="expression" dxfId="242" priority="185">
      <formula>$L158="CTA"</formula>
    </cfRule>
    <cfRule type="expression" dxfId="241" priority="186">
      <formula>$L158="GAA"</formula>
    </cfRule>
  </conditionalFormatting>
  <conditionalFormatting sqref="H158:H162">
    <cfRule type="expression" dxfId="240" priority="187">
      <formula>$L158="CTA"</formula>
    </cfRule>
    <cfRule type="expression" dxfId="239" priority="188">
      <formula>$L158="GAA"</formula>
    </cfRule>
  </conditionalFormatting>
  <conditionalFormatting sqref="H166:H174">
    <cfRule type="expression" dxfId="238" priority="105">
      <formula>$L166="CTA"</formula>
    </cfRule>
    <cfRule type="expression" dxfId="237" priority="106">
      <formula>$L166="GAA"</formula>
    </cfRule>
  </conditionalFormatting>
  <conditionalFormatting sqref="H167:H170">
    <cfRule type="expression" dxfId="236" priority="111">
      <formula>$L167="CTA"</formula>
    </cfRule>
    <cfRule type="expression" dxfId="235" priority="112">
      <formula>$L167="GAA"</formula>
    </cfRule>
  </conditionalFormatting>
  <conditionalFormatting sqref="H171:H174">
    <cfRule type="expression" dxfId="234" priority="103">
      <formula>$L171="CTA"</formula>
    </cfRule>
    <cfRule type="expression" dxfId="233" priority="104">
      <formula>$L171="GAA"</formula>
    </cfRule>
  </conditionalFormatting>
  <conditionalFormatting sqref="H181:H182">
    <cfRule type="expression" dxfId="232" priority="89">
      <formula>$L181="CTA"</formula>
    </cfRule>
    <cfRule type="expression" dxfId="231" priority="90">
      <formula>$L181="GAA"</formula>
    </cfRule>
  </conditionalFormatting>
  <conditionalFormatting sqref="H184:H187">
    <cfRule type="expression" dxfId="230" priority="101">
      <formula>$L184="CTA"</formula>
    </cfRule>
    <cfRule type="expression" dxfId="229" priority="102">
      <formula>$L184="GAA"</formula>
    </cfRule>
  </conditionalFormatting>
  <conditionalFormatting sqref="H189:H197">
    <cfRule type="expression" dxfId="228" priority="91">
      <formula>$L189="CTA"</formula>
    </cfRule>
    <cfRule type="expression" dxfId="227" priority="92">
      <formula>$L189="GAA"</formula>
    </cfRule>
  </conditionalFormatting>
  <conditionalFormatting sqref="H201:H202">
    <cfRule type="expression" dxfId="226" priority="149">
      <formula>$L201="CTA"</formula>
    </cfRule>
    <cfRule type="expression" dxfId="225" priority="150">
      <formula>$L201="GAA"</formula>
    </cfRule>
  </conditionalFormatting>
  <conditionalFormatting sqref="H213">
    <cfRule type="expression" dxfId="224" priority="159">
      <formula>$L213="CTA"</formula>
    </cfRule>
    <cfRule type="expression" dxfId="223" priority="160">
      <formula>$L213="GAA"</formula>
    </cfRule>
    <cfRule type="expression" dxfId="222" priority="163">
      <formula>$L213="CTA"</formula>
    </cfRule>
    <cfRule type="expression" dxfId="221" priority="164">
      <formula>$L213="GAA"</formula>
    </cfRule>
  </conditionalFormatting>
  <conditionalFormatting sqref="H218">
    <cfRule type="expression" dxfId="220" priority="135">
      <formula>$L218="CTA"</formula>
    </cfRule>
    <cfRule type="expression" dxfId="219" priority="136">
      <formula>$L218="GAA"</formula>
    </cfRule>
  </conditionalFormatting>
  <conditionalFormatting sqref="H230:H262">
    <cfRule type="expression" dxfId="218" priority="175">
      <formula>$L230="CTA"</formula>
    </cfRule>
    <cfRule type="expression" dxfId="217" priority="176">
      <formula>$L230="GAA"</formula>
    </cfRule>
  </conditionalFormatting>
  <conditionalFormatting sqref="J4:J27 J31:J262">
    <cfRule type="expression" dxfId="216" priority="83">
      <formula>$J4="AUR"</formula>
    </cfRule>
    <cfRule type="expression" dxfId="215" priority="84">
      <formula>$J4="CTA"</formula>
    </cfRule>
    <cfRule type="expression" dxfId="214" priority="85">
      <formula>$J4="GAA"</formula>
    </cfRule>
  </conditionalFormatting>
  <conditionalFormatting sqref="M4:M27 M266:M440 M31:M237">
    <cfRule type="expression" dxfId="213" priority="4341">
      <formula>SUMPRODUCT(($M4="A")+($M4="B"))</formula>
    </cfRule>
    <cfRule type="expression" dxfId="212" priority="4342">
      <formula>SUMPRODUCT((#REF!&lt;&gt;"")*($M4="")+($M4="C"))</formula>
    </cfRule>
    <cfRule type="expression" dxfId="211" priority="4343">
      <formula>$M4="Pending"</formula>
    </cfRule>
  </conditionalFormatting>
  <conditionalFormatting sqref="M4:M237">
    <cfRule type="expression" dxfId="210" priority="80">
      <formula>SUMPRODUCT(($D4&lt;&gt;"")*($M4="")+($M4="C"))</formula>
    </cfRule>
  </conditionalFormatting>
  <conditionalFormatting sqref="M238:M248">
    <cfRule type="expression" dxfId="209" priority="7205">
      <formula>SUMPRODUCT(($D245&lt;&gt;"")*($J238="")+($J238="C"))</formula>
    </cfRule>
    <cfRule type="expression" dxfId="208" priority="7206">
      <formula>$M238="Pending"</formula>
    </cfRule>
    <cfRule type="expression" dxfId="207" priority="7207">
      <formula>SUMPRODUCT(($M238="A")+($M238="B"))</formula>
    </cfRule>
    <cfRule type="expression" dxfId="206" priority="7208">
      <formula>SUMPRODUCT((#REF!&lt;&gt;"")*($M238="")+($M238="C"))</formula>
    </cfRule>
    <cfRule type="expression" dxfId="205" priority="7209">
      <formula>$M238="Pending"</formula>
    </cfRule>
    <cfRule type="expression" dxfId="204" priority="7210">
      <formula>SUMPRODUCT(($D245&lt;&gt;"")*($M238="")+($M238="C"))</formula>
    </cfRule>
  </conditionalFormatting>
  <conditionalFormatting sqref="M249:M262">
    <cfRule type="expression" dxfId="203" priority="7190">
      <formula>SUMPRODUCT((#REF!&lt;&gt;"")*($M249="")+($M249="C"))</formula>
    </cfRule>
  </conditionalFormatting>
  <conditionalFormatting sqref="M249:M265">
    <cfRule type="expression" dxfId="202" priority="7181">
      <formula>SUMPRODUCT((#REF!&lt;&gt;"")*($J249="")+($J249="C"))</formula>
    </cfRule>
    <cfRule type="expression" dxfId="201" priority="7182">
      <formula>$M249="Pending"</formula>
    </cfRule>
    <cfRule type="expression" dxfId="200" priority="7183">
      <formula>SUMPRODUCT(($M249="A")+($M249="B"))</formula>
    </cfRule>
    <cfRule type="expression" dxfId="199" priority="7184">
      <formula>SUMPRODUCT((#REF!&lt;&gt;"")*($M249="")+($M249="C"))</formula>
    </cfRule>
    <cfRule type="expression" dxfId="198" priority="7185">
      <formula>$M249="Pending"</formula>
    </cfRule>
  </conditionalFormatting>
  <conditionalFormatting sqref="P274">
    <cfRule type="expression" dxfId="197" priority="241">
      <formula>$L274="AUR"</formula>
    </cfRule>
  </conditionalFormatting>
  <conditionalFormatting sqref="A4:BI4 P5:BI27 E263:XFD263 A5:N8 H21:N27 A21:G46 H28:H30 A10:N20 A9:K9 M9:N9 E238:BI248 A256:BI257 A212:BI237 A211:O211 Q211:BI211 A260:BI261 E252:BI257 E249:O251 Q249:BI251 Q258:BI259 A258:O259 Q262:BI262 A238:B263 E256:E262 O5:O74 BK4:XFD262 P31:BI74 H31:N46 A47:N74 A262:O262 A75:BI210">
    <cfRule type="expression" dxfId="196" priority="514">
      <formula>$L4="AUR"</formula>
    </cfRule>
  </conditionalFormatting>
  <conditionalFormatting sqref="U96:U104">
    <cfRule type="expression" dxfId="195" priority="272">
      <formula>$L96="CTA"</formula>
    </cfRule>
    <cfRule type="expression" dxfId="194" priority="273">
      <formula>$L96="GAA"</formula>
    </cfRule>
  </conditionalFormatting>
  <conditionalFormatting sqref="AU4:BI26 D124:D132 H124:I132 M249 H263:AT273 AU263:AY282 E273:G273 E274:AT275 A275:D275 B124:B262 F245:F262 K212:AT246 K211:O211 Q211:AT211 H257:I258 H260:I261 I252:I259 H245:H262 I262 K252:N262 F133:I248 K124:AT210">
    <cfRule type="expression" dxfId="193" priority="243">
      <formula>$L4="GAA"</formula>
    </cfRule>
  </conditionalFormatting>
  <conditionalFormatting sqref="F52:G52">
    <cfRule type="expression" dxfId="192" priority="151">
      <formula>$L52="CTA"</formula>
    </cfRule>
    <cfRule type="expression" dxfId="191" priority="152">
      <formula>$L52="GAA"</formula>
    </cfRule>
  </conditionalFormatting>
  <conditionalFormatting sqref="L9">
    <cfRule type="expression" dxfId="190" priority="56">
      <formula>$J9="AUR"</formula>
    </cfRule>
  </conditionalFormatting>
  <conditionalFormatting sqref="L9">
    <cfRule type="expression" dxfId="189" priority="59">
      <formula>$J9="GAA"</formula>
    </cfRule>
  </conditionalFormatting>
  <conditionalFormatting sqref="A212:XFD248 A211:O211 Q211:XFD211 A260:XFD261 A252:XFD257 A249:O251 Q249:XFD251 Q258:XFD259 A258:O259 A263:XFD263 Q262:XFD262 A256:A262 E256:E262 A262:O262 A4:XFD210">
    <cfRule type="expression" dxfId="188" priority="52">
      <formula>$L4="CTA"</formula>
    </cfRule>
    <cfRule type="expression" dxfId="187" priority="57">
      <formula>$L4="CTA"</formula>
    </cfRule>
  </conditionalFormatting>
  <conditionalFormatting sqref="M4:M262">
    <cfRule type="expression" dxfId="186" priority="81">
      <formula>SUMPRODUCT(($D4&lt;&gt;"")*($J4="")+($J4="C"))</formula>
    </cfRule>
  </conditionalFormatting>
  <conditionalFormatting sqref="M4:M262">
    <cfRule type="expression" dxfId="185" priority="25">
      <formula>$M4="Pending"</formula>
    </cfRule>
    <cfRule type="expression" dxfId="184" priority="34">
      <formula>$M4="Pending"</formula>
    </cfRule>
    <cfRule type="expression" dxfId="183" priority="51">
      <formula>$M4="Pending"</formula>
    </cfRule>
    <cfRule type="expression" dxfId="182" priority="55">
      <formula>$M4="Pending"</formula>
    </cfRule>
    <cfRule type="expression" dxfId="181" priority="82">
      <formula>$M4="Pending"</formula>
    </cfRule>
  </conditionalFormatting>
  <conditionalFormatting sqref="I41:I42 K41:M42 L42:L43">
    <cfRule type="expression" dxfId="180" priority="53">
      <formula>$L41="CTA"</formula>
    </cfRule>
  </conditionalFormatting>
  <conditionalFormatting sqref="I41:I42 K41:M42 L42:L43">
    <cfRule type="expression" dxfId="179" priority="54">
      <formula>$L41="GAA"</formula>
    </cfRule>
  </conditionalFormatting>
  <conditionalFormatting sqref="M252:M262">
    <cfRule type="expression" dxfId="178" priority="48">
      <formula>SUMPRODUCT(($M252="A")+($M252="B"))</formula>
    </cfRule>
    <cfRule type="expression" dxfId="177" priority="49">
      <formula>SUMPRODUCT((#REF!&lt;&gt;"")*($M252="")+($M252="C"))</formula>
    </cfRule>
    <cfRule type="expression" dxfId="176" priority="50">
      <formula>$M252="Pending"</formula>
    </cfRule>
  </conditionalFormatting>
  <conditionalFormatting sqref="M252:M262">
    <cfRule type="expression" dxfId="175" priority="47">
      <formula>SUMPRODUCT(($D252&lt;&gt;"")*($M252="")+($M252="C"))</formula>
    </cfRule>
  </conditionalFormatting>
  <conditionalFormatting sqref="Q252:Q262">
    <cfRule type="expression" dxfId="174" priority="46">
      <formula>$L252="GAA"</formula>
    </cfRule>
  </conditionalFormatting>
  <conditionalFormatting sqref="M256:M262">
    <cfRule type="expression" dxfId="173" priority="43">
      <formula>SUMPRODUCT(($M256="A")+($M256="B"))</formula>
    </cfRule>
    <cfRule type="expression" dxfId="172" priority="45">
      <formula>$M256="Pending"</formula>
    </cfRule>
  </conditionalFormatting>
  <conditionalFormatting sqref="M256:M262">
    <cfRule type="expression" dxfId="171" priority="41">
      <formula>SUMPRODUCT(($D256&lt;&gt;"")*($M256="")+($M256="C"))</formula>
    </cfRule>
  </conditionalFormatting>
  <conditionalFormatting sqref="AU256:AY262">
    <cfRule type="expression" dxfId="170" priority="42">
      <formula>$L256="GAA"</formula>
    </cfRule>
  </conditionalFormatting>
  <conditionalFormatting sqref="M249:M262">
    <cfRule type="expression" dxfId="169" priority="7357">
      <formula>SUMPRODUCT(($D263&lt;&gt;"")*($J249="")+($J249="C"))</formula>
    </cfRule>
    <cfRule type="expression" dxfId="168" priority="7358">
      <formula>$M249="Pending"</formula>
    </cfRule>
    <cfRule type="expression" dxfId="167" priority="7359">
      <formula>SUMPRODUCT(($M249="A")+($M249="B"))</formula>
    </cfRule>
    <cfRule type="expression" dxfId="166" priority="7360">
      <formula>SUMPRODUCT((#REF!&lt;&gt;"")*($M249="")+($M249="C"))</formula>
    </cfRule>
    <cfRule type="expression" dxfId="165" priority="7361">
      <formula>$M249="Pending"</formula>
    </cfRule>
    <cfRule type="expression" dxfId="164" priority="7362">
      <formula>SUMPRODUCT(($D263&lt;&gt;"")*($M249="")+($M249="C"))</formula>
    </cfRule>
  </conditionalFormatting>
  <conditionalFormatting sqref="K43:M45">
    <cfRule type="expression" dxfId="163" priority="39">
      <formula>$L43="CTA"</formula>
    </cfRule>
  </conditionalFormatting>
  <conditionalFormatting sqref="K43:M45">
    <cfRule type="expression" dxfId="162" priority="40">
      <formula>$L43="GAA"</formula>
    </cfRule>
  </conditionalFormatting>
  <conditionalFormatting sqref="K46:M46">
    <cfRule type="expression" dxfId="161" priority="37">
      <formula>$L46="CTA"</formula>
    </cfRule>
  </conditionalFormatting>
  <conditionalFormatting sqref="K46:M46">
    <cfRule type="expression" dxfId="160" priority="38">
      <formula>$L46="GAA"</formula>
    </cfRule>
  </conditionalFormatting>
  <conditionalFormatting sqref="M43:M46">
    <cfRule type="expression" dxfId="159" priority="35">
      <formula>$L43="CTA"</formula>
    </cfRule>
  </conditionalFormatting>
  <conditionalFormatting sqref="M43:M46">
    <cfRule type="expression" dxfId="158" priority="36">
      <formula>$L43="GAA"</formula>
    </cfRule>
  </conditionalFormatting>
  <conditionalFormatting sqref="K207:M207">
    <cfRule type="expression" dxfId="157" priority="32">
      <formula>$L207="CTA"</formula>
    </cfRule>
  </conditionalFormatting>
  <conditionalFormatting sqref="K207:M207">
    <cfRule type="expression" dxfId="156" priority="33">
      <formula>$L207="GAA"</formula>
    </cfRule>
  </conditionalFormatting>
  <conditionalFormatting sqref="M207">
    <cfRule type="expression" dxfId="155" priority="30">
      <formula>$L207="CTA"</formula>
    </cfRule>
  </conditionalFormatting>
  <conditionalFormatting sqref="M207">
    <cfRule type="expression" dxfId="154" priority="31">
      <formula>$L207="GAA"</formula>
    </cfRule>
  </conditionalFormatting>
  <conditionalFormatting sqref="K209:M209">
    <cfRule type="expression" dxfId="153" priority="28">
      <formula>$L209="CTA"</formula>
    </cfRule>
  </conditionalFormatting>
  <conditionalFormatting sqref="K209:M209">
    <cfRule type="expression" dxfId="152" priority="29">
      <formula>$L209="GAA"</formula>
    </cfRule>
  </conditionalFormatting>
  <conditionalFormatting sqref="M209">
    <cfRule type="expression" dxfId="151" priority="26">
      <formula>$L209="CTA"</formula>
    </cfRule>
  </conditionalFormatting>
  <conditionalFormatting sqref="M209">
    <cfRule type="expression" dxfId="150" priority="27">
      <formula>$L209="GAA"</formula>
    </cfRule>
  </conditionalFormatting>
  <conditionalFormatting sqref="K50:L50">
    <cfRule type="expression" dxfId="149" priority="23">
      <formula>$L50="CTA"</formula>
    </cfRule>
  </conditionalFormatting>
  <conditionalFormatting sqref="K50:L50">
    <cfRule type="expression" dxfId="148" priority="24">
      <formula>$L50="GAA"</formula>
    </cfRule>
  </conditionalFormatting>
  <conditionalFormatting sqref="K73:L73">
    <cfRule type="expression" dxfId="147" priority="21">
      <formula>$L73="CTA"</formula>
    </cfRule>
  </conditionalFormatting>
  <conditionalFormatting sqref="K73:L73">
    <cfRule type="expression" dxfId="146" priority="22">
      <formula>$L73="GAA"</formula>
    </cfRule>
  </conditionalFormatting>
  <conditionalFormatting sqref="K188:L188">
    <cfRule type="expression" dxfId="145" priority="19">
      <formula>$L188="CTA"</formula>
    </cfRule>
  </conditionalFormatting>
  <conditionalFormatting sqref="K188:L188">
    <cfRule type="expression" dxfId="144" priority="20">
      <formula>$L188="GAA"</formula>
    </cfRule>
  </conditionalFormatting>
  <conditionalFormatting sqref="P258:P259">
    <cfRule type="expression" dxfId="143" priority="18">
      <formula>$L258="GAA"</formula>
    </cfRule>
  </conditionalFormatting>
  <conditionalFormatting sqref="P258:P259">
    <cfRule type="expression" dxfId="142" priority="15">
      <formula>$L258="GAA"</formula>
    </cfRule>
  </conditionalFormatting>
  <conditionalFormatting sqref="P258:P259">
    <cfRule type="expression" dxfId="141" priority="16">
      <formula>$L258="CTA"</formula>
    </cfRule>
  </conditionalFormatting>
  <conditionalFormatting sqref="P258:P259">
    <cfRule type="expression" dxfId="140" priority="17">
      <formula>$L258="AUR"</formula>
    </cfRule>
  </conditionalFormatting>
  <conditionalFormatting sqref="P258:P259">
    <cfRule type="expression" dxfId="139" priority="13">
      <formula>$L258="CTA"</formula>
    </cfRule>
    <cfRule type="expression" dxfId="138" priority="14">
      <formula>$L258="CTA"</formula>
    </cfRule>
  </conditionalFormatting>
  <conditionalFormatting sqref="P262">
    <cfRule type="expression" dxfId="137" priority="12">
      <formula>$L262="GAA"</formula>
    </cfRule>
  </conditionalFormatting>
  <conditionalFormatting sqref="P262">
    <cfRule type="expression" dxfId="136" priority="9">
      <formula>$L262="GAA"</formula>
    </cfRule>
  </conditionalFormatting>
  <conditionalFormatting sqref="P262">
    <cfRule type="expression" dxfId="135" priority="10">
      <formula>$L262="CTA"</formula>
    </cfRule>
  </conditionalFormatting>
  <conditionalFormatting sqref="P262">
    <cfRule type="expression" dxfId="134" priority="11">
      <formula>$L262="AUR"</formula>
    </cfRule>
  </conditionalFormatting>
  <conditionalFormatting sqref="P262">
    <cfRule type="expression" dxfId="133" priority="7">
      <formula>$L262="CTA"</formula>
    </cfRule>
    <cfRule type="expression" dxfId="132" priority="8">
      <formula>$L262="CTA"</formula>
    </cfRule>
  </conditionalFormatting>
  <conditionalFormatting sqref="K49:L49">
    <cfRule type="expression" dxfId="131" priority="5">
      <formula>$L49="CTA"</formula>
    </cfRule>
  </conditionalFormatting>
  <conditionalFormatting sqref="K49:L49">
    <cfRule type="expression" dxfId="130" priority="6">
      <formula>$L49="GAA"</formula>
    </cfRule>
  </conditionalFormatting>
  <conditionalFormatting sqref="K150:L150">
    <cfRule type="expression" dxfId="129" priority="3">
      <formula>$L150="CTA"</formula>
    </cfRule>
  </conditionalFormatting>
  <conditionalFormatting sqref="K150:L150">
    <cfRule type="expression" dxfId="128" priority="4">
      <formula>$L150="GAA"</formula>
    </cfRule>
  </conditionalFormatting>
  <conditionalFormatting sqref="K149:L149">
    <cfRule type="expression" dxfId="127" priority="1">
      <formula>$L149="CTA"</formula>
    </cfRule>
  </conditionalFormatting>
  <conditionalFormatting sqref="K149:L149">
    <cfRule type="expression" dxfId="126" priority="2">
      <formula>$L149="GAA"</formula>
    </cfRule>
  </conditionalFormatting>
  <dataValidations count="4">
    <dataValidation type="list" allowBlank="1" showInputMessage="1" showErrorMessage="1" sqref="M276:M1048576 M3 L1:M1 L3:L8 L10:L27 L31:L1048576" xr:uid="{88740437-77D4-4472-B16D-13E0C22166F7}">
      <formula1>$L$277:$L$281</formula1>
    </dataValidation>
    <dataValidation type="list" allowBlank="1" showInputMessage="1" showErrorMessage="1" sqref="M4:M27 M31:M275" xr:uid="{E1196C8D-649F-477B-B759-4CA2E48449DF}">
      <formula1>"A,B,C,Pending,"</formula1>
    </dataValidation>
    <dataValidation type="list" allowBlank="1" showInputMessage="1" showErrorMessage="1" sqref="L2" xr:uid="{1C29FFF8-BC66-499C-993A-FD78FA286D2D}">
      <formula1>$K$27:$K$30</formula1>
    </dataValidation>
    <dataValidation type="list" allowBlank="1" showInputMessage="1" showErrorMessage="1" sqref="L9" xr:uid="{E6D21987-30C6-4485-894B-2212D1832ED3}">
      <formula1>"CTA,GAA,AUR,STT,Closed"</formula1>
    </dataValidation>
  </dataValidations>
  <pageMargins left="0.23622047244094499" right="0.23622047244094499" top="0.74803149606299202" bottom="0.74803149606299202" header="0.31496062992126" footer="0.31496062992126"/>
  <pageSetup paperSize="8" scale="16" fitToHeight="0" orientation="portrait" r:id="rId1"/>
  <headerFooter>
    <oddHeader>&amp;L&amp;G&amp;CProject Terra Phase 9 + 2MW Shop Drawing Approval Submission List</oddHeader>
    <oddFooter>&amp;L&amp;D&amp;RPage &amp;P of &amp;N</oddFooter>
  </headerFooter>
  <colBreaks count="1" manualBreakCount="1">
    <brk id="16" max="1048575" man="1"/>
  </colBreaks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5F2E-6097-48A8-9CF4-616A7F05C5E2}">
  <sheetPr>
    <pageSetUpPr fitToPage="1"/>
  </sheetPr>
  <dimension ref="A1:AS69"/>
  <sheetViews>
    <sheetView view="pageBreakPreview" zoomScale="55" zoomScaleNormal="55" zoomScaleSheetLayoutView="55" workbookViewId="0">
      <pane ySplit="3" topLeftCell="A4" activePane="bottomLeft" state="frozen"/>
      <selection pane="bottomLeft" activeCell="P6" sqref="P6"/>
      <selection activeCell="G17" sqref="G17"/>
    </sheetView>
  </sheetViews>
  <sheetFormatPr defaultColWidth="9.25" defaultRowHeight="15"/>
  <cols>
    <col min="1" max="1" width="6.125" style="530" customWidth="1"/>
    <col min="2" max="2" width="14.25" style="530" customWidth="1"/>
    <col min="3" max="3" width="37.125" style="530" bestFit="1" customWidth="1"/>
    <col min="4" max="4" width="62.125" style="573" customWidth="1"/>
    <col min="5" max="5" width="29.75" style="574" bestFit="1" customWidth="1"/>
    <col min="6" max="6" width="14.25" style="573" customWidth="1"/>
    <col min="7" max="7" width="11.25" style="571" bestFit="1" customWidth="1"/>
    <col min="8" max="8" width="12.25" style="571" customWidth="1"/>
    <col min="9" max="9" width="4.25" style="530" customWidth="1"/>
    <col min="10" max="11" width="9.75" style="530" customWidth="1"/>
    <col min="12" max="13" width="12.75" style="571" customWidth="1"/>
    <col min="14" max="14" width="58.375" style="576" customWidth="1"/>
    <col min="15" max="17" width="10.625" style="572" customWidth="1"/>
    <col min="18" max="18" width="10.625" style="577" customWidth="1"/>
    <col min="19" max="19" width="10.625" style="530" customWidth="1"/>
    <col min="20" max="23" width="10.625" style="572" customWidth="1"/>
    <col min="24" max="24" width="10.625" style="530" customWidth="1"/>
    <col min="25" max="28" width="10.625" style="572" customWidth="1"/>
    <col min="29" max="44" width="10.625" style="530" customWidth="1"/>
    <col min="45" max="45" width="24.625" style="530" customWidth="1"/>
    <col min="46" max="16384" width="9.25" style="530"/>
  </cols>
  <sheetData>
    <row r="1" spans="1:45">
      <c r="A1" s="521" t="s">
        <v>54</v>
      </c>
      <c r="B1" s="521"/>
      <c r="C1" s="522"/>
      <c r="D1" s="521"/>
      <c r="E1" s="521"/>
      <c r="F1" s="521"/>
      <c r="G1" s="521"/>
      <c r="H1" s="521"/>
      <c r="I1" s="521"/>
      <c r="J1" s="521"/>
      <c r="K1" s="521"/>
      <c r="L1" s="521"/>
      <c r="M1" s="657"/>
      <c r="N1" s="523" t="s">
        <v>55</v>
      </c>
      <c r="O1" s="524" t="s">
        <v>56</v>
      </c>
      <c r="P1" s="525" t="s">
        <v>49</v>
      </c>
      <c r="Q1" s="526" t="s">
        <v>50</v>
      </c>
      <c r="R1" s="527"/>
      <c r="S1" s="528"/>
      <c r="T1" s="529"/>
      <c r="U1" s="529"/>
      <c r="V1" s="529"/>
      <c r="W1" s="529"/>
      <c r="X1" s="528"/>
      <c r="Y1" s="529"/>
      <c r="Z1" s="529"/>
      <c r="AA1" s="529"/>
      <c r="AB1" s="529"/>
      <c r="AC1" s="528"/>
    </row>
    <row r="2" spans="1:45" s="535" customFormat="1" ht="45">
      <c r="A2" s="531" t="s">
        <v>57</v>
      </c>
      <c r="B2" s="532" t="s">
        <v>1</v>
      </c>
      <c r="C2" s="532" t="s">
        <v>58</v>
      </c>
      <c r="D2" s="532"/>
      <c r="E2" s="532" t="s">
        <v>60</v>
      </c>
      <c r="F2" s="532" t="s">
        <v>42</v>
      </c>
      <c r="G2" s="533" t="s">
        <v>61</v>
      </c>
      <c r="H2" s="533" t="s">
        <v>62</v>
      </c>
      <c r="I2" s="532" t="s">
        <v>63</v>
      </c>
      <c r="J2" s="532" t="s">
        <v>64</v>
      </c>
      <c r="K2" s="532" t="s">
        <v>44</v>
      </c>
      <c r="L2" s="533" t="s">
        <v>65</v>
      </c>
      <c r="M2" s="658" t="s">
        <v>66</v>
      </c>
      <c r="N2" s="534" t="s">
        <v>67</v>
      </c>
      <c r="O2" s="927" t="s">
        <v>68</v>
      </c>
      <c r="P2" s="927"/>
      <c r="Q2" s="927"/>
      <c r="R2" s="927"/>
      <c r="S2" s="927"/>
      <c r="T2" s="922" t="s">
        <v>69</v>
      </c>
      <c r="U2" s="922"/>
      <c r="V2" s="922"/>
      <c r="W2" s="922"/>
      <c r="X2" s="922"/>
      <c r="Y2" s="928" t="s">
        <v>70</v>
      </c>
      <c r="Z2" s="928"/>
      <c r="AA2" s="928"/>
      <c r="AB2" s="928"/>
      <c r="AC2" s="928"/>
      <c r="AD2" s="922" t="s">
        <v>71</v>
      </c>
      <c r="AE2" s="923"/>
      <c r="AF2" s="924"/>
      <c r="AG2" s="925"/>
      <c r="AH2" s="926"/>
      <c r="AI2" s="928" t="s">
        <v>72</v>
      </c>
      <c r="AJ2" s="927"/>
      <c r="AK2" s="929"/>
      <c r="AL2" s="930"/>
      <c r="AM2" s="931"/>
      <c r="AN2" s="922" t="s">
        <v>73</v>
      </c>
      <c r="AO2" s="923"/>
      <c r="AP2" s="924"/>
      <c r="AQ2" s="925"/>
      <c r="AR2" s="926"/>
      <c r="AS2" s="754" t="s">
        <v>76</v>
      </c>
    </row>
    <row r="3" spans="1:45">
      <c r="A3" s="536"/>
      <c r="B3" s="537"/>
      <c r="C3" s="538"/>
      <c r="D3" s="537"/>
      <c r="E3" s="537"/>
      <c r="F3" s="537"/>
      <c r="G3" s="539"/>
      <c r="H3" s="539"/>
      <c r="I3" s="537"/>
      <c r="J3" s="537"/>
      <c r="K3" s="537"/>
      <c r="L3" s="539"/>
      <c r="M3" s="659"/>
      <c r="N3" s="540"/>
      <c r="O3" s="541" t="s">
        <v>17</v>
      </c>
      <c r="P3" s="542" t="s">
        <v>49</v>
      </c>
      <c r="Q3" s="543" t="s">
        <v>50</v>
      </c>
      <c r="R3" s="544" t="s">
        <v>51</v>
      </c>
      <c r="S3" s="545" t="s">
        <v>44</v>
      </c>
      <c r="T3" s="763" t="s">
        <v>17</v>
      </c>
      <c r="U3" s="764" t="s">
        <v>49</v>
      </c>
      <c r="V3" s="765" t="s">
        <v>50</v>
      </c>
      <c r="W3" s="766" t="s">
        <v>51</v>
      </c>
      <c r="X3" s="767" t="s">
        <v>44</v>
      </c>
      <c r="Y3" s="541" t="s">
        <v>17</v>
      </c>
      <c r="Z3" s="542" t="s">
        <v>49</v>
      </c>
      <c r="AA3" s="543" t="s">
        <v>50</v>
      </c>
      <c r="AB3" s="546" t="s">
        <v>51</v>
      </c>
      <c r="AC3" s="545" t="s">
        <v>44</v>
      </c>
      <c r="AD3" s="763" t="s">
        <v>17</v>
      </c>
      <c r="AE3" s="764" t="s">
        <v>49</v>
      </c>
      <c r="AF3" s="765" t="s">
        <v>50</v>
      </c>
      <c r="AG3" s="766" t="s">
        <v>51</v>
      </c>
      <c r="AH3" s="767" t="s">
        <v>44</v>
      </c>
      <c r="AI3" s="541" t="s">
        <v>17</v>
      </c>
      <c r="AJ3" s="542" t="s">
        <v>49</v>
      </c>
      <c r="AK3" s="543" t="s">
        <v>50</v>
      </c>
      <c r="AL3" s="546" t="s">
        <v>51</v>
      </c>
      <c r="AM3" s="545" t="s">
        <v>44</v>
      </c>
      <c r="AN3" s="763" t="s">
        <v>17</v>
      </c>
      <c r="AO3" s="764" t="s">
        <v>49</v>
      </c>
      <c r="AP3" s="765" t="s">
        <v>50</v>
      </c>
      <c r="AQ3" s="766" t="s">
        <v>51</v>
      </c>
      <c r="AR3" s="767" t="s">
        <v>44</v>
      </c>
      <c r="AS3" s="537"/>
    </row>
    <row r="4" spans="1:45" s="561" customFormat="1" ht="21.75" customHeight="1">
      <c r="A4" s="547">
        <v>1</v>
      </c>
      <c r="B4" s="548" t="s">
        <v>20</v>
      </c>
      <c r="C4" s="830" t="s">
        <v>1220</v>
      </c>
      <c r="D4" s="829" t="s">
        <v>1221</v>
      </c>
      <c r="E4" s="549" t="s">
        <v>1222</v>
      </c>
      <c r="F4" s="550"/>
      <c r="G4" s="551"/>
      <c r="H4" s="551">
        <f>G4+7</f>
        <v>7</v>
      </c>
      <c r="I4" s="552"/>
      <c r="J4" s="553"/>
      <c r="K4" s="553"/>
      <c r="L4" s="554"/>
      <c r="M4" s="660" t="s">
        <v>81</v>
      </c>
      <c r="N4" s="555"/>
      <c r="O4" s="551"/>
      <c r="P4" s="551"/>
      <c r="Q4" s="551"/>
      <c r="R4" s="556"/>
      <c r="S4" s="557"/>
      <c r="T4" s="551"/>
      <c r="U4" s="558"/>
      <c r="V4" s="558"/>
      <c r="W4" s="558"/>
      <c r="X4" s="557"/>
      <c r="Y4" s="558"/>
      <c r="Z4" s="558"/>
      <c r="AA4" s="558"/>
      <c r="AB4" s="558"/>
      <c r="AC4" s="557"/>
      <c r="AD4" s="559"/>
      <c r="AE4" s="559"/>
      <c r="AF4" s="559"/>
      <c r="AG4" s="559"/>
      <c r="AH4" s="560"/>
      <c r="AI4" s="559"/>
      <c r="AJ4" s="559"/>
      <c r="AK4" s="559"/>
      <c r="AL4" s="559"/>
      <c r="AM4" s="560"/>
      <c r="AN4" s="559"/>
      <c r="AO4" s="559"/>
      <c r="AP4" s="559"/>
      <c r="AQ4" s="559"/>
      <c r="AR4" s="560"/>
      <c r="AS4" s="757" t="s">
        <v>82</v>
      </c>
    </row>
    <row r="5" spans="1:45" s="561" customFormat="1" ht="21.75" customHeight="1">
      <c r="A5" s="547">
        <f>A4+1</f>
        <v>2</v>
      </c>
      <c r="B5" s="548" t="s">
        <v>20</v>
      </c>
      <c r="C5" s="830" t="s">
        <v>1223</v>
      </c>
      <c r="D5" s="829" t="s">
        <v>1224</v>
      </c>
      <c r="E5" s="549" t="s">
        <v>1225</v>
      </c>
      <c r="F5" s="550">
        <v>46034</v>
      </c>
      <c r="G5" s="551">
        <v>46034</v>
      </c>
      <c r="H5" s="551">
        <f t="shared" ref="H5:H40" si="0">G5+7</f>
        <v>46041</v>
      </c>
      <c r="I5" s="552">
        <v>0</v>
      </c>
      <c r="J5" s="553" t="s">
        <v>50</v>
      </c>
      <c r="K5" s="553" t="s">
        <v>89</v>
      </c>
      <c r="L5" s="554"/>
      <c r="M5" s="664" t="s">
        <v>81</v>
      </c>
      <c r="N5" s="562"/>
      <c r="O5" s="551">
        <v>46034</v>
      </c>
      <c r="P5" s="551">
        <v>46055</v>
      </c>
      <c r="Q5" s="551"/>
      <c r="R5" s="556"/>
      <c r="S5" s="557"/>
      <c r="T5" s="551"/>
      <c r="U5" s="558"/>
      <c r="V5" s="558"/>
      <c r="W5" s="558"/>
      <c r="X5" s="557"/>
      <c r="Y5" s="558"/>
      <c r="Z5" s="558"/>
      <c r="AA5" s="558"/>
      <c r="AB5" s="558"/>
      <c r="AC5" s="557"/>
      <c r="AD5" s="558"/>
      <c r="AE5" s="558"/>
      <c r="AF5" s="558"/>
      <c r="AG5" s="558"/>
      <c r="AH5" s="557"/>
      <c r="AI5" s="558"/>
      <c r="AJ5" s="558"/>
      <c r="AK5" s="558"/>
      <c r="AL5" s="558"/>
      <c r="AM5" s="557"/>
      <c r="AN5" s="558"/>
      <c r="AO5" s="558"/>
      <c r="AP5" s="558"/>
      <c r="AQ5" s="558"/>
      <c r="AR5" s="557"/>
      <c r="AS5" s="757" t="s">
        <v>82</v>
      </c>
    </row>
    <row r="6" spans="1:45" s="561" customFormat="1" ht="21.75" customHeight="1">
      <c r="A6" s="547">
        <f t="shared" ref="A6" si="1">A5+1</f>
        <v>3</v>
      </c>
      <c r="B6" s="548" t="s">
        <v>20</v>
      </c>
      <c r="C6" s="830" t="s">
        <v>1226</v>
      </c>
      <c r="D6" s="829" t="s">
        <v>1227</v>
      </c>
      <c r="E6" s="549" t="s">
        <v>1228</v>
      </c>
      <c r="F6" s="809">
        <f>F5+7</f>
        <v>46041</v>
      </c>
      <c r="G6" s="551">
        <v>46062</v>
      </c>
      <c r="H6" s="551">
        <f t="shared" si="0"/>
        <v>46069</v>
      </c>
      <c r="I6" s="552">
        <v>0</v>
      </c>
      <c r="J6" s="553" t="s">
        <v>50</v>
      </c>
      <c r="K6" s="553" t="s">
        <v>89</v>
      </c>
      <c r="L6" s="554"/>
      <c r="M6" s="664" t="s">
        <v>81</v>
      </c>
      <c r="N6" s="563"/>
      <c r="O6" s="551">
        <v>46062</v>
      </c>
      <c r="P6" s="551">
        <v>46065</v>
      </c>
      <c r="Q6" s="551"/>
      <c r="R6" s="556"/>
      <c r="S6" s="557"/>
      <c r="T6" s="551"/>
      <c r="U6" s="558"/>
      <c r="V6" s="558"/>
      <c r="W6" s="558"/>
      <c r="X6" s="557"/>
      <c r="Y6" s="558"/>
      <c r="Z6" s="558"/>
      <c r="AA6" s="558"/>
      <c r="AB6" s="558"/>
      <c r="AC6" s="557"/>
      <c r="AD6" s="559"/>
      <c r="AE6" s="559"/>
      <c r="AF6" s="559"/>
      <c r="AG6" s="559"/>
      <c r="AH6" s="560"/>
      <c r="AI6" s="559"/>
      <c r="AJ6" s="559"/>
      <c r="AK6" s="559"/>
      <c r="AL6" s="559"/>
      <c r="AM6" s="560"/>
      <c r="AN6" s="559"/>
      <c r="AO6" s="559"/>
      <c r="AP6" s="559"/>
      <c r="AQ6" s="559"/>
      <c r="AR6" s="560"/>
      <c r="AS6" s="757" t="s">
        <v>253</v>
      </c>
    </row>
    <row r="7" spans="1:45" s="561" customFormat="1" ht="21.75" customHeight="1">
      <c r="A7" s="547">
        <f>A6+1</f>
        <v>4</v>
      </c>
      <c r="B7" s="547" t="s">
        <v>20</v>
      </c>
      <c r="C7" s="830" t="s">
        <v>1229</v>
      </c>
      <c r="D7" s="829" t="s">
        <v>1230</v>
      </c>
      <c r="E7" s="549" t="s">
        <v>1231</v>
      </c>
      <c r="F7" s="550">
        <v>46041</v>
      </c>
      <c r="G7" s="551">
        <v>46041</v>
      </c>
      <c r="H7" s="551">
        <f t="shared" ref="H7" si="2">G7+7</f>
        <v>46048</v>
      </c>
      <c r="I7" s="552">
        <v>0</v>
      </c>
      <c r="J7" s="553" t="s">
        <v>50</v>
      </c>
      <c r="K7" s="553" t="s">
        <v>89</v>
      </c>
      <c r="L7" s="554"/>
      <c r="M7" s="664" t="s">
        <v>81</v>
      </c>
      <c r="N7" s="562"/>
      <c r="O7" s="551">
        <v>46041</v>
      </c>
      <c r="P7" s="551">
        <v>46055</v>
      </c>
      <c r="Q7" s="551"/>
      <c r="R7" s="556"/>
      <c r="S7" s="557"/>
      <c r="T7" s="551"/>
      <c r="U7" s="558"/>
      <c r="V7" s="558"/>
      <c r="W7" s="558"/>
      <c r="X7" s="557"/>
      <c r="Y7" s="558"/>
      <c r="Z7" s="558"/>
      <c r="AA7" s="558"/>
      <c r="AB7" s="558"/>
      <c r="AC7" s="557"/>
      <c r="AD7" s="564"/>
      <c r="AE7" s="564"/>
      <c r="AF7" s="564"/>
      <c r="AG7" s="565"/>
      <c r="AH7" s="566"/>
      <c r="AI7" s="564"/>
      <c r="AJ7" s="564"/>
      <c r="AK7" s="564"/>
      <c r="AL7" s="556"/>
      <c r="AM7" s="557"/>
      <c r="AN7" s="564"/>
      <c r="AO7" s="564"/>
      <c r="AP7" s="564"/>
      <c r="AQ7" s="565"/>
      <c r="AR7" s="566"/>
      <c r="AS7" s="757" t="s">
        <v>253</v>
      </c>
    </row>
    <row r="8" spans="1:45" s="561" customFormat="1" ht="21.75" customHeight="1">
      <c r="A8" s="547">
        <f>A7+1</f>
        <v>5</v>
      </c>
      <c r="B8" s="547" t="s">
        <v>20</v>
      </c>
      <c r="C8" s="830" t="s">
        <v>1232</v>
      </c>
      <c r="D8" s="829" t="s">
        <v>1233</v>
      </c>
      <c r="E8" s="920" t="s">
        <v>1234</v>
      </c>
      <c r="F8" s="782">
        <v>46058</v>
      </c>
      <c r="G8" s="551"/>
      <c r="H8" s="551">
        <f t="shared" si="0"/>
        <v>7</v>
      </c>
      <c r="I8" s="552"/>
      <c r="J8" s="553"/>
      <c r="K8" s="553"/>
      <c r="L8" s="554"/>
      <c r="M8" s="664" t="s">
        <v>81</v>
      </c>
      <c r="N8" s="563" t="s">
        <v>1235</v>
      </c>
      <c r="O8" s="551"/>
      <c r="P8" s="551"/>
      <c r="Q8" s="551"/>
      <c r="R8" s="556"/>
      <c r="S8" s="557"/>
      <c r="T8" s="551"/>
      <c r="U8" s="558"/>
      <c r="V8" s="558"/>
      <c r="W8" s="556"/>
      <c r="X8" s="557"/>
      <c r="Y8" s="558"/>
      <c r="Z8" s="558"/>
      <c r="AA8" s="558"/>
      <c r="AB8" s="558"/>
      <c r="AC8" s="557"/>
      <c r="AD8" s="558"/>
      <c r="AE8" s="558"/>
      <c r="AF8" s="565"/>
      <c r="AG8" s="565"/>
      <c r="AH8" s="553"/>
      <c r="AI8" s="558"/>
      <c r="AJ8" s="558"/>
      <c r="AK8" s="565"/>
      <c r="AL8" s="565"/>
      <c r="AM8" s="553"/>
      <c r="AN8" s="558"/>
      <c r="AO8" s="558"/>
      <c r="AP8" s="565"/>
      <c r="AQ8" s="565"/>
      <c r="AR8" s="553"/>
      <c r="AS8" s="757" t="s">
        <v>253</v>
      </c>
    </row>
    <row r="9" spans="1:45" s="561" customFormat="1" ht="21.75" customHeight="1">
      <c r="A9" s="547">
        <f>A8+1</f>
        <v>6</v>
      </c>
      <c r="B9" s="547" t="s">
        <v>20</v>
      </c>
      <c r="C9" s="830" t="s">
        <v>1236</v>
      </c>
      <c r="D9" s="829" t="s">
        <v>1237</v>
      </c>
      <c r="E9" s="921"/>
      <c r="F9" s="783">
        <v>46058</v>
      </c>
      <c r="G9" s="551"/>
      <c r="H9" s="551"/>
      <c r="I9" s="552"/>
      <c r="J9" s="553"/>
      <c r="K9" s="553"/>
      <c r="L9" s="554"/>
      <c r="M9" s="664" t="s">
        <v>81</v>
      </c>
      <c r="N9" s="563" t="s">
        <v>1235</v>
      </c>
      <c r="O9" s="551"/>
      <c r="P9" s="551"/>
      <c r="Q9" s="551"/>
      <c r="R9" s="556"/>
      <c r="S9" s="557"/>
      <c r="T9" s="551"/>
      <c r="U9" s="558"/>
      <c r="V9" s="558"/>
      <c r="W9" s="556"/>
      <c r="X9" s="557"/>
      <c r="Y9" s="558"/>
      <c r="Z9" s="558"/>
      <c r="AA9" s="558"/>
      <c r="AB9" s="558"/>
      <c r="AC9" s="557"/>
      <c r="AD9" s="558"/>
      <c r="AE9" s="558"/>
      <c r="AF9" s="565"/>
      <c r="AG9" s="565"/>
      <c r="AH9" s="553"/>
      <c r="AI9" s="558"/>
      <c r="AJ9" s="558"/>
      <c r="AK9" s="565"/>
      <c r="AL9" s="565"/>
      <c r="AM9" s="553"/>
      <c r="AN9" s="558"/>
      <c r="AO9" s="558"/>
      <c r="AP9" s="565"/>
      <c r="AQ9" s="565"/>
      <c r="AR9" s="553"/>
      <c r="AS9" s="757" t="s">
        <v>253</v>
      </c>
    </row>
    <row r="10" spans="1:45" s="561" customFormat="1" ht="21.75" customHeight="1">
      <c r="A10" s="547">
        <f>A9+1</f>
        <v>7</v>
      </c>
      <c r="B10" s="547" t="s">
        <v>20</v>
      </c>
      <c r="C10" s="830" t="s">
        <v>1238</v>
      </c>
      <c r="D10" s="829" t="s">
        <v>1239</v>
      </c>
      <c r="E10" s="549" t="s">
        <v>1240</v>
      </c>
      <c r="F10" s="631">
        <v>46060</v>
      </c>
      <c r="G10" s="551"/>
      <c r="H10" s="551">
        <f t="shared" si="0"/>
        <v>7</v>
      </c>
      <c r="I10" s="552"/>
      <c r="J10" s="553"/>
      <c r="K10" s="553"/>
      <c r="L10" s="554"/>
      <c r="M10" s="664" t="s">
        <v>81</v>
      </c>
      <c r="N10" s="563" t="s">
        <v>1235</v>
      </c>
      <c r="O10" s="551"/>
      <c r="P10" s="551"/>
      <c r="Q10" s="551"/>
      <c r="R10" s="556"/>
      <c r="S10" s="557"/>
      <c r="T10" s="551"/>
      <c r="U10" s="558"/>
      <c r="V10" s="558"/>
      <c r="W10" s="556"/>
      <c r="X10" s="557"/>
      <c r="Y10" s="558"/>
      <c r="Z10" s="558"/>
      <c r="AA10" s="558"/>
      <c r="AB10" s="558"/>
      <c r="AC10" s="557"/>
      <c r="AD10" s="565"/>
      <c r="AE10" s="565"/>
      <c r="AF10" s="565"/>
      <c r="AG10" s="565"/>
      <c r="AH10" s="553"/>
      <c r="AI10" s="565"/>
      <c r="AJ10" s="565"/>
      <c r="AK10" s="565"/>
      <c r="AL10" s="565"/>
      <c r="AM10" s="553"/>
      <c r="AN10" s="565"/>
      <c r="AO10" s="565"/>
      <c r="AP10" s="565"/>
      <c r="AQ10" s="565"/>
      <c r="AR10" s="553"/>
      <c r="AS10" s="757" t="s">
        <v>253</v>
      </c>
    </row>
    <row r="11" spans="1:45" s="561" customFormat="1" ht="21.75" customHeight="1">
      <c r="A11" s="547">
        <f>A10+1</f>
        <v>8</v>
      </c>
      <c r="B11" s="547" t="s">
        <v>20</v>
      </c>
      <c r="C11" s="830" t="s">
        <v>1241</v>
      </c>
      <c r="D11" s="829" t="s">
        <v>1242</v>
      </c>
      <c r="E11" s="549" t="s">
        <v>1243</v>
      </c>
      <c r="F11" s="550">
        <v>46078</v>
      </c>
      <c r="G11" s="551"/>
      <c r="H11" s="551">
        <f t="shared" si="0"/>
        <v>7</v>
      </c>
      <c r="I11" s="552"/>
      <c r="J11" s="553"/>
      <c r="K11" s="553"/>
      <c r="L11" s="554"/>
      <c r="M11" s="664" t="s">
        <v>81</v>
      </c>
      <c r="N11" s="563" t="s">
        <v>1244</v>
      </c>
      <c r="O11" s="551"/>
      <c r="P11" s="551"/>
      <c r="Q11" s="551"/>
      <c r="R11" s="556"/>
      <c r="S11" s="557"/>
      <c r="T11" s="551"/>
      <c r="U11" s="558"/>
      <c r="V11" s="558"/>
      <c r="W11" s="558"/>
      <c r="X11" s="557"/>
      <c r="Y11" s="558"/>
      <c r="Z11" s="558"/>
      <c r="AA11" s="558"/>
      <c r="AB11" s="558"/>
      <c r="AC11" s="557"/>
      <c r="AD11" s="565"/>
      <c r="AE11" s="565"/>
      <c r="AF11" s="565"/>
      <c r="AG11" s="565"/>
      <c r="AH11" s="566"/>
      <c r="AI11" s="565"/>
      <c r="AJ11" s="565"/>
      <c r="AK11" s="565"/>
      <c r="AL11" s="565"/>
      <c r="AM11" s="553"/>
      <c r="AN11" s="565"/>
      <c r="AO11" s="565"/>
      <c r="AP11" s="565"/>
      <c r="AQ11" s="565"/>
      <c r="AR11" s="553"/>
      <c r="AS11" s="757" t="s">
        <v>253</v>
      </c>
    </row>
    <row r="12" spans="1:45" s="561" customFormat="1" ht="21.75" customHeight="1">
      <c r="A12" s="547">
        <f t="shared" ref="A12:A27" si="3">A11+1</f>
        <v>9</v>
      </c>
      <c r="B12" s="547" t="s">
        <v>20</v>
      </c>
      <c r="C12" s="830" t="s">
        <v>1245</v>
      </c>
      <c r="D12" s="829" t="s">
        <v>1246</v>
      </c>
      <c r="E12" s="549" t="s">
        <v>1247</v>
      </c>
      <c r="F12" s="550">
        <f>F18+14</f>
        <v>46083</v>
      </c>
      <c r="G12" s="551"/>
      <c r="H12" s="551">
        <f t="shared" si="0"/>
        <v>7</v>
      </c>
      <c r="I12" s="552"/>
      <c r="J12" s="553"/>
      <c r="K12" s="553"/>
      <c r="L12" s="554"/>
      <c r="M12" s="664" t="s">
        <v>81</v>
      </c>
      <c r="N12" s="563" t="s">
        <v>1248</v>
      </c>
      <c r="O12" s="551"/>
      <c r="P12" s="551"/>
      <c r="Q12" s="551"/>
      <c r="R12" s="556"/>
      <c r="S12" s="557"/>
      <c r="T12" s="551"/>
      <c r="U12" s="558"/>
      <c r="V12" s="558"/>
      <c r="W12" s="558"/>
      <c r="X12" s="557"/>
      <c r="Y12" s="558"/>
      <c r="Z12" s="558"/>
      <c r="AA12" s="558"/>
      <c r="AB12" s="558"/>
      <c r="AC12" s="557"/>
      <c r="AD12" s="559"/>
      <c r="AE12" s="559"/>
      <c r="AF12" s="559"/>
      <c r="AG12" s="559"/>
      <c r="AH12" s="560"/>
      <c r="AI12" s="559"/>
      <c r="AJ12" s="559"/>
      <c r="AK12" s="559"/>
      <c r="AL12" s="559"/>
      <c r="AM12" s="560"/>
      <c r="AN12" s="559"/>
      <c r="AO12" s="559"/>
      <c r="AP12" s="559"/>
      <c r="AQ12" s="559"/>
      <c r="AR12" s="560"/>
      <c r="AS12" s="757" t="s">
        <v>82</v>
      </c>
    </row>
    <row r="13" spans="1:45" s="561" customFormat="1" ht="21.75" customHeight="1">
      <c r="A13" s="547">
        <f t="shared" si="3"/>
        <v>10</v>
      </c>
      <c r="B13" s="547" t="s">
        <v>20</v>
      </c>
      <c r="C13" s="831" t="s">
        <v>1249</v>
      </c>
      <c r="D13" s="829" t="s">
        <v>1250</v>
      </c>
      <c r="E13" s="549" t="s">
        <v>1251</v>
      </c>
      <c r="F13" s="550">
        <v>46062</v>
      </c>
      <c r="G13" s="551">
        <v>46062</v>
      </c>
      <c r="H13" s="551">
        <f t="shared" ref="H13" si="4">G13+7</f>
        <v>46069</v>
      </c>
      <c r="I13" s="552">
        <v>0</v>
      </c>
      <c r="J13" s="553" t="s">
        <v>56</v>
      </c>
      <c r="K13" s="553" t="s">
        <v>48</v>
      </c>
      <c r="L13" s="554">
        <v>46065</v>
      </c>
      <c r="M13" s="664" t="s">
        <v>81</v>
      </c>
      <c r="N13" s="788"/>
      <c r="O13" s="551">
        <v>46062</v>
      </c>
      <c r="P13" s="551">
        <v>46065</v>
      </c>
      <c r="Q13" s="551"/>
      <c r="R13" s="556"/>
      <c r="S13" s="557" t="s">
        <v>48</v>
      </c>
      <c r="T13" s="551"/>
      <c r="U13" s="558"/>
      <c r="V13" s="558"/>
      <c r="W13" s="558"/>
      <c r="X13" s="557"/>
      <c r="Y13" s="558"/>
      <c r="Z13" s="558"/>
      <c r="AA13" s="558"/>
      <c r="AB13" s="558"/>
      <c r="AC13" s="557"/>
      <c r="AD13" s="559"/>
      <c r="AE13" s="559"/>
      <c r="AF13" s="559"/>
      <c r="AG13" s="559"/>
      <c r="AH13" s="560"/>
      <c r="AI13" s="559"/>
      <c r="AJ13" s="559"/>
      <c r="AK13" s="559"/>
      <c r="AL13" s="559"/>
      <c r="AM13" s="560"/>
      <c r="AN13" s="559"/>
      <c r="AO13" s="559"/>
      <c r="AP13" s="559"/>
      <c r="AQ13" s="559"/>
      <c r="AR13" s="560"/>
      <c r="AS13" s="757" t="s">
        <v>82</v>
      </c>
    </row>
    <row r="14" spans="1:45" s="561" customFormat="1" ht="21.75" customHeight="1">
      <c r="A14" s="547">
        <f t="shared" si="3"/>
        <v>11</v>
      </c>
      <c r="B14" s="547" t="s">
        <v>20</v>
      </c>
      <c r="C14" s="830" t="s">
        <v>1252</v>
      </c>
      <c r="D14" s="829" t="s">
        <v>1253</v>
      </c>
      <c r="E14" s="549" t="s">
        <v>1254</v>
      </c>
      <c r="F14" s="550">
        <f>F16+7</f>
        <v>46097</v>
      </c>
      <c r="G14" s="551"/>
      <c r="H14" s="551">
        <f t="shared" si="0"/>
        <v>7</v>
      </c>
      <c r="I14" s="552"/>
      <c r="J14" s="553"/>
      <c r="K14" s="553"/>
      <c r="L14" s="554"/>
      <c r="M14" s="660" t="s">
        <v>81</v>
      </c>
      <c r="N14" s="567"/>
      <c r="O14" s="551"/>
      <c r="P14" s="551"/>
      <c r="Q14" s="551"/>
      <c r="R14" s="556"/>
      <c r="S14" s="557"/>
      <c r="T14" s="551"/>
      <c r="U14" s="558"/>
      <c r="V14" s="558"/>
      <c r="W14" s="558"/>
      <c r="X14" s="557"/>
      <c r="Y14" s="558"/>
      <c r="Z14" s="558"/>
      <c r="AA14" s="558"/>
      <c r="AB14" s="558"/>
      <c r="AC14" s="557"/>
      <c r="AD14" s="559"/>
      <c r="AE14" s="559"/>
      <c r="AF14" s="559"/>
      <c r="AG14" s="559"/>
      <c r="AH14" s="560"/>
      <c r="AI14" s="559"/>
      <c r="AJ14" s="559"/>
      <c r="AK14" s="559"/>
      <c r="AL14" s="559"/>
      <c r="AM14" s="560"/>
      <c r="AN14" s="559"/>
      <c r="AO14" s="559"/>
      <c r="AP14" s="559"/>
      <c r="AQ14" s="559"/>
      <c r="AR14" s="560"/>
      <c r="AS14" s="757" t="s">
        <v>82</v>
      </c>
    </row>
    <row r="15" spans="1:45" s="561" customFormat="1" ht="21.75" customHeight="1">
      <c r="A15" s="547">
        <f t="shared" si="3"/>
        <v>12</v>
      </c>
      <c r="B15" s="547" t="s">
        <v>20</v>
      </c>
      <c r="C15" s="830" t="s">
        <v>1255</v>
      </c>
      <c r="D15" s="829" t="s">
        <v>1256</v>
      </c>
      <c r="E15" s="549" t="s">
        <v>1257</v>
      </c>
      <c r="F15" s="550">
        <f>F25</f>
        <v>46118</v>
      </c>
      <c r="G15" s="551"/>
      <c r="H15" s="551">
        <f t="shared" si="0"/>
        <v>7</v>
      </c>
      <c r="I15" s="552"/>
      <c r="J15" s="553"/>
      <c r="K15" s="553"/>
      <c r="L15" s="554"/>
      <c r="M15" s="664" t="s">
        <v>81</v>
      </c>
      <c r="N15" s="562"/>
      <c r="O15" s="551"/>
      <c r="P15" s="551"/>
      <c r="Q15" s="551"/>
      <c r="R15" s="556"/>
      <c r="S15" s="557"/>
      <c r="T15" s="551"/>
      <c r="U15" s="558"/>
      <c r="V15" s="558"/>
      <c r="W15" s="558"/>
      <c r="X15" s="557"/>
      <c r="Y15" s="558"/>
      <c r="Z15" s="558"/>
      <c r="AA15" s="558"/>
      <c r="AB15" s="558"/>
      <c r="AC15" s="557"/>
      <c r="AD15" s="559"/>
      <c r="AE15" s="559"/>
      <c r="AF15" s="559"/>
      <c r="AG15" s="559"/>
      <c r="AH15" s="560"/>
      <c r="AI15" s="559"/>
      <c r="AJ15" s="559"/>
      <c r="AK15" s="559"/>
      <c r="AL15" s="559"/>
      <c r="AM15" s="560"/>
      <c r="AN15" s="559"/>
      <c r="AO15" s="559"/>
      <c r="AP15" s="559"/>
      <c r="AQ15" s="559"/>
      <c r="AR15" s="560"/>
      <c r="AS15" s="757" t="s">
        <v>82</v>
      </c>
    </row>
    <row r="16" spans="1:45" s="561" customFormat="1" ht="21.75" customHeight="1">
      <c r="A16" s="547">
        <f t="shared" si="3"/>
        <v>13</v>
      </c>
      <c r="B16" s="547" t="s">
        <v>20</v>
      </c>
      <c r="C16" s="830" t="s">
        <v>1258</v>
      </c>
      <c r="D16" s="829" t="s">
        <v>1259</v>
      </c>
      <c r="E16" s="549" t="s">
        <v>1260</v>
      </c>
      <c r="F16" s="550">
        <f>F12+7</f>
        <v>46090</v>
      </c>
      <c r="G16" s="551"/>
      <c r="H16" s="551">
        <f t="shared" si="0"/>
        <v>7</v>
      </c>
      <c r="I16" s="552"/>
      <c r="J16" s="553"/>
      <c r="K16" s="553"/>
      <c r="L16" s="554"/>
      <c r="M16" s="664" t="s">
        <v>81</v>
      </c>
      <c r="N16" s="563" t="s">
        <v>1261</v>
      </c>
      <c r="O16" s="551"/>
      <c r="P16" s="551"/>
      <c r="Q16" s="551"/>
      <c r="R16" s="556"/>
      <c r="S16" s="557"/>
      <c r="T16" s="551"/>
      <c r="U16" s="558"/>
      <c r="V16" s="558"/>
      <c r="W16" s="558"/>
      <c r="X16" s="557"/>
      <c r="Y16" s="558"/>
      <c r="Z16" s="558"/>
      <c r="AA16" s="558"/>
      <c r="AB16" s="558"/>
      <c r="AC16" s="557"/>
      <c r="AD16" s="559"/>
      <c r="AE16" s="559"/>
      <c r="AF16" s="559"/>
      <c r="AG16" s="559"/>
      <c r="AH16" s="560"/>
      <c r="AI16" s="559"/>
      <c r="AJ16" s="559"/>
      <c r="AK16" s="559"/>
      <c r="AL16" s="559"/>
      <c r="AM16" s="560"/>
      <c r="AN16" s="559"/>
      <c r="AO16" s="559"/>
      <c r="AP16" s="559"/>
      <c r="AQ16" s="559"/>
      <c r="AR16" s="560"/>
      <c r="AS16" s="757" t="s">
        <v>82</v>
      </c>
    </row>
    <row r="17" spans="1:45" s="561" customFormat="1" ht="21.75" customHeight="1">
      <c r="A17" s="547">
        <f t="shared" si="3"/>
        <v>14</v>
      </c>
      <c r="B17" s="547" t="s">
        <v>20</v>
      </c>
      <c r="C17" s="830" t="s">
        <v>1262</v>
      </c>
      <c r="D17" s="829" t="s">
        <v>1263</v>
      </c>
      <c r="E17" s="549" t="s">
        <v>1264</v>
      </c>
      <c r="F17" s="550">
        <f>F16</f>
        <v>46090</v>
      </c>
      <c r="G17" s="551"/>
      <c r="H17" s="551">
        <f t="shared" si="0"/>
        <v>7</v>
      </c>
      <c r="I17" s="552"/>
      <c r="J17" s="553"/>
      <c r="K17" s="553"/>
      <c r="L17" s="554"/>
      <c r="M17" s="664" t="s">
        <v>81</v>
      </c>
      <c r="N17" s="562"/>
      <c r="O17" s="551"/>
      <c r="P17" s="551"/>
      <c r="Q17" s="551"/>
      <c r="R17" s="556"/>
      <c r="S17" s="557"/>
      <c r="T17" s="551"/>
      <c r="U17" s="558"/>
      <c r="V17" s="558"/>
      <c r="W17" s="558"/>
      <c r="X17" s="557"/>
      <c r="Y17" s="558"/>
      <c r="Z17" s="558"/>
      <c r="AA17" s="558"/>
      <c r="AB17" s="558"/>
      <c r="AC17" s="557"/>
      <c r="AD17" s="559"/>
      <c r="AE17" s="559"/>
      <c r="AF17" s="559"/>
      <c r="AG17" s="559"/>
      <c r="AH17" s="560"/>
      <c r="AI17" s="559"/>
      <c r="AJ17" s="559"/>
      <c r="AK17" s="559"/>
      <c r="AL17" s="559"/>
      <c r="AM17" s="560"/>
      <c r="AN17" s="559"/>
      <c r="AO17" s="559"/>
      <c r="AP17" s="559"/>
      <c r="AQ17" s="559"/>
      <c r="AR17" s="560"/>
      <c r="AS17" s="757" t="s">
        <v>82</v>
      </c>
    </row>
    <row r="18" spans="1:45" s="561" customFormat="1" ht="21.75" customHeight="1">
      <c r="A18" s="547">
        <f t="shared" si="3"/>
        <v>15</v>
      </c>
      <c r="B18" s="547" t="s">
        <v>20</v>
      </c>
      <c r="C18" s="825" t="s">
        <v>1265</v>
      </c>
      <c r="D18" s="829" t="s">
        <v>1266</v>
      </c>
      <c r="E18" s="549" t="s">
        <v>1267</v>
      </c>
      <c r="F18" s="550">
        <f>F13+7</f>
        <v>46069</v>
      </c>
      <c r="G18" s="551"/>
      <c r="H18" s="551">
        <f t="shared" si="0"/>
        <v>7</v>
      </c>
      <c r="I18" s="552"/>
      <c r="J18" s="553"/>
      <c r="K18" s="553"/>
      <c r="L18" s="554"/>
      <c r="M18" s="664" t="s">
        <v>81</v>
      </c>
      <c r="N18" s="563" t="s">
        <v>1268</v>
      </c>
      <c r="O18" s="551"/>
      <c r="P18" s="551"/>
      <c r="Q18" s="551"/>
      <c r="R18" s="556"/>
      <c r="S18" s="557"/>
      <c r="T18" s="551"/>
      <c r="U18" s="558"/>
      <c r="V18" s="558"/>
      <c r="W18" s="558"/>
      <c r="X18" s="557"/>
      <c r="Y18" s="558"/>
      <c r="Z18" s="558"/>
      <c r="AA18" s="558"/>
      <c r="AB18" s="558"/>
      <c r="AC18" s="557"/>
      <c r="AD18" s="559"/>
      <c r="AE18" s="559"/>
      <c r="AF18" s="559"/>
      <c r="AG18" s="559"/>
      <c r="AH18" s="560"/>
      <c r="AI18" s="559"/>
      <c r="AJ18" s="559"/>
      <c r="AK18" s="559"/>
      <c r="AL18" s="559"/>
      <c r="AM18" s="560"/>
      <c r="AN18" s="559"/>
      <c r="AO18" s="559"/>
      <c r="AP18" s="559"/>
      <c r="AQ18" s="559"/>
      <c r="AR18" s="560"/>
      <c r="AS18" s="757" t="s">
        <v>253</v>
      </c>
    </row>
    <row r="19" spans="1:45" s="561" customFormat="1" ht="21.75" customHeight="1">
      <c r="A19" s="547">
        <f t="shared" si="3"/>
        <v>16</v>
      </c>
      <c r="B19" s="547" t="s">
        <v>20</v>
      </c>
      <c r="C19" s="825" t="s">
        <v>1269</v>
      </c>
      <c r="D19" s="829" t="s">
        <v>1270</v>
      </c>
      <c r="E19" s="549" t="s">
        <v>1271</v>
      </c>
      <c r="F19" s="550">
        <f>F18</f>
        <v>46069</v>
      </c>
      <c r="G19" s="551"/>
      <c r="H19" s="551">
        <f t="shared" si="0"/>
        <v>7</v>
      </c>
      <c r="I19" s="552"/>
      <c r="J19" s="553"/>
      <c r="K19" s="553"/>
      <c r="L19" s="554"/>
      <c r="M19" s="664" t="s">
        <v>81</v>
      </c>
      <c r="N19" s="562"/>
      <c r="O19" s="551"/>
      <c r="P19" s="551"/>
      <c r="Q19" s="551"/>
      <c r="R19" s="556"/>
      <c r="S19" s="557"/>
      <c r="T19" s="551"/>
      <c r="U19" s="558"/>
      <c r="V19" s="558"/>
      <c r="W19" s="558"/>
      <c r="X19" s="557"/>
      <c r="Y19" s="558"/>
      <c r="Z19" s="558"/>
      <c r="AA19" s="558"/>
      <c r="AB19" s="558"/>
      <c r="AC19" s="557"/>
      <c r="AD19" s="564"/>
      <c r="AE19" s="564"/>
      <c r="AF19" s="564"/>
      <c r="AG19" s="564"/>
      <c r="AH19" s="566"/>
      <c r="AI19" s="564"/>
      <c r="AJ19" s="564"/>
      <c r="AK19" s="564"/>
      <c r="AL19" s="564"/>
      <c r="AM19" s="566"/>
      <c r="AN19" s="564"/>
      <c r="AO19" s="564"/>
      <c r="AP19" s="564"/>
      <c r="AQ19" s="564"/>
      <c r="AR19" s="566"/>
      <c r="AS19" s="757" t="s">
        <v>82</v>
      </c>
    </row>
    <row r="20" spans="1:45" s="561" customFormat="1" ht="21.75" customHeight="1">
      <c r="A20" s="547">
        <f t="shared" si="3"/>
        <v>17</v>
      </c>
      <c r="B20" s="547" t="s">
        <v>20</v>
      </c>
      <c r="C20" s="825" t="s">
        <v>1272</v>
      </c>
      <c r="D20" s="829" t="s">
        <v>1273</v>
      </c>
      <c r="E20" s="549" t="s">
        <v>1274</v>
      </c>
      <c r="F20" s="550">
        <f>F19</f>
        <v>46069</v>
      </c>
      <c r="G20" s="551"/>
      <c r="H20" s="551">
        <f t="shared" si="0"/>
        <v>7</v>
      </c>
      <c r="I20" s="552"/>
      <c r="J20" s="553"/>
      <c r="K20" s="553"/>
      <c r="L20" s="554"/>
      <c r="M20" s="664" t="s">
        <v>81</v>
      </c>
      <c r="N20" s="562"/>
      <c r="O20" s="551"/>
      <c r="P20" s="551"/>
      <c r="Q20" s="551"/>
      <c r="R20" s="556"/>
      <c r="S20" s="557"/>
      <c r="T20" s="551"/>
      <c r="U20" s="558"/>
      <c r="V20" s="558"/>
      <c r="W20" s="558"/>
      <c r="X20" s="557"/>
      <c r="Y20" s="558"/>
      <c r="Z20" s="558"/>
      <c r="AA20" s="558"/>
      <c r="AB20" s="558"/>
      <c r="AC20" s="557"/>
      <c r="AD20" s="564"/>
      <c r="AE20" s="564"/>
      <c r="AF20" s="564"/>
      <c r="AG20" s="564"/>
      <c r="AH20" s="566"/>
      <c r="AI20" s="564"/>
      <c r="AJ20" s="564"/>
      <c r="AK20" s="564"/>
      <c r="AL20" s="564"/>
      <c r="AM20" s="566"/>
      <c r="AN20" s="564"/>
      <c r="AO20" s="564"/>
      <c r="AP20" s="564"/>
      <c r="AQ20" s="564"/>
      <c r="AR20" s="566"/>
      <c r="AS20" s="757" t="s">
        <v>253</v>
      </c>
    </row>
    <row r="21" spans="1:45" ht="21.75" customHeight="1">
      <c r="A21" s="547">
        <f t="shared" si="3"/>
        <v>18</v>
      </c>
      <c r="B21" s="547" t="s">
        <v>20</v>
      </c>
      <c r="C21" s="825" t="s">
        <v>1275</v>
      </c>
      <c r="D21" s="829" t="s">
        <v>1276</v>
      </c>
      <c r="E21" s="549" t="s">
        <v>1277</v>
      </c>
      <c r="F21" s="550">
        <f>F14+14</f>
        <v>46111</v>
      </c>
      <c r="G21" s="551"/>
      <c r="H21" s="551">
        <f t="shared" si="0"/>
        <v>7</v>
      </c>
      <c r="I21" s="552"/>
      <c r="J21" s="553"/>
      <c r="K21" s="553"/>
      <c r="L21" s="554"/>
      <c r="M21" s="664" t="s">
        <v>81</v>
      </c>
      <c r="N21" s="563" t="s">
        <v>1268</v>
      </c>
      <c r="O21" s="551"/>
      <c r="P21" s="551"/>
      <c r="Q21" s="551"/>
      <c r="R21" s="556"/>
      <c r="S21" s="557"/>
      <c r="T21" s="551"/>
      <c r="U21" s="558"/>
      <c r="V21" s="558"/>
      <c r="W21" s="558"/>
      <c r="X21" s="557"/>
      <c r="Y21" s="558"/>
      <c r="Z21" s="558"/>
      <c r="AA21" s="558"/>
      <c r="AB21" s="556"/>
      <c r="AC21" s="557"/>
      <c r="AD21" s="564"/>
      <c r="AE21" s="564"/>
      <c r="AF21" s="564"/>
      <c r="AG21" s="564"/>
      <c r="AH21" s="566"/>
      <c r="AI21" s="564"/>
      <c r="AJ21" s="564"/>
      <c r="AK21" s="564"/>
      <c r="AL21" s="564"/>
      <c r="AM21" s="566"/>
      <c r="AN21" s="564"/>
      <c r="AO21" s="564"/>
      <c r="AP21" s="564"/>
      <c r="AQ21" s="564"/>
      <c r="AR21" s="566"/>
      <c r="AS21" s="757" t="s">
        <v>253</v>
      </c>
    </row>
    <row r="22" spans="1:45" ht="21.75" customHeight="1">
      <c r="A22" s="547">
        <f t="shared" si="3"/>
        <v>19</v>
      </c>
      <c r="B22" s="547" t="s">
        <v>20</v>
      </c>
      <c r="C22" s="825" t="s">
        <v>1278</v>
      </c>
      <c r="D22" s="829" t="s">
        <v>1279</v>
      </c>
      <c r="E22" s="549" t="s">
        <v>1280</v>
      </c>
      <c r="F22" s="550">
        <f>F21</f>
        <v>46111</v>
      </c>
      <c r="G22" s="551"/>
      <c r="H22" s="551">
        <f t="shared" si="0"/>
        <v>7</v>
      </c>
      <c r="I22" s="552"/>
      <c r="J22" s="553"/>
      <c r="K22" s="553"/>
      <c r="L22" s="554"/>
      <c r="M22" s="664" t="s">
        <v>81</v>
      </c>
      <c r="N22" s="562"/>
      <c r="O22" s="551"/>
      <c r="P22" s="551"/>
      <c r="Q22" s="551"/>
      <c r="R22" s="558"/>
      <c r="S22" s="557"/>
      <c r="T22" s="551"/>
      <c r="U22" s="558"/>
      <c r="V22" s="558"/>
      <c r="W22" s="558"/>
      <c r="X22" s="557"/>
      <c r="Y22" s="558"/>
      <c r="Z22" s="558"/>
      <c r="AA22" s="558"/>
      <c r="AB22" s="558"/>
      <c r="AC22" s="557"/>
      <c r="AD22" s="564"/>
      <c r="AE22" s="564"/>
      <c r="AF22" s="564"/>
      <c r="AG22" s="564"/>
      <c r="AH22" s="566"/>
      <c r="AI22" s="564"/>
      <c r="AJ22" s="564"/>
      <c r="AK22" s="564"/>
      <c r="AL22" s="564"/>
      <c r="AM22" s="566"/>
      <c r="AN22" s="564"/>
      <c r="AO22" s="564"/>
      <c r="AP22" s="564"/>
      <c r="AQ22" s="564"/>
      <c r="AR22" s="566"/>
      <c r="AS22" s="757" t="s">
        <v>82</v>
      </c>
    </row>
    <row r="23" spans="1:45" ht="21.75" customHeight="1">
      <c r="A23" s="547">
        <f t="shared" si="3"/>
        <v>20</v>
      </c>
      <c r="B23" s="547" t="s">
        <v>20</v>
      </c>
      <c r="C23" s="825" t="s">
        <v>1281</v>
      </c>
      <c r="D23" s="829" t="s">
        <v>1282</v>
      </c>
      <c r="E23" s="549" t="s">
        <v>1283</v>
      </c>
      <c r="F23" s="550">
        <f>F22</f>
        <v>46111</v>
      </c>
      <c r="G23" s="551"/>
      <c r="H23" s="551">
        <f t="shared" si="0"/>
        <v>7</v>
      </c>
      <c r="I23" s="552"/>
      <c r="J23" s="553"/>
      <c r="K23" s="553"/>
      <c r="L23" s="554"/>
      <c r="M23" s="664" t="s">
        <v>81</v>
      </c>
      <c r="N23" s="562"/>
      <c r="O23" s="551"/>
      <c r="P23" s="551"/>
      <c r="Q23" s="551"/>
      <c r="R23" s="558"/>
      <c r="S23" s="557"/>
      <c r="T23" s="551"/>
      <c r="U23" s="558"/>
      <c r="V23" s="558"/>
      <c r="W23" s="558"/>
      <c r="X23" s="557"/>
      <c r="Y23" s="558"/>
      <c r="Z23" s="558"/>
      <c r="AA23" s="558"/>
      <c r="AB23" s="558"/>
      <c r="AC23" s="557"/>
      <c r="AD23" s="564"/>
      <c r="AE23" s="564"/>
      <c r="AF23" s="564"/>
      <c r="AG23" s="564"/>
      <c r="AH23" s="566"/>
      <c r="AI23" s="564"/>
      <c r="AJ23" s="564"/>
      <c r="AK23" s="564"/>
      <c r="AL23" s="564"/>
      <c r="AM23" s="566"/>
      <c r="AN23" s="564"/>
      <c r="AO23" s="564"/>
      <c r="AP23" s="564"/>
      <c r="AQ23" s="564"/>
      <c r="AR23" s="566"/>
      <c r="AS23" s="757" t="s">
        <v>253</v>
      </c>
    </row>
    <row r="24" spans="1:45" ht="21.75" customHeight="1">
      <c r="A24" s="547">
        <f t="shared" si="3"/>
        <v>21</v>
      </c>
      <c r="B24" s="547" t="s">
        <v>20</v>
      </c>
      <c r="C24" s="825" t="s">
        <v>1284</v>
      </c>
      <c r="D24" s="829" t="s">
        <v>1285</v>
      </c>
      <c r="E24" s="549" t="s">
        <v>1286</v>
      </c>
      <c r="F24" s="550">
        <f>F23+7</f>
        <v>46118</v>
      </c>
      <c r="G24" s="551"/>
      <c r="H24" s="551">
        <f t="shared" si="0"/>
        <v>7</v>
      </c>
      <c r="I24" s="552"/>
      <c r="J24" s="553"/>
      <c r="K24" s="553"/>
      <c r="L24" s="554"/>
      <c r="M24" s="664" t="s">
        <v>81</v>
      </c>
      <c r="N24" s="563" t="s">
        <v>1268</v>
      </c>
      <c r="O24" s="551"/>
      <c r="P24" s="551"/>
      <c r="Q24" s="551"/>
      <c r="R24" s="556"/>
      <c r="S24" s="557"/>
      <c r="T24" s="551"/>
      <c r="U24" s="558"/>
      <c r="V24" s="558"/>
      <c r="W24" s="558"/>
      <c r="X24" s="557"/>
      <c r="Y24" s="558"/>
      <c r="Z24" s="558"/>
      <c r="AA24" s="558"/>
      <c r="AB24" s="558"/>
      <c r="AC24" s="557"/>
      <c r="AD24" s="568"/>
      <c r="AE24" s="568"/>
      <c r="AF24" s="568"/>
      <c r="AG24" s="568"/>
      <c r="AH24" s="569"/>
      <c r="AI24" s="568"/>
      <c r="AJ24" s="568"/>
      <c r="AK24" s="568"/>
      <c r="AL24" s="568"/>
      <c r="AM24" s="569"/>
      <c r="AN24" s="568"/>
      <c r="AO24" s="568"/>
      <c r="AP24" s="568"/>
      <c r="AQ24" s="568"/>
      <c r="AR24" s="569"/>
      <c r="AS24" s="757" t="s">
        <v>253</v>
      </c>
    </row>
    <row r="25" spans="1:45" ht="21.75" customHeight="1">
      <c r="A25" s="547">
        <f t="shared" si="3"/>
        <v>22</v>
      </c>
      <c r="B25" s="547" t="s">
        <v>20</v>
      </c>
      <c r="C25" s="825" t="s">
        <v>1287</v>
      </c>
      <c r="D25" s="829" t="s">
        <v>1288</v>
      </c>
      <c r="E25" s="549" t="s">
        <v>1289</v>
      </c>
      <c r="F25" s="550">
        <f>F24</f>
        <v>46118</v>
      </c>
      <c r="G25" s="551"/>
      <c r="H25" s="551">
        <f t="shared" si="0"/>
        <v>7</v>
      </c>
      <c r="I25" s="552"/>
      <c r="J25" s="553"/>
      <c r="K25" s="553"/>
      <c r="L25" s="554"/>
      <c r="M25" s="664" t="s">
        <v>81</v>
      </c>
      <c r="N25" s="562"/>
      <c r="O25" s="551"/>
      <c r="P25" s="551"/>
      <c r="Q25" s="551"/>
      <c r="R25" s="556"/>
      <c r="S25" s="557"/>
      <c r="T25" s="551"/>
      <c r="U25" s="558"/>
      <c r="V25" s="558"/>
      <c r="W25" s="558"/>
      <c r="X25" s="557"/>
      <c r="Y25" s="558"/>
      <c r="Z25" s="558"/>
      <c r="AA25" s="558"/>
      <c r="AB25" s="558"/>
      <c r="AC25" s="557"/>
      <c r="AD25" s="568"/>
      <c r="AE25" s="568"/>
      <c r="AF25" s="568"/>
      <c r="AG25" s="568"/>
      <c r="AH25" s="569"/>
      <c r="AI25" s="568"/>
      <c r="AJ25" s="568"/>
      <c r="AK25" s="568"/>
      <c r="AL25" s="568"/>
      <c r="AM25" s="569"/>
      <c r="AN25" s="568"/>
      <c r="AO25" s="568"/>
      <c r="AP25" s="568"/>
      <c r="AQ25" s="568"/>
      <c r="AR25" s="569"/>
      <c r="AS25" s="757" t="s">
        <v>253</v>
      </c>
    </row>
    <row r="26" spans="1:45" ht="21.75" customHeight="1">
      <c r="A26" s="547">
        <f t="shared" si="3"/>
        <v>23</v>
      </c>
      <c r="B26" s="547" t="s">
        <v>20</v>
      </c>
      <c r="C26" s="825" t="s">
        <v>1290</v>
      </c>
      <c r="D26" s="829" t="s">
        <v>1291</v>
      </c>
      <c r="E26" s="549" t="s">
        <v>1292</v>
      </c>
      <c r="F26" s="550">
        <f>F16+7</f>
        <v>46097</v>
      </c>
      <c r="G26" s="551"/>
      <c r="H26" s="551">
        <f t="shared" si="0"/>
        <v>7</v>
      </c>
      <c r="I26" s="552"/>
      <c r="J26" s="553"/>
      <c r="K26" s="553"/>
      <c r="L26" s="554"/>
      <c r="M26" s="664" t="s">
        <v>81</v>
      </c>
      <c r="N26" s="562"/>
      <c r="O26" s="551"/>
      <c r="P26" s="551"/>
      <c r="Q26" s="551"/>
      <c r="R26" s="558"/>
      <c r="S26" s="557"/>
      <c r="T26" s="551"/>
      <c r="U26" s="558"/>
      <c r="V26" s="558"/>
      <c r="W26" s="558"/>
      <c r="X26" s="557"/>
      <c r="Y26" s="558"/>
      <c r="Z26" s="558"/>
      <c r="AA26" s="558"/>
      <c r="AB26" s="558"/>
      <c r="AC26" s="557"/>
      <c r="AD26" s="564"/>
      <c r="AE26" s="564"/>
      <c r="AF26" s="564"/>
      <c r="AG26" s="564"/>
      <c r="AH26" s="566"/>
      <c r="AI26" s="564"/>
      <c r="AJ26" s="564"/>
      <c r="AK26" s="564"/>
      <c r="AL26" s="564"/>
      <c r="AM26" s="566"/>
      <c r="AN26" s="564"/>
      <c r="AO26" s="564"/>
      <c r="AP26" s="564"/>
      <c r="AQ26" s="564"/>
      <c r="AR26" s="566"/>
      <c r="AS26" s="757" t="s">
        <v>253</v>
      </c>
    </row>
    <row r="27" spans="1:45" ht="21.75" customHeight="1">
      <c r="A27" s="547">
        <f t="shared" si="3"/>
        <v>24</v>
      </c>
      <c r="B27" s="547" t="s">
        <v>20</v>
      </c>
      <c r="C27" s="825" t="s">
        <v>1293</v>
      </c>
      <c r="D27" s="829" t="s">
        <v>1294</v>
      </c>
      <c r="E27" s="549" t="s">
        <v>1295</v>
      </c>
      <c r="F27" s="550">
        <f>F26</f>
        <v>46097</v>
      </c>
      <c r="G27" s="551"/>
      <c r="H27" s="551">
        <f t="shared" si="0"/>
        <v>7</v>
      </c>
      <c r="I27" s="552"/>
      <c r="J27" s="553"/>
      <c r="K27" s="553"/>
      <c r="L27" s="554"/>
      <c r="M27" s="664" t="s">
        <v>81</v>
      </c>
      <c r="N27" s="562"/>
      <c r="O27" s="551"/>
      <c r="P27" s="551"/>
      <c r="Q27" s="551"/>
      <c r="R27" s="558"/>
      <c r="S27" s="557"/>
      <c r="T27" s="551"/>
      <c r="U27" s="558"/>
      <c r="V27" s="558"/>
      <c r="W27" s="558"/>
      <c r="X27" s="557"/>
      <c r="Y27" s="558"/>
      <c r="Z27" s="558"/>
      <c r="AA27" s="558"/>
      <c r="AB27" s="558"/>
      <c r="AC27" s="557"/>
      <c r="AD27" s="564"/>
      <c r="AE27" s="564"/>
      <c r="AF27" s="564"/>
      <c r="AG27" s="564"/>
      <c r="AH27" s="566"/>
      <c r="AI27" s="564"/>
      <c r="AJ27" s="564"/>
      <c r="AK27" s="564"/>
      <c r="AL27" s="564"/>
      <c r="AM27" s="566"/>
      <c r="AN27" s="564"/>
      <c r="AO27" s="564"/>
      <c r="AP27" s="564"/>
      <c r="AQ27" s="564"/>
      <c r="AR27" s="566"/>
      <c r="AS27" s="757" t="s">
        <v>82</v>
      </c>
    </row>
    <row r="28" spans="1:45" ht="21.75" customHeight="1">
      <c r="A28" s="547">
        <f>A27+1</f>
        <v>25</v>
      </c>
      <c r="B28" s="547" t="s">
        <v>20</v>
      </c>
      <c r="C28" s="825" t="s">
        <v>1296</v>
      </c>
      <c r="D28" s="829" t="s">
        <v>1297</v>
      </c>
      <c r="E28" s="549" t="s">
        <v>1298</v>
      </c>
      <c r="F28" s="550">
        <f>F27</f>
        <v>46097</v>
      </c>
      <c r="G28" s="551"/>
      <c r="H28" s="551">
        <f t="shared" si="0"/>
        <v>7</v>
      </c>
      <c r="I28" s="552"/>
      <c r="J28" s="553"/>
      <c r="K28" s="553"/>
      <c r="L28" s="554"/>
      <c r="M28" s="660" t="s">
        <v>81</v>
      </c>
      <c r="N28" s="567"/>
      <c r="O28" s="551"/>
      <c r="P28" s="551"/>
      <c r="Q28" s="551"/>
      <c r="R28" s="556"/>
      <c r="S28" s="557"/>
      <c r="T28" s="551"/>
      <c r="U28" s="558"/>
      <c r="V28" s="558"/>
      <c r="W28" s="558"/>
      <c r="X28" s="557"/>
      <c r="Y28" s="558"/>
      <c r="Z28" s="558"/>
      <c r="AA28" s="558"/>
      <c r="AB28" s="558"/>
      <c r="AC28" s="557"/>
      <c r="AD28" s="564"/>
      <c r="AE28" s="564"/>
      <c r="AF28" s="564"/>
      <c r="AG28" s="564"/>
      <c r="AH28" s="566"/>
      <c r="AI28" s="564"/>
      <c r="AJ28" s="564"/>
      <c r="AK28" s="564"/>
      <c r="AL28" s="564"/>
      <c r="AM28" s="566"/>
      <c r="AN28" s="564"/>
      <c r="AO28" s="564"/>
      <c r="AP28" s="564"/>
      <c r="AQ28" s="564"/>
      <c r="AR28" s="566"/>
      <c r="AS28" s="757" t="s">
        <v>253</v>
      </c>
    </row>
    <row r="29" spans="1:45" ht="21.75" customHeight="1">
      <c r="A29" s="547">
        <f>A28+1</f>
        <v>26</v>
      </c>
      <c r="B29" s="547" t="s">
        <v>20</v>
      </c>
      <c r="C29" s="825" t="s">
        <v>1299</v>
      </c>
      <c r="D29" s="829" t="s">
        <v>1300</v>
      </c>
      <c r="E29" s="549" t="s">
        <v>1301</v>
      </c>
      <c r="F29" s="550">
        <f>F18+7</f>
        <v>46076</v>
      </c>
      <c r="G29" s="551"/>
      <c r="H29" s="551">
        <f t="shared" si="0"/>
        <v>7</v>
      </c>
      <c r="I29" s="552"/>
      <c r="J29" s="553"/>
      <c r="K29" s="553"/>
      <c r="L29" s="554"/>
      <c r="M29" s="664" t="s">
        <v>81</v>
      </c>
      <c r="N29" s="562"/>
      <c r="O29" s="551"/>
      <c r="P29" s="551"/>
      <c r="Q29" s="551"/>
      <c r="R29" s="556"/>
      <c r="S29" s="557"/>
      <c r="T29" s="551"/>
      <c r="U29" s="558"/>
      <c r="V29" s="558"/>
      <c r="W29" s="558"/>
      <c r="X29" s="557"/>
      <c r="Y29" s="558"/>
      <c r="Z29" s="558"/>
      <c r="AA29" s="558"/>
      <c r="AB29" s="558"/>
      <c r="AC29" s="557"/>
      <c r="AD29" s="564"/>
      <c r="AE29" s="564"/>
      <c r="AF29" s="564"/>
      <c r="AG29" s="564"/>
      <c r="AH29" s="566"/>
      <c r="AI29" s="564"/>
      <c r="AJ29" s="564"/>
      <c r="AK29" s="564"/>
      <c r="AL29" s="564"/>
      <c r="AM29" s="566"/>
      <c r="AN29" s="564"/>
      <c r="AO29" s="564"/>
      <c r="AP29" s="564"/>
      <c r="AQ29" s="564"/>
      <c r="AR29" s="566"/>
      <c r="AS29" s="757" t="s">
        <v>253</v>
      </c>
    </row>
    <row r="30" spans="1:45" ht="21.75" customHeight="1">
      <c r="A30" s="547">
        <f>A29+1</f>
        <v>27</v>
      </c>
      <c r="B30" s="547" t="s">
        <v>20</v>
      </c>
      <c r="C30" s="825" t="s">
        <v>1302</v>
      </c>
      <c r="D30" s="829" t="s">
        <v>1303</v>
      </c>
      <c r="E30" s="549" t="s">
        <v>1304</v>
      </c>
      <c r="F30" s="550">
        <f>F29</f>
        <v>46076</v>
      </c>
      <c r="G30" s="551"/>
      <c r="H30" s="551">
        <f t="shared" si="0"/>
        <v>7</v>
      </c>
      <c r="I30" s="552"/>
      <c r="J30" s="553"/>
      <c r="K30" s="553"/>
      <c r="L30" s="554"/>
      <c r="M30" s="664" t="s">
        <v>81</v>
      </c>
      <c r="N30" s="562"/>
      <c r="O30" s="551"/>
      <c r="P30" s="551"/>
      <c r="Q30" s="551"/>
      <c r="R30" s="558"/>
      <c r="S30" s="557"/>
      <c r="T30" s="551"/>
      <c r="U30" s="558"/>
      <c r="V30" s="558"/>
      <c r="W30" s="558"/>
      <c r="X30" s="557"/>
      <c r="Y30" s="558"/>
      <c r="Z30" s="558"/>
      <c r="AA30" s="558"/>
      <c r="AB30" s="558"/>
      <c r="AC30" s="557"/>
      <c r="AD30" s="564"/>
      <c r="AE30" s="564"/>
      <c r="AF30" s="564"/>
      <c r="AG30" s="564"/>
      <c r="AH30" s="566"/>
      <c r="AI30" s="564"/>
      <c r="AJ30" s="564"/>
      <c r="AK30" s="564"/>
      <c r="AL30" s="564"/>
      <c r="AM30" s="566"/>
      <c r="AN30" s="564"/>
      <c r="AO30" s="564"/>
      <c r="AP30" s="564"/>
      <c r="AQ30" s="564"/>
      <c r="AR30" s="566"/>
      <c r="AS30" s="757" t="s">
        <v>82</v>
      </c>
    </row>
    <row r="31" spans="1:45" ht="21.75" customHeight="1">
      <c r="A31" s="547">
        <f t="shared" ref="A31:A55" si="5">A30+1</f>
        <v>28</v>
      </c>
      <c r="B31" s="547" t="s">
        <v>20</v>
      </c>
      <c r="C31" s="825" t="s">
        <v>1305</v>
      </c>
      <c r="D31" s="829" t="s">
        <v>1306</v>
      </c>
      <c r="E31" s="549" t="s">
        <v>1307</v>
      </c>
      <c r="F31" s="550">
        <f>F30</f>
        <v>46076</v>
      </c>
      <c r="G31" s="551"/>
      <c r="H31" s="551">
        <f t="shared" si="0"/>
        <v>7</v>
      </c>
      <c r="I31" s="552"/>
      <c r="J31" s="553"/>
      <c r="K31" s="553"/>
      <c r="L31" s="554"/>
      <c r="M31" s="664" t="s">
        <v>81</v>
      </c>
      <c r="N31" s="562"/>
      <c r="O31" s="551"/>
      <c r="P31" s="551"/>
      <c r="Q31" s="551"/>
      <c r="R31" s="556"/>
      <c r="S31" s="557"/>
      <c r="T31" s="551"/>
      <c r="U31" s="558"/>
      <c r="V31" s="558"/>
      <c r="W31" s="558"/>
      <c r="X31" s="557"/>
      <c r="Y31" s="558"/>
      <c r="Z31" s="558"/>
      <c r="AA31" s="558"/>
      <c r="AB31" s="558"/>
      <c r="AC31" s="557"/>
      <c r="AD31" s="564"/>
      <c r="AE31" s="564"/>
      <c r="AF31" s="564"/>
      <c r="AG31" s="564"/>
      <c r="AH31" s="566"/>
      <c r="AI31" s="564"/>
      <c r="AJ31" s="564"/>
      <c r="AK31" s="564"/>
      <c r="AL31" s="564"/>
      <c r="AM31" s="566"/>
      <c r="AN31" s="564"/>
      <c r="AO31" s="564"/>
      <c r="AP31" s="564"/>
      <c r="AQ31" s="564"/>
      <c r="AR31" s="566"/>
      <c r="AS31" s="757" t="s">
        <v>253</v>
      </c>
    </row>
    <row r="32" spans="1:45" ht="21.75" customHeight="1">
      <c r="A32" s="547">
        <f t="shared" si="5"/>
        <v>29</v>
      </c>
      <c r="B32" s="547" t="s">
        <v>20</v>
      </c>
      <c r="C32" s="825" t="s">
        <v>1308</v>
      </c>
      <c r="D32" s="829" t="s">
        <v>1309</v>
      </c>
      <c r="E32" s="549" t="s">
        <v>1310</v>
      </c>
      <c r="F32" s="550">
        <f>F31</f>
        <v>46076</v>
      </c>
      <c r="G32" s="619"/>
      <c r="H32" s="619">
        <f t="shared" si="0"/>
        <v>7</v>
      </c>
      <c r="I32" s="620"/>
      <c r="J32" s="621"/>
      <c r="K32" s="621"/>
      <c r="L32" s="622"/>
      <c r="M32" s="702" t="s">
        <v>81</v>
      </c>
      <c r="N32" s="562"/>
      <c r="O32" s="551"/>
      <c r="P32" s="551"/>
      <c r="Q32" s="551"/>
      <c r="R32" s="556"/>
      <c r="S32" s="557"/>
      <c r="T32" s="551"/>
      <c r="U32" s="558"/>
      <c r="V32" s="558"/>
      <c r="W32" s="558"/>
      <c r="X32" s="557"/>
      <c r="Y32" s="558"/>
      <c r="Z32" s="558"/>
      <c r="AA32" s="558"/>
      <c r="AB32" s="558"/>
      <c r="AC32" s="557"/>
      <c r="AD32" s="559"/>
      <c r="AE32" s="559"/>
      <c r="AF32" s="559"/>
      <c r="AG32" s="559"/>
      <c r="AH32" s="560"/>
      <c r="AI32" s="559"/>
      <c r="AJ32" s="559"/>
      <c r="AK32" s="559"/>
      <c r="AL32" s="559"/>
      <c r="AM32" s="560"/>
      <c r="AN32" s="559"/>
      <c r="AO32" s="559"/>
      <c r="AP32" s="559"/>
      <c r="AQ32" s="559"/>
      <c r="AR32" s="560"/>
      <c r="AS32" s="757" t="s">
        <v>253</v>
      </c>
    </row>
    <row r="33" spans="1:45" ht="21.75" customHeight="1">
      <c r="A33" s="547">
        <f t="shared" si="5"/>
        <v>30</v>
      </c>
      <c r="B33" s="547" t="s">
        <v>20</v>
      </c>
      <c r="C33" s="825" t="s">
        <v>1311</v>
      </c>
      <c r="D33" s="829" t="s">
        <v>1312</v>
      </c>
      <c r="E33" s="549" t="s">
        <v>1313</v>
      </c>
      <c r="F33" s="697">
        <f>F24</f>
        <v>46118</v>
      </c>
      <c r="G33" s="710"/>
      <c r="H33" s="711">
        <f t="shared" si="0"/>
        <v>7</v>
      </c>
      <c r="I33" s="712"/>
      <c r="J33" s="713"/>
      <c r="K33" s="713"/>
      <c r="L33" s="714"/>
      <c r="M33" s="715" t="s">
        <v>81</v>
      </c>
      <c r="N33" s="570"/>
      <c r="O33" s="551"/>
      <c r="P33" s="551"/>
      <c r="Q33" s="551"/>
      <c r="R33" s="556"/>
      <c r="S33" s="557"/>
      <c r="T33" s="551"/>
      <c r="U33" s="558"/>
      <c r="V33" s="558"/>
      <c r="W33" s="558"/>
      <c r="X33" s="557"/>
      <c r="Y33" s="558"/>
      <c r="Z33" s="558"/>
      <c r="AA33" s="558"/>
      <c r="AB33" s="558"/>
      <c r="AC33" s="557"/>
      <c r="AD33" s="559"/>
      <c r="AE33" s="559"/>
      <c r="AF33" s="559"/>
      <c r="AG33" s="559"/>
      <c r="AH33" s="560"/>
      <c r="AI33" s="559"/>
      <c r="AJ33" s="559"/>
      <c r="AK33" s="559"/>
      <c r="AL33" s="559"/>
      <c r="AM33" s="560"/>
      <c r="AN33" s="559"/>
      <c r="AO33" s="559"/>
      <c r="AP33" s="559"/>
      <c r="AQ33" s="559"/>
      <c r="AR33" s="560"/>
      <c r="AS33" s="757" t="s">
        <v>82</v>
      </c>
    </row>
    <row r="34" spans="1:45" ht="21.75" customHeight="1">
      <c r="A34" s="547">
        <f t="shared" si="5"/>
        <v>31</v>
      </c>
      <c r="B34" s="547" t="s">
        <v>20</v>
      </c>
      <c r="C34" s="825" t="s">
        <v>1314</v>
      </c>
      <c r="D34" s="829" t="s">
        <v>1315</v>
      </c>
      <c r="E34" s="549" t="s">
        <v>1316</v>
      </c>
      <c r="F34" s="697">
        <f>F35+21</f>
        <v>46146</v>
      </c>
      <c r="G34" s="695"/>
      <c r="H34" s="551">
        <f t="shared" si="0"/>
        <v>7</v>
      </c>
      <c r="I34" s="552"/>
      <c r="J34" s="553"/>
      <c r="K34" s="553"/>
      <c r="L34" s="554"/>
      <c r="M34" s="696" t="s">
        <v>81</v>
      </c>
      <c r="N34" s="700"/>
      <c r="O34" s="551"/>
      <c r="P34" s="551"/>
      <c r="Q34" s="551"/>
      <c r="R34" s="556"/>
      <c r="S34" s="557"/>
      <c r="T34" s="551"/>
      <c r="U34" s="558"/>
      <c r="V34" s="558"/>
      <c r="W34" s="558"/>
      <c r="X34" s="557"/>
      <c r="Y34" s="558"/>
      <c r="Z34" s="558"/>
      <c r="AA34" s="558"/>
      <c r="AB34" s="558"/>
      <c r="AC34" s="557"/>
      <c r="AD34" s="559"/>
      <c r="AE34" s="559"/>
      <c r="AF34" s="559"/>
      <c r="AG34" s="559"/>
      <c r="AH34" s="560"/>
      <c r="AI34" s="559"/>
      <c r="AJ34" s="559"/>
      <c r="AK34" s="559"/>
      <c r="AL34" s="559"/>
      <c r="AM34" s="560"/>
      <c r="AN34" s="559"/>
      <c r="AO34" s="559"/>
      <c r="AP34" s="559"/>
      <c r="AQ34" s="559"/>
      <c r="AR34" s="560"/>
      <c r="AS34" s="757" t="s">
        <v>82</v>
      </c>
    </row>
    <row r="35" spans="1:45" ht="21.75" customHeight="1">
      <c r="A35" s="547">
        <f t="shared" si="5"/>
        <v>32</v>
      </c>
      <c r="B35" s="547" t="s">
        <v>20</v>
      </c>
      <c r="C35" s="825" t="s">
        <v>1317</v>
      </c>
      <c r="D35" s="829" t="s">
        <v>1318</v>
      </c>
      <c r="E35" s="549" t="s">
        <v>1319</v>
      </c>
      <c r="F35" s="697">
        <f>F33+7</f>
        <v>46125</v>
      </c>
      <c r="G35" s="695"/>
      <c r="H35" s="551">
        <f t="shared" si="0"/>
        <v>7</v>
      </c>
      <c r="I35" s="552"/>
      <c r="J35" s="553"/>
      <c r="K35" s="553"/>
      <c r="L35" s="554"/>
      <c r="M35" s="696" t="s">
        <v>81</v>
      </c>
      <c r="N35" s="700"/>
      <c r="O35" s="551"/>
      <c r="P35" s="551"/>
      <c r="Q35" s="551"/>
      <c r="R35" s="556"/>
      <c r="S35" s="557"/>
      <c r="T35" s="551"/>
      <c r="U35" s="558"/>
      <c r="V35" s="558"/>
      <c r="W35" s="558"/>
      <c r="X35" s="557"/>
      <c r="Y35" s="558"/>
      <c r="Z35" s="558"/>
      <c r="AA35" s="558"/>
      <c r="AB35" s="558"/>
      <c r="AC35" s="557"/>
      <c r="AD35" s="559"/>
      <c r="AE35" s="559"/>
      <c r="AF35" s="559"/>
      <c r="AG35" s="559"/>
      <c r="AH35" s="560"/>
      <c r="AI35" s="559"/>
      <c r="AJ35" s="559"/>
      <c r="AK35" s="559"/>
      <c r="AL35" s="559"/>
      <c r="AM35" s="560"/>
      <c r="AN35" s="559"/>
      <c r="AO35" s="559"/>
      <c r="AP35" s="559"/>
      <c r="AQ35" s="559"/>
      <c r="AR35" s="560"/>
      <c r="AS35" s="757" t="s">
        <v>82</v>
      </c>
    </row>
    <row r="36" spans="1:45" ht="21.75" customHeight="1">
      <c r="A36" s="547">
        <f t="shared" si="5"/>
        <v>33</v>
      </c>
      <c r="B36" s="547" t="s">
        <v>20</v>
      </c>
      <c r="C36" s="826" t="s">
        <v>1320</v>
      </c>
      <c r="D36" s="829" t="s">
        <v>1321</v>
      </c>
      <c r="E36" s="549" t="s">
        <v>1322</v>
      </c>
      <c r="F36" s="697">
        <f>F34</f>
        <v>46146</v>
      </c>
      <c r="G36" s="695"/>
      <c r="H36" s="551">
        <f t="shared" si="0"/>
        <v>7</v>
      </c>
      <c r="I36" s="552"/>
      <c r="J36" s="553"/>
      <c r="K36" s="553"/>
      <c r="L36" s="554"/>
      <c r="M36" s="696" t="s">
        <v>81</v>
      </c>
      <c r="N36" s="700"/>
      <c r="O36" s="551"/>
      <c r="P36" s="551"/>
      <c r="Q36" s="551"/>
      <c r="R36" s="556"/>
      <c r="S36" s="557"/>
      <c r="T36" s="551"/>
      <c r="U36" s="558"/>
      <c r="V36" s="558"/>
      <c r="W36" s="558"/>
      <c r="X36" s="557"/>
      <c r="Y36" s="558"/>
      <c r="Z36" s="558"/>
      <c r="AA36" s="558"/>
      <c r="AB36" s="558"/>
      <c r="AC36" s="557"/>
      <c r="AD36" s="564"/>
      <c r="AE36" s="564"/>
      <c r="AF36" s="564"/>
      <c r="AG36" s="564"/>
      <c r="AH36" s="566"/>
      <c r="AI36" s="564"/>
      <c r="AJ36" s="564"/>
      <c r="AK36" s="564"/>
      <c r="AL36" s="564"/>
      <c r="AM36" s="566"/>
      <c r="AN36" s="564"/>
      <c r="AO36" s="564"/>
      <c r="AP36" s="564"/>
      <c r="AQ36" s="564"/>
      <c r="AR36" s="566"/>
      <c r="AS36" s="757" t="s">
        <v>82</v>
      </c>
    </row>
    <row r="37" spans="1:45" ht="21.75" customHeight="1">
      <c r="A37" s="547">
        <f t="shared" si="5"/>
        <v>34</v>
      </c>
      <c r="B37" s="548" t="s">
        <v>20</v>
      </c>
      <c r="C37" s="827" t="s">
        <v>1323</v>
      </c>
      <c r="D37" s="829" t="s">
        <v>387</v>
      </c>
      <c r="E37" s="549" t="s">
        <v>1324</v>
      </c>
      <c r="F37" s="697">
        <f>F5+14</f>
        <v>46048</v>
      </c>
      <c r="G37" s="695">
        <v>46048</v>
      </c>
      <c r="H37" s="551">
        <f t="shared" ref="H37" si="6">G37+7</f>
        <v>46055</v>
      </c>
      <c r="I37" s="552">
        <v>0</v>
      </c>
      <c r="J37" s="553" t="s">
        <v>50</v>
      </c>
      <c r="K37" s="553" t="s">
        <v>89</v>
      </c>
      <c r="L37" s="554"/>
      <c r="M37" s="696" t="s">
        <v>81</v>
      </c>
      <c r="N37" s="700"/>
      <c r="O37" s="551">
        <v>46048</v>
      </c>
      <c r="P37" s="551">
        <v>46055</v>
      </c>
      <c r="Q37" s="551"/>
      <c r="R37" s="556"/>
      <c r="S37" s="557"/>
      <c r="T37" s="551"/>
      <c r="U37" s="558"/>
      <c r="V37" s="558"/>
      <c r="W37" s="558"/>
      <c r="X37" s="557"/>
      <c r="Y37" s="558"/>
      <c r="Z37" s="558"/>
      <c r="AA37" s="558"/>
      <c r="AB37" s="558"/>
      <c r="AC37" s="557"/>
      <c r="AD37" s="564"/>
      <c r="AE37" s="564"/>
      <c r="AF37" s="564"/>
      <c r="AG37" s="564"/>
      <c r="AH37" s="566"/>
      <c r="AI37" s="564"/>
      <c r="AJ37" s="564"/>
      <c r="AK37" s="564"/>
      <c r="AL37" s="564"/>
      <c r="AM37" s="566"/>
      <c r="AN37" s="564"/>
      <c r="AO37" s="564"/>
      <c r="AP37" s="564"/>
      <c r="AQ37" s="564"/>
      <c r="AR37" s="566"/>
      <c r="AS37" s="757" t="s">
        <v>82</v>
      </c>
    </row>
    <row r="38" spans="1:45" ht="21.75" customHeight="1">
      <c r="A38" s="547">
        <f t="shared" si="5"/>
        <v>35</v>
      </c>
      <c r="B38" s="548" t="s">
        <v>20</v>
      </c>
      <c r="C38" s="828" t="s">
        <v>1325</v>
      </c>
      <c r="D38" s="829" t="s">
        <v>1326</v>
      </c>
      <c r="E38" s="549" t="s">
        <v>1327</v>
      </c>
      <c r="F38" s="697">
        <f>F16</f>
        <v>46090</v>
      </c>
      <c r="G38" s="695"/>
      <c r="H38" s="551">
        <f t="shared" si="0"/>
        <v>7</v>
      </c>
      <c r="I38" s="552"/>
      <c r="J38" s="553"/>
      <c r="K38" s="553"/>
      <c r="L38" s="554"/>
      <c r="M38" s="696" t="s">
        <v>81</v>
      </c>
      <c r="N38" s="701" t="s">
        <v>1328</v>
      </c>
      <c r="O38" s="551"/>
      <c r="P38" s="551"/>
      <c r="Q38" s="551"/>
      <c r="R38" s="554"/>
      <c r="S38" s="557"/>
      <c r="T38" s="551"/>
      <c r="U38" s="558"/>
      <c r="V38" s="558"/>
      <c r="W38" s="558"/>
      <c r="X38" s="557"/>
      <c r="Y38" s="558"/>
      <c r="Z38" s="558"/>
      <c r="AA38" s="558"/>
      <c r="AB38" s="558"/>
      <c r="AC38" s="557"/>
      <c r="AD38" s="564"/>
      <c r="AE38" s="564"/>
      <c r="AF38" s="564"/>
      <c r="AG38" s="564"/>
      <c r="AH38" s="566"/>
      <c r="AI38" s="564"/>
      <c r="AJ38" s="564"/>
      <c r="AK38" s="564"/>
      <c r="AL38" s="564"/>
      <c r="AM38" s="566"/>
      <c r="AN38" s="564"/>
      <c r="AO38" s="564"/>
      <c r="AP38" s="564"/>
      <c r="AQ38" s="564"/>
      <c r="AR38" s="566"/>
      <c r="AS38" s="757" t="s">
        <v>253</v>
      </c>
    </row>
    <row r="39" spans="1:45" ht="21.75" customHeight="1">
      <c r="A39" s="547">
        <f t="shared" si="5"/>
        <v>36</v>
      </c>
      <c r="B39" s="548" t="s">
        <v>20</v>
      </c>
      <c r="C39" s="828" t="s">
        <v>1329</v>
      </c>
      <c r="D39" s="829" t="s">
        <v>1330</v>
      </c>
      <c r="E39" s="549" t="s">
        <v>1331</v>
      </c>
      <c r="F39" s="697">
        <f>F19+7</f>
        <v>46076</v>
      </c>
      <c r="G39" s="716"/>
      <c r="H39" s="717">
        <f t="shared" si="0"/>
        <v>7</v>
      </c>
      <c r="I39" s="718"/>
      <c r="J39" s="719"/>
      <c r="K39" s="719"/>
      <c r="L39" s="720"/>
      <c r="M39" s="721" t="s">
        <v>81</v>
      </c>
      <c r="N39" s="701" t="s">
        <v>1328</v>
      </c>
      <c r="O39" s="551"/>
      <c r="P39" s="551"/>
      <c r="Q39" s="551"/>
      <c r="R39" s="554"/>
      <c r="S39" s="557"/>
      <c r="T39" s="551"/>
      <c r="U39" s="558"/>
      <c r="V39" s="558"/>
      <c r="W39" s="558"/>
      <c r="X39" s="557"/>
      <c r="Y39" s="558"/>
      <c r="Z39" s="558"/>
      <c r="AA39" s="558"/>
      <c r="AB39" s="558"/>
      <c r="AC39" s="557"/>
      <c r="AD39" s="564"/>
      <c r="AE39" s="564"/>
      <c r="AF39" s="564"/>
      <c r="AG39" s="564"/>
      <c r="AH39" s="566"/>
      <c r="AI39" s="564"/>
      <c r="AJ39" s="564"/>
      <c r="AK39" s="564"/>
      <c r="AL39" s="564"/>
      <c r="AM39" s="566"/>
      <c r="AN39" s="564"/>
      <c r="AO39" s="564"/>
      <c r="AP39" s="564"/>
      <c r="AQ39" s="564"/>
      <c r="AR39" s="566"/>
      <c r="AS39" s="757" t="s">
        <v>253</v>
      </c>
    </row>
    <row r="40" spans="1:45" ht="21.75" customHeight="1">
      <c r="A40" s="617">
        <f t="shared" si="5"/>
        <v>37</v>
      </c>
      <c r="B40" s="627" t="s">
        <v>20</v>
      </c>
      <c r="C40" s="828" t="s">
        <v>1332</v>
      </c>
      <c r="D40" s="832" t="s">
        <v>1333</v>
      </c>
      <c r="E40" s="618" t="s">
        <v>1334</v>
      </c>
      <c r="F40" s="698">
        <f>F38+7</f>
        <v>46097</v>
      </c>
      <c r="G40" s="722"/>
      <c r="H40" s="723">
        <f t="shared" si="0"/>
        <v>7</v>
      </c>
      <c r="I40" s="724"/>
      <c r="J40" s="726"/>
      <c r="K40" s="726"/>
      <c r="L40" s="727"/>
      <c r="M40" s="725" t="s">
        <v>81</v>
      </c>
      <c r="N40" s="701" t="s">
        <v>1328</v>
      </c>
      <c r="O40" s="619"/>
      <c r="P40" s="619"/>
      <c r="Q40" s="619"/>
      <c r="R40" s="622"/>
      <c r="S40" s="623"/>
      <c r="T40" s="619"/>
      <c r="U40" s="624"/>
      <c r="V40" s="624"/>
      <c r="W40" s="624"/>
      <c r="X40" s="623"/>
      <c r="Y40" s="624"/>
      <c r="Z40" s="624"/>
      <c r="AA40" s="624"/>
      <c r="AB40" s="624"/>
      <c r="AC40" s="623"/>
      <c r="AD40" s="625"/>
      <c r="AE40" s="625"/>
      <c r="AF40" s="625"/>
      <c r="AG40" s="625"/>
      <c r="AH40" s="626"/>
      <c r="AI40" s="625"/>
      <c r="AJ40" s="625"/>
      <c r="AK40" s="625"/>
      <c r="AL40" s="625"/>
      <c r="AM40" s="626"/>
      <c r="AN40" s="625"/>
      <c r="AO40" s="625"/>
      <c r="AP40" s="625"/>
      <c r="AQ40" s="564"/>
      <c r="AR40" s="566"/>
      <c r="AS40" s="757" t="s">
        <v>253</v>
      </c>
    </row>
    <row r="41" spans="1:45" ht="21.75" customHeight="1">
      <c r="A41" s="547">
        <f t="shared" si="5"/>
        <v>38</v>
      </c>
      <c r="B41" s="627" t="s">
        <v>20</v>
      </c>
      <c r="C41" s="828" t="s">
        <v>1335</v>
      </c>
      <c r="D41" s="833" t="s">
        <v>1336</v>
      </c>
      <c r="E41" s="549" t="s">
        <v>1337</v>
      </c>
      <c r="F41" s="699">
        <v>46081</v>
      </c>
      <c r="G41" s="705"/>
      <c r="H41" s="703"/>
      <c r="I41" s="707"/>
      <c r="J41" s="728"/>
      <c r="K41" s="729"/>
      <c r="L41" s="730"/>
      <c r="M41" s="696" t="s">
        <v>81</v>
      </c>
      <c r="N41" s="701" t="s">
        <v>1328</v>
      </c>
      <c r="O41" s="615"/>
      <c r="P41" s="619"/>
      <c r="Q41" s="619"/>
      <c r="R41" s="622"/>
      <c r="S41" s="623"/>
      <c r="T41" s="619"/>
      <c r="U41" s="624"/>
      <c r="V41" s="624"/>
      <c r="W41" s="624"/>
      <c r="X41" s="623"/>
      <c r="Y41" s="624"/>
      <c r="Z41" s="624"/>
      <c r="AA41" s="624"/>
      <c r="AB41" s="624"/>
      <c r="AC41" s="623"/>
      <c r="AD41" s="625"/>
      <c r="AE41" s="625"/>
      <c r="AF41" s="625"/>
      <c r="AG41" s="625"/>
      <c r="AH41" s="626"/>
      <c r="AI41" s="625"/>
      <c r="AJ41" s="625"/>
      <c r="AK41" s="625"/>
      <c r="AL41" s="625"/>
      <c r="AM41" s="626"/>
      <c r="AN41" s="625"/>
      <c r="AO41" s="625"/>
      <c r="AP41" s="625"/>
      <c r="AQ41" s="564"/>
      <c r="AR41" s="566"/>
      <c r="AS41" s="757" t="s">
        <v>253</v>
      </c>
    </row>
    <row r="42" spans="1:45" ht="21.75" customHeight="1">
      <c r="A42" s="547">
        <f t="shared" si="5"/>
        <v>39</v>
      </c>
      <c r="B42" s="627" t="s">
        <v>20</v>
      </c>
      <c r="C42" s="828" t="s">
        <v>1338</v>
      </c>
      <c r="D42" s="833" t="s">
        <v>1339</v>
      </c>
      <c r="E42" s="549" t="s">
        <v>1340</v>
      </c>
      <c r="F42" s="699">
        <v>46081</v>
      </c>
      <c r="G42" s="705"/>
      <c r="H42" s="703"/>
      <c r="I42" s="707"/>
      <c r="J42" s="706"/>
      <c r="K42" s="709"/>
      <c r="L42" s="708"/>
      <c r="M42" s="696" t="s">
        <v>81</v>
      </c>
      <c r="N42" s="701" t="s">
        <v>1328</v>
      </c>
      <c r="O42" s="615"/>
      <c r="P42" s="619"/>
      <c r="Q42" s="619"/>
      <c r="R42" s="622"/>
      <c r="S42" s="623"/>
      <c r="T42" s="619"/>
      <c r="U42" s="624"/>
      <c r="V42" s="624"/>
      <c r="W42" s="624"/>
      <c r="X42" s="623"/>
      <c r="Y42" s="624"/>
      <c r="Z42" s="624"/>
      <c r="AA42" s="624"/>
      <c r="AB42" s="624"/>
      <c r="AC42" s="623"/>
      <c r="AD42" s="625"/>
      <c r="AE42" s="625"/>
      <c r="AF42" s="625"/>
      <c r="AG42" s="625"/>
      <c r="AH42" s="626"/>
      <c r="AI42" s="625"/>
      <c r="AJ42" s="625"/>
      <c r="AK42" s="625"/>
      <c r="AL42" s="625"/>
      <c r="AM42" s="626"/>
      <c r="AN42" s="625"/>
      <c r="AO42" s="625"/>
      <c r="AP42" s="625"/>
      <c r="AQ42" s="564"/>
      <c r="AR42" s="566"/>
      <c r="AS42" s="757" t="s">
        <v>253</v>
      </c>
    </row>
    <row r="43" spans="1:45" ht="21.75" customHeight="1">
      <c r="A43" s="617">
        <f t="shared" si="5"/>
        <v>40</v>
      </c>
      <c r="B43" s="627" t="s">
        <v>20</v>
      </c>
      <c r="C43" s="828" t="s">
        <v>1341</v>
      </c>
      <c r="D43" s="833" t="s">
        <v>1342</v>
      </c>
      <c r="E43" s="618" t="s">
        <v>1343</v>
      </c>
      <c r="F43" s="699">
        <v>46081</v>
      </c>
      <c r="G43" s="705"/>
      <c r="H43" s="703"/>
      <c r="I43" s="707"/>
      <c r="J43" s="706"/>
      <c r="K43" s="709"/>
      <c r="L43" s="708"/>
      <c r="M43" s="696" t="s">
        <v>81</v>
      </c>
      <c r="N43" s="701" t="s">
        <v>1328</v>
      </c>
      <c r="O43" s="615"/>
      <c r="P43" s="619"/>
      <c r="Q43" s="619"/>
      <c r="R43" s="622"/>
      <c r="S43" s="623"/>
      <c r="T43" s="619"/>
      <c r="U43" s="624"/>
      <c r="V43" s="624"/>
      <c r="W43" s="624"/>
      <c r="X43" s="623"/>
      <c r="Y43" s="624"/>
      <c r="Z43" s="624"/>
      <c r="AA43" s="624"/>
      <c r="AB43" s="624"/>
      <c r="AC43" s="623"/>
      <c r="AD43" s="625"/>
      <c r="AE43" s="625"/>
      <c r="AF43" s="625"/>
      <c r="AG43" s="625"/>
      <c r="AH43" s="626"/>
      <c r="AI43" s="625"/>
      <c r="AJ43" s="625"/>
      <c r="AK43" s="625"/>
      <c r="AL43" s="625"/>
      <c r="AM43" s="626"/>
      <c r="AN43" s="625"/>
      <c r="AO43" s="625"/>
      <c r="AP43" s="625"/>
      <c r="AQ43" s="564"/>
      <c r="AR43" s="566"/>
      <c r="AS43" s="757" t="s">
        <v>253</v>
      </c>
    </row>
    <row r="44" spans="1:45" ht="21.75" customHeight="1">
      <c r="A44" s="547">
        <f t="shared" si="5"/>
        <v>41</v>
      </c>
      <c r="B44" s="627" t="s">
        <v>20</v>
      </c>
      <c r="C44" s="828" t="s">
        <v>1344</v>
      </c>
      <c r="D44" s="833" t="s">
        <v>1345</v>
      </c>
      <c r="E44" s="549" t="s">
        <v>1346</v>
      </c>
      <c r="F44" s="699">
        <v>46081</v>
      </c>
      <c r="G44" s="705"/>
      <c r="H44" s="703"/>
      <c r="I44" s="707"/>
      <c r="J44" s="706"/>
      <c r="K44" s="709"/>
      <c r="L44" s="708"/>
      <c r="M44" s="696" t="s">
        <v>81</v>
      </c>
      <c r="N44" s="701" t="s">
        <v>1328</v>
      </c>
      <c r="O44" s="615"/>
      <c r="P44" s="619"/>
      <c r="Q44" s="619"/>
      <c r="R44" s="622"/>
      <c r="S44" s="623"/>
      <c r="T44" s="619"/>
      <c r="U44" s="624"/>
      <c r="V44" s="624"/>
      <c r="W44" s="624"/>
      <c r="X44" s="623"/>
      <c r="Y44" s="624"/>
      <c r="Z44" s="624"/>
      <c r="AA44" s="624"/>
      <c r="AB44" s="624"/>
      <c r="AC44" s="623"/>
      <c r="AD44" s="625"/>
      <c r="AE44" s="625"/>
      <c r="AF44" s="625"/>
      <c r="AG44" s="625"/>
      <c r="AH44" s="626"/>
      <c r="AI44" s="625"/>
      <c r="AJ44" s="625"/>
      <c r="AK44" s="625"/>
      <c r="AL44" s="625"/>
      <c r="AM44" s="626"/>
      <c r="AN44" s="625"/>
      <c r="AO44" s="625"/>
      <c r="AP44" s="625"/>
      <c r="AQ44" s="564"/>
      <c r="AR44" s="566"/>
      <c r="AS44" s="757" t="s">
        <v>253</v>
      </c>
    </row>
    <row r="45" spans="1:45" ht="21.75" customHeight="1">
      <c r="A45" s="547">
        <f t="shared" si="5"/>
        <v>42</v>
      </c>
      <c r="B45" s="627" t="s">
        <v>20</v>
      </c>
      <c r="C45" s="828" t="s">
        <v>1347</v>
      </c>
      <c r="D45" s="833" t="s">
        <v>1348</v>
      </c>
      <c r="E45" s="549" t="s">
        <v>1349</v>
      </c>
      <c r="F45" s="699">
        <v>46081</v>
      </c>
      <c r="G45" s="705"/>
      <c r="H45" s="703"/>
      <c r="I45" s="707"/>
      <c r="J45" s="706"/>
      <c r="K45" s="709"/>
      <c r="L45" s="708"/>
      <c r="M45" s="696" t="s">
        <v>81</v>
      </c>
      <c r="N45" s="701" t="s">
        <v>1328</v>
      </c>
      <c r="O45" s="615"/>
      <c r="P45" s="619"/>
      <c r="Q45" s="619"/>
      <c r="R45" s="622"/>
      <c r="S45" s="623"/>
      <c r="T45" s="619"/>
      <c r="U45" s="624"/>
      <c r="V45" s="624"/>
      <c r="W45" s="624"/>
      <c r="X45" s="623"/>
      <c r="Y45" s="624"/>
      <c r="Z45" s="624"/>
      <c r="AA45" s="624"/>
      <c r="AB45" s="624"/>
      <c r="AC45" s="623"/>
      <c r="AD45" s="625"/>
      <c r="AE45" s="625"/>
      <c r="AF45" s="625"/>
      <c r="AG45" s="625"/>
      <c r="AH45" s="626"/>
      <c r="AI45" s="625"/>
      <c r="AJ45" s="625"/>
      <c r="AK45" s="625"/>
      <c r="AL45" s="625"/>
      <c r="AM45" s="626"/>
      <c r="AN45" s="625"/>
      <c r="AO45" s="625"/>
      <c r="AP45" s="625"/>
      <c r="AQ45" s="564"/>
      <c r="AR45" s="566"/>
      <c r="AS45" s="757" t="s">
        <v>253</v>
      </c>
    </row>
    <row r="46" spans="1:45" ht="21.75" customHeight="1">
      <c r="A46" s="617">
        <f t="shared" si="5"/>
        <v>43</v>
      </c>
      <c r="B46" s="627" t="s">
        <v>20</v>
      </c>
      <c r="C46" s="828" t="s">
        <v>1350</v>
      </c>
      <c r="D46" s="833" t="s">
        <v>1351</v>
      </c>
      <c r="E46" s="618" t="s">
        <v>1352</v>
      </c>
      <c r="F46" s="699">
        <v>46081</v>
      </c>
      <c r="G46" s="705"/>
      <c r="H46" s="703"/>
      <c r="I46" s="707"/>
      <c r="J46" s="706"/>
      <c r="K46" s="709"/>
      <c r="L46" s="708"/>
      <c r="M46" s="696" t="s">
        <v>81</v>
      </c>
      <c r="N46" s="701" t="s">
        <v>1328</v>
      </c>
      <c r="O46" s="615"/>
      <c r="P46" s="619"/>
      <c r="Q46" s="619"/>
      <c r="R46" s="622"/>
      <c r="S46" s="623"/>
      <c r="T46" s="619"/>
      <c r="U46" s="624"/>
      <c r="V46" s="624"/>
      <c r="W46" s="624"/>
      <c r="X46" s="623"/>
      <c r="Y46" s="624"/>
      <c r="Z46" s="624"/>
      <c r="AA46" s="624"/>
      <c r="AB46" s="624"/>
      <c r="AC46" s="623"/>
      <c r="AD46" s="625"/>
      <c r="AE46" s="625"/>
      <c r="AF46" s="625"/>
      <c r="AG46" s="625"/>
      <c r="AH46" s="626"/>
      <c r="AI46" s="625"/>
      <c r="AJ46" s="625"/>
      <c r="AK46" s="625"/>
      <c r="AL46" s="625"/>
      <c r="AM46" s="626"/>
      <c r="AN46" s="625"/>
      <c r="AO46" s="625"/>
      <c r="AP46" s="625"/>
      <c r="AQ46" s="564"/>
      <c r="AR46" s="566"/>
      <c r="AS46" s="757" t="s">
        <v>253</v>
      </c>
    </row>
    <row r="47" spans="1:45" ht="21.75" customHeight="1">
      <c r="A47" s="547">
        <f t="shared" si="5"/>
        <v>44</v>
      </c>
      <c r="B47" s="627" t="s">
        <v>20</v>
      </c>
      <c r="C47" s="828" t="s">
        <v>1353</v>
      </c>
      <c r="D47" s="833" t="s">
        <v>1354</v>
      </c>
      <c r="E47" s="549" t="s">
        <v>1355</v>
      </c>
      <c r="F47" s="699">
        <v>46081</v>
      </c>
      <c r="G47" s="705"/>
      <c r="H47" s="703"/>
      <c r="I47" s="707"/>
      <c r="J47" s="706"/>
      <c r="K47" s="709"/>
      <c r="L47" s="708"/>
      <c r="M47" s="696" t="s">
        <v>81</v>
      </c>
      <c r="N47" s="701" t="s">
        <v>1328</v>
      </c>
      <c r="O47" s="615"/>
      <c r="P47" s="619"/>
      <c r="Q47" s="619"/>
      <c r="R47" s="622"/>
      <c r="S47" s="623"/>
      <c r="T47" s="619"/>
      <c r="U47" s="624"/>
      <c r="V47" s="624"/>
      <c r="W47" s="624"/>
      <c r="X47" s="623"/>
      <c r="Y47" s="624"/>
      <c r="Z47" s="624"/>
      <c r="AA47" s="624"/>
      <c r="AB47" s="624"/>
      <c r="AC47" s="623"/>
      <c r="AD47" s="625"/>
      <c r="AE47" s="625"/>
      <c r="AF47" s="625"/>
      <c r="AG47" s="625"/>
      <c r="AH47" s="626"/>
      <c r="AI47" s="625"/>
      <c r="AJ47" s="625"/>
      <c r="AK47" s="625"/>
      <c r="AL47" s="625"/>
      <c r="AM47" s="626"/>
      <c r="AN47" s="625"/>
      <c r="AO47" s="625"/>
      <c r="AP47" s="625"/>
      <c r="AQ47" s="564"/>
      <c r="AR47" s="566"/>
      <c r="AS47" s="757" t="s">
        <v>253</v>
      </c>
    </row>
    <row r="48" spans="1:45" ht="21.75" customHeight="1">
      <c r="A48" s="547">
        <f t="shared" si="5"/>
        <v>45</v>
      </c>
      <c r="B48" s="627" t="s">
        <v>20</v>
      </c>
      <c r="C48" s="828" t="s">
        <v>1356</v>
      </c>
      <c r="D48" s="833" t="s">
        <v>1357</v>
      </c>
      <c r="E48" s="549" t="s">
        <v>1358</v>
      </c>
      <c r="F48" s="699">
        <v>46081</v>
      </c>
      <c r="G48" s="705"/>
      <c r="H48" s="703"/>
      <c r="I48" s="707"/>
      <c r="J48" s="706"/>
      <c r="K48" s="709"/>
      <c r="L48" s="708"/>
      <c r="M48" s="696" t="s">
        <v>81</v>
      </c>
      <c r="N48" s="701" t="s">
        <v>1328</v>
      </c>
      <c r="O48" s="615"/>
      <c r="P48" s="619"/>
      <c r="Q48" s="619"/>
      <c r="R48" s="622"/>
      <c r="S48" s="623"/>
      <c r="T48" s="619"/>
      <c r="U48" s="624"/>
      <c r="V48" s="624"/>
      <c r="W48" s="624"/>
      <c r="X48" s="623"/>
      <c r="Y48" s="624"/>
      <c r="Z48" s="624"/>
      <c r="AA48" s="624"/>
      <c r="AB48" s="624"/>
      <c r="AC48" s="623"/>
      <c r="AD48" s="625"/>
      <c r="AE48" s="625"/>
      <c r="AF48" s="625"/>
      <c r="AG48" s="625"/>
      <c r="AH48" s="626"/>
      <c r="AI48" s="625"/>
      <c r="AJ48" s="625"/>
      <c r="AK48" s="625"/>
      <c r="AL48" s="625"/>
      <c r="AM48" s="626"/>
      <c r="AN48" s="625"/>
      <c r="AO48" s="625"/>
      <c r="AP48" s="625"/>
      <c r="AQ48" s="564"/>
      <c r="AR48" s="566"/>
      <c r="AS48" s="757" t="s">
        <v>253</v>
      </c>
    </row>
    <row r="49" spans="1:45" ht="21.75" customHeight="1">
      <c r="A49" s="617">
        <f t="shared" si="5"/>
        <v>46</v>
      </c>
      <c r="B49" s="627" t="s">
        <v>20</v>
      </c>
      <c r="C49" s="828" t="s">
        <v>1359</v>
      </c>
      <c r="D49" s="833" t="s">
        <v>1360</v>
      </c>
      <c r="E49" s="618" t="s">
        <v>1361</v>
      </c>
      <c r="F49" s="699">
        <v>46081</v>
      </c>
      <c r="G49" s="705"/>
      <c r="H49" s="703"/>
      <c r="I49" s="707"/>
      <c r="J49" s="706"/>
      <c r="K49" s="709"/>
      <c r="L49" s="708"/>
      <c r="M49" s="696" t="s">
        <v>81</v>
      </c>
      <c r="N49" s="701" t="s">
        <v>1328</v>
      </c>
      <c r="O49" s="615"/>
      <c r="P49" s="619"/>
      <c r="Q49" s="619"/>
      <c r="R49" s="622"/>
      <c r="S49" s="623"/>
      <c r="T49" s="619"/>
      <c r="U49" s="624"/>
      <c r="V49" s="624"/>
      <c r="W49" s="624"/>
      <c r="X49" s="623"/>
      <c r="Y49" s="624"/>
      <c r="Z49" s="624"/>
      <c r="AA49" s="624"/>
      <c r="AB49" s="624"/>
      <c r="AC49" s="623"/>
      <c r="AD49" s="625"/>
      <c r="AE49" s="625"/>
      <c r="AF49" s="625"/>
      <c r="AG49" s="625"/>
      <c r="AH49" s="626"/>
      <c r="AI49" s="625"/>
      <c r="AJ49" s="625"/>
      <c r="AK49" s="625"/>
      <c r="AL49" s="625"/>
      <c r="AM49" s="626"/>
      <c r="AN49" s="625"/>
      <c r="AO49" s="625"/>
      <c r="AP49" s="625"/>
      <c r="AQ49" s="564"/>
      <c r="AR49" s="566"/>
      <c r="AS49" s="757" t="s">
        <v>253</v>
      </c>
    </row>
    <row r="50" spans="1:45" ht="21.75" customHeight="1">
      <c r="A50" s="547">
        <f t="shared" si="5"/>
        <v>47</v>
      </c>
      <c r="B50" s="627" t="s">
        <v>20</v>
      </c>
      <c r="C50" s="828" t="s">
        <v>1362</v>
      </c>
      <c r="D50" s="833" t="s">
        <v>1363</v>
      </c>
      <c r="E50" s="549" t="s">
        <v>1364</v>
      </c>
      <c r="F50" s="699">
        <v>46081</v>
      </c>
      <c r="G50" s="705"/>
      <c r="H50" s="703"/>
      <c r="I50" s="707"/>
      <c r="J50" s="706"/>
      <c r="K50" s="709"/>
      <c r="L50" s="708"/>
      <c r="M50" s="696" t="s">
        <v>81</v>
      </c>
      <c r="N50" s="701" t="s">
        <v>1328</v>
      </c>
      <c r="O50" s="615"/>
      <c r="P50" s="619"/>
      <c r="Q50" s="619"/>
      <c r="R50" s="622"/>
      <c r="S50" s="623"/>
      <c r="T50" s="619"/>
      <c r="U50" s="624"/>
      <c r="V50" s="624"/>
      <c r="W50" s="624"/>
      <c r="X50" s="623"/>
      <c r="Y50" s="624"/>
      <c r="Z50" s="624"/>
      <c r="AA50" s="624"/>
      <c r="AB50" s="624"/>
      <c r="AC50" s="623"/>
      <c r="AD50" s="625"/>
      <c r="AE50" s="625"/>
      <c r="AF50" s="625"/>
      <c r="AG50" s="625"/>
      <c r="AH50" s="626"/>
      <c r="AI50" s="625"/>
      <c r="AJ50" s="625"/>
      <c r="AK50" s="625"/>
      <c r="AL50" s="625"/>
      <c r="AM50" s="626"/>
      <c r="AN50" s="625"/>
      <c r="AO50" s="625"/>
      <c r="AP50" s="625"/>
      <c r="AQ50" s="564"/>
      <c r="AR50" s="566"/>
      <c r="AS50" s="757" t="s">
        <v>253</v>
      </c>
    </row>
    <row r="51" spans="1:45" ht="21.75" customHeight="1">
      <c r="A51" s="547">
        <f t="shared" si="5"/>
        <v>48</v>
      </c>
      <c r="B51" s="627" t="s">
        <v>20</v>
      </c>
      <c r="C51" s="828" t="s">
        <v>1365</v>
      </c>
      <c r="D51" s="833" t="s">
        <v>1366</v>
      </c>
      <c r="E51" s="549" t="s">
        <v>1367</v>
      </c>
      <c r="F51" s="699">
        <v>46081</v>
      </c>
      <c r="G51" s="705"/>
      <c r="H51" s="704"/>
      <c r="I51" s="707"/>
      <c r="J51" s="706"/>
      <c r="K51" s="709"/>
      <c r="L51" s="708"/>
      <c r="M51" s="696" t="s">
        <v>81</v>
      </c>
      <c r="N51" s="701" t="s">
        <v>1328</v>
      </c>
      <c r="O51" s="615"/>
      <c r="P51" s="619"/>
      <c r="Q51" s="619"/>
      <c r="R51" s="622"/>
      <c r="S51" s="623"/>
      <c r="T51" s="619"/>
      <c r="U51" s="624"/>
      <c r="V51" s="624"/>
      <c r="W51" s="624"/>
      <c r="X51" s="623"/>
      <c r="Y51" s="624"/>
      <c r="Z51" s="624"/>
      <c r="AA51" s="624"/>
      <c r="AB51" s="624"/>
      <c r="AC51" s="623"/>
      <c r="AD51" s="625"/>
      <c r="AE51" s="625"/>
      <c r="AF51" s="625"/>
      <c r="AG51" s="625"/>
      <c r="AH51" s="626"/>
      <c r="AI51" s="625"/>
      <c r="AJ51" s="625"/>
      <c r="AK51" s="625"/>
      <c r="AL51" s="625"/>
      <c r="AM51" s="626"/>
      <c r="AN51" s="625"/>
      <c r="AO51" s="625"/>
      <c r="AP51" s="625"/>
      <c r="AQ51" s="564"/>
      <c r="AR51" s="566"/>
      <c r="AS51" s="757" t="s">
        <v>253</v>
      </c>
    </row>
    <row r="52" spans="1:45" ht="21.75" customHeight="1">
      <c r="A52" s="617">
        <f t="shared" si="5"/>
        <v>49</v>
      </c>
      <c r="B52" s="627" t="s">
        <v>20</v>
      </c>
      <c r="C52" s="828" t="s">
        <v>1368</v>
      </c>
      <c r="D52" s="833" t="s">
        <v>1369</v>
      </c>
      <c r="E52" s="618" t="s">
        <v>1370</v>
      </c>
      <c r="F52" s="699">
        <v>46081</v>
      </c>
      <c r="G52" s="705"/>
      <c r="H52" s="704"/>
      <c r="I52" s="707"/>
      <c r="J52" s="706"/>
      <c r="K52" s="709"/>
      <c r="L52" s="708"/>
      <c r="M52" s="696" t="s">
        <v>81</v>
      </c>
      <c r="N52" s="701" t="s">
        <v>1328</v>
      </c>
      <c r="O52" s="615"/>
      <c r="P52" s="619"/>
      <c r="Q52" s="619"/>
      <c r="R52" s="622"/>
      <c r="S52" s="623"/>
      <c r="T52" s="619"/>
      <c r="U52" s="624"/>
      <c r="V52" s="624"/>
      <c r="W52" s="624"/>
      <c r="X52" s="623"/>
      <c r="Y52" s="624"/>
      <c r="Z52" s="624"/>
      <c r="AA52" s="624"/>
      <c r="AB52" s="624"/>
      <c r="AC52" s="623"/>
      <c r="AD52" s="625"/>
      <c r="AE52" s="625"/>
      <c r="AF52" s="625"/>
      <c r="AG52" s="625"/>
      <c r="AH52" s="626"/>
      <c r="AI52" s="625"/>
      <c r="AJ52" s="625"/>
      <c r="AK52" s="625"/>
      <c r="AL52" s="625"/>
      <c r="AM52" s="626"/>
      <c r="AN52" s="625"/>
      <c r="AO52" s="625"/>
      <c r="AP52" s="625"/>
      <c r="AQ52" s="564"/>
      <c r="AR52" s="566"/>
      <c r="AS52" s="757" t="s">
        <v>253</v>
      </c>
    </row>
    <row r="53" spans="1:45" ht="21.75" customHeight="1">
      <c r="A53" s="547">
        <f t="shared" si="5"/>
        <v>50</v>
      </c>
      <c r="B53" s="627" t="s">
        <v>20</v>
      </c>
      <c r="C53" s="828" t="s">
        <v>1371</v>
      </c>
      <c r="D53" s="833" t="s">
        <v>1372</v>
      </c>
      <c r="E53" s="549" t="s">
        <v>1373</v>
      </c>
      <c r="F53" s="699">
        <v>46081</v>
      </c>
      <c r="G53" s="705"/>
      <c r="H53" s="704"/>
      <c r="I53" s="707"/>
      <c r="J53" s="706"/>
      <c r="K53" s="709"/>
      <c r="L53" s="708"/>
      <c r="M53" s="696" t="s">
        <v>81</v>
      </c>
      <c r="N53" s="701" t="s">
        <v>1328</v>
      </c>
      <c r="O53" s="615"/>
      <c r="P53" s="619"/>
      <c r="Q53" s="619"/>
      <c r="R53" s="622"/>
      <c r="S53" s="623"/>
      <c r="T53" s="619"/>
      <c r="U53" s="624"/>
      <c r="V53" s="624"/>
      <c r="W53" s="624"/>
      <c r="X53" s="623"/>
      <c r="Y53" s="624"/>
      <c r="Z53" s="624"/>
      <c r="AA53" s="624"/>
      <c r="AB53" s="624"/>
      <c r="AC53" s="623"/>
      <c r="AD53" s="625"/>
      <c r="AE53" s="625"/>
      <c r="AF53" s="625"/>
      <c r="AG53" s="625"/>
      <c r="AH53" s="626"/>
      <c r="AI53" s="625"/>
      <c r="AJ53" s="625"/>
      <c r="AK53" s="625"/>
      <c r="AL53" s="625"/>
      <c r="AM53" s="626"/>
      <c r="AN53" s="625"/>
      <c r="AO53" s="625"/>
      <c r="AP53" s="625"/>
      <c r="AQ53" s="564"/>
      <c r="AR53" s="566"/>
      <c r="AS53" s="757" t="s">
        <v>253</v>
      </c>
    </row>
    <row r="54" spans="1:45" ht="21.75" customHeight="1">
      <c r="A54" s="547">
        <f t="shared" si="5"/>
        <v>51</v>
      </c>
      <c r="B54" s="627" t="s">
        <v>20</v>
      </c>
      <c r="C54" s="828" t="s">
        <v>1374</v>
      </c>
      <c r="D54" s="833" t="s">
        <v>1375</v>
      </c>
      <c r="E54" s="549" t="s">
        <v>1376</v>
      </c>
      <c r="F54" s="699">
        <v>46081</v>
      </c>
      <c r="G54" s="705"/>
      <c r="H54" s="704"/>
      <c r="I54" s="707"/>
      <c r="J54" s="706"/>
      <c r="K54" s="709"/>
      <c r="L54" s="708"/>
      <c r="M54" s="696" t="s">
        <v>81</v>
      </c>
      <c r="N54" s="701" t="s">
        <v>1328</v>
      </c>
      <c r="O54" s="615"/>
      <c r="P54" s="619"/>
      <c r="Q54" s="619"/>
      <c r="R54" s="622"/>
      <c r="S54" s="623"/>
      <c r="T54" s="619"/>
      <c r="U54" s="624"/>
      <c r="V54" s="624"/>
      <c r="W54" s="624"/>
      <c r="X54" s="623"/>
      <c r="Y54" s="624"/>
      <c r="Z54" s="624"/>
      <c r="AA54" s="624"/>
      <c r="AB54" s="624"/>
      <c r="AC54" s="623"/>
      <c r="AD54" s="625"/>
      <c r="AE54" s="625"/>
      <c r="AF54" s="625"/>
      <c r="AG54" s="625"/>
      <c r="AH54" s="626"/>
      <c r="AI54" s="625"/>
      <c r="AJ54" s="625"/>
      <c r="AK54" s="625"/>
      <c r="AL54" s="625"/>
      <c r="AM54" s="626"/>
      <c r="AN54" s="625"/>
      <c r="AO54" s="625"/>
      <c r="AP54" s="625"/>
      <c r="AQ54" s="564"/>
      <c r="AR54" s="566"/>
      <c r="AS54" s="757" t="s">
        <v>253</v>
      </c>
    </row>
    <row r="55" spans="1:45" ht="21.75" customHeight="1">
      <c r="A55" s="617">
        <f t="shared" si="5"/>
        <v>52</v>
      </c>
      <c r="B55" s="627" t="s">
        <v>20</v>
      </c>
      <c r="C55" s="828" t="s">
        <v>1377</v>
      </c>
      <c r="D55" s="833" t="s">
        <v>1378</v>
      </c>
      <c r="E55" s="734" t="s">
        <v>1379</v>
      </c>
      <c r="F55" s="699">
        <v>46081</v>
      </c>
      <c r="G55" s="731"/>
      <c r="H55" s="704"/>
      <c r="I55" s="732"/>
      <c r="J55" s="733"/>
      <c r="K55" s="732"/>
      <c r="L55" s="704"/>
      <c r="M55" s="721" t="s">
        <v>81</v>
      </c>
      <c r="N55" s="701" t="s">
        <v>1328</v>
      </c>
      <c r="O55" s="616"/>
      <c r="P55" s="616"/>
      <c r="Q55" s="616"/>
      <c r="R55" s="616"/>
      <c r="S55" s="616"/>
      <c r="T55" s="616"/>
      <c r="U55" s="616"/>
      <c r="V55" s="616"/>
      <c r="W55" s="616"/>
      <c r="X55" s="616"/>
      <c r="Y55" s="616"/>
      <c r="Z55" s="616"/>
      <c r="AA55" s="616"/>
      <c r="AB55" s="616"/>
      <c r="AC55" s="616"/>
      <c r="AD55" s="616"/>
      <c r="AE55" s="616"/>
      <c r="AF55" s="616"/>
      <c r="AG55" s="616"/>
      <c r="AH55" s="616"/>
      <c r="AI55" s="616"/>
      <c r="AJ55" s="616"/>
      <c r="AK55" s="616"/>
      <c r="AL55" s="616"/>
      <c r="AM55" s="616"/>
      <c r="AN55" s="616"/>
      <c r="AO55" s="616"/>
      <c r="AP55" s="616"/>
      <c r="AQ55" s="735"/>
      <c r="AR55" s="736"/>
      <c r="AS55" s="757" t="s">
        <v>253</v>
      </c>
    </row>
    <row r="56" spans="1:45" ht="21.75" customHeight="1">
      <c r="C56" s="834"/>
      <c r="D56" s="835"/>
    </row>
    <row r="57" spans="1:45" ht="24.75" customHeight="1">
      <c r="C57" s="834"/>
      <c r="D57" s="835"/>
    </row>
    <row r="58" spans="1:45" ht="24.75" customHeight="1">
      <c r="C58" s="834"/>
      <c r="D58" s="835"/>
    </row>
    <row r="59" spans="1:45" ht="24.75" customHeight="1">
      <c r="C59" s="834"/>
      <c r="D59" s="835"/>
    </row>
    <row r="64" spans="1:45">
      <c r="J64" s="575" t="s">
        <v>331</v>
      </c>
      <c r="K64" s="575"/>
    </row>
    <row r="65" spans="1:28">
      <c r="J65" s="530" t="s">
        <v>56</v>
      </c>
    </row>
    <row r="66" spans="1:28">
      <c r="A66" s="535"/>
      <c r="J66" s="578" t="s">
        <v>49</v>
      </c>
      <c r="K66" s="578"/>
      <c r="L66" s="578"/>
      <c r="M66" s="578"/>
      <c r="N66" s="579"/>
      <c r="O66" s="580"/>
      <c r="P66" s="580"/>
      <c r="Q66" s="580"/>
      <c r="S66" s="572"/>
      <c r="W66" s="530"/>
      <c r="X66" s="572"/>
      <c r="AB66" s="530"/>
    </row>
    <row r="67" spans="1:28">
      <c r="A67" s="535"/>
      <c r="J67" s="578" t="s">
        <v>50</v>
      </c>
      <c r="K67" s="578"/>
      <c r="L67" s="578"/>
      <c r="M67" s="578"/>
      <c r="N67" s="579"/>
      <c r="O67" s="580"/>
      <c r="P67" s="580"/>
      <c r="Q67" s="580"/>
      <c r="S67" s="572"/>
      <c r="W67" s="530"/>
      <c r="X67" s="572"/>
      <c r="AB67" s="530"/>
    </row>
    <row r="68" spans="1:28">
      <c r="A68" s="535"/>
      <c r="J68" s="578" t="s">
        <v>51</v>
      </c>
      <c r="K68" s="578"/>
      <c r="L68" s="578"/>
      <c r="M68" s="578"/>
      <c r="N68" s="579"/>
      <c r="O68" s="580"/>
      <c r="P68" s="580"/>
      <c r="Q68" s="580"/>
      <c r="S68" s="572"/>
      <c r="W68" s="530"/>
      <c r="X68" s="572"/>
      <c r="AB68" s="530"/>
    </row>
    <row r="69" spans="1:28">
      <c r="A69" s="535"/>
      <c r="J69" s="578" t="s">
        <v>80</v>
      </c>
      <c r="K69" s="578"/>
      <c r="L69" s="578"/>
      <c r="M69" s="578"/>
      <c r="N69" s="579"/>
      <c r="O69" s="580"/>
      <c r="P69" s="580"/>
      <c r="Q69" s="580"/>
      <c r="S69" s="572"/>
      <c r="W69" s="530"/>
      <c r="X69" s="572"/>
      <c r="AB69" s="530"/>
    </row>
  </sheetData>
  <autoFilter ref="A3:AC55" xr:uid="{00000000-0009-0000-0000-000000000000}"/>
  <mergeCells count="7">
    <mergeCell ref="E8:E9"/>
    <mergeCell ref="AN2:AR2"/>
    <mergeCell ref="O2:S2"/>
    <mergeCell ref="T2:X2"/>
    <mergeCell ref="Y2:AC2"/>
    <mergeCell ref="AD2:AH2"/>
    <mergeCell ref="AI2:AM2"/>
  </mergeCells>
  <phoneticPr fontId="11" type="noConversion"/>
  <conditionalFormatting sqref="A4:AR4 D38:L38 E39:L40 F41:L41 G42:L51 AT4:XFD51 M5:M55 A38:B55 O39:AR40 D39:D55 N39:N55 O41:O51 P41:AR54 E41:E55 F42:F55 AQ55:AR55 N5:AR38 A5:L37">
    <cfRule type="expression" dxfId="125" priority="62">
      <formula>$J4="AUR"</formula>
    </cfRule>
  </conditionalFormatting>
  <conditionalFormatting sqref="A4:AR4 AT4:XFD51 M5:M55 D38:L38 A38:B55 E39:L40 O39:AR40 D39:D55 N39:N55 F41:L41 O41:O51 P41:AR54 E41:E55 G42:L51 F42:F55 AQ55:AR55 N5:AR38 A5:L37">
    <cfRule type="expression" dxfId="124" priority="741">
      <formula>$J4="CTA"</formula>
    </cfRule>
    <cfRule type="expression" dxfId="123" priority="742">
      <formula>$J4="GAA"</formula>
    </cfRule>
  </conditionalFormatting>
  <conditionalFormatting sqref="F7">
    <cfRule type="expression" dxfId="122" priority="35">
      <formula>$J7="AUR"</formula>
    </cfRule>
    <cfRule type="expression" dxfId="121" priority="36">
      <formula>$J7="GAA"</formula>
    </cfRule>
  </conditionalFormatting>
  <conditionalFormatting sqref="K4:K446">
    <cfRule type="expression" dxfId="120" priority="37">
      <formula>$K4="Pending"</formula>
    </cfRule>
    <cfRule type="expression" dxfId="119" priority="6184">
      <formula>SUMPRODUCT(($D4&lt;&gt;"")*($M4="")+($M4="C"))</formula>
    </cfRule>
    <cfRule type="expression" dxfId="118" priority="6185">
      <formula>SUMPRODUCT(($K4="A")+($K4="B"))</formula>
    </cfRule>
    <cfRule type="expression" dxfId="117" priority="6186">
      <formula>$K4="Pending"</formula>
    </cfRule>
  </conditionalFormatting>
  <conditionalFormatting sqref="AS4:AS37">
    <cfRule type="expression" dxfId="116" priority="15">
      <formula>#REF!="AUR"</formula>
    </cfRule>
    <cfRule type="expression" dxfId="115" priority="16">
      <formula>#REF!="CTA"</formula>
    </cfRule>
    <cfRule type="expression" dxfId="114" priority="17">
      <formula>#REF!="GAA"</formula>
    </cfRule>
  </conditionalFormatting>
  <conditionalFormatting sqref="AS6:AS11">
    <cfRule type="expression" dxfId="113" priority="18">
      <formula>#REF!="AUR"</formula>
    </cfRule>
    <cfRule type="expression" dxfId="112" priority="19">
      <formula>#REF!="GAA"</formula>
    </cfRule>
  </conditionalFormatting>
  <conditionalFormatting sqref="AS18">
    <cfRule type="expression" dxfId="111" priority="9">
      <formula>#REF!="AUR"</formula>
    </cfRule>
    <cfRule type="expression" dxfId="110" priority="10">
      <formula>#REF!="GAA"</formula>
    </cfRule>
  </conditionalFormatting>
  <conditionalFormatting sqref="AS20:AS21">
    <cfRule type="expression" dxfId="109" priority="13">
      <formula>#REF!="AUR"</formula>
    </cfRule>
    <cfRule type="expression" dxfId="108" priority="14">
      <formula>#REF!="GAA"</formula>
    </cfRule>
  </conditionalFormatting>
  <conditionalFormatting sqref="AS23:AS26">
    <cfRule type="expression" dxfId="107" priority="11">
      <formula>#REF!="AUR"</formula>
    </cfRule>
    <cfRule type="expression" dxfId="106" priority="12">
      <formula>#REF!="GAA"</formula>
    </cfRule>
  </conditionalFormatting>
  <conditionalFormatting sqref="AS28:AS29">
    <cfRule type="expression" dxfId="105" priority="7">
      <formula>#REF!="AUR"</formula>
    </cfRule>
    <cfRule type="expression" dxfId="104" priority="8">
      <formula>#REF!="GAA"</formula>
    </cfRule>
  </conditionalFormatting>
  <conditionalFormatting sqref="AS31:AS32">
    <cfRule type="expression" dxfId="103" priority="5">
      <formula>#REF!="AUR"</formula>
    </cfRule>
    <cfRule type="expression" dxfId="102" priority="6">
      <formula>#REF!="GAA"</formula>
    </cfRule>
  </conditionalFormatting>
  <conditionalFormatting sqref="AS38:AS55">
    <cfRule type="expression" dxfId="101" priority="2">
      <formula>#REF!="AUR"</formula>
    </cfRule>
    <cfRule type="expression" dxfId="100" priority="3">
      <formula>#REF!="CTA"</formula>
    </cfRule>
    <cfRule type="expression" dxfId="99" priority="4">
      <formula>#REF!="GAA"</formula>
    </cfRule>
  </conditionalFormatting>
  <conditionalFormatting sqref="K4:K55">
    <cfRule type="expression" dxfId="98" priority="1">
      <formula>SUMPRODUCT(($D4&lt;&gt;"")*($M4="")+($K4="C"))</formula>
    </cfRule>
  </conditionalFormatting>
  <dataValidations count="2">
    <dataValidation type="list" allowBlank="1" showInputMessage="1" showErrorMessage="1" sqref="J65:K1048576 K3 K1 J1:J63" xr:uid="{0AB19F6B-B322-4744-AA30-4B71D28DE907}">
      <formula1>$J$65:$J$69</formula1>
    </dataValidation>
    <dataValidation type="list" allowBlank="1" showInputMessage="1" showErrorMessage="1" sqref="K4:K63" xr:uid="{4311FD40-29C0-4E2E-BD33-7EA52D467F35}">
      <formula1>"A,B,C,Pending,"</formula1>
    </dataValidation>
  </dataValidations>
  <pageMargins left="0.23622047244094499" right="0.23622047244094499" top="0.74803149606299202" bottom="0.74803149606299202" header="0.31496062992126" footer="0.31496062992126"/>
  <pageSetup paperSize="8" scale="26" orientation="landscape" r:id="rId1"/>
  <headerFooter>
    <oddHeader>&amp;L&amp;G&amp;CProject Terra Phase 9 + 2MW Shop Drawing Approval Submission List</oddHeader>
    <oddFooter>&amp;L&amp;D&amp;RPage &amp;P of &amp;N</oddFooter>
  </headerFooter>
  <colBreaks count="1" manualBreakCount="1">
    <brk id="14" max="1048575" man="1"/>
  </colBreaks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3505-0394-45DA-92ED-7F91E4994B7C}">
  <sheetPr>
    <pageSetUpPr fitToPage="1"/>
  </sheetPr>
  <dimension ref="A1:AS82"/>
  <sheetViews>
    <sheetView view="pageBreakPreview" zoomScale="70" zoomScaleNormal="40" zoomScaleSheetLayoutView="70" workbookViewId="0">
      <pane ySplit="3" topLeftCell="B4" activePane="bottomLeft" state="frozen"/>
      <selection pane="bottomLeft" activeCell="M25" sqref="M25"/>
    </sheetView>
  </sheetViews>
  <sheetFormatPr defaultColWidth="9.25" defaultRowHeight="15" customHeight="1"/>
  <cols>
    <col min="1" max="1" width="4.25" style="505" customWidth="1"/>
    <col min="2" max="2" width="14.25" style="505" customWidth="1"/>
    <col min="3" max="3" width="34.125" style="505" bestFit="1" customWidth="1"/>
    <col min="4" max="4" width="58.25" style="519" customWidth="1"/>
    <col min="5" max="5" width="29.875" style="519" customWidth="1"/>
    <col min="6" max="6" width="16.125" style="519" customWidth="1"/>
    <col min="7" max="7" width="10.75" style="595" customWidth="1"/>
    <col min="8" max="8" width="12.25" style="595" customWidth="1"/>
    <col min="9" max="9" width="4.25" style="505" customWidth="1"/>
    <col min="10" max="11" width="8.25" style="505" customWidth="1"/>
    <col min="12" max="13" width="11.25" style="595" customWidth="1"/>
    <col min="14" max="14" width="36.75" style="505" customWidth="1"/>
    <col min="15" max="18" width="10.625" style="520" customWidth="1"/>
    <col min="19" max="19" width="10.625" style="505" customWidth="1"/>
    <col min="20" max="23" width="10.625" style="520" customWidth="1"/>
    <col min="24" max="24" width="10.625" style="505" customWidth="1"/>
    <col min="25" max="28" width="10.625" style="520" customWidth="1"/>
    <col min="29" max="44" width="10.625" style="505" customWidth="1"/>
    <col min="45" max="16384" width="9.25" style="505"/>
  </cols>
  <sheetData>
    <row r="1" spans="1:45" ht="13.9">
      <c r="A1" s="581" t="s">
        <v>54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2" t="s">
        <v>55</v>
      </c>
      <c r="O1" s="583" t="s">
        <v>56</v>
      </c>
      <c r="P1" s="584" t="s">
        <v>49</v>
      </c>
      <c r="Q1" s="585" t="s">
        <v>50</v>
      </c>
      <c r="R1" s="838"/>
      <c r="S1" s="839"/>
      <c r="T1" s="838"/>
      <c r="U1" s="838"/>
      <c r="V1" s="838"/>
      <c r="W1" s="838"/>
      <c r="X1" s="839"/>
      <c r="Y1" s="838"/>
      <c r="Z1" s="838"/>
      <c r="AA1" s="838"/>
      <c r="AB1" s="838"/>
      <c r="AC1" s="839"/>
      <c r="AD1" s="840"/>
      <c r="AE1" s="840"/>
      <c r="AF1" s="840"/>
      <c r="AG1" s="840"/>
      <c r="AH1" s="840"/>
      <c r="AI1" s="840"/>
      <c r="AJ1" s="840"/>
      <c r="AK1" s="840"/>
      <c r="AL1" s="840"/>
      <c r="AM1" s="840"/>
      <c r="AN1" s="840"/>
      <c r="AO1" s="840"/>
      <c r="AP1" s="840"/>
      <c r="AQ1" s="840"/>
      <c r="AR1" s="840"/>
      <c r="AS1" s="840"/>
    </row>
    <row r="2" spans="1:45" ht="61.5" customHeight="1">
      <c r="A2" s="501" t="s">
        <v>57</v>
      </c>
      <c r="B2" s="502" t="s">
        <v>1</v>
      </c>
      <c r="C2" s="502" t="s">
        <v>58</v>
      </c>
      <c r="D2" s="502"/>
      <c r="E2" s="502" t="s">
        <v>60</v>
      </c>
      <c r="F2" s="502" t="s">
        <v>42</v>
      </c>
      <c r="G2" s="503" t="s">
        <v>61</v>
      </c>
      <c r="H2" s="503" t="s">
        <v>62</v>
      </c>
      <c r="I2" s="502" t="s">
        <v>63</v>
      </c>
      <c r="J2" s="502" t="s">
        <v>64</v>
      </c>
      <c r="K2" s="502" t="s">
        <v>44</v>
      </c>
      <c r="L2" s="503" t="s">
        <v>65</v>
      </c>
      <c r="M2" s="661" t="s">
        <v>66</v>
      </c>
      <c r="N2" s="504" t="s">
        <v>67</v>
      </c>
      <c r="O2" s="937" t="s">
        <v>68</v>
      </c>
      <c r="P2" s="938"/>
      <c r="Q2" s="939"/>
      <c r="R2" s="940"/>
      <c r="S2" s="941"/>
      <c r="T2" s="942" t="s">
        <v>69</v>
      </c>
      <c r="U2" s="943"/>
      <c r="V2" s="944"/>
      <c r="W2" s="945"/>
      <c r="X2" s="946"/>
      <c r="Y2" s="947" t="s">
        <v>70</v>
      </c>
      <c r="Z2" s="938"/>
      <c r="AA2" s="939"/>
      <c r="AB2" s="940"/>
      <c r="AC2" s="948"/>
      <c r="AD2" s="932" t="s">
        <v>71</v>
      </c>
      <c r="AE2" s="933"/>
      <c r="AF2" s="934"/>
      <c r="AG2" s="935"/>
      <c r="AH2" s="936"/>
      <c r="AI2" s="949" t="s">
        <v>72</v>
      </c>
      <c r="AJ2" s="937"/>
      <c r="AK2" s="950"/>
      <c r="AL2" s="951"/>
      <c r="AM2" s="952"/>
      <c r="AN2" s="932" t="s">
        <v>73</v>
      </c>
      <c r="AO2" s="933"/>
      <c r="AP2" s="934"/>
      <c r="AQ2" s="935"/>
      <c r="AR2" s="936"/>
      <c r="AS2" s="754" t="s">
        <v>76</v>
      </c>
    </row>
    <row r="3" spans="1:45" ht="13.9">
      <c r="A3" s="506"/>
      <c r="B3" s="507"/>
      <c r="C3" s="508"/>
      <c r="D3" s="507"/>
      <c r="E3" s="507"/>
      <c r="F3" s="507"/>
      <c r="G3" s="509"/>
      <c r="H3" s="509"/>
      <c r="I3" s="507"/>
      <c r="J3" s="507"/>
      <c r="K3" s="507"/>
      <c r="L3" s="509"/>
      <c r="M3" s="662"/>
      <c r="N3" s="586"/>
      <c r="O3" s="587" t="s">
        <v>17</v>
      </c>
      <c r="P3" s="588" t="s">
        <v>49</v>
      </c>
      <c r="Q3" s="589" t="s">
        <v>50</v>
      </c>
      <c r="R3" s="590" t="s">
        <v>51</v>
      </c>
      <c r="S3" s="591" t="s">
        <v>44</v>
      </c>
      <c r="T3" s="768" t="s">
        <v>17</v>
      </c>
      <c r="U3" s="769" t="s">
        <v>49</v>
      </c>
      <c r="V3" s="770" t="s">
        <v>50</v>
      </c>
      <c r="W3" s="771" t="s">
        <v>51</v>
      </c>
      <c r="X3" s="772" t="s">
        <v>44</v>
      </c>
      <c r="Y3" s="587" t="s">
        <v>17</v>
      </c>
      <c r="Z3" s="588" t="s">
        <v>49</v>
      </c>
      <c r="AA3" s="589" t="s">
        <v>50</v>
      </c>
      <c r="AB3" s="590" t="s">
        <v>51</v>
      </c>
      <c r="AC3" s="591" t="s">
        <v>44</v>
      </c>
      <c r="AD3" s="768" t="s">
        <v>17</v>
      </c>
      <c r="AE3" s="769" t="s">
        <v>49</v>
      </c>
      <c r="AF3" s="770" t="s">
        <v>50</v>
      </c>
      <c r="AG3" s="771" t="s">
        <v>51</v>
      </c>
      <c r="AH3" s="772" t="s">
        <v>44</v>
      </c>
      <c r="AI3" s="587" t="s">
        <v>17</v>
      </c>
      <c r="AJ3" s="588" t="s">
        <v>49</v>
      </c>
      <c r="AK3" s="589" t="s">
        <v>50</v>
      </c>
      <c r="AL3" s="590" t="s">
        <v>51</v>
      </c>
      <c r="AM3" s="591" t="s">
        <v>44</v>
      </c>
      <c r="AN3" s="768" t="s">
        <v>17</v>
      </c>
      <c r="AO3" s="769" t="s">
        <v>49</v>
      </c>
      <c r="AP3" s="770" t="s">
        <v>50</v>
      </c>
      <c r="AQ3" s="771" t="s">
        <v>51</v>
      </c>
      <c r="AR3" s="772" t="s">
        <v>44</v>
      </c>
      <c r="AS3" s="507"/>
    </row>
    <row r="4" spans="1:45" s="516" customFormat="1" ht="20.25" customHeight="1">
      <c r="A4" s="592">
        <v>1</v>
      </c>
      <c r="B4" s="592" t="s">
        <v>22</v>
      </c>
      <c r="C4" s="841" t="s">
        <v>1380</v>
      </c>
      <c r="D4" s="842" t="s">
        <v>1381</v>
      </c>
      <c r="E4" s="843" t="s">
        <v>1382</v>
      </c>
      <c r="F4" s="844"/>
      <c r="G4" s="510"/>
      <c r="H4" s="510">
        <f>G4+7</f>
        <v>7</v>
      </c>
      <c r="I4" s="514"/>
      <c r="J4" s="514"/>
      <c r="K4" s="514"/>
      <c r="L4" s="510"/>
      <c r="M4" s="663" t="s">
        <v>81</v>
      </c>
      <c r="N4" s="845"/>
      <c r="O4" s="510"/>
      <c r="P4" s="510"/>
      <c r="Q4" s="510"/>
      <c r="R4" s="510"/>
      <c r="S4" s="514"/>
      <c r="T4" s="515"/>
      <c r="U4" s="515"/>
      <c r="V4" s="515"/>
      <c r="W4" s="515"/>
      <c r="X4" s="514"/>
      <c r="Y4" s="515"/>
      <c r="Z4" s="515"/>
      <c r="AA4" s="515"/>
      <c r="AB4" s="515"/>
      <c r="AC4" s="514"/>
      <c r="AD4" s="846"/>
      <c r="AE4" s="846"/>
      <c r="AF4" s="846"/>
      <c r="AG4" s="846"/>
      <c r="AH4" s="847"/>
      <c r="AI4" s="846"/>
      <c r="AJ4" s="846"/>
      <c r="AK4" s="846"/>
      <c r="AL4" s="846"/>
      <c r="AM4" s="847"/>
      <c r="AN4" s="846"/>
      <c r="AO4" s="846"/>
      <c r="AP4" s="846"/>
      <c r="AQ4" s="846"/>
      <c r="AR4" s="847"/>
      <c r="AS4" s="844" t="s">
        <v>82</v>
      </c>
    </row>
    <row r="5" spans="1:45" s="516" customFormat="1" ht="20.25" customHeight="1">
      <c r="A5" s="592">
        <f>A4+1</f>
        <v>2</v>
      </c>
      <c r="B5" s="592" t="s">
        <v>22</v>
      </c>
      <c r="C5" s="841" t="s">
        <v>1383</v>
      </c>
      <c r="D5" s="842" t="s">
        <v>1384</v>
      </c>
      <c r="E5" s="843" t="s">
        <v>1385</v>
      </c>
      <c r="F5" s="844">
        <v>46034</v>
      </c>
      <c r="G5" s="510">
        <v>46034</v>
      </c>
      <c r="H5" s="510">
        <f t="shared" ref="H5:H32" si="0">G5+7</f>
        <v>46041</v>
      </c>
      <c r="I5" s="514">
        <v>0</v>
      </c>
      <c r="J5" s="514" t="s">
        <v>50</v>
      </c>
      <c r="K5" s="514" t="s">
        <v>89</v>
      </c>
      <c r="L5" s="510"/>
      <c r="M5" s="656" t="s">
        <v>81</v>
      </c>
      <c r="N5" s="593"/>
      <c r="O5" s="510">
        <v>46034</v>
      </c>
      <c r="P5" s="510">
        <v>46055</v>
      </c>
      <c r="Q5" s="510"/>
      <c r="R5" s="510"/>
      <c r="S5" s="514"/>
      <c r="T5" s="515"/>
      <c r="U5" s="515"/>
      <c r="V5" s="515"/>
      <c r="W5" s="515"/>
      <c r="X5" s="514"/>
      <c r="Y5" s="515"/>
      <c r="Z5" s="515"/>
      <c r="AA5" s="515"/>
      <c r="AB5" s="515"/>
      <c r="AC5" s="514"/>
      <c r="AD5" s="515"/>
      <c r="AE5" s="515"/>
      <c r="AF5" s="515"/>
      <c r="AG5" s="515"/>
      <c r="AH5" s="514"/>
      <c r="AI5" s="515"/>
      <c r="AJ5" s="515"/>
      <c r="AK5" s="515"/>
      <c r="AL5" s="515"/>
      <c r="AM5" s="514"/>
      <c r="AN5" s="515"/>
      <c r="AO5" s="515"/>
      <c r="AP5" s="515"/>
      <c r="AQ5" s="515"/>
      <c r="AR5" s="514"/>
      <c r="AS5" s="844" t="s">
        <v>82</v>
      </c>
    </row>
    <row r="6" spans="1:45" s="516" customFormat="1" ht="20.25" customHeight="1">
      <c r="A6" s="592">
        <f t="shared" ref="A6:A35" si="1">A5+1</f>
        <v>3</v>
      </c>
      <c r="B6" s="592" t="s">
        <v>22</v>
      </c>
      <c r="C6" s="841" t="s">
        <v>1386</v>
      </c>
      <c r="D6" s="842" t="s">
        <v>1387</v>
      </c>
      <c r="E6" s="843" t="s">
        <v>1388</v>
      </c>
      <c r="F6" s="844">
        <f>F5+7</f>
        <v>46041</v>
      </c>
      <c r="G6" s="510">
        <v>46035</v>
      </c>
      <c r="H6" s="510">
        <f>G6+7</f>
        <v>46042</v>
      </c>
      <c r="I6" s="514">
        <v>0</v>
      </c>
      <c r="J6" s="514" t="s">
        <v>50</v>
      </c>
      <c r="K6" s="514" t="s">
        <v>89</v>
      </c>
      <c r="L6" s="510"/>
      <c r="M6" s="656" t="s">
        <v>81</v>
      </c>
      <c r="N6" s="593"/>
      <c r="O6" s="510">
        <v>46035</v>
      </c>
      <c r="P6" s="510">
        <v>46055</v>
      </c>
      <c r="Q6" s="510"/>
      <c r="R6" s="510"/>
      <c r="S6" s="514"/>
      <c r="T6" s="515"/>
      <c r="U6" s="515"/>
      <c r="V6" s="515"/>
      <c r="W6" s="515"/>
      <c r="X6" s="514"/>
      <c r="Y6" s="515"/>
      <c r="Z6" s="515"/>
      <c r="AA6" s="515"/>
      <c r="AB6" s="515"/>
      <c r="AC6" s="514"/>
      <c r="AD6" s="846"/>
      <c r="AE6" s="846"/>
      <c r="AF6" s="846"/>
      <c r="AG6" s="846"/>
      <c r="AH6" s="847"/>
      <c r="AI6" s="846"/>
      <c r="AJ6" s="846"/>
      <c r="AK6" s="846"/>
      <c r="AL6" s="846"/>
      <c r="AM6" s="847"/>
      <c r="AN6" s="846"/>
      <c r="AO6" s="846"/>
      <c r="AP6" s="846"/>
      <c r="AQ6" s="846"/>
      <c r="AR6" s="847"/>
      <c r="AS6" s="844" t="s">
        <v>253</v>
      </c>
    </row>
    <row r="7" spans="1:45" s="516" customFormat="1" ht="20.25" customHeight="1">
      <c r="A7" s="592">
        <f t="shared" si="1"/>
        <v>4</v>
      </c>
      <c r="B7" s="592" t="s">
        <v>22</v>
      </c>
      <c r="C7" s="841" t="s">
        <v>1389</v>
      </c>
      <c r="D7" s="842" t="s">
        <v>1390</v>
      </c>
      <c r="E7" s="843" t="s">
        <v>1391</v>
      </c>
      <c r="F7" s="844">
        <f t="shared" ref="F7:F12" si="2">F6</f>
        <v>46041</v>
      </c>
      <c r="G7" s="510">
        <v>46034</v>
      </c>
      <c r="H7" s="510">
        <f t="shared" ref="H7:H9" si="3">G7+7</f>
        <v>46041</v>
      </c>
      <c r="I7" s="514">
        <v>0</v>
      </c>
      <c r="J7" s="514" t="s">
        <v>50</v>
      </c>
      <c r="K7" s="514" t="s">
        <v>89</v>
      </c>
      <c r="L7" s="510"/>
      <c r="M7" s="656" t="s">
        <v>81</v>
      </c>
      <c r="N7" s="593"/>
      <c r="O7" s="510">
        <v>46034</v>
      </c>
      <c r="P7" s="510">
        <v>46055</v>
      </c>
      <c r="Q7" s="510"/>
      <c r="R7" s="510"/>
      <c r="S7" s="514"/>
      <c r="T7" s="515"/>
      <c r="U7" s="515"/>
      <c r="V7" s="515"/>
      <c r="W7" s="515"/>
      <c r="X7" s="514"/>
      <c r="Y7" s="515"/>
      <c r="Z7" s="515"/>
      <c r="AA7" s="515"/>
      <c r="AB7" s="515"/>
      <c r="AC7" s="514"/>
      <c r="AD7" s="846"/>
      <c r="AE7" s="846"/>
      <c r="AF7" s="846"/>
      <c r="AG7" s="846"/>
      <c r="AH7" s="847"/>
      <c r="AI7" s="846"/>
      <c r="AJ7" s="846"/>
      <c r="AK7" s="846"/>
      <c r="AL7" s="846"/>
      <c r="AM7" s="847"/>
      <c r="AN7" s="846"/>
      <c r="AO7" s="846"/>
      <c r="AP7" s="846"/>
      <c r="AQ7" s="846"/>
      <c r="AR7" s="847"/>
      <c r="AS7" s="844" t="s">
        <v>82</v>
      </c>
    </row>
    <row r="8" spans="1:45" s="516" customFormat="1" ht="20.25" customHeight="1">
      <c r="A8" s="592">
        <f t="shared" si="1"/>
        <v>5</v>
      </c>
      <c r="B8" s="592" t="s">
        <v>22</v>
      </c>
      <c r="C8" s="841" t="s">
        <v>1392</v>
      </c>
      <c r="D8" s="842" t="s">
        <v>1393</v>
      </c>
      <c r="E8" s="843" t="s">
        <v>1394</v>
      </c>
      <c r="F8" s="844">
        <f t="shared" si="2"/>
        <v>46041</v>
      </c>
      <c r="G8" s="510">
        <v>46034</v>
      </c>
      <c r="H8" s="510">
        <f t="shared" si="3"/>
        <v>46041</v>
      </c>
      <c r="I8" s="514">
        <v>0</v>
      </c>
      <c r="J8" s="514" t="s">
        <v>50</v>
      </c>
      <c r="K8" s="514" t="s">
        <v>89</v>
      </c>
      <c r="L8" s="510"/>
      <c r="M8" s="656" t="s">
        <v>81</v>
      </c>
      <c r="N8" s="593"/>
      <c r="O8" s="510">
        <v>46034</v>
      </c>
      <c r="P8" s="510">
        <v>46055</v>
      </c>
      <c r="Q8" s="510"/>
      <c r="R8" s="513"/>
      <c r="S8" s="514"/>
      <c r="T8" s="515"/>
      <c r="U8" s="515"/>
      <c r="V8" s="515"/>
      <c r="W8" s="515"/>
      <c r="X8" s="514"/>
      <c r="Y8" s="515"/>
      <c r="Z8" s="515"/>
      <c r="AA8" s="515"/>
      <c r="AB8" s="515"/>
      <c r="AC8" s="514"/>
      <c r="AD8" s="846"/>
      <c r="AE8" s="846"/>
      <c r="AF8" s="846"/>
      <c r="AG8" s="517"/>
      <c r="AH8" s="847"/>
      <c r="AI8" s="846"/>
      <c r="AJ8" s="846"/>
      <c r="AK8" s="846"/>
      <c r="AL8" s="517"/>
      <c r="AM8" s="847"/>
      <c r="AN8" s="846"/>
      <c r="AO8" s="846"/>
      <c r="AP8" s="846"/>
      <c r="AQ8" s="517"/>
      <c r="AR8" s="847"/>
      <c r="AS8" s="844" t="s">
        <v>253</v>
      </c>
    </row>
    <row r="9" spans="1:45" ht="20.25" customHeight="1">
      <c r="A9" s="592">
        <f t="shared" si="1"/>
        <v>6</v>
      </c>
      <c r="B9" s="592" t="s">
        <v>22</v>
      </c>
      <c r="C9" s="841" t="s">
        <v>1395</v>
      </c>
      <c r="D9" s="842" t="s">
        <v>1396</v>
      </c>
      <c r="E9" s="843" t="s">
        <v>1397</v>
      </c>
      <c r="F9" s="844">
        <f t="shared" si="2"/>
        <v>46041</v>
      </c>
      <c r="G9" s="510">
        <v>46034</v>
      </c>
      <c r="H9" s="510">
        <f t="shared" si="3"/>
        <v>46041</v>
      </c>
      <c r="I9" s="514">
        <v>0</v>
      </c>
      <c r="J9" s="514" t="s">
        <v>50</v>
      </c>
      <c r="K9" s="514" t="s">
        <v>89</v>
      </c>
      <c r="L9" s="510"/>
      <c r="M9" s="656" t="s">
        <v>81</v>
      </c>
      <c r="N9" s="593"/>
      <c r="O9" s="510">
        <v>46034</v>
      </c>
      <c r="P9" s="510">
        <v>46055</v>
      </c>
      <c r="Q9" s="510"/>
      <c r="R9" s="510"/>
      <c r="S9" s="514"/>
      <c r="T9" s="515"/>
      <c r="U9" s="515"/>
      <c r="V9" s="515"/>
      <c r="W9" s="515"/>
      <c r="X9" s="514"/>
      <c r="Y9" s="515"/>
      <c r="Z9" s="515"/>
      <c r="AA9" s="515"/>
      <c r="AB9" s="515"/>
      <c r="AC9" s="514"/>
      <c r="AD9" s="515"/>
      <c r="AE9" s="515"/>
      <c r="AF9" s="517"/>
      <c r="AG9" s="517"/>
      <c r="AH9" s="512"/>
      <c r="AI9" s="515"/>
      <c r="AJ9" s="515"/>
      <c r="AK9" s="517"/>
      <c r="AL9" s="517"/>
      <c r="AM9" s="512"/>
      <c r="AN9" s="515"/>
      <c r="AO9" s="515"/>
      <c r="AP9" s="517"/>
      <c r="AQ9" s="517"/>
      <c r="AR9" s="512"/>
      <c r="AS9" s="844" t="s">
        <v>82</v>
      </c>
    </row>
    <row r="10" spans="1:45" ht="20.25" customHeight="1">
      <c r="A10" s="592">
        <f t="shared" si="1"/>
        <v>7</v>
      </c>
      <c r="B10" s="592" t="s">
        <v>22</v>
      </c>
      <c r="C10" s="841" t="s">
        <v>1398</v>
      </c>
      <c r="D10" s="842" t="s">
        <v>1399</v>
      </c>
      <c r="E10" s="843" t="s">
        <v>1400</v>
      </c>
      <c r="F10" s="844">
        <f t="shared" si="2"/>
        <v>46041</v>
      </c>
      <c r="G10" s="510">
        <v>46035</v>
      </c>
      <c r="H10" s="510">
        <f>G10+7</f>
        <v>46042</v>
      </c>
      <c r="I10" s="514">
        <v>0</v>
      </c>
      <c r="J10" s="514" t="s">
        <v>50</v>
      </c>
      <c r="K10" s="514" t="s">
        <v>89</v>
      </c>
      <c r="L10" s="510"/>
      <c r="M10" s="656" t="s">
        <v>81</v>
      </c>
      <c r="N10" s="593"/>
      <c r="O10" s="510">
        <v>46035</v>
      </c>
      <c r="P10" s="510">
        <v>46055</v>
      </c>
      <c r="Q10" s="510"/>
      <c r="R10" s="510"/>
      <c r="S10" s="514"/>
      <c r="T10" s="515"/>
      <c r="U10" s="515"/>
      <c r="V10" s="515"/>
      <c r="W10" s="515"/>
      <c r="X10" s="514"/>
      <c r="Y10" s="515"/>
      <c r="Z10" s="515"/>
      <c r="AA10" s="515"/>
      <c r="AB10" s="515"/>
      <c r="AC10" s="514"/>
      <c r="AD10" s="517"/>
      <c r="AE10" s="517"/>
      <c r="AF10" s="517"/>
      <c r="AG10" s="517"/>
      <c r="AH10" s="512"/>
      <c r="AI10" s="517"/>
      <c r="AJ10" s="517"/>
      <c r="AK10" s="517"/>
      <c r="AL10" s="517"/>
      <c r="AM10" s="512"/>
      <c r="AN10" s="517"/>
      <c r="AO10" s="517"/>
      <c r="AP10" s="517"/>
      <c r="AQ10" s="517"/>
      <c r="AR10" s="512"/>
      <c r="AS10" s="844" t="s">
        <v>253</v>
      </c>
    </row>
    <row r="11" spans="1:45" ht="20.25" customHeight="1">
      <c r="A11" s="592">
        <f t="shared" si="1"/>
        <v>8</v>
      </c>
      <c r="B11" s="592" t="s">
        <v>22</v>
      </c>
      <c r="C11" s="841" t="s">
        <v>1401</v>
      </c>
      <c r="D11" s="842" t="s">
        <v>1402</v>
      </c>
      <c r="E11" s="843" t="s">
        <v>1403</v>
      </c>
      <c r="F11" s="844">
        <f t="shared" si="2"/>
        <v>46041</v>
      </c>
      <c r="G11" s="510">
        <v>46035</v>
      </c>
      <c r="H11" s="510">
        <f>G11+7</f>
        <v>46042</v>
      </c>
      <c r="I11" s="514">
        <v>0</v>
      </c>
      <c r="J11" s="514" t="s">
        <v>50</v>
      </c>
      <c r="K11" s="514" t="s">
        <v>89</v>
      </c>
      <c r="L11" s="510"/>
      <c r="M11" s="656" t="s">
        <v>81</v>
      </c>
      <c r="N11" s="593"/>
      <c r="O11" s="510">
        <v>46035</v>
      </c>
      <c r="P11" s="510">
        <v>46055</v>
      </c>
      <c r="Q11" s="510"/>
      <c r="R11" s="510"/>
      <c r="S11" s="514"/>
      <c r="T11" s="515"/>
      <c r="U11" s="515"/>
      <c r="V11" s="515"/>
      <c r="W11" s="515"/>
      <c r="X11" s="514"/>
      <c r="Y11" s="515"/>
      <c r="Z11" s="515"/>
      <c r="AA11" s="515"/>
      <c r="AB11" s="515"/>
      <c r="AC11" s="514"/>
      <c r="AD11" s="517"/>
      <c r="AE11" s="517"/>
      <c r="AF11" s="517"/>
      <c r="AG11" s="517"/>
      <c r="AH11" s="512"/>
      <c r="AI11" s="517"/>
      <c r="AJ11" s="517"/>
      <c r="AK11" s="517"/>
      <c r="AL11" s="517"/>
      <c r="AM11" s="512"/>
      <c r="AN11" s="517"/>
      <c r="AO11" s="517"/>
      <c r="AP11" s="517"/>
      <c r="AQ11" s="517"/>
      <c r="AR11" s="512"/>
      <c r="AS11" s="844" t="s">
        <v>253</v>
      </c>
    </row>
    <row r="12" spans="1:45" ht="20.25" customHeight="1">
      <c r="A12" s="592">
        <f t="shared" si="1"/>
        <v>9</v>
      </c>
      <c r="B12" s="592" t="s">
        <v>22</v>
      </c>
      <c r="C12" s="841" t="s">
        <v>1404</v>
      </c>
      <c r="D12" s="842" t="s">
        <v>1405</v>
      </c>
      <c r="E12" s="843" t="s">
        <v>1406</v>
      </c>
      <c r="F12" s="844">
        <f t="shared" si="2"/>
        <v>46041</v>
      </c>
      <c r="G12" s="510">
        <v>46036</v>
      </c>
      <c r="H12" s="510">
        <f t="shared" si="0"/>
        <v>46043</v>
      </c>
      <c r="I12" s="514">
        <v>0</v>
      </c>
      <c r="J12" s="514" t="s">
        <v>50</v>
      </c>
      <c r="K12" s="514" t="s">
        <v>89</v>
      </c>
      <c r="L12" s="510"/>
      <c r="M12" s="656" t="s">
        <v>81</v>
      </c>
      <c r="N12" s="593"/>
      <c r="O12" s="510">
        <v>46036</v>
      </c>
      <c r="P12" s="510">
        <v>46055</v>
      </c>
      <c r="Q12" s="510"/>
      <c r="R12" s="510"/>
      <c r="S12" s="514"/>
      <c r="T12" s="515"/>
      <c r="U12" s="515"/>
      <c r="V12" s="515"/>
      <c r="W12" s="515"/>
      <c r="X12" s="514"/>
      <c r="Y12" s="515"/>
      <c r="Z12" s="515"/>
      <c r="AA12" s="515"/>
      <c r="AB12" s="515"/>
      <c r="AC12" s="514"/>
      <c r="AD12" s="846"/>
      <c r="AE12" s="846"/>
      <c r="AF12" s="846"/>
      <c r="AG12" s="846"/>
      <c r="AH12" s="847"/>
      <c r="AI12" s="846"/>
      <c r="AJ12" s="846"/>
      <c r="AK12" s="846"/>
      <c r="AL12" s="846"/>
      <c r="AM12" s="847"/>
      <c r="AN12" s="846"/>
      <c r="AO12" s="846"/>
      <c r="AP12" s="846"/>
      <c r="AQ12" s="846"/>
      <c r="AR12" s="847"/>
      <c r="AS12" s="844" t="s">
        <v>82</v>
      </c>
    </row>
    <row r="13" spans="1:45" ht="20.25" customHeight="1">
      <c r="A13" s="592">
        <f t="shared" si="1"/>
        <v>10</v>
      </c>
      <c r="B13" s="592" t="s">
        <v>22</v>
      </c>
      <c r="C13" s="841" t="s">
        <v>1407</v>
      </c>
      <c r="D13" s="842" t="s">
        <v>1408</v>
      </c>
      <c r="E13" s="843" t="s">
        <v>1409</v>
      </c>
      <c r="F13" s="647">
        <v>46076</v>
      </c>
      <c r="G13" s="510"/>
      <c r="H13" s="510">
        <f t="shared" si="0"/>
        <v>7</v>
      </c>
      <c r="I13" s="511"/>
      <c r="J13" s="514"/>
      <c r="K13" s="514"/>
      <c r="L13" s="510"/>
      <c r="M13" s="656" t="s">
        <v>81</v>
      </c>
      <c r="N13" s="594"/>
      <c r="O13" s="510"/>
      <c r="P13" s="510"/>
      <c r="Q13" s="510"/>
      <c r="R13" s="510"/>
      <c r="S13" s="514"/>
      <c r="T13" s="515"/>
      <c r="U13" s="515"/>
      <c r="V13" s="515"/>
      <c r="W13" s="510"/>
      <c r="X13" s="514"/>
      <c r="Y13" s="515"/>
      <c r="Z13" s="515"/>
      <c r="AA13" s="515"/>
      <c r="AB13" s="515"/>
      <c r="AC13" s="514"/>
      <c r="AD13" s="846"/>
      <c r="AE13" s="846"/>
      <c r="AF13" s="846"/>
      <c r="AG13" s="846"/>
      <c r="AH13" s="847"/>
      <c r="AI13" s="846"/>
      <c r="AJ13" s="846"/>
      <c r="AK13" s="846"/>
      <c r="AL13" s="846"/>
      <c r="AM13" s="847"/>
      <c r="AN13" s="846"/>
      <c r="AO13" s="846"/>
      <c r="AP13" s="846"/>
      <c r="AQ13" s="846"/>
      <c r="AR13" s="847"/>
      <c r="AS13" s="844" t="s">
        <v>82</v>
      </c>
    </row>
    <row r="14" spans="1:45" ht="20.25" customHeight="1">
      <c r="A14" s="592">
        <f t="shared" si="1"/>
        <v>11</v>
      </c>
      <c r="B14" s="592" t="s">
        <v>22</v>
      </c>
      <c r="C14" s="841" t="s">
        <v>1410</v>
      </c>
      <c r="D14" s="842" t="s">
        <v>1411</v>
      </c>
      <c r="E14" s="843" t="s">
        <v>1412</v>
      </c>
      <c r="F14" s="647">
        <v>46069</v>
      </c>
      <c r="G14" s="510"/>
      <c r="H14" s="510">
        <f t="shared" si="0"/>
        <v>7</v>
      </c>
      <c r="I14" s="511"/>
      <c r="J14" s="514"/>
      <c r="K14" s="514"/>
      <c r="L14" s="510"/>
      <c r="M14" s="656" t="s">
        <v>81</v>
      </c>
      <c r="N14" s="594"/>
      <c r="O14" s="510"/>
      <c r="P14" s="510"/>
      <c r="Q14" s="510"/>
      <c r="R14" s="510"/>
      <c r="S14" s="514"/>
      <c r="T14" s="515"/>
      <c r="U14" s="515"/>
      <c r="V14" s="515"/>
      <c r="W14" s="510"/>
      <c r="X14" s="514"/>
      <c r="Y14" s="515"/>
      <c r="Z14" s="515"/>
      <c r="AA14" s="515"/>
      <c r="AB14" s="515"/>
      <c r="AC14" s="514"/>
      <c r="AD14" s="846"/>
      <c r="AE14" s="846"/>
      <c r="AF14" s="846"/>
      <c r="AG14" s="846"/>
      <c r="AH14" s="847"/>
      <c r="AI14" s="846"/>
      <c r="AJ14" s="846"/>
      <c r="AK14" s="846"/>
      <c r="AL14" s="846"/>
      <c r="AM14" s="847"/>
      <c r="AN14" s="846"/>
      <c r="AO14" s="846"/>
      <c r="AP14" s="846"/>
      <c r="AQ14" s="846"/>
      <c r="AR14" s="847"/>
      <c r="AS14" s="844" t="s">
        <v>82</v>
      </c>
    </row>
    <row r="15" spans="1:45" ht="20.25" customHeight="1">
      <c r="A15" s="592">
        <f t="shared" si="1"/>
        <v>12</v>
      </c>
      <c r="B15" s="592" t="s">
        <v>22</v>
      </c>
      <c r="C15" s="841" t="s">
        <v>1413</v>
      </c>
      <c r="D15" s="842" t="s">
        <v>1414</v>
      </c>
      <c r="E15" s="843" t="s">
        <v>1415</v>
      </c>
      <c r="F15" s="784">
        <v>46055</v>
      </c>
      <c r="G15" s="510"/>
      <c r="H15" s="510">
        <f t="shared" si="0"/>
        <v>7</v>
      </c>
      <c r="I15" s="511"/>
      <c r="J15" s="514"/>
      <c r="K15" s="514"/>
      <c r="L15" s="510"/>
      <c r="M15" s="656" t="s">
        <v>81</v>
      </c>
      <c r="N15" s="635" t="s">
        <v>1416</v>
      </c>
      <c r="O15" s="510"/>
      <c r="P15" s="510"/>
      <c r="Q15" s="510"/>
      <c r="R15" s="510"/>
      <c r="S15" s="514"/>
      <c r="T15" s="515"/>
      <c r="U15" s="515"/>
      <c r="V15" s="515"/>
      <c r="W15" s="515"/>
      <c r="X15" s="514"/>
      <c r="Y15" s="515"/>
      <c r="Z15" s="515"/>
      <c r="AA15" s="515"/>
      <c r="AB15" s="515"/>
      <c r="AC15" s="514"/>
      <c r="AD15" s="846"/>
      <c r="AE15" s="846"/>
      <c r="AF15" s="846"/>
      <c r="AG15" s="846"/>
      <c r="AH15" s="847"/>
      <c r="AI15" s="846"/>
      <c r="AJ15" s="846"/>
      <c r="AK15" s="846"/>
      <c r="AL15" s="846"/>
      <c r="AM15" s="847"/>
      <c r="AN15" s="846"/>
      <c r="AO15" s="846"/>
      <c r="AP15" s="846"/>
      <c r="AQ15" s="846"/>
      <c r="AR15" s="847"/>
      <c r="AS15" s="844" t="s">
        <v>82</v>
      </c>
    </row>
    <row r="16" spans="1:45" ht="20.25" customHeight="1">
      <c r="A16" s="592">
        <f t="shared" si="1"/>
        <v>13</v>
      </c>
      <c r="B16" s="592" t="s">
        <v>22</v>
      </c>
      <c r="C16" s="841" t="s">
        <v>1417</v>
      </c>
      <c r="D16" s="842" t="s">
        <v>1418</v>
      </c>
      <c r="E16" s="843" t="s">
        <v>1419</v>
      </c>
      <c r="F16" s="647">
        <v>46076</v>
      </c>
      <c r="G16" s="510"/>
      <c r="H16" s="510">
        <f t="shared" si="0"/>
        <v>7</v>
      </c>
      <c r="I16" s="511"/>
      <c r="J16" s="514"/>
      <c r="K16" s="514"/>
      <c r="L16" s="510"/>
      <c r="M16" s="656" t="s">
        <v>81</v>
      </c>
      <c r="N16" s="594"/>
      <c r="O16" s="510"/>
      <c r="P16" s="510"/>
      <c r="Q16" s="510"/>
      <c r="R16" s="510"/>
      <c r="S16" s="514"/>
      <c r="T16" s="515"/>
      <c r="U16" s="515"/>
      <c r="V16" s="515"/>
      <c r="W16" s="515"/>
      <c r="X16" s="514"/>
      <c r="Y16" s="515"/>
      <c r="Z16" s="515"/>
      <c r="AA16" s="515"/>
      <c r="AB16" s="515"/>
      <c r="AC16" s="514"/>
      <c r="AD16" s="846"/>
      <c r="AE16" s="846"/>
      <c r="AF16" s="846"/>
      <c r="AG16" s="846"/>
      <c r="AH16" s="847"/>
      <c r="AI16" s="846"/>
      <c r="AJ16" s="846"/>
      <c r="AK16" s="846"/>
      <c r="AL16" s="846"/>
      <c r="AM16" s="847"/>
      <c r="AN16" s="846"/>
      <c r="AO16" s="846"/>
      <c r="AP16" s="846"/>
      <c r="AQ16" s="846"/>
      <c r="AR16" s="847"/>
      <c r="AS16" s="844" t="s">
        <v>82</v>
      </c>
    </row>
    <row r="17" spans="1:45" ht="20.25" customHeight="1">
      <c r="A17" s="592">
        <f t="shared" si="1"/>
        <v>14</v>
      </c>
      <c r="B17" s="592" t="s">
        <v>22</v>
      </c>
      <c r="C17" s="841" t="s">
        <v>1420</v>
      </c>
      <c r="D17" s="842" t="s">
        <v>1421</v>
      </c>
      <c r="E17" s="843" t="s">
        <v>1422</v>
      </c>
      <c r="F17" s="647">
        <v>46076</v>
      </c>
      <c r="G17" s="510"/>
      <c r="H17" s="510">
        <f t="shared" si="0"/>
        <v>7</v>
      </c>
      <c r="I17" s="511"/>
      <c r="J17" s="514"/>
      <c r="K17" s="514"/>
      <c r="L17" s="510"/>
      <c r="M17" s="656" t="s">
        <v>81</v>
      </c>
      <c r="N17" s="594"/>
      <c r="O17" s="510"/>
      <c r="P17" s="510"/>
      <c r="Q17" s="510"/>
      <c r="R17" s="510"/>
      <c r="S17" s="514"/>
      <c r="T17" s="515"/>
      <c r="U17" s="515"/>
      <c r="V17" s="515"/>
      <c r="W17" s="515"/>
      <c r="X17" s="514"/>
      <c r="Y17" s="515"/>
      <c r="Z17" s="515"/>
      <c r="AA17" s="515"/>
      <c r="AB17" s="515"/>
      <c r="AC17" s="514"/>
      <c r="AD17" s="846"/>
      <c r="AE17" s="846"/>
      <c r="AF17" s="846"/>
      <c r="AG17" s="846"/>
      <c r="AH17" s="847"/>
      <c r="AI17" s="846"/>
      <c r="AJ17" s="846"/>
      <c r="AK17" s="846"/>
      <c r="AL17" s="846"/>
      <c r="AM17" s="847"/>
      <c r="AN17" s="846"/>
      <c r="AO17" s="846"/>
      <c r="AP17" s="846"/>
      <c r="AQ17" s="846"/>
      <c r="AR17" s="847"/>
      <c r="AS17" s="844" t="s">
        <v>82</v>
      </c>
    </row>
    <row r="18" spans="1:45" ht="20.25" customHeight="1">
      <c r="A18" s="592">
        <f t="shared" si="1"/>
        <v>15</v>
      </c>
      <c r="B18" s="592" t="s">
        <v>22</v>
      </c>
      <c r="C18" s="841" t="s">
        <v>1423</v>
      </c>
      <c r="D18" s="842" t="s">
        <v>1424</v>
      </c>
      <c r="E18" s="843" t="s">
        <v>1425</v>
      </c>
      <c r="F18" s="648">
        <v>46076</v>
      </c>
      <c r="G18" s="510"/>
      <c r="H18" s="510">
        <f t="shared" si="0"/>
        <v>7</v>
      </c>
      <c r="I18" s="511"/>
      <c r="J18" s="514"/>
      <c r="K18" s="514"/>
      <c r="L18" s="510"/>
      <c r="M18" s="656" t="s">
        <v>81</v>
      </c>
      <c r="N18" s="594"/>
      <c r="O18" s="510"/>
      <c r="P18" s="510"/>
      <c r="Q18" s="510"/>
      <c r="R18" s="510"/>
      <c r="S18" s="514"/>
      <c r="T18" s="515"/>
      <c r="U18" s="515"/>
      <c r="V18" s="515"/>
      <c r="W18" s="515"/>
      <c r="X18" s="514"/>
      <c r="Y18" s="515"/>
      <c r="Z18" s="515"/>
      <c r="AA18" s="515"/>
      <c r="AB18" s="515"/>
      <c r="AC18" s="514"/>
      <c r="AD18" s="846"/>
      <c r="AE18" s="846"/>
      <c r="AF18" s="846"/>
      <c r="AG18" s="846"/>
      <c r="AH18" s="847"/>
      <c r="AI18" s="846"/>
      <c r="AJ18" s="846"/>
      <c r="AK18" s="846"/>
      <c r="AL18" s="846"/>
      <c r="AM18" s="847"/>
      <c r="AN18" s="846"/>
      <c r="AO18" s="846"/>
      <c r="AP18" s="846"/>
      <c r="AQ18" s="846"/>
      <c r="AR18" s="847"/>
      <c r="AS18" s="234" t="s">
        <v>82</v>
      </c>
    </row>
    <row r="19" spans="1:45" ht="20.25" customHeight="1">
      <c r="A19" s="592">
        <f t="shared" si="1"/>
        <v>16</v>
      </c>
      <c r="B19" s="592" t="s">
        <v>22</v>
      </c>
      <c r="C19" s="841" t="s">
        <v>1426</v>
      </c>
      <c r="D19" s="842" t="s">
        <v>1427</v>
      </c>
      <c r="E19" s="843" t="s">
        <v>1428</v>
      </c>
      <c r="F19" s="648">
        <v>46076</v>
      </c>
      <c r="G19" s="510"/>
      <c r="H19" s="510">
        <f t="shared" si="0"/>
        <v>7</v>
      </c>
      <c r="I19" s="511"/>
      <c r="J19" s="514"/>
      <c r="K19" s="514"/>
      <c r="L19" s="510"/>
      <c r="M19" s="656" t="s">
        <v>81</v>
      </c>
      <c r="N19" s="594"/>
      <c r="O19" s="510"/>
      <c r="P19" s="510"/>
      <c r="Q19" s="510"/>
      <c r="R19" s="510"/>
      <c r="S19" s="514"/>
      <c r="T19" s="515"/>
      <c r="U19" s="515"/>
      <c r="V19" s="515"/>
      <c r="W19" s="515"/>
      <c r="X19" s="514"/>
      <c r="Y19" s="515"/>
      <c r="Z19" s="515"/>
      <c r="AA19" s="515"/>
      <c r="AB19" s="515"/>
      <c r="AC19" s="514"/>
      <c r="AD19" s="846"/>
      <c r="AE19" s="846"/>
      <c r="AF19" s="846"/>
      <c r="AG19" s="846"/>
      <c r="AH19" s="847"/>
      <c r="AI19" s="846"/>
      <c r="AJ19" s="846"/>
      <c r="AK19" s="846"/>
      <c r="AL19" s="846"/>
      <c r="AM19" s="847"/>
      <c r="AN19" s="846"/>
      <c r="AO19" s="846"/>
      <c r="AP19" s="846"/>
      <c r="AQ19" s="846"/>
      <c r="AR19" s="847"/>
      <c r="AS19" s="234" t="s">
        <v>82</v>
      </c>
    </row>
    <row r="20" spans="1:45" ht="20.25" customHeight="1">
      <c r="A20" s="592">
        <f t="shared" si="1"/>
        <v>17</v>
      </c>
      <c r="B20" s="815" t="s">
        <v>22</v>
      </c>
      <c r="C20" s="816" t="s">
        <v>1429</v>
      </c>
      <c r="D20" s="817" t="s">
        <v>1430</v>
      </c>
      <c r="E20" s="818" t="s">
        <v>1431</v>
      </c>
      <c r="F20" s="819">
        <v>46062</v>
      </c>
      <c r="G20" s="820"/>
      <c r="H20" s="820">
        <f t="shared" si="0"/>
        <v>7</v>
      </c>
      <c r="I20" s="821"/>
      <c r="J20" s="822"/>
      <c r="K20" s="822"/>
      <c r="L20" s="820"/>
      <c r="M20" s="823" t="s">
        <v>1432</v>
      </c>
      <c r="N20" s="635" t="s">
        <v>1433</v>
      </c>
      <c r="O20" s="510"/>
      <c r="P20" s="510"/>
      <c r="Q20" s="510"/>
      <c r="R20" s="510"/>
      <c r="S20" s="514"/>
      <c r="T20" s="515"/>
      <c r="U20" s="515"/>
      <c r="V20" s="515"/>
      <c r="W20" s="515"/>
      <c r="X20" s="514"/>
      <c r="Y20" s="515"/>
      <c r="Z20" s="515"/>
      <c r="AA20" s="515"/>
      <c r="AB20" s="515"/>
      <c r="AC20" s="514"/>
      <c r="AD20" s="846"/>
      <c r="AE20" s="846"/>
      <c r="AF20" s="846"/>
      <c r="AG20" s="846"/>
      <c r="AH20" s="847"/>
      <c r="AI20" s="846"/>
      <c r="AJ20" s="846"/>
      <c r="AK20" s="846"/>
      <c r="AL20" s="846"/>
      <c r="AM20" s="847"/>
      <c r="AN20" s="846"/>
      <c r="AO20" s="846"/>
      <c r="AP20" s="846"/>
      <c r="AQ20" s="846"/>
      <c r="AR20" s="847"/>
      <c r="AS20" s="234" t="s">
        <v>82</v>
      </c>
    </row>
    <row r="21" spans="1:45" ht="20.25" customHeight="1">
      <c r="A21" s="592">
        <f t="shared" si="1"/>
        <v>18</v>
      </c>
      <c r="B21" s="592" t="s">
        <v>22</v>
      </c>
      <c r="C21" s="841" t="s">
        <v>1434</v>
      </c>
      <c r="D21" s="842" t="s">
        <v>1435</v>
      </c>
      <c r="E21" s="843" t="s">
        <v>1436</v>
      </c>
      <c r="F21" s="648">
        <v>46083</v>
      </c>
      <c r="G21" s="510"/>
      <c r="H21" s="510">
        <f t="shared" si="0"/>
        <v>7</v>
      </c>
      <c r="I21" s="511"/>
      <c r="J21" s="514"/>
      <c r="K21" s="514"/>
      <c r="L21" s="510"/>
      <c r="M21" s="656" t="s">
        <v>81</v>
      </c>
      <c r="N21" s="594"/>
      <c r="O21" s="510"/>
      <c r="P21" s="510"/>
      <c r="Q21" s="510"/>
      <c r="R21" s="510"/>
      <c r="S21" s="514"/>
      <c r="T21" s="515"/>
      <c r="U21" s="515"/>
      <c r="V21" s="515"/>
      <c r="W21" s="515"/>
      <c r="X21" s="514"/>
      <c r="Y21" s="515"/>
      <c r="Z21" s="515"/>
      <c r="AA21" s="515"/>
      <c r="AB21" s="515"/>
      <c r="AC21" s="514"/>
      <c r="AD21" s="846"/>
      <c r="AE21" s="846"/>
      <c r="AF21" s="846"/>
      <c r="AG21" s="846"/>
      <c r="AH21" s="847"/>
      <c r="AI21" s="846"/>
      <c r="AJ21" s="846"/>
      <c r="AK21" s="846"/>
      <c r="AL21" s="846"/>
      <c r="AM21" s="847"/>
      <c r="AN21" s="846"/>
      <c r="AO21" s="846"/>
      <c r="AP21" s="846"/>
      <c r="AQ21" s="846"/>
      <c r="AR21" s="847"/>
      <c r="AS21" s="234" t="s">
        <v>82</v>
      </c>
    </row>
    <row r="22" spans="1:45" ht="20.25" customHeight="1">
      <c r="A22" s="592">
        <f t="shared" si="1"/>
        <v>19</v>
      </c>
      <c r="B22" s="592" t="s">
        <v>22</v>
      </c>
      <c r="C22" s="841" t="s">
        <v>1437</v>
      </c>
      <c r="D22" s="842" t="s">
        <v>1438</v>
      </c>
      <c r="E22" s="843" t="s">
        <v>1439</v>
      </c>
      <c r="F22" s="648">
        <v>46083</v>
      </c>
      <c r="G22" s="510"/>
      <c r="H22" s="510">
        <f t="shared" si="0"/>
        <v>7</v>
      </c>
      <c r="I22" s="511"/>
      <c r="J22" s="514"/>
      <c r="K22" s="514"/>
      <c r="L22" s="510"/>
      <c r="M22" s="656" t="s">
        <v>81</v>
      </c>
      <c r="N22" s="594"/>
      <c r="O22" s="510"/>
      <c r="P22" s="510"/>
      <c r="Q22" s="510"/>
      <c r="R22" s="510"/>
      <c r="S22" s="514"/>
      <c r="T22" s="515"/>
      <c r="U22" s="515"/>
      <c r="V22" s="515"/>
      <c r="W22" s="515"/>
      <c r="X22" s="514"/>
      <c r="Y22" s="515"/>
      <c r="Z22" s="515"/>
      <c r="AA22" s="515"/>
      <c r="AB22" s="515"/>
      <c r="AC22" s="514"/>
      <c r="AD22" s="846"/>
      <c r="AE22" s="846"/>
      <c r="AF22" s="846"/>
      <c r="AG22" s="846"/>
      <c r="AH22" s="847"/>
      <c r="AI22" s="846"/>
      <c r="AJ22" s="846"/>
      <c r="AK22" s="846"/>
      <c r="AL22" s="846"/>
      <c r="AM22" s="847"/>
      <c r="AN22" s="846"/>
      <c r="AO22" s="846"/>
      <c r="AP22" s="846"/>
      <c r="AQ22" s="846"/>
      <c r="AR22" s="847"/>
      <c r="AS22" s="234" t="s">
        <v>82</v>
      </c>
    </row>
    <row r="23" spans="1:45" ht="20.25" customHeight="1">
      <c r="A23" s="592">
        <f t="shared" si="1"/>
        <v>20</v>
      </c>
      <c r="B23" s="592" t="s">
        <v>22</v>
      </c>
      <c r="C23" s="841" t="s">
        <v>1440</v>
      </c>
      <c r="D23" s="842" t="s">
        <v>1441</v>
      </c>
      <c r="E23" s="843" t="s">
        <v>1442</v>
      </c>
      <c r="F23" s="648">
        <v>46097</v>
      </c>
      <c r="G23" s="510"/>
      <c r="H23" s="510">
        <f t="shared" si="0"/>
        <v>7</v>
      </c>
      <c r="I23" s="511"/>
      <c r="J23" s="514"/>
      <c r="K23" s="514"/>
      <c r="L23" s="510"/>
      <c r="M23" s="656" t="s">
        <v>81</v>
      </c>
      <c r="N23" s="594"/>
      <c r="O23" s="510"/>
      <c r="P23" s="510"/>
      <c r="Q23" s="510"/>
      <c r="R23" s="510"/>
      <c r="S23" s="514"/>
      <c r="T23" s="515"/>
      <c r="U23" s="515"/>
      <c r="V23" s="515"/>
      <c r="W23" s="515"/>
      <c r="X23" s="514"/>
      <c r="Y23" s="515"/>
      <c r="Z23" s="515"/>
      <c r="AA23" s="515"/>
      <c r="AB23" s="515"/>
      <c r="AC23" s="514"/>
      <c r="AD23" s="846"/>
      <c r="AE23" s="846"/>
      <c r="AF23" s="846"/>
      <c r="AG23" s="846"/>
      <c r="AH23" s="847"/>
      <c r="AI23" s="846"/>
      <c r="AJ23" s="846"/>
      <c r="AK23" s="846"/>
      <c r="AL23" s="846"/>
      <c r="AM23" s="847"/>
      <c r="AN23" s="846"/>
      <c r="AO23" s="846"/>
      <c r="AP23" s="846"/>
      <c r="AQ23" s="846"/>
      <c r="AR23" s="847"/>
      <c r="AS23" s="234" t="s">
        <v>82</v>
      </c>
    </row>
    <row r="24" spans="1:45" ht="20.25" customHeight="1">
      <c r="A24" s="592">
        <f t="shared" si="1"/>
        <v>21</v>
      </c>
      <c r="B24" s="592" t="s">
        <v>22</v>
      </c>
      <c r="C24" s="841" t="s">
        <v>1443</v>
      </c>
      <c r="D24" s="842" t="s">
        <v>1444</v>
      </c>
      <c r="E24" s="843" t="s">
        <v>1445</v>
      </c>
      <c r="F24" s="648">
        <v>46097</v>
      </c>
      <c r="G24" s="510"/>
      <c r="H24" s="510">
        <f t="shared" si="0"/>
        <v>7</v>
      </c>
      <c r="I24" s="511"/>
      <c r="J24" s="514"/>
      <c r="K24" s="514"/>
      <c r="L24" s="510"/>
      <c r="M24" s="656" t="s">
        <v>81</v>
      </c>
      <c r="N24" s="594"/>
      <c r="O24" s="510"/>
      <c r="P24" s="510"/>
      <c r="Q24" s="510"/>
      <c r="R24" s="510"/>
      <c r="S24" s="514"/>
      <c r="T24" s="515"/>
      <c r="U24" s="515"/>
      <c r="V24" s="515"/>
      <c r="W24" s="515"/>
      <c r="X24" s="514"/>
      <c r="Y24" s="515"/>
      <c r="Z24" s="515"/>
      <c r="AA24" s="515"/>
      <c r="AB24" s="515"/>
      <c r="AC24" s="514"/>
      <c r="AD24" s="846"/>
      <c r="AE24" s="846"/>
      <c r="AF24" s="846"/>
      <c r="AG24" s="846"/>
      <c r="AH24" s="847"/>
      <c r="AI24" s="846"/>
      <c r="AJ24" s="846"/>
      <c r="AK24" s="846"/>
      <c r="AL24" s="846"/>
      <c r="AM24" s="847"/>
      <c r="AN24" s="846"/>
      <c r="AO24" s="846"/>
      <c r="AP24" s="846"/>
      <c r="AQ24" s="846"/>
      <c r="AR24" s="847"/>
      <c r="AS24" s="234" t="s">
        <v>82</v>
      </c>
    </row>
    <row r="25" spans="1:45" ht="20.25" customHeight="1">
      <c r="A25" s="592">
        <f t="shared" si="1"/>
        <v>22</v>
      </c>
      <c r="B25" s="592" t="s">
        <v>22</v>
      </c>
      <c r="C25" s="841" t="s">
        <v>1446</v>
      </c>
      <c r="D25" s="842" t="s">
        <v>1447</v>
      </c>
      <c r="E25" s="843" t="s">
        <v>1448</v>
      </c>
      <c r="F25" s="648">
        <v>46097</v>
      </c>
      <c r="G25" s="510"/>
      <c r="H25" s="510">
        <f t="shared" si="0"/>
        <v>7</v>
      </c>
      <c r="I25" s="511"/>
      <c r="J25" s="514"/>
      <c r="K25" s="514"/>
      <c r="L25" s="510"/>
      <c r="M25" s="656" t="s">
        <v>81</v>
      </c>
      <c r="N25" s="594"/>
      <c r="O25" s="510"/>
      <c r="P25" s="510"/>
      <c r="Q25" s="510"/>
      <c r="R25" s="510"/>
      <c r="S25" s="514"/>
      <c r="T25" s="515"/>
      <c r="U25" s="515"/>
      <c r="V25" s="515"/>
      <c r="W25" s="515"/>
      <c r="X25" s="514"/>
      <c r="Y25" s="515"/>
      <c r="Z25" s="515"/>
      <c r="AA25" s="515"/>
      <c r="AB25" s="515"/>
      <c r="AC25" s="514"/>
      <c r="AD25" s="846"/>
      <c r="AE25" s="846"/>
      <c r="AF25" s="846"/>
      <c r="AG25" s="846"/>
      <c r="AH25" s="847"/>
      <c r="AI25" s="846"/>
      <c r="AJ25" s="846"/>
      <c r="AK25" s="846"/>
      <c r="AL25" s="846"/>
      <c r="AM25" s="847"/>
      <c r="AN25" s="846"/>
      <c r="AO25" s="846"/>
      <c r="AP25" s="846"/>
      <c r="AQ25" s="846"/>
      <c r="AR25" s="847"/>
      <c r="AS25" s="234" t="s">
        <v>82</v>
      </c>
    </row>
    <row r="26" spans="1:45" ht="20.25" customHeight="1">
      <c r="A26" s="592">
        <f t="shared" si="1"/>
        <v>23</v>
      </c>
      <c r="B26" s="592" t="s">
        <v>22</v>
      </c>
      <c r="C26" s="841" t="s">
        <v>1449</v>
      </c>
      <c r="D26" s="842" t="s">
        <v>1450</v>
      </c>
      <c r="E26" s="843" t="s">
        <v>1451</v>
      </c>
      <c r="F26" s="648">
        <v>46104</v>
      </c>
      <c r="G26" s="510"/>
      <c r="H26" s="510">
        <f t="shared" si="0"/>
        <v>7</v>
      </c>
      <c r="I26" s="511"/>
      <c r="J26" s="514"/>
      <c r="K26" s="514"/>
      <c r="L26" s="510"/>
      <c r="M26" s="656" t="s">
        <v>81</v>
      </c>
      <c r="N26" s="594"/>
      <c r="O26" s="510"/>
      <c r="P26" s="510"/>
      <c r="Q26" s="510"/>
      <c r="R26" s="510"/>
      <c r="S26" s="514"/>
      <c r="T26" s="515"/>
      <c r="U26" s="515"/>
      <c r="V26" s="515"/>
      <c r="W26" s="515"/>
      <c r="X26" s="514"/>
      <c r="Y26" s="515"/>
      <c r="Z26" s="515"/>
      <c r="AA26" s="515"/>
      <c r="AB26" s="515"/>
      <c r="AC26" s="514"/>
      <c r="AD26" s="846"/>
      <c r="AE26" s="846"/>
      <c r="AF26" s="846"/>
      <c r="AG26" s="846"/>
      <c r="AH26" s="847"/>
      <c r="AI26" s="846"/>
      <c r="AJ26" s="846"/>
      <c r="AK26" s="846"/>
      <c r="AL26" s="846"/>
      <c r="AM26" s="847"/>
      <c r="AN26" s="846"/>
      <c r="AO26" s="846"/>
      <c r="AP26" s="846"/>
      <c r="AQ26" s="846"/>
      <c r="AR26" s="847"/>
      <c r="AS26" s="234" t="s">
        <v>253</v>
      </c>
    </row>
    <row r="27" spans="1:45" ht="20.25" customHeight="1">
      <c r="A27" s="592">
        <f t="shared" si="1"/>
        <v>24</v>
      </c>
      <c r="B27" s="592" t="s">
        <v>22</v>
      </c>
      <c r="C27" s="841" t="s">
        <v>1452</v>
      </c>
      <c r="D27" s="842" t="s">
        <v>1453</v>
      </c>
      <c r="E27" s="843" t="s">
        <v>1454</v>
      </c>
      <c r="F27" s="648">
        <v>46104</v>
      </c>
      <c r="G27" s="510"/>
      <c r="H27" s="510">
        <f t="shared" si="0"/>
        <v>7</v>
      </c>
      <c r="I27" s="511"/>
      <c r="J27" s="514"/>
      <c r="K27" s="514"/>
      <c r="L27" s="510"/>
      <c r="M27" s="656" t="s">
        <v>81</v>
      </c>
      <c r="N27" s="594"/>
      <c r="O27" s="510"/>
      <c r="P27" s="510"/>
      <c r="Q27" s="510"/>
      <c r="R27" s="510"/>
      <c r="S27" s="514"/>
      <c r="T27" s="515"/>
      <c r="U27" s="515"/>
      <c r="V27" s="515"/>
      <c r="W27" s="515"/>
      <c r="X27" s="514"/>
      <c r="Y27" s="515"/>
      <c r="Z27" s="515"/>
      <c r="AA27" s="515"/>
      <c r="AB27" s="515"/>
      <c r="AC27" s="514"/>
      <c r="AD27" s="846"/>
      <c r="AE27" s="846"/>
      <c r="AF27" s="846"/>
      <c r="AG27" s="846"/>
      <c r="AH27" s="847"/>
      <c r="AI27" s="846"/>
      <c r="AJ27" s="846"/>
      <c r="AK27" s="846"/>
      <c r="AL27" s="846"/>
      <c r="AM27" s="847"/>
      <c r="AN27" s="846"/>
      <c r="AO27" s="846"/>
      <c r="AP27" s="846"/>
      <c r="AQ27" s="846"/>
      <c r="AR27" s="847"/>
      <c r="AS27" s="234" t="s">
        <v>253</v>
      </c>
    </row>
    <row r="28" spans="1:45" ht="20.25" customHeight="1">
      <c r="A28" s="592">
        <f t="shared" si="1"/>
        <v>25</v>
      </c>
      <c r="B28" s="592" t="s">
        <v>22</v>
      </c>
      <c r="C28" s="841" t="s">
        <v>1455</v>
      </c>
      <c r="D28" s="842" t="s">
        <v>1456</v>
      </c>
      <c r="E28" s="843" t="s">
        <v>1457</v>
      </c>
      <c r="F28" s="648">
        <v>46104</v>
      </c>
      <c r="G28" s="510"/>
      <c r="H28" s="510">
        <f t="shared" si="0"/>
        <v>7</v>
      </c>
      <c r="I28" s="511"/>
      <c r="J28" s="514"/>
      <c r="K28" s="514"/>
      <c r="L28" s="510"/>
      <c r="M28" s="656" t="s">
        <v>81</v>
      </c>
      <c r="N28" s="594"/>
      <c r="O28" s="510"/>
      <c r="P28" s="510"/>
      <c r="Q28" s="510"/>
      <c r="R28" s="510"/>
      <c r="S28" s="514"/>
      <c r="T28" s="515"/>
      <c r="U28" s="515"/>
      <c r="V28" s="515"/>
      <c r="W28" s="515"/>
      <c r="X28" s="514"/>
      <c r="Y28" s="515"/>
      <c r="Z28" s="515"/>
      <c r="AA28" s="515"/>
      <c r="AB28" s="515"/>
      <c r="AC28" s="514"/>
      <c r="AD28" s="846"/>
      <c r="AE28" s="846"/>
      <c r="AF28" s="846"/>
      <c r="AG28" s="846"/>
      <c r="AH28" s="847"/>
      <c r="AI28" s="846"/>
      <c r="AJ28" s="846"/>
      <c r="AK28" s="846"/>
      <c r="AL28" s="846"/>
      <c r="AM28" s="847"/>
      <c r="AN28" s="846"/>
      <c r="AO28" s="846"/>
      <c r="AP28" s="846"/>
      <c r="AQ28" s="846"/>
      <c r="AR28" s="847"/>
      <c r="AS28" s="234" t="s">
        <v>82</v>
      </c>
    </row>
    <row r="29" spans="1:45" ht="20.25" customHeight="1">
      <c r="A29" s="592">
        <f t="shared" si="1"/>
        <v>26</v>
      </c>
      <c r="B29" s="592" t="s">
        <v>22</v>
      </c>
      <c r="C29" s="841" t="s">
        <v>1458</v>
      </c>
      <c r="D29" s="842" t="s">
        <v>1459</v>
      </c>
      <c r="E29" s="843" t="s">
        <v>1460</v>
      </c>
      <c r="F29" s="648">
        <v>46104</v>
      </c>
      <c r="G29" s="510"/>
      <c r="H29" s="510">
        <f t="shared" si="0"/>
        <v>7</v>
      </c>
      <c r="I29" s="511"/>
      <c r="J29" s="514"/>
      <c r="K29" s="514"/>
      <c r="L29" s="510"/>
      <c r="M29" s="656" t="s">
        <v>81</v>
      </c>
      <c r="N29" s="594"/>
      <c r="O29" s="510"/>
      <c r="P29" s="510"/>
      <c r="Q29" s="510"/>
      <c r="R29" s="510"/>
      <c r="S29" s="514"/>
      <c r="T29" s="515"/>
      <c r="U29" s="515"/>
      <c r="V29" s="515"/>
      <c r="W29" s="515"/>
      <c r="X29" s="514"/>
      <c r="Y29" s="515"/>
      <c r="Z29" s="515"/>
      <c r="AA29" s="515"/>
      <c r="AB29" s="515"/>
      <c r="AC29" s="514"/>
      <c r="AD29" s="846"/>
      <c r="AE29" s="846"/>
      <c r="AF29" s="846"/>
      <c r="AG29" s="846"/>
      <c r="AH29" s="847"/>
      <c r="AI29" s="846"/>
      <c r="AJ29" s="846"/>
      <c r="AK29" s="846"/>
      <c r="AL29" s="846"/>
      <c r="AM29" s="847"/>
      <c r="AN29" s="846"/>
      <c r="AO29" s="846"/>
      <c r="AP29" s="846"/>
      <c r="AQ29" s="846"/>
      <c r="AR29" s="847"/>
      <c r="AS29" s="234" t="s">
        <v>82</v>
      </c>
    </row>
    <row r="30" spans="1:45" ht="20.25" customHeight="1">
      <c r="A30" s="592">
        <f t="shared" si="1"/>
        <v>27</v>
      </c>
      <c r="B30" s="592" t="s">
        <v>22</v>
      </c>
      <c r="C30" s="841" t="s">
        <v>1461</v>
      </c>
      <c r="D30" s="842" t="s">
        <v>1462</v>
      </c>
      <c r="E30" s="843" t="s">
        <v>1463</v>
      </c>
      <c r="F30" s="648">
        <v>46069</v>
      </c>
      <c r="G30" s="510"/>
      <c r="H30" s="510">
        <f t="shared" si="0"/>
        <v>7</v>
      </c>
      <c r="I30" s="511"/>
      <c r="J30" s="514"/>
      <c r="K30" s="514"/>
      <c r="L30" s="510"/>
      <c r="M30" s="656" t="s">
        <v>81</v>
      </c>
      <c r="N30" s="594"/>
      <c r="O30" s="510"/>
      <c r="P30" s="510"/>
      <c r="Q30" s="510"/>
      <c r="R30" s="510"/>
      <c r="S30" s="514"/>
      <c r="T30" s="515"/>
      <c r="U30" s="515"/>
      <c r="V30" s="515"/>
      <c r="W30" s="515"/>
      <c r="X30" s="514"/>
      <c r="Y30" s="515"/>
      <c r="Z30" s="515"/>
      <c r="AA30" s="515"/>
      <c r="AB30" s="515"/>
      <c r="AC30" s="514"/>
      <c r="AD30" s="846"/>
      <c r="AE30" s="846"/>
      <c r="AF30" s="846"/>
      <c r="AG30" s="846"/>
      <c r="AH30" s="847"/>
      <c r="AI30" s="846"/>
      <c r="AJ30" s="846"/>
      <c r="AK30" s="846"/>
      <c r="AL30" s="846"/>
      <c r="AM30" s="847"/>
      <c r="AN30" s="846"/>
      <c r="AO30" s="846"/>
      <c r="AP30" s="846"/>
      <c r="AQ30" s="846"/>
      <c r="AR30" s="847"/>
      <c r="AS30" s="234" t="s">
        <v>82</v>
      </c>
    </row>
    <row r="31" spans="1:45" ht="20.25" customHeight="1">
      <c r="A31" s="592">
        <f t="shared" si="1"/>
        <v>28</v>
      </c>
      <c r="B31" s="592" t="s">
        <v>22</v>
      </c>
      <c r="C31" s="841" t="s">
        <v>1464</v>
      </c>
      <c r="D31" s="842" t="s">
        <v>1465</v>
      </c>
      <c r="E31" s="843" t="s">
        <v>1466</v>
      </c>
      <c r="F31" s="785">
        <v>46055</v>
      </c>
      <c r="G31" s="510"/>
      <c r="H31" s="510">
        <f t="shared" si="0"/>
        <v>7</v>
      </c>
      <c r="I31" s="511"/>
      <c r="J31" s="514"/>
      <c r="K31" s="514"/>
      <c r="L31" s="510"/>
      <c r="M31" s="656" t="s">
        <v>81</v>
      </c>
      <c r="N31" s="594"/>
      <c r="O31" s="510"/>
      <c r="P31" s="510"/>
      <c r="Q31" s="510"/>
      <c r="R31" s="510"/>
      <c r="S31" s="514"/>
      <c r="T31" s="515"/>
      <c r="U31" s="515"/>
      <c r="V31" s="515"/>
      <c r="W31" s="515"/>
      <c r="X31" s="514"/>
      <c r="Y31" s="515"/>
      <c r="Z31" s="515"/>
      <c r="AA31" s="515"/>
      <c r="AB31" s="515"/>
      <c r="AC31" s="514"/>
      <c r="AD31" s="846"/>
      <c r="AE31" s="846"/>
      <c r="AF31" s="846"/>
      <c r="AG31" s="846"/>
      <c r="AH31" s="847"/>
      <c r="AI31" s="846"/>
      <c r="AJ31" s="846"/>
      <c r="AK31" s="846"/>
      <c r="AL31" s="846"/>
      <c r="AM31" s="847"/>
      <c r="AN31" s="846"/>
      <c r="AO31" s="846"/>
      <c r="AP31" s="846"/>
      <c r="AQ31" s="846"/>
      <c r="AR31" s="847"/>
      <c r="AS31" s="234" t="s">
        <v>82</v>
      </c>
    </row>
    <row r="32" spans="1:45" ht="20.25" customHeight="1">
      <c r="A32" s="592">
        <f t="shared" si="1"/>
        <v>29</v>
      </c>
      <c r="B32" s="592" t="s">
        <v>22</v>
      </c>
      <c r="C32" s="841" t="s">
        <v>1467</v>
      </c>
      <c r="D32" s="842" t="s">
        <v>1468</v>
      </c>
      <c r="E32" s="843" t="s">
        <v>1469</v>
      </c>
      <c r="F32" s="785">
        <v>46055</v>
      </c>
      <c r="G32" s="510"/>
      <c r="H32" s="510">
        <f t="shared" si="0"/>
        <v>7</v>
      </c>
      <c r="I32" s="511"/>
      <c r="J32" s="514"/>
      <c r="K32" s="514"/>
      <c r="L32" s="510"/>
      <c r="M32" s="656" t="s">
        <v>81</v>
      </c>
      <c r="N32" s="594"/>
      <c r="O32" s="510"/>
      <c r="P32" s="510"/>
      <c r="Q32" s="510"/>
      <c r="R32" s="510"/>
      <c r="S32" s="514"/>
      <c r="T32" s="515"/>
      <c r="U32" s="515"/>
      <c r="V32" s="515"/>
      <c r="W32" s="515"/>
      <c r="X32" s="514"/>
      <c r="Y32" s="515"/>
      <c r="Z32" s="515"/>
      <c r="AA32" s="515"/>
      <c r="AB32" s="515"/>
      <c r="AC32" s="514"/>
      <c r="AD32" s="846"/>
      <c r="AE32" s="846"/>
      <c r="AF32" s="846"/>
      <c r="AG32" s="846"/>
      <c r="AH32" s="847"/>
      <c r="AI32" s="846"/>
      <c r="AJ32" s="846"/>
      <c r="AK32" s="846"/>
      <c r="AL32" s="846"/>
      <c r="AM32" s="847"/>
      <c r="AN32" s="846"/>
      <c r="AO32" s="846"/>
      <c r="AP32" s="846"/>
      <c r="AQ32" s="846"/>
      <c r="AR32" s="847"/>
      <c r="AS32" s="234" t="s">
        <v>82</v>
      </c>
    </row>
    <row r="33" spans="1:45" ht="20.25" customHeight="1">
      <c r="A33" s="592">
        <f t="shared" si="1"/>
        <v>30</v>
      </c>
      <c r="B33" s="592" t="s">
        <v>22</v>
      </c>
      <c r="C33" s="841" t="s">
        <v>1470</v>
      </c>
      <c r="D33" s="842" t="s">
        <v>1175</v>
      </c>
      <c r="E33" s="843" t="s">
        <v>1471</v>
      </c>
      <c r="F33" s="648">
        <v>46055</v>
      </c>
      <c r="G33" s="510">
        <v>46052</v>
      </c>
      <c r="H33" s="510">
        <f t="shared" ref="H33:H35" si="4">G33+7</f>
        <v>46059</v>
      </c>
      <c r="I33" s="514">
        <v>0</v>
      </c>
      <c r="J33" s="514" t="s">
        <v>50</v>
      </c>
      <c r="K33" s="514" t="s">
        <v>89</v>
      </c>
      <c r="L33" s="510"/>
      <c r="M33" s="656" t="s">
        <v>81</v>
      </c>
      <c r="N33" s="594"/>
      <c r="O33" s="510">
        <v>46052</v>
      </c>
      <c r="P33" s="510">
        <v>46055</v>
      </c>
      <c r="Q33" s="510"/>
      <c r="R33" s="510"/>
      <c r="S33" s="514"/>
      <c r="T33" s="515"/>
      <c r="U33" s="515"/>
      <c r="V33" s="515"/>
      <c r="W33" s="515"/>
      <c r="X33" s="514"/>
      <c r="Y33" s="515"/>
      <c r="Z33" s="515"/>
      <c r="AA33" s="515"/>
      <c r="AB33" s="515"/>
      <c r="AC33" s="514"/>
      <c r="AD33" s="846"/>
      <c r="AE33" s="846"/>
      <c r="AF33" s="846"/>
      <c r="AG33" s="846"/>
      <c r="AH33" s="847"/>
      <c r="AI33" s="846"/>
      <c r="AJ33" s="846"/>
      <c r="AK33" s="846"/>
      <c r="AL33" s="846"/>
      <c r="AM33" s="847"/>
      <c r="AN33" s="846"/>
      <c r="AO33" s="846"/>
      <c r="AP33" s="846"/>
      <c r="AQ33" s="846"/>
      <c r="AR33" s="847"/>
      <c r="AS33" s="234" t="s">
        <v>82</v>
      </c>
    </row>
    <row r="34" spans="1:45" ht="20.25" customHeight="1">
      <c r="A34" s="592">
        <f t="shared" si="1"/>
        <v>31</v>
      </c>
      <c r="B34" s="592" t="s">
        <v>22</v>
      </c>
      <c r="C34" s="841" t="s">
        <v>1472</v>
      </c>
      <c r="D34" s="842" t="s">
        <v>1180</v>
      </c>
      <c r="E34" s="843" t="s">
        <v>1473</v>
      </c>
      <c r="F34" s="648">
        <v>46055</v>
      </c>
      <c r="G34" s="510">
        <v>46052</v>
      </c>
      <c r="H34" s="510">
        <f t="shared" si="4"/>
        <v>46059</v>
      </c>
      <c r="I34" s="514">
        <v>0</v>
      </c>
      <c r="J34" s="514" t="s">
        <v>50</v>
      </c>
      <c r="K34" s="514" t="s">
        <v>89</v>
      </c>
      <c r="L34" s="510"/>
      <c r="M34" s="656" t="s">
        <v>81</v>
      </c>
      <c r="N34" s="594"/>
      <c r="O34" s="510">
        <v>46052</v>
      </c>
      <c r="P34" s="510">
        <v>46055</v>
      </c>
      <c r="Q34" s="510"/>
      <c r="R34" s="510"/>
      <c r="S34" s="514"/>
      <c r="T34" s="515"/>
      <c r="U34" s="515"/>
      <c r="V34" s="515"/>
      <c r="W34" s="515"/>
      <c r="X34" s="514"/>
      <c r="Y34" s="515"/>
      <c r="Z34" s="515"/>
      <c r="AA34" s="515"/>
      <c r="AB34" s="515"/>
      <c r="AC34" s="514"/>
      <c r="AD34" s="846"/>
      <c r="AE34" s="846"/>
      <c r="AF34" s="846"/>
      <c r="AG34" s="846"/>
      <c r="AH34" s="847"/>
      <c r="AI34" s="846"/>
      <c r="AJ34" s="846"/>
      <c r="AK34" s="846"/>
      <c r="AL34" s="846"/>
      <c r="AM34" s="847"/>
      <c r="AN34" s="846"/>
      <c r="AO34" s="846"/>
      <c r="AP34" s="846"/>
      <c r="AQ34" s="846"/>
      <c r="AR34" s="847"/>
      <c r="AS34" s="234" t="s">
        <v>82</v>
      </c>
    </row>
    <row r="35" spans="1:45" ht="20.25" customHeight="1">
      <c r="A35" s="592">
        <f t="shared" si="1"/>
        <v>32</v>
      </c>
      <c r="B35" s="592" t="s">
        <v>22</v>
      </c>
      <c r="C35" s="841" t="s">
        <v>1474</v>
      </c>
      <c r="D35" s="842" t="s">
        <v>1183</v>
      </c>
      <c r="E35" s="843" t="s">
        <v>1475</v>
      </c>
      <c r="F35" s="648">
        <v>46055</v>
      </c>
      <c r="G35" s="510">
        <v>46052</v>
      </c>
      <c r="H35" s="510">
        <f t="shared" si="4"/>
        <v>46059</v>
      </c>
      <c r="I35" s="514">
        <v>0</v>
      </c>
      <c r="J35" s="514" t="s">
        <v>50</v>
      </c>
      <c r="K35" s="514" t="s">
        <v>89</v>
      </c>
      <c r="L35" s="510"/>
      <c r="M35" s="656" t="s">
        <v>81</v>
      </c>
      <c r="N35" s="594"/>
      <c r="O35" s="510">
        <v>46052</v>
      </c>
      <c r="P35" s="510">
        <v>46055</v>
      </c>
      <c r="Q35" s="510"/>
      <c r="R35" s="510"/>
      <c r="S35" s="514"/>
      <c r="T35" s="515"/>
      <c r="U35" s="515"/>
      <c r="V35" s="515"/>
      <c r="W35" s="515"/>
      <c r="X35" s="514"/>
      <c r="Y35" s="515"/>
      <c r="Z35" s="515"/>
      <c r="AA35" s="515"/>
      <c r="AB35" s="515"/>
      <c r="AC35" s="514"/>
      <c r="AD35" s="846"/>
      <c r="AE35" s="846"/>
      <c r="AF35" s="846"/>
      <c r="AG35" s="846"/>
      <c r="AH35" s="847"/>
      <c r="AI35" s="846"/>
      <c r="AJ35" s="846"/>
      <c r="AK35" s="846"/>
      <c r="AL35" s="846"/>
      <c r="AM35" s="847"/>
      <c r="AN35" s="846"/>
      <c r="AO35" s="846"/>
      <c r="AP35" s="846"/>
      <c r="AQ35" s="846"/>
      <c r="AR35" s="847"/>
      <c r="AS35" s="234" t="s">
        <v>82</v>
      </c>
    </row>
    <row r="36" spans="1:45" ht="20.25" customHeight="1">
      <c r="A36" s="592"/>
      <c r="B36" s="592"/>
      <c r="C36" s="841"/>
      <c r="D36" s="848" t="s">
        <v>1476</v>
      </c>
      <c r="E36" s="849"/>
      <c r="F36" s="648"/>
      <c r="G36" s="510"/>
      <c r="H36" s="510"/>
      <c r="I36" s="511"/>
      <c r="J36" s="514"/>
      <c r="K36" s="514"/>
      <c r="L36" s="510"/>
      <c r="M36" s="510"/>
      <c r="N36" s="594"/>
      <c r="O36" s="510"/>
      <c r="P36" s="510"/>
      <c r="Q36" s="510"/>
      <c r="R36" s="510"/>
      <c r="S36" s="514"/>
      <c r="T36" s="515"/>
      <c r="U36" s="515"/>
      <c r="V36" s="515"/>
      <c r="W36" s="515"/>
      <c r="X36" s="514"/>
      <c r="Y36" s="515"/>
      <c r="Z36" s="515"/>
      <c r="AA36" s="515"/>
      <c r="AB36" s="515"/>
      <c r="AC36" s="514"/>
      <c r="AD36" s="846"/>
      <c r="AE36" s="846"/>
      <c r="AF36" s="846"/>
      <c r="AG36" s="846"/>
      <c r="AH36" s="847"/>
      <c r="AI36" s="846"/>
      <c r="AJ36" s="846"/>
      <c r="AK36" s="846"/>
      <c r="AL36" s="846"/>
      <c r="AM36" s="847"/>
      <c r="AN36" s="846"/>
      <c r="AO36" s="846"/>
      <c r="AP36" s="846"/>
      <c r="AQ36" s="846"/>
      <c r="AR36" s="847"/>
      <c r="AS36" s="234" t="s">
        <v>82</v>
      </c>
    </row>
    <row r="37" spans="1:45" ht="15" customHeight="1">
      <c r="A37" s="840"/>
      <c r="B37" s="840"/>
      <c r="C37" s="840"/>
      <c r="D37" s="850"/>
      <c r="E37" s="850"/>
      <c r="F37" s="850"/>
      <c r="G37" s="851"/>
      <c r="H37" s="851"/>
      <c r="I37" s="840"/>
      <c r="J37" s="840"/>
      <c r="K37" s="840"/>
      <c r="L37" s="851"/>
      <c r="M37" s="851"/>
      <c r="N37" s="840"/>
      <c r="O37" s="852"/>
      <c r="P37" s="852"/>
      <c r="Q37" s="852"/>
      <c r="R37" s="852"/>
      <c r="S37" s="840"/>
      <c r="T37" s="852"/>
      <c r="U37" s="852"/>
      <c r="V37" s="852"/>
      <c r="W37" s="852"/>
      <c r="X37" s="840"/>
      <c r="Y37" s="852"/>
      <c r="Z37" s="852"/>
      <c r="AA37" s="852"/>
      <c r="AB37" s="852"/>
      <c r="AC37" s="840"/>
      <c r="AD37" s="852"/>
      <c r="AE37" s="852"/>
      <c r="AF37" s="852"/>
      <c r="AG37" s="852"/>
      <c r="AH37" s="840"/>
      <c r="AI37" s="852"/>
      <c r="AJ37" s="852"/>
      <c r="AK37" s="852"/>
      <c r="AL37" s="852"/>
      <c r="AM37" s="840"/>
      <c r="AN37" s="852"/>
      <c r="AO37" s="852"/>
      <c r="AP37" s="852"/>
      <c r="AQ37" s="852"/>
      <c r="AR37" s="840"/>
      <c r="AS37" s="840"/>
    </row>
    <row r="38" spans="1:45" ht="15" customHeight="1">
      <c r="A38" s="840"/>
      <c r="B38" s="840"/>
      <c r="C38" s="840"/>
      <c r="D38" s="850"/>
      <c r="E38" s="850"/>
      <c r="F38" s="850"/>
      <c r="G38" s="851"/>
      <c r="H38" s="851"/>
      <c r="I38" s="840"/>
      <c r="J38" s="840"/>
      <c r="K38" s="840"/>
      <c r="L38" s="851"/>
      <c r="M38" s="851"/>
      <c r="N38" s="840"/>
      <c r="O38" s="852"/>
      <c r="P38" s="852"/>
      <c r="Q38" s="852"/>
      <c r="R38" s="852"/>
      <c r="S38" s="840"/>
      <c r="T38" s="852"/>
      <c r="U38" s="852"/>
      <c r="V38" s="852"/>
      <c r="W38" s="852"/>
      <c r="X38" s="840"/>
      <c r="Y38" s="852"/>
      <c r="Z38" s="852"/>
      <c r="AA38" s="852"/>
      <c r="AB38" s="852"/>
      <c r="AC38" s="840"/>
      <c r="AD38" s="853"/>
      <c r="AE38" s="853"/>
      <c r="AF38" s="853"/>
      <c r="AG38" s="853"/>
      <c r="AH38" s="854"/>
      <c r="AI38" s="853"/>
      <c r="AJ38" s="853"/>
      <c r="AK38" s="853"/>
      <c r="AL38" s="853"/>
      <c r="AM38" s="854"/>
      <c r="AN38" s="853"/>
      <c r="AO38" s="853"/>
      <c r="AP38" s="853"/>
      <c r="AQ38" s="853"/>
      <c r="AR38" s="854"/>
      <c r="AS38" s="840"/>
    </row>
    <row r="39" spans="1:45" ht="15" customHeight="1">
      <c r="A39" s="840"/>
      <c r="B39" s="840"/>
      <c r="C39" s="840"/>
      <c r="D39" s="850"/>
      <c r="E39" s="850"/>
      <c r="F39" s="850"/>
      <c r="G39" s="851"/>
      <c r="H39" s="851"/>
      <c r="I39" s="840"/>
      <c r="J39" s="840"/>
      <c r="K39" s="840"/>
      <c r="L39" s="851"/>
      <c r="M39" s="851"/>
      <c r="N39" s="840"/>
      <c r="O39" s="852"/>
      <c r="P39" s="852"/>
      <c r="Q39" s="852"/>
      <c r="R39" s="852"/>
      <c r="S39" s="840"/>
      <c r="T39" s="852"/>
      <c r="U39" s="852"/>
      <c r="V39" s="852"/>
      <c r="W39" s="852"/>
      <c r="X39" s="840"/>
      <c r="Y39" s="852"/>
      <c r="Z39" s="852"/>
      <c r="AA39" s="852"/>
      <c r="AB39" s="852"/>
      <c r="AC39" s="840"/>
      <c r="AD39" s="853"/>
      <c r="AE39" s="853"/>
      <c r="AF39" s="853"/>
      <c r="AG39" s="853"/>
      <c r="AH39" s="854"/>
      <c r="AI39" s="853"/>
      <c r="AJ39" s="853"/>
      <c r="AK39" s="853"/>
      <c r="AL39" s="853"/>
      <c r="AM39" s="854"/>
      <c r="AN39" s="853"/>
      <c r="AO39" s="853"/>
      <c r="AP39" s="853"/>
      <c r="AQ39" s="853"/>
      <c r="AR39" s="854"/>
      <c r="AS39" s="840"/>
    </row>
    <row r="40" spans="1:45" ht="15" customHeight="1">
      <c r="A40" s="840"/>
      <c r="B40" s="840"/>
      <c r="C40" s="840"/>
      <c r="D40" s="850"/>
      <c r="E40" s="850"/>
      <c r="F40" s="850"/>
      <c r="G40" s="851"/>
      <c r="H40" s="851"/>
      <c r="I40" s="840"/>
      <c r="J40" s="840"/>
      <c r="K40" s="840"/>
      <c r="L40" s="851"/>
      <c r="M40" s="851"/>
      <c r="N40" s="840"/>
      <c r="O40" s="852"/>
      <c r="P40" s="852"/>
      <c r="Q40" s="852"/>
      <c r="R40" s="852"/>
      <c r="S40" s="840"/>
      <c r="T40" s="852"/>
      <c r="U40" s="852"/>
      <c r="V40" s="852"/>
      <c r="W40" s="852"/>
      <c r="X40" s="840"/>
      <c r="Y40" s="852"/>
      <c r="Z40" s="852"/>
      <c r="AA40" s="852"/>
      <c r="AB40" s="852"/>
      <c r="AC40" s="840"/>
      <c r="AD40" s="852"/>
      <c r="AE40" s="852"/>
      <c r="AF40" s="852"/>
      <c r="AG40" s="852"/>
      <c r="AH40" s="840"/>
      <c r="AI40" s="852"/>
      <c r="AJ40" s="852"/>
      <c r="AK40" s="852"/>
      <c r="AL40" s="852"/>
      <c r="AM40" s="840"/>
      <c r="AN40" s="852"/>
      <c r="AO40" s="852"/>
      <c r="AP40" s="852"/>
      <c r="AQ40" s="852"/>
      <c r="AR40" s="840"/>
      <c r="AS40" s="840"/>
    </row>
    <row r="41" spans="1:45" ht="15" customHeight="1">
      <c r="A41" s="840"/>
      <c r="B41" s="840"/>
      <c r="C41" s="840"/>
      <c r="D41" s="850"/>
      <c r="E41" s="850"/>
      <c r="F41" s="850"/>
      <c r="G41" s="851"/>
      <c r="H41" s="851"/>
      <c r="I41" s="840"/>
      <c r="J41" s="840"/>
      <c r="K41" s="840"/>
      <c r="L41" s="851"/>
      <c r="M41" s="851"/>
      <c r="N41" s="840"/>
      <c r="O41" s="852"/>
      <c r="P41" s="852"/>
      <c r="Q41" s="852"/>
      <c r="R41" s="852"/>
      <c r="S41" s="840"/>
      <c r="T41" s="852"/>
      <c r="U41" s="852"/>
      <c r="V41" s="852"/>
      <c r="W41" s="852"/>
      <c r="X41" s="840"/>
      <c r="Y41" s="852"/>
      <c r="Z41" s="852"/>
      <c r="AA41" s="852"/>
      <c r="AB41" s="852"/>
      <c r="AC41" s="840"/>
      <c r="AD41" s="852"/>
      <c r="AE41" s="852"/>
      <c r="AF41" s="852"/>
      <c r="AG41" s="852"/>
      <c r="AH41" s="840"/>
      <c r="AI41" s="852"/>
      <c r="AJ41" s="852"/>
      <c r="AK41" s="852"/>
      <c r="AL41" s="852"/>
      <c r="AM41" s="840"/>
      <c r="AN41" s="852"/>
      <c r="AO41" s="852"/>
      <c r="AP41" s="852"/>
      <c r="AQ41" s="852"/>
      <c r="AR41" s="840"/>
      <c r="AS41" s="840"/>
    </row>
    <row r="42" spans="1:45" ht="15" customHeight="1">
      <c r="A42" s="840"/>
      <c r="B42" s="840"/>
      <c r="C42" s="840"/>
      <c r="D42" s="850"/>
      <c r="E42" s="850"/>
      <c r="F42" s="850"/>
      <c r="G42" s="851"/>
      <c r="H42" s="851"/>
      <c r="I42" s="840"/>
      <c r="J42" s="840"/>
      <c r="K42" s="840"/>
      <c r="L42" s="851"/>
      <c r="M42" s="851"/>
      <c r="N42" s="840"/>
      <c r="O42" s="852"/>
      <c r="P42" s="852"/>
      <c r="Q42" s="852"/>
      <c r="R42" s="852"/>
      <c r="S42" s="840"/>
      <c r="T42" s="852"/>
      <c r="U42" s="852"/>
      <c r="V42" s="852"/>
      <c r="W42" s="852"/>
      <c r="X42" s="840"/>
      <c r="Y42" s="852"/>
      <c r="Z42" s="852"/>
      <c r="AA42" s="852"/>
      <c r="AB42" s="852"/>
      <c r="AC42" s="840"/>
      <c r="AD42" s="852"/>
      <c r="AE42" s="852"/>
      <c r="AF42" s="852"/>
      <c r="AG42" s="852"/>
      <c r="AH42" s="840"/>
      <c r="AI42" s="852"/>
      <c r="AJ42" s="852"/>
      <c r="AK42" s="852"/>
      <c r="AL42" s="852"/>
      <c r="AM42" s="840"/>
      <c r="AN42" s="852"/>
      <c r="AO42" s="852"/>
      <c r="AP42" s="852"/>
      <c r="AQ42" s="852"/>
      <c r="AR42" s="840"/>
      <c r="AS42" s="840"/>
    </row>
    <row r="43" spans="1:45" ht="15" customHeight="1">
      <c r="A43" s="840"/>
      <c r="B43" s="840"/>
      <c r="C43" s="840"/>
      <c r="D43" s="850"/>
      <c r="E43" s="850"/>
      <c r="F43" s="850"/>
      <c r="G43" s="851"/>
      <c r="H43" s="851"/>
      <c r="I43" s="840"/>
      <c r="J43" s="840"/>
      <c r="K43" s="840"/>
      <c r="L43" s="851"/>
      <c r="M43" s="851"/>
      <c r="N43" s="840"/>
      <c r="O43" s="852"/>
      <c r="P43" s="852"/>
      <c r="Q43" s="852"/>
      <c r="R43" s="852"/>
      <c r="S43" s="840"/>
      <c r="T43" s="852"/>
      <c r="U43" s="852"/>
      <c r="V43" s="852"/>
      <c r="W43" s="852"/>
      <c r="X43" s="840"/>
      <c r="Y43" s="852"/>
      <c r="Z43" s="852"/>
      <c r="AA43" s="852"/>
      <c r="AB43" s="852"/>
      <c r="AC43" s="840"/>
      <c r="AD43" s="852"/>
      <c r="AE43" s="852"/>
      <c r="AF43" s="852"/>
      <c r="AG43" s="852"/>
      <c r="AH43" s="840"/>
      <c r="AI43" s="852"/>
      <c r="AJ43" s="852"/>
      <c r="AK43" s="852"/>
      <c r="AL43" s="852"/>
      <c r="AM43" s="840"/>
      <c r="AN43" s="852"/>
      <c r="AO43" s="852"/>
      <c r="AP43" s="852"/>
      <c r="AQ43" s="852"/>
      <c r="AR43" s="840"/>
      <c r="AS43" s="840"/>
    </row>
    <row r="44" spans="1:45" ht="15" customHeight="1">
      <c r="A44" s="840"/>
      <c r="B44" s="840"/>
      <c r="C44" s="840"/>
      <c r="D44" s="850"/>
      <c r="E44" s="850"/>
      <c r="F44" s="850"/>
      <c r="G44" s="851"/>
      <c r="H44" s="851"/>
      <c r="I44" s="840"/>
      <c r="J44" s="840"/>
      <c r="K44" s="840"/>
      <c r="L44" s="851"/>
      <c r="M44" s="851"/>
      <c r="N44" s="840"/>
      <c r="O44" s="852"/>
      <c r="P44" s="852"/>
      <c r="Q44" s="852"/>
      <c r="R44" s="852"/>
      <c r="S44" s="840"/>
      <c r="T44" s="852"/>
      <c r="U44" s="852"/>
      <c r="V44" s="852"/>
      <c r="W44" s="852"/>
      <c r="X44" s="840"/>
      <c r="Y44" s="852"/>
      <c r="Z44" s="852"/>
      <c r="AA44" s="852"/>
      <c r="AB44" s="852"/>
      <c r="AC44" s="840"/>
      <c r="AD44" s="852"/>
      <c r="AE44" s="852"/>
      <c r="AF44" s="852"/>
      <c r="AG44" s="852"/>
      <c r="AH44" s="840"/>
      <c r="AI44" s="852"/>
      <c r="AJ44" s="852"/>
      <c r="AK44" s="852"/>
      <c r="AL44" s="852"/>
      <c r="AM44" s="840"/>
      <c r="AN44" s="852"/>
      <c r="AO44" s="852"/>
      <c r="AP44" s="852"/>
      <c r="AQ44" s="852"/>
      <c r="AR44" s="840"/>
      <c r="AS44" s="840"/>
    </row>
    <row r="45" spans="1:45" ht="15" customHeight="1">
      <c r="A45" s="840"/>
      <c r="B45" s="840"/>
      <c r="C45" s="840"/>
      <c r="D45" s="850"/>
      <c r="E45" s="850"/>
      <c r="F45" s="850"/>
      <c r="G45" s="851"/>
      <c r="H45" s="851"/>
      <c r="I45" s="840"/>
      <c r="J45" s="840"/>
      <c r="K45" s="840"/>
      <c r="L45" s="851"/>
      <c r="M45" s="851"/>
      <c r="N45" s="840"/>
      <c r="O45" s="852"/>
      <c r="P45" s="852"/>
      <c r="Q45" s="852"/>
      <c r="R45" s="852"/>
      <c r="S45" s="840"/>
      <c r="T45" s="852"/>
      <c r="U45" s="852"/>
      <c r="V45" s="852"/>
      <c r="W45" s="852"/>
      <c r="X45" s="840"/>
      <c r="Y45" s="852"/>
      <c r="Z45" s="852"/>
      <c r="AA45" s="852"/>
      <c r="AB45" s="852"/>
      <c r="AC45" s="840"/>
      <c r="AD45" s="852"/>
      <c r="AE45" s="852"/>
      <c r="AF45" s="852"/>
      <c r="AG45" s="852"/>
      <c r="AH45" s="840"/>
      <c r="AI45" s="852"/>
      <c r="AJ45" s="852"/>
      <c r="AK45" s="852"/>
      <c r="AL45" s="852"/>
      <c r="AM45" s="840"/>
      <c r="AN45" s="852"/>
      <c r="AO45" s="852"/>
      <c r="AP45" s="852"/>
      <c r="AQ45" s="852"/>
      <c r="AR45" s="840"/>
      <c r="AS45" s="840"/>
    </row>
    <row r="46" spans="1:45" ht="15" customHeight="1">
      <c r="A46" s="840"/>
      <c r="B46" s="840"/>
      <c r="C46" s="840"/>
      <c r="D46" s="850"/>
      <c r="E46" s="850"/>
      <c r="F46" s="850"/>
      <c r="G46" s="851"/>
      <c r="H46" s="851"/>
      <c r="I46" s="840"/>
      <c r="J46" s="840"/>
      <c r="K46" s="840"/>
      <c r="L46" s="851"/>
      <c r="M46" s="851"/>
      <c r="N46" s="840"/>
      <c r="O46" s="852"/>
      <c r="P46" s="852"/>
      <c r="Q46" s="852"/>
      <c r="R46" s="852"/>
      <c r="S46" s="840"/>
      <c r="T46" s="852"/>
      <c r="U46" s="852"/>
      <c r="V46" s="852"/>
      <c r="W46" s="852"/>
      <c r="X46" s="840"/>
      <c r="Y46" s="852"/>
      <c r="Z46" s="852"/>
      <c r="AA46" s="852"/>
      <c r="AB46" s="852"/>
      <c r="AC46" s="840"/>
      <c r="AD46" s="852"/>
      <c r="AE46" s="852"/>
      <c r="AF46" s="852"/>
      <c r="AG46" s="852"/>
      <c r="AH46" s="840"/>
      <c r="AI46" s="852"/>
      <c r="AJ46" s="852"/>
      <c r="AK46" s="852"/>
      <c r="AL46" s="852"/>
      <c r="AM46" s="840"/>
      <c r="AN46" s="852"/>
      <c r="AO46" s="852"/>
      <c r="AP46" s="852"/>
      <c r="AQ46" s="852"/>
      <c r="AR46" s="840"/>
      <c r="AS46" s="840"/>
    </row>
    <row r="47" spans="1:45" ht="15" customHeight="1">
      <c r="A47" s="840"/>
      <c r="B47" s="840"/>
      <c r="C47" s="840"/>
      <c r="D47" s="850"/>
      <c r="E47" s="850"/>
      <c r="F47" s="850"/>
      <c r="G47" s="851"/>
      <c r="H47" s="851"/>
      <c r="I47" s="840"/>
      <c r="J47" s="840"/>
      <c r="K47" s="840"/>
      <c r="L47" s="851"/>
      <c r="M47" s="851"/>
      <c r="N47" s="840"/>
      <c r="O47" s="852"/>
      <c r="P47" s="852"/>
      <c r="Q47" s="852"/>
      <c r="R47" s="852"/>
      <c r="S47" s="840"/>
      <c r="T47" s="852"/>
      <c r="U47" s="852"/>
      <c r="V47" s="852"/>
      <c r="W47" s="852"/>
      <c r="X47" s="840"/>
      <c r="Y47" s="852"/>
      <c r="Z47" s="852"/>
      <c r="AA47" s="852"/>
      <c r="AB47" s="852"/>
      <c r="AC47" s="840"/>
      <c r="AD47" s="852"/>
      <c r="AE47" s="852"/>
      <c r="AF47" s="852"/>
      <c r="AG47" s="852"/>
      <c r="AH47" s="840"/>
      <c r="AI47" s="852"/>
      <c r="AJ47" s="852"/>
      <c r="AK47" s="852"/>
      <c r="AL47" s="852"/>
      <c r="AM47" s="840"/>
      <c r="AN47" s="852"/>
      <c r="AO47" s="852"/>
      <c r="AP47" s="852"/>
      <c r="AQ47" s="852"/>
      <c r="AR47" s="840"/>
      <c r="AS47" s="840"/>
    </row>
    <row r="48" spans="1:45" ht="15" customHeight="1">
      <c r="A48" s="840"/>
      <c r="B48" s="840"/>
      <c r="C48" s="840"/>
      <c r="D48" s="850"/>
      <c r="E48" s="850"/>
      <c r="F48" s="850"/>
      <c r="G48" s="851"/>
      <c r="H48" s="851"/>
      <c r="I48" s="840"/>
      <c r="J48" s="840"/>
      <c r="K48" s="840"/>
      <c r="L48" s="851"/>
      <c r="M48" s="851"/>
      <c r="N48" s="840"/>
      <c r="O48" s="852"/>
      <c r="P48" s="852"/>
      <c r="Q48" s="852"/>
      <c r="R48" s="852"/>
      <c r="S48" s="840"/>
      <c r="T48" s="852"/>
      <c r="U48" s="852"/>
      <c r="V48" s="852"/>
      <c r="W48" s="852"/>
      <c r="X48" s="840"/>
      <c r="Y48" s="852"/>
      <c r="Z48" s="852"/>
      <c r="AA48" s="852"/>
      <c r="AB48" s="852"/>
      <c r="AC48" s="840"/>
      <c r="AD48" s="852"/>
      <c r="AE48" s="852"/>
      <c r="AF48" s="852"/>
      <c r="AG48" s="852"/>
      <c r="AH48" s="840"/>
      <c r="AI48" s="852"/>
      <c r="AJ48" s="852"/>
      <c r="AK48" s="852"/>
      <c r="AL48" s="852"/>
      <c r="AM48" s="840"/>
      <c r="AN48" s="852"/>
      <c r="AO48" s="852"/>
      <c r="AP48" s="852"/>
      <c r="AQ48" s="852"/>
      <c r="AR48" s="840"/>
      <c r="AS48" s="840"/>
    </row>
    <row r="49" spans="1:44" ht="15" customHeight="1">
      <c r="A49" s="840"/>
      <c r="B49" s="840"/>
      <c r="C49" s="840"/>
      <c r="D49" s="850"/>
      <c r="E49" s="850"/>
      <c r="F49" s="850"/>
      <c r="G49" s="851"/>
      <c r="H49" s="851"/>
      <c r="I49" s="840"/>
      <c r="J49" s="840"/>
      <c r="K49" s="840"/>
      <c r="L49" s="851"/>
      <c r="M49" s="851"/>
      <c r="N49" s="840"/>
      <c r="O49" s="852"/>
      <c r="P49" s="852"/>
      <c r="Q49" s="852"/>
      <c r="R49" s="852"/>
      <c r="S49" s="840"/>
      <c r="T49" s="852"/>
      <c r="U49" s="852"/>
      <c r="V49" s="852"/>
      <c r="W49" s="852"/>
      <c r="X49" s="840"/>
      <c r="Y49" s="852"/>
      <c r="Z49" s="852"/>
      <c r="AA49" s="852"/>
      <c r="AB49" s="852"/>
      <c r="AC49" s="840"/>
      <c r="AD49" s="852"/>
      <c r="AE49" s="852"/>
      <c r="AF49" s="852"/>
      <c r="AG49" s="852"/>
      <c r="AH49" s="840"/>
      <c r="AI49" s="852"/>
      <c r="AJ49" s="852"/>
      <c r="AK49" s="852"/>
      <c r="AL49" s="852"/>
      <c r="AM49" s="840"/>
      <c r="AN49" s="852"/>
      <c r="AO49" s="852"/>
      <c r="AP49" s="852"/>
      <c r="AQ49" s="852"/>
      <c r="AR49" s="840"/>
    </row>
    <row r="50" spans="1:44" ht="15" customHeight="1">
      <c r="A50" s="840"/>
      <c r="B50" s="840"/>
      <c r="C50" s="840"/>
      <c r="D50" s="850"/>
      <c r="E50" s="850"/>
      <c r="F50" s="850"/>
      <c r="G50" s="851"/>
      <c r="H50" s="851"/>
      <c r="I50" s="840"/>
      <c r="J50" s="840"/>
      <c r="K50" s="840"/>
      <c r="L50" s="851"/>
      <c r="M50" s="851"/>
      <c r="N50" s="840"/>
      <c r="O50" s="852"/>
      <c r="P50" s="852"/>
      <c r="Q50" s="852"/>
      <c r="R50" s="852"/>
      <c r="S50" s="840"/>
      <c r="T50" s="852"/>
      <c r="U50" s="852"/>
      <c r="V50" s="852"/>
      <c r="W50" s="852"/>
      <c r="X50" s="840"/>
      <c r="Y50" s="852"/>
      <c r="Z50" s="852"/>
      <c r="AA50" s="852"/>
      <c r="AB50" s="852"/>
      <c r="AC50" s="840"/>
      <c r="AD50" s="852"/>
      <c r="AE50" s="852"/>
      <c r="AF50" s="852"/>
      <c r="AG50" s="852"/>
      <c r="AH50" s="840"/>
      <c r="AI50" s="852"/>
      <c r="AJ50" s="852"/>
      <c r="AK50" s="852"/>
      <c r="AL50" s="852"/>
      <c r="AM50" s="840"/>
      <c r="AN50" s="852"/>
      <c r="AO50" s="852"/>
      <c r="AP50" s="852"/>
      <c r="AQ50" s="852"/>
      <c r="AR50" s="840"/>
    </row>
    <row r="51" spans="1:44" ht="15" customHeight="1">
      <c r="A51" s="840"/>
      <c r="B51" s="840"/>
      <c r="C51" s="840"/>
      <c r="D51" s="850"/>
      <c r="E51" s="850"/>
      <c r="F51" s="850"/>
      <c r="G51" s="851"/>
      <c r="H51" s="851"/>
      <c r="I51" s="840"/>
      <c r="J51" s="840"/>
      <c r="K51" s="840"/>
      <c r="L51" s="851"/>
      <c r="M51" s="851"/>
      <c r="N51" s="840"/>
      <c r="O51" s="852"/>
      <c r="P51" s="852"/>
      <c r="Q51" s="852"/>
      <c r="R51" s="852"/>
      <c r="S51" s="840"/>
      <c r="T51" s="852"/>
      <c r="U51" s="852"/>
      <c r="V51" s="852"/>
      <c r="W51" s="852"/>
      <c r="X51" s="840"/>
      <c r="Y51" s="852"/>
      <c r="Z51" s="852"/>
      <c r="AA51" s="852"/>
      <c r="AB51" s="852"/>
      <c r="AC51" s="840"/>
      <c r="AD51" s="852"/>
      <c r="AE51" s="852"/>
      <c r="AF51" s="852"/>
      <c r="AG51" s="852"/>
      <c r="AH51" s="840"/>
      <c r="AI51" s="852"/>
      <c r="AJ51" s="852"/>
      <c r="AK51" s="852"/>
      <c r="AL51" s="852"/>
      <c r="AM51" s="840"/>
      <c r="AN51" s="852"/>
      <c r="AO51" s="852"/>
      <c r="AP51" s="852"/>
      <c r="AQ51" s="852"/>
      <c r="AR51" s="840"/>
    </row>
    <row r="52" spans="1:44" ht="15" customHeight="1">
      <c r="A52" s="840"/>
      <c r="B52" s="840"/>
      <c r="C52" s="840"/>
      <c r="D52" s="850"/>
      <c r="E52" s="850"/>
      <c r="F52" s="850"/>
      <c r="G52" s="851"/>
      <c r="H52" s="851"/>
      <c r="I52" s="840"/>
      <c r="J52" s="840"/>
      <c r="K52" s="840"/>
      <c r="L52" s="851"/>
      <c r="M52" s="851"/>
      <c r="N52" s="840"/>
      <c r="O52" s="852"/>
      <c r="P52" s="852"/>
      <c r="Q52" s="852"/>
      <c r="R52" s="852"/>
      <c r="S52" s="840"/>
      <c r="T52" s="852"/>
      <c r="U52" s="852"/>
      <c r="V52" s="852"/>
      <c r="W52" s="852"/>
      <c r="X52" s="840"/>
      <c r="Y52" s="852"/>
      <c r="Z52" s="852"/>
      <c r="AA52" s="852"/>
      <c r="AB52" s="852"/>
      <c r="AC52" s="840"/>
      <c r="AD52" s="852"/>
      <c r="AE52" s="852"/>
      <c r="AF52" s="852"/>
      <c r="AG52" s="852"/>
      <c r="AH52" s="840"/>
      <c r="AI52" s="852"/>
      <c r="AJ52" s="852"/>
      <c r="AK52" s="852"/>
      <c r="AL52" s="852"/>
      <c r="AM52" s="840"/>
      <c r="AN52" s="852"/>
      <c r="AO52" s="852"/>
      <c r="AP52" s="852"/>
      <c r="AQ52" s="852"/>
      <c r="AR52" s="840"/>
    </row>
    <row r="53" spans="1:44" ht="15" customHeight="1">
      <c r="A53" s="840"/>
      <c r="B53" s="840"/>
      <c r="C53" s="840"/>
      <c r="D53" s="850"/>
      <c r="E53" s="850"/>
      <c r="F53" s="850"/>
      <c r="G53" s="851"/>
      <c r="H53" s="851"/>
      <c r="I53" s="840"/>
      <c r="J53" s="840"/>
      <c r="K53" s="840"/>
      <c r="L53" s="851"/>
      <c r="M53" s="851"/>
      <c r="N53" s="840"/>
      <c r="O53" s="852"/>
      <c r="P53" s="852"/>
      <c r="Q53" s="852"/>
      <c r="R53" s="852"/>
      <c r="S53" s="840"/>
      <c r="T53" s="852"/>
      <c r="U53" s="852"/>
      <c r="V53" s="852"/>
      <c r="W53" s="852"/>
      <c r="X53" s="840"/>
      <c r="Y53" s="852"/>
      <c r="Z53" s="852"/>
      <c r="AA53" s="852"/>
      <c r="AB53" s="852"/>
      <c r="AC53" s="840"/>
      <c r="AD53" s="852"/>
      <c r="AE53" s="852"/>
      <c r="AF53" s="852"/>
      <c r="AG53" s="852"/>
      <c r="AH53" s="840"/>
      <c r="AI53" s="852"/>
      <c r="AJ53" s="852"/>
      <c r="AK53" s="852"/>
      <c r="AL53" s="852"/>
      <c r="AM53" s="840"/>
      <c r="AN53" s="852"/>
      <c r="AO53" s="852"/>
      <c r="AP53" s="852"/>
      <c r="AQ53" s="852"/>
      <c r="AR53" s="840"/>
    </row>
    <row r="54" spans="1:44" ht="15" customHeight="1">
      <c r="A54" s="840"/>
      <c r="B54" s="840"/>
      <c r="C54" s="840"/>
      <c r="D54" s="850"/>
      <c r="E54" s="850"/>
      <c r="F54" s="850"/>
      <c r="G54" s="851"/>
      <c r="H54" s="851"/>
      <c r="I54" s="840"/>
      <c r="J54" s="840"/>
      <c r="K54" s="840"/>
      <c r="L54" s="851"/>
      <c r="M54" s="851"/>
      <c r="N54" s="840"/>
      <c r="O54" s="852"/>
      <c r="P54" s="852"/>
      <c r="Q54" s="852"/>
      <c r="R54" s="852"/>
      <c r="S54" s="840"/>
      <c r="T54" s="852"/>
      <c r="U54" s="852"/>
      <c r="V54" s="852"/>
      <c r="W54" s="852"/>
      <c r="X54" s="840"/>
      <c r="Y54" s="852"/>
      <c r="Z54" s="852"/>
      <c r="AA54" s="852"/>
      <c r="AB54" s="852"/>
      <c r="AC54" s="840"/>
      <c r="AD54" s="852"/>
      <c r="AE54" s="852"/>
      <c r="AF54" s="852"/>
      <c r="AG54" s="852"/>
      <c r="AH54" s="840"/>
      <c r="AI54" s="852"/>
      <c r="AJ54" s="852"/>
      <c r="AK54" s="852"/>
      <c r="AL54" s="852"/>
      <c r="AM54" s="840"/>
      <c r="AN54" s="852"/>
      <c r="AO54" s="852"/>
      <c r="AP54" s="852"/>
      <c r="AQ54" s="852"/>
      <c r="AR54" s="840"/>
    </row>
    <row r="55" spans="1:44" ht="15" customHeight="1">
      <c r="A55" s="840"/>
      <c r="B55" s="840"/>
      <c r="C55" s="840"/>
      <c r="D55" s="850"/>
      <c r="E55" s="850"/>
      <c r="F55" s="850"/>
      <c r="G55" s="851"/>
      <c r="H55" s="851"/>
      <c r="I55" s="840"/>
      <c r="J55" s="840"/>
      <c r="K55" s="840"/>
      <c r="L55" s="851"/>
      <c r="M55" s="851"/>
      <c r="N55" s="840"/>
      <c r="O55" s="852"/>
      <c r="P55" s="852"/>
      <c r="Q55" s="852"/>
      <c r="R55" s="852"/>
      <c r="S55" s="840"/>
      <c r="T55" s="852"/>
      <c r="U55" s="852"/>
      <c r="V55" s="852"/>
      <c r="W55" s="852"/>
      <c r="X55" s="840"/>
      <c r="Y55" s="852"/>
      <c r="Z55" s="852"/>
      <c r="AA55" s="852"/>
      <c r="AB55" s="852"/>
      <c r="AC55" s="840"/>
      <c r="AD55" s="852"/>
      <c r="AE55" s="852"/>
      <c r="AF55" s="852"/>
      <c r="AG55" s="852"/>
      <c r="AH55" s="840"/>
      <c r="AI55" s="852"/>
      <c r="AJ55" s="852"/>
      <c r="AK55" s="852"/>
      <c r="AL55" s="852"/>
      <c r="AM55" s="840"/>
      <c r="AN55" s="852"/>
      <c r="AO55" s="852"/>
      <c r="AP55" s="852"/>
      <c r="AQ55" s="852"/>
      <c r="AR55" s="840"/>
    </row>
    <row r="56" spans="1:44" ht="15" customHeight="1">
      <c r="A56" s="840"/>
      <c r="B56" s="840"/>
      <c r="C56" s="840"/>
      <c r="D56" s="850"/>
      <c r="E56" s="850"/>
      <c r="F56" s="850"/>
      <c r="G56" s="851"/>
      <c r="H56" s="851"/>
      <c r="I56" s="840"/>
      <c r="J56" s="840"/>
      <c r="K56" s="840"/>
      <c r="L56" s="851"/>
      <c r="M56" s="851"/>
      <c r="N56" s="840"/>
      <c r="O56" s="852"/>
      <c r="P56" s="852"/>
      <c r="Q56" s="852"/>
      <c r="R56" s="852"/>
      <c r="S56" s="840"/>
      <c r="T56" s="852"/>
      <c r="U56" s="852"/>
      <c r="V56" s="852"/>
      <c r="W56" s="852"/>
      <c r="X56" s="840"/>
      <c r="Y56" s="852"/>
      <c r="Z56" s="852"/>
      <c r="AA56" s="852"/>
      <c r="AB56" s="852"/>
      <c r="AC56" s="840"/>
      <c r="AD56" s="852"/>
      <c r="AE56" s="852"/>
      <c r="AF56" s="852"/>
      <c r="AG56" s="852"/>
      <c r="AH56" s="840"/>
      <c r="AI56" s="852"/>
      <c r="AJ56" s="852"/>
      <c r="AK56" s="852"/>
      <c r="AL56" s="852"/>
      <c r="AM56" s="840"/>
      <c r="AN56" s="852"/>
      <c r="AO56" s="852"/>
      <c r="AP56" s="852"/>
      <c r="AQ56" s="852"/>
      <c r="AR56" s="840"/>
    </row>
    <row r="57" spans="1:44" ht="15" customHeight="1">
      <c r="A57" s="840"/>
      <c r="B57" s="840"/>
      <c r="C57" s="840"/>
      <c r="D57" s="850"/>
      <c r="E57" s="850"/>
      <c r="F57" s="850"/>
      <c r="G57" s="851"/>
      <c r="H57" s="851"/>
      <c r="I57" s="840"/>
      <c r="J57" s="840"/>
      <c r="K57" s="840"/>
      <c r="L57" s="851"/>
      <c r="M57" s="851"/>
      <c r="N57" s="840"/>
      <c r="O57" s="852"/>
      <c r="P57" s="852"/>
      <c r="Q57" s="852"/>
      <c r="R57" s="852"/>
      <c r="S57" s="840"/>
      <c r="T57" s="852"/>
      <c r="U57" s="852"/>
      <c r="V57" s="852"/>
      <c r="W57" s="852"/>
      <c r="X57" s="840"/>
      <c r="Y57" s="852"/>
      <c r="Z57" s="852"/>
      <c r="AA57" s="852"/>
      <c r="AB57" s="852"/>
      <c r="AC57" s="840"/>
      <c r="AD57" s="852"/>
      <c r="AE57" s="852"/>
      <c r="AF57" s="852"/>
      <c r="AG57" s="852"/>
      <c r="AH57" s="840"/>
      <c r="AI57" s="852"/>
      <c r="AJ57" s="852"/>
      <c r="AK57" s="852"/>
      <c r="AL57" s="852"/>
      <c r="AM57" s="840"/>
      <c r="AN57" s="852"/>
      <c r="AO57" s="852"/>
      <c r="AP57" s="852"/>
      <c r="AQ57" s="852"/>
      <c r="AR57" s="840"/>
    </row>
    <row r="58" spans="1:44" ht="15" customHeight="1">
      <c r="A58" s="840"/>
      <c r="B58" s="840"/>
      <c r="C58" s="840"/>
      <c r="D58" s="850"/>
      <c r="E58" s="850"/>
      <c r="F58" s="850"/>
      <c r="G58" s="851"/>
      <c r="H58" s="851"/>
      <c r="I58" s="840"/>
      <c r="J58" s="840"/>
      <c r="K58" s="840"/>
      <c r="L58" s="851"/>
      <c r="M58" s="851"/>
      <c r="N58" s="840"/>
      <c r="O58" s="852"/>
      <c r="P58" s="852"/>
      <c r="Q58" s="852"/>
      <c r="R58" s="852"/>
      <c r="S58" s="840"/>
      <c r="T58" s="852"/>
      <c r="U58" s="852"/>
      <c r="V58" s="852"/>
      <c r="W58" s="852"/>
      <c r="X58" s="840"/>
      <c r="Y58" s="852"/>
      <c r="Z58" s="852"/>
      <c r="AA58" s="852"/>
      <c r="AB58" s="852"/>
      <c r="AC58" s="840"/>
      <c r="AD58" s="852"/>
      <c r="AE58" s="852"/>
      <c r="AF58" s="852"/>
      <c r="AG58" s="852"/>
      <c r="AH58" s="840"/>
      <c r="AI58" s="852"/>
      <c r="AJ58" s="852"/>
      <c r="AK58" s="852"/>
      <c r="AL58" s="852"/>
      <c r="AM58" s="840"/>
      <c r="AN58" s="852"/>
      <c r="AO58" s="852"/>
      <c r="AP58" s="852"/>
      <c r="AQ58" s="852"/>
      <c r="AR58" s="840"/>
    </row>
    <row r="59" spans="1:44" ht="15" customHeight="1">
      <c r="A59" s="840"/>
      <c r="B59" s="840"/>
      <c r="C59" s="840"/>
      <c r="D59" s="850"/>
      <c r="E59" s="850"/>
      <c r="F59" s="850"/>
      <c r="G59" s="851"/>
      <c r="H59" s="851"/>
      <c r="I59" s="840"/>
      <c r="J59" s="840"/>
      <c r="K59" s="840"/>
      <c r="L59" s="851"/>
      <c r="M59" s="851"/>
      <c r="N59" s="840"/>
      <c r="O59" s="852"/>
      <c r="P59" s="852"/>
      <c r="Q59" s="852"/>
      <c r="R59" s="852"/>
      <c r="S59" s="840"/>
      <c r="T59" s="852"/>
      <c r="U59" s="852"/>
      <c r="V59" s="852"/>
      <c r="W59" s="852"/>
      <c r="X59" s="840"/>
      <c r="Y59" s="852"/>
      <c r="Z59" s="852"/>
      <c r="AA59" s="852"/>
      <c r="AB59" s="852"/>
      <c r="AC59" s="840"/>
      <c r="AD59" s="852"/>
      <c r="AE59" s="852"/>
      <c r="AF59" s="852"/>
      <c r="AG59" s="852"/>
      <c r="AH59" s="840"/>
      <c r="AI59" s="852"/>
      <c r="AJ59" s="852"/>
      <c r="AK59" s="852"/>
      <c r="AL59" s="852"/>
      <c r="AM59" s="840"/>
      <c r="AN59" s="852"/>
      <c r="AO59" s="852"/>
      <c r="AP59" s="852"/>
      <c r="AQ59" s="852"/>
      <c r="AR59" s="840"/>
    </row>
    <row r="60" spans="1:44" ht="15" customHeight="1">
      <c r="A60" s="840"/>
      <c r="B60" s="840"/>
      <c r="C60" s="840"/>
      <c r="D60" s="850"/>
      <c r="E60" s="850"/>
      <c r="F60" s="850"/>
      <c r="G60" s="851"/>
      <c r="H60" s="851"/>
      <c r="I60" s="840"/>
      <c r="J60" s="840"/>
      <c r="K60" s="840"/>
      <c r="L60" s="851"/>
      <c r="M60" s="851"/>
      <c r="N60" s="840"/>
      <c r="O60" s="852"/>
      <c r="P60" s="852"/>
      <c r="Q60" s="852"/>
      <c r="R60" s="852"/>
      <c r="S60" s="840"/>
      <c r="T60" s="852"/>
      <c r="U60" s="852"/>
      <c r="V60" s="852"/>
      <c r="W60" s="852"/>
      <c r="X60" s="840"/>
      <c r="Y60" s="852"/>
      <c r="Z60" s="852"/>
      <c r="AA60" s="852"/>
      <c r="AB60" s="852"/>
      <c r="AC60" s="840"/>
      <c r="AD60" s="852"/>
      <c r="AE60" s="852"/>
      <c r="AF60" s="852"/>
      <c r="AG60" s="852"/>
      <c r="AH60" s="840"/>
      <c r="AI60" s="852"/>
      <c r="AJ60" s="852"/>
      <c r="AK60" s="852"/>
      <c r="AL60" s="852"/>
      <c r="AM60" s="840"/>
      <c r="AN60" s="852"/>
      <c r="AO60" s="852"/>
      <c r="AP60" s="852"/>
      <c r="AQ60" s="852"/>
      <c r="AR60" s="840"/>
    </row>
    <row r="61" spans="1:44" ht="15" customHeight="1">
      <c r="A61" s="840"/>
      <c r="B61" s="840"/>
      <c r="C61" s="840"/>
      <c r="D61" s="850"/>
      <c r="E61" s="850"/>
      <c r="F61" s="850"/>
      <c r="G61" s="851"/>
      <c r="H61" s="851"/>
      <c r="I61" s="840"/>
      <c r="J61" s="840"/>
      <c r="K61" s="840"/>
      <c r="L61" s="851"/>
      <c r="M61" s="851"/>
      <c r="N61" s="840"/>
      <c r="O61" s="852"/>
      <c r="P61" s="852"/>
      <c r="Q61" s="852"/>
      <c r="R61" s="852"/>
      <c r="S61" s="840"/>
      <c r="T61" s="852"/>
      <c r="U61" s="852"/>
      <c r="V61" s="852"/>
      <c r="W61" s="852"/>
      <c r="X61" s="840"/>
      <c r="Y61" s="852"/>
      <c r="Z61" s="852"/>
      <c r="AA61" s="852"/>
      <c r="AB61" s="852"/>
      <c r="AC61" s="840"/>
      <c r="AD61" s="852"/>
      <c r="AE61" s="852"/>
      <c r="AF61" s="852"/>
      <c r="AG61" s="852"/>
      <c r="AH61" s="840"/>
      <c r="AI61" s="852"/>
      <c r="AJ61" s="852"/>
      <c r="AK61" s="852"/>
      <c r="AL61" s="852"/>
      <c r="AM61" s="840"/>
      <c r="AN61" s="852"/>
      <c r="AO61" s="852"/>
      <c r="AP61" s="852"/>
      <c r="AQ61" s="852"/>
      <c r="AR61" s="840"/>
    </row>
    <row r="62" spans="1:44" ht="15" customHeight="1">
      <c r="A62" s="840"/>
      <c r="B62" s="840"/>
      <c r="C62" s="840"/>
      <c r="D62" s="850"/>
      <c r="E62" s="850"/>
      <c r="F62" s="850"/>
      <c r="G62" s="851"/>
      <c r="H62" s="851"/>
      <c r="I62" s="840"/>
      <c r="J62" s="840"/>
      <c r="K62" s="840"/>
      <c r="L62" s="851"/>
      <c r="M62" s="851"/>
      <c r="N62" s="840"/>
      <c r="O62" s="852"/>
      <c r="P62" s="852"/>
      <c r="Q62" s="852"/>
      <c r="R62" s="852"/>
      <c r="S62" s="840"/>
      <c r="T62" s="852"/>
      <c r="U62" s="852"/>
      <c r="V62" s="852"/>
      <c r="W62" s="852"/>
      <c r="X62" s="840"/>
      <c r="Y62" s="852"/>
      <c r="Z62" s="852"/>
      <c r="AA62" s="852"/>
      <c r="AB62" s="852"/>
      <c r="AC62" s="840"/>
      <c r="AD62" s="840"/>
      <c r="AE62" s="840"/>
      <c r="AF62" s="840"/>
      <c r="AG62" s="840"/>
      <c r="AH62" s="840"/>
      <c r="AI62" s="840"/>
      <c r="AJ62" s="840"/>
      <c r="AK62" s="840"/>
      <c r="AL62" s="840"/>
      <c r="AM62" s="840"/>
      <c r="AN62" s="840"/>
      <c r="AO62" s="840"/>
      <c r="AP62" s="840"/>
      <c r="AQ62" s="840"/>
      <c r="AR62" s="840"/>
    </row>
    <row r="63" spans="1:44" ht="15" customHeight="1">
      <c r="A63" s="840"/>
      <c r="B63" s="840"/>
      <c r="C63" s="840"/>
      <c r="D63" s="850"/>
      <c r="E63" s="850"/>
      <c r="F63" s="850"/>
      <c r="G63" s="851"/>
      <c r="H63" s="851"/>
      <c r="I63" s="840"/>
      <c r="J63" s="840"/>
      <c r="K63" s="840"/>
      <c r="L63" s="851"/>
      <c r="M63" s="851"/>
      <c r="N63" s="840"/>
      <c r="O63" s="852"/>
      <c r="P63" s="852"/>
      <c r="Q63" s="852"/>
      <c r="R63" s="852"/>
      <c r="S63" s="840"/>
      <c r="T63" s="852"/>
      <c r="U63" s="852"/>
      <c r="V63" s="852"/>
      <c r="W63" s="852"/>
      <c r="X63" s="840"/>
      <c r="Y63" s="852"/>
      <c r="Z63" s="852"/>
      <c r="AA63" s="852"/>
      <c r="AB63" s="852"/>
      <c r="AC63" s="840"/>
      <c r="AD63" s="840"/>
      <c r="AE63" s="840"/>
      <c r="AF63" s="840"/>
      <c r="AG63" s="840"/>
      <c r="AH63" s="840"/>
      <c r="AI63" s="840"/>
      <c r="AJ63" s="840"/>
      <c r="AK63" s="840"/>
      <c r="AL63" s="840"/>
      <c r="AM63" s="840"/>
      <c r="AN63" s="840"/>
      <c r="AO63" s="840"/>
      <c r="AP63" s="840"/>
      <c r="AQ63" s="840"/>
      <c r="AR63" s="840"/>
    </row>
    <row r="64" spans="1:44" ht="15" customHeight="1">
      <c r="A64" s="840"/>
      <c r="B64" s="840"/>
      <c r="C64" s="840"/>
      <c r="D64" s="850"/>
      <c r="E64" s="850"/>
      <c r="F64" s="850"/>
      <c r="G64" s="851"/>
      <c r="H64" s="851"/>
      <c r="I64" s="840"/>
      <c r="J64" s="840"/>
      <c r="K64" s="840"/>
      <c r="L64" s="851"/>
      <c r="M64" s="851"/>
      <c r="N64" s="840"/>
      <c r="O64" s="852"/>
      <c r="P64" s="852"/>
      <c r="Q64" s="852"/>
      <c r="R64" s="852"/>
      <c r="S64" s="840"/>
      <c r="T64" s="852"/>
      <c r="U64" s="852"/>
      <c r="V64" s="852"/>
      <c r="W64" s="852"/>
      <c r="X64" s="840"/>
      <c r="Y64" s="852"/>
      <c r="Z64" s="852"/>
      <c r="AA64" s="852"/>
      <c r="AB64" s="852"/>
      <c r="AC64" s="840"/>
      <c r="AD64" s="840"/>
      <c r="AE64" s="840"/>
      <c r="AF64" s="840"/>
      <c r="AG64" s="840"/>
      <c r="AH64" s="840"/>
      <c r="AI64" s="840"/>
      <c r="AJ64" s="840"/>
      <c r="AK64" s="840"/>
      <c r="AL64" s="840"/>
      <c r="AM64" s="840"/>
      <c r="AN64" s="840"/>
      <c r="AO64" s="840"/>
      <c r="AP64" s="840"/>
      <c r="AQ64" s="840"/>
      <c r="AR64" s="840"/>
    </row>
    <row r="73" spans="1:44" ht="13.9">
      <c r="A73" s="840"/>
      <c r="B73" s="840"/>
      <c r="C73" s="840"/>
      <c r="D73" s="850"/>
      <c r="E73" s="850"/>
      <c r="F73" s="850"/>
      <c r="G73" s="851"/>
      <c r="H73" s="851"/>
      <c r="I73" s="840"/>
      <c r="J73" s="596" t="s">
        <v>331</v>
      </c>
      <c r="K73" s="596"/>
      <c r="L73" s="851"/>
      <c r="M73" s="851"/>
      <c r="N73" s="840"/>
      <c r="O73" s="852"/>
      <c r="P73" s="852"/>
      <c r="Q73" s="852"/>
      <c r="R73" s="852"/>
      <c r="S73" s="840"/>
      <c r="T73" s="852"/>
      <c r="U73" s="852"/>
      <c r="V73" s="852"/>
      <c r="W73" s="852"/>
      <c r="X73" s="840"/>
      <c r="Y73" s="852"/>
      <c r="Z73" s="852"/>
      <c r="AA73" s="852"/>
      <c r="AB73" s="852"/>
      <c r="AC73" s="840"/>
      <c r="AD73" s="840"/>
      <c r="AE73" s="840"/>
      <c r="AF73" s="840"/>
      <c r="AG73" s="840"/>
      <c r="AH73" s="840"/>
      <c r="AI73" s="840"/>
      <c r="AJ73" s="840"/>
      <c r="AK73" s="840"/>
      <c r="AL73" s="840"/>
      <c r="AM73" s="840"/>
      <c r="AN73" s="840"/>
      <c r="AO73" s="840"/>
      <c r="AP73" s="840"/>
      <c r="AQ73" s="840"/>
      <c r="AR73" s="840"/>
    </row>
    <row r="74" spans="1:44" ht="13.9">
      <c r="A74" s="840"/>
      <c r="B74" s="840"/>
      <c r="C74" s="840"/>
      <c r="D74" s="850"/>
      <c r="E74" s="850"/>
      <c r="F74" s="850"/>
      <c r="G74" s="851"/>
      <c r="H74" s="851"/>
      <c r="I74" s="840"/>
      <c r="J74" s="840" t="s">
        <v>56</v>
      </c>
      <c r="K74" s="840"/>
      <c r="L74" s="851"/>
      <c r="M74" s="851"/>
      <c r="N74" s="840"/>
      <c r="O74" s="852"/>
      <c r="P74" s="852"/>
      <c r="Q74" s="852"/>
      <c r="R74" s="852"/>
      <c r="S74" s="840"/>
      <c r="T74" s="852"/>
      <c r="U74" s="852"/>
      <c r="V74" s="852"/>
      <c r="W74" s="852"/>
      <c r="X74" s="840"/>
      <c r="Y74" s="852"/>
      <c r="Z74" s="852"/>
      <c r="AA74" s="852"/>
      <c r="AB74" s="852"/>
      <c r="AC74" s="840"/>
      <c r="AD74" s="840"/>
      <c r="AE74" s="840"/>
      <c r="AF74" s="840"/>
      <c r="AG74" s="840"/>
      <c r="AH74" s="840"/>
      <c r="AI74" s="840"/>
      <c r="AJ74" s="840"/>
      <c r="AK74" s="840"/>
      <c r="AL74" s="840"/>
      <c r="AM74" s="840"/>
      <c r="AN74" s="840"/>
      <c r="AO74" s="840"/>
      <c r="AP74" s="840"/>
      <c r="AQ74" s="840"/>
      <c r="AR74" s="840"/>
    </row>
    <row r="75" spans="1:44" ht="13.9">
      <c r="A75" s="840"/>
      <c r="B75" s="840"/>
      <c r="C75" s="840"/>
      <c r="D75" s="850"/>
      <c r="E75" s="850"/>
      <c r="F75" s="850"/>
      <c r="G75" s="851"/>
      <c r="H75" s="851"/>
      <c r="I75" s="840"/>
      <c r="J75" s="518" t="s">
        <v>49</v>
      </c>
      <c r="K75" s="518"/>
      <c r="L75" s="518"/>
      <c r="M75" s="518"/>
      <c r="N75" s="852"/>
      <c r="O75" s="852"/>
      <c r="P75" s="852"/>
      <c r="Q75" s="852"/>
      <c r="R75" s="840"/>
      <c r="S75" s="852"/>
      <c r="T75" s="852"/>
      <c r="U75" s="852"/>
      <c r="V75" s="852"/>
      <c r="W75" s="840"/>
      <c r="X75" s="852"/>
      <c r="Y75" s="852"/>
      <c r="Z75" s="852"/>
      <c r="AA75" s="852"/>
      <c r="AB75" s="840"/>
      <c r="AC75" s="840"/>
      <c r="AD75" s="840"/>
      <c r="AE75" s="840"/>
      <c r="AF75" s="840"/>
      <c r="AG75" s="840"/>
      <c r="AH75" s="840"/>
      <c r="AI75" s="840"/>
      <c r="AJ75" s="840"/>
      <c r="AK75" s="840"/>
      <c r="AL75" s="840"/>
      <c r="AM75" s="840"/>
      <c r="AN75" s="840"/>
      <c r="AO75" s="840"/>
      <c r="AP75" s="840"/>
      <c r="AQ75" s="840"/>
      <c r="AR75" s="840"/>
    </row>
    <row r="76" spans="1:44" ht="13.9">
      <c r="A76" s="840"/>
      <c r="B76" s="840"/>
      <c r="C76" s="840"/>
      <c r="D76" s="850"/>
      <c r="E76" s="850"/>
      <c r="F76" s="850"/>
      <c r="G76" s="851"/>
      <c r="H76" s="851"/>
      <c r="I76" s="840"/>
      <c r="J76" s="518" t="s">
        <v>50</v>
      </c>
      <c r="K76" s="518"/>
      <c r="L76" s="518"/>
      <c r="M76" s="518"/>
      <c r="N76" s="852"/>
      <c r="O76" s="852"/>
      <c r="P76" s="852"/>
      <c r="Q76" s="852"/>
      <c r="R76" s="840"/>
      <c r="S76" s="852"/>
      <c r="T76" s="852"/>
      <c r="U76" s="852"/>
      <c r="V76" s="852"/>
      <c r="W76" s="840"/>
      <c r="X76" s="852"/>
      <c r="Y76" s="852"/>
      <c r="Z76" s="852"/>
      <c r="AA76" s="852"/>
      <c r="AB76" s="840"/>
      <c r="AC76" s="840"/>
      <c r="AD76" s="840"/>
      <c r="AE76" s="840"/>
      <c r="AF76" s="840"/>
      <c r="AG76" s="840"/>
      <c r="AH76" s="840"/>
      <c r="AI76" s="840"/>
      <c r="AJ76" s="840"/>
      <c r="AK76" s="840"/>
      <c r="AL76" s="840"/>
      <c r="AM76" s="840"/>
      <c r="AN76" s="840"/>
      <c r="AO76" s="840"/>
      <c r="AP76" s="840"/>
      <c r="AQ76" s="840"/>
      <c r="AR76" s="840"/>
    </row>
    <row r="77" spans="1:44" ht="13.9">
      <c r="A77" s="840"/>
      <c r="B77" s="840"/>
      <c r="C77" s="840"/>
      <c r="D77" s="850"/>
      <c r="E77" s="850"/>
      <c r="F77" s="850"/>
      <c r="G77" s="851"/>
      <c r="H77" s="851"/>
      <c r="I77" s="840"/>
      <c r="J77" s="518" t="s">
        <v>51</v>
      </c>
      <c r="K77" s="518"/>
      <c r="L77" s="518"/>
      <c r="M77" s="518"/>
      <c r="N77" s="852"/>
      <c r="O77" s="852"/>
      <c r="P77" s="852"/>
      <c r="Q77" s="852"/>
      <c r="R77" s="840"/>
      <c r="S77" s="852"/>
      <c r="T77" s="852"/>
      <c r="U77" s="852"/>
      <c r="V77" s="852"/>
      <c r="W77" s="840"/>
      <c r="X77" s="852"/>
      <c r="Y77" s="852"/>
      <c r="Z77" s="852"/>
      <c r="AA77" s="852"/>
      <c r="AB77" s="840"/>
      <c r="AC77" s="840"/>
      <c r="AD77" s="840"/>
      <c r="AE77" s="840"/>
      <c r="AF77" s="840"/>
      <c r="AG77" s="840"/>
      <c r="AH77" s="840"/>
      <c r="AI77" s="840"/>
      <c r="AJ77" s="840"/>
      <c r="AK77" s="840"/>
      <c r="AL77" s="840"/>
      <c r="AM77" s="840"/>
      <c r="AN77" s="840"/>
      <c r="AO77" s="840"/>
      <c r="AP77" s="840"/>
      <c r="AQ77" s="840"/>
      <c r="AR77" s="840"/>
    </row>
    <row r="78" spans="1:44" ht="13.9">
      <c r="A78" s="840"/>
      <c r="B78" s="840"/>
      <c r="C78" s="840"/>
      <c r="D78" s="850"/>
      <c r="E78" s="850"/>
      <c r="F78" s="850"/>
      <c r="G78" s="851"/>
      <c r="H78" s="851"/>
      <c r="I78" s="840"/>
      <c r="J78" s="518" t="s">
        <v>80</v>
      </c>
      <c r="K78" s="518"/>
      <c r="L78" s="518"/>
      <c r="M78" s="518"/>
      <c r="N78" s="852"/>
      <c r="O78" s="852"/>
      <c r="P78" s="852"/>
      <c r="Q78" s="852"/>
      <c r="R78" s="840"/>
      <c r="S78" s="852"/>
      <c r="T78" s="852"/>
      <c r="U78" s="852"/>
      <c r="V78" s="852"/>
      <c r="W78" s="840"/>
      <c r="X78" s="852"/>
      <c r="Y78" s="852"/>
      <c r="Z78" s="852"/>
      <c r="AA78" s="852"/>
      <c r="AB78" s="840"/>
      <c r="AC78" s="840"/>
      <c r="AD78" s="840"/>
      <c r="AE78" s="840"/>
      <c r="AF78" s="840"/>
      <c r="AG78" s="840"/>
      <c r="AH78" s="840"/>
      <c r="AI78" s="840"/>
      <c r="AJ78" s="840"/>
      <c r="AK78" s="840"/>
      <c r="AL78" s="840"/>
      <c r="AM78" s="840"/>
      <c r="AN78" s="840"/>
      <c r="AO78" s="840"/>
      <c r="AP78" s="840"/>
      <c r="AQ78" s="840"/>
      <c r="AR78" s="840"/>
    </row>
    <row r="79" spans="1:44" ht="15" customHeight="1">
      <c r="A79" s="840"/>
      <c r="B79" s="840"/>
      <c r="C79" s="840"/>
      <c r="D79" s="850"/>
      <c r="E79" s="850"/>
      <c r="F79" s="850"/>
      <c r="G79" s="851"/>
      <c r="H79" s="851"/>
      <c r="I79" s="840"/>
      <c r="J79" s="840"/>
      <c r="K79" s="840"/>
      <c r="L79" s="851"/>
      <c r="M79" s="851"/>
      <c r="N79" s="840"/>
      <c r="O79" s="852"/>
      <c r="P79" s="852"/>
      <c r="Q79" s="852"/>
      <c r="R79" s="852"/>
      <c r="S79" s="840"/>
      <c r="T79" s="852"/>
      <c r="U79" s="852"/>
      <c r="V79" s="852"/>
      <c r="W79" s="852"/>
      <c r="X79" s="840"/>
      <c r="Y79" s="852"/>
      <c r="Z79" s="852"/>
      <c r="AA79" s="852"/>
      <c r="AB79" s="852"/>
      <c r="AC79" s="840"/>
      <c r="AD79" s="840"/>
      <c r="AE79" s="840"/>
      <c r="AF79" s="840"/>
      <c r="AG79" s="840"/>
      <c r="AH79" s="840"/>
      <c r="AI79" s="840"/>
      <c r="AJ79" s="840"/>
      <c r="AK79" s="840"/>
      <c r="AL79" s="840"/>
      <c r="AM79" s="840"/>
      <c r="AN79" s="840"/>
      <c r="AO79" s="840"/>
      <c r="AP79" s="840"/>
      <c r="AQ79" s="840"/>
      <c r="AR79" s="840"/>
    </row>
    <row r="80" spans="1:44" ht="15" customHeight="1">
      <c r="A80" s="840"/>
      <c r="B80" s="840"/>
      <c r="C80" s="840"/>
      <c r="D80" s="850"/>
      <c r="E80" s="850"/>
      <c r="F80" s="850"/>
      <c r="G80" s="851"/>
      <c r="H80" s="851"/>
      <c r="I80" s="840"/>
      <c r="J80" s="840"/>
      <c r="K80" s="840"/>
      <c r="L80" s="851"/>
      <c r="M80" s="851"/>
      <c r="N80" s="840"/>
      <c r="O80" s="852"/>
      <c r="P80" s="852"/>
      <c r="Q80" s="852"/>
      <c r="R80" s="852"/>
      <c r="S80" s="840"/>
      <c r="T80" s="852"/>
      <c r="U80" s="852"/>
      <c r="V80" s="852"/>
      <c r="W80" s="852"/>
      <c r="X80" s="840"/>
      <c r="Y80" s="852"/>
      <c r="Z80" s="852"/>
      <c r="AA80" s="852"/>
      <c r="AB80" s="852"/>
      <c r="AC80" s="840"/>
      <c r="AD80" s="840"/>
      <c r="AE80" s="840"/>
      <c r="AF80" s="840"/>
      <c r="AG80" s="840"/>
      <c r="AH80" s="840"/>
      <c r="AI80" s="840"/>
      <c r="AJ80" s="840"/>
      <c r="AK80" s="840"/>
      <c r="AL80" s="840"/>
      <c r="AM80" s="840"/>
      <c r="AN80" s="840"/>
      <c r="AO80" s="840"/>
      <c r="AP80" s="840"/>
      <c r="AQ80" s="840"/>
      <c r="AR80" s="840"/>
    </row>
    <row r="81" spans="1:44" ht="15" customHeight="1">
      <c r="A81" s="840"/>
      <c r="B81" s="840"/>
      <c r="C81" s="840"/>
      <c r="D81" s="850"/>
      <c r="E81" s="850"/>
      <c r="F81" s="850"/>
      <c r="G81" s="851"/>
      <c r="H81" s="851"/>
      <c r="I81" s="840"/>
      <c r="J81" s="840"/>
      <c r="K81" s="840"/>
      <c r="L81" s="851"/>
      <c r="M81" s="851"/>
      <c r="N81" s="840"/>
      <c r="O81" s="852"/>
      <c r="P81" s="852"/>
      <c r="Q81" s="852"/>
      <c r="R81" s="852"/>
      <c r="S81" s="840"/>
      <c r="T81" s="852"/>
      <c r="U81" s="852"/>
      <c r="V81" s="852"/>
      <c r="W81" s="852"/>
      <c r="X81" s="840"/>
      <c r="Y81" s="852"/>
      <c r="Z81" s="852"/>
      <c r="AA81" s="852"/>
      <c r="AB81" s="852"/>
      <c r="AC81" s="840"/>
      <c r="AD81" s="840"/>
      <c r="AE81" s="840"/>
      <c r="AF81" s="840"/>
      <c r="AG81" s="840"/>
      <c r="AH81" s="840"/>
      <c r="AI81" s="840"/>
      <c r="AJ81" s="840"/>
      <c r="AK81" s="840"/>
      <c r="AL81" s="840"/>
      <c r="AM81" s="840"/>
      <c r="AN81" s="840"/>
      <c r="AO81" s="840"/>
      <c r="AP81" s="840"/>
      <c r="AQ81" s="840"/>
      <c r="AR81" s="840"/>
    </row>
    <row r="82" spans="1:44" ht="15" customHeight="1">
      <c r="A82" s="840"/>
      <c r="B82" s="840"/>
      <c r="C82" s="840"/>
      <c r="D82" s="850"/>
      <c r="E82" s="850"/>
      <c r="F82" s="850"/>
      <c r="G82" s="851"/>
      <c r="H82" s="851"/>
      <c r="I82" s="840"/>
      <c r="J82" s="840"/>
      <c r="K82" s="840"/>
      <c r="L82" s="851"/>
      <c r="M82" s="851"/>
      <c r="N82" s="840"/>
      <c r="O82" s="852"/>
      <c r="P82" s="852"/>
      <c r="Q82" s="852"/>
      <c r="R82" s="852"/>
      <c r="S82" s="840"/>
      <c r="T82" s="852"/>
      <c r="U82" s="852"/>
      <c r="V82" s="852"/>
      <c r="W82" s="852"/>
      <c r="X82" s="840"/>
      <c r="Y82" s="852"/>
      <c r="Z82" s="852"/>
      <c r="AA82" s="852"/>
      <c r="AB82" s="852"/>
      <c r="AC82" s="840"/>
      <c r="AD82" s="840"/>
      <c r="AE82" s="840"/>
      <c r="AF82" s="840"/>
      <c r="AG82" s="840"/>
      <c r="AH82" s="840"/>
      <c r="AI82" s="840"/>
      <c r="AJ82" s="840"/>
      <c r="AK82" s="840"/>
      <c r="AL82" s="840"/>
      <c r="AM82" s="840"/>
      <c r="AN82" s="840"/>
      <c r="AO82" s="840"/>
      <c r="AP82" s="840"/>
      <c r="AQ82" s="840"/>
      <c r="AR82" s="840"/>
    </row>
  </sheetData>
  <autoFilter ref="A3:AC36" xr:uid="{00000000-0009-0000-0000-000000000000}"/>
  <mergeCells count="6">
    <mergeCell ref="AN2:AR2"/>
    <mergeCell ref="O2:S2"/>
    <mergeCell ref="T2:X2"/>
    <mergeCell ref="Y2:AC2"/>
    <mergeCell ref="AD2:AH2"/>
    <mergeCell ref="AI2:AM2"/>
  </mergeCells>
  <phoneticPr fontId="11" type="noConversion"/>
  <conditionalFormatting sqref="A4:AR36 AT4:XFD36">
    <cfRule type="expression" dxfId="97" priority="694">
      <formula>$J4="CTA"</formula>
    </cfRule>
  </conditionalFormatting>
  <conditionalFormatting sqref="A4:AR37 AT4:XFD37">
    <cfRule type="expression" dxfId="96" priority="695">
      <formula>$J4="GAA"</formula>
    </cfRule>
  </conditionalFormatting>
  <conditionalFormatting sqref="F5">
    <cfRule type="expression" dxfId="95" priority="11">
      <formula>$J5="GAA"</formula>
    </cfRule>
  </conditionalFormatting>
  <conditionalFormatting sqref="G4:AR39 A40:AR511 A4:E39 F37:F39">
    <cfRule type="expression" dxfId="94" priority="693">
      <formula>$J4="AUR"</formula>
    </cfRule>
  </conditionalFormatting>
  <conditionalFormatting sqref="K4:K511">
    <cfRule type="expression" dxfId="93" priority="8">
      <formula>$K4="Pending"</formula>
    </cfRule>
    <cfRule type="expression" dxfId="92" priority="6340">
      <formula>SUMPRODUCT((#REF!&lt;&gt;"")*($K4="")+($K4="C"))</formula>
    </cfRule>
    <cfRule type="expression" dxfId="91" priority="6341">
      <formula>SUMPRODUCT(($K4="A")+($K4="B"))</formula>
    </cfRule>
    <cfRule type="expression" dxfId="90" priority="6342">
      <formula>$K4="Pending"</formula>
    </cfRule>
  </conditionalFormatting>
  <conditionalFormatting sqref="AS4:AS36">
    <cfRule type="expression" dxfId="89" priority="1">
      <formula>#REF!="CTA"</formula>
    </cfRule>
    <cfRule type="expression" dxfId="88" priority="2">
      <formula>#REF!="GAA"</formula>
    </cfRule>
  </conditionalFormatting>
  <dataValidations count="2">
    <dataValidation type="list" allowBlank="1" showInputMessage="1" showErrorMessage="1" sqref="K1 K3:K4 K73:K1048576 J1:J1048576" xr:uid="{DEDAAB60-D788-4C67-8FCD-BA0783167455}">
      <formula1>$J$74:$J$78</formula1>
    </dataValidation>
    <dataValidation type="list" allowBlank="1" showInputMessage="1" showErrorMessage="1" sqref="K4:K72" xr:uid="{B7702D6C-F684-4B29-ABBF-71555EDCC60D}">
      <formula1>"A,B,C,Pending,"</formula1>
    </dataValidation>
  </dataValidations>
  <pageMargins left="0.23622047244094499" right="0.23622047244094499" top="0.74803149606299202" bottom="0.74803149606299202" header="0.31496062992126" footer="0.31496062992126"/>
  <pageSetup paperSize="8" scale="35" fitToHeight="0" orientation="landscape" r:id="rId1"/>
  <headerFooter>
    <oddHeader>&amp;L&amp;G&amp;CProject Terra Phase 9 + 2MW Shop Drawing Approval Submission List</oddHeader>
    <oddFooter>&amp;L&amp;D&amp;RPage &amp;P of &amp;N</oddFooter>
  </headerFooter>
  <colBreaks count="1" manualBreakCount="1">
    <brk id="14" max="1048575" man="1"/>
  </colBreaks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2C49-EA08-4901-A2AE-78EC0C35F6C6}">
  <sheetPr filterMode="1">
    <pageSetUpPr fitToPage="1"/>
  </sheetPr>
  <dimension ref="A1:AS62"/>
  <sheetViews>
    <sheetView view="pageBreakPreview" zoomScale="70" zoomScaleNormal="100" zoomScaleSheetLayoutView="70" workbookViewId="0">
      <pane xSplit="3" ySplit="3" topLeftCell="D35" activePane="bottomRight" state="frozen"/>
      <selection pane="bottomRight" activeCell="N30" sqref="N30"/>
      <selection pane="bottomLeft" activeCell="G17" sqref="G17"/>
      <selection pane="topRight"/>
    </sheetView>
  </sheetViews>
  <sheetFormatPr defaultColWidth="9.25" defaultRowHeight="13.9"/>
  <cols>
    <col min="1" max="1" width="4.25" style="3" customWidth="1"/>
    <col min="2" max="2" width="16.75" style="3" customWidth="1"/>
    <col min="3" max="3" width="36.75" style="3" customWidth="1"/>
    <col min="4" max="4" width="72" style="69" customWidth="1"/>
    <col min="5" max="5" width="37.625" style="69" customWidth="1"/>
    <col min="6" max="6" width="14.25" style="69" customWidth="1"/>
    <col min="7" max="7" width="10.75" style="125" customWidth="1"/>
    <col min="8" max="8" width="12.25" style="125" customWidth="1"/>
    <col min="9" max="9" width="4.25" style="3" customWidth="1"/>
    <col min="10" max="10" width="10.25" style="3" customWidth="1"/>
    <col min="11" max="11" width="9.75" style="3" customWidth="1"/>
    <col min="12" max="12" width="10.25" style="125" bestFit="1" customWidth="1"/>
    <col min="13" max="13" width="10.25" style="125" customWidth="1"/>
    <col min="14" max="14" width="52.75" style="3" customWidth="1"/>
    <col min="15" max="18" width="10.625" style="48" customWidth="1"/>
    <col min="19" max="19" width="10.625" style="3" customWidth="1"/>
    <col min="20" max="23" width="10.625" style="48" customWidth="1"/>
    <col min="24" max="24" width="10.625" style="3" customWidth="1"/>
    <col min="25" max="28" width="10.625" style="48" customWidth="1"/>
    <col min="29" max="44" width="10.625" style="3" customWidth="1"/>
    <col min="45" max="45" width="15.25" style="3" customWidth="1"/>
    <col min="46" max="16384" width="9.25" style="3"/>
  </cols>
  <sheetData>
    <row r="1" spans="1:45">
      <c r="A1" s="33" t="s">
        <v>54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51" t="s">
        <v>55</v>
      </c>
      <c r="O1" s="122" t="s">
        <v>56</v>
      </c>
      <c r="P1" s="123" t="s">
        <v>49</v>
      </c>
      <c r="Q1" s="124" t="s">
        <v>50</v>
      </c>
      <c r="R1" s="376"/>
      <c r="S1" s="377"/>
      <c r="T1" s="376"/>
      <c r="U1" s="376"/>
      <c r="V1" s="376"/>
      <c r="W1" s="376"/>
      <c r="X1" s="377"/>
      <c r="Y1" s="376"/>
      <c r="Z1" s="376"/>
      <c r="AA1" s="376"/>
      <c r="AB1" s="376"/>
      <c r="AC1" s="377"/>
    </row>
    <row r="2" spans="1:45" ht="58.5" customHeight="1">
      <c r="A2" s="6" t="s">
        <v>57</v>
      </c>
      <c r="B2" s="7" t="s">
        <v>1</v>
      </c>
      <c r="C2" s="7" t="s">
        <v>58</v>
      </c>
      <c r="D2" s="7"/>
      <c r="E2" s="7" t="s">
        <v>60</v>
      </c>
      <c r="F2" s="7" t="s">
        <v>42</v>
      </c>
      <c r="G2" s="8" t="s">
        <v>61</v>
      </c>
      <c r="H2" s="8" t="s">
        <v>62</v>
      </c>
      <c r="I2" s="7" t="s">
        <v>63</v>
      </c>
      <c r="J2" s="7" t="s">
        <v>64</v>
      </c>
      <c r="K2" s="7" t="s">
        <v>44</v>
      </c>
      <c r="L2" s="8" t="s">
        <v>65</v>
      </c>
      <c r="M2" s="654" t="s">
        <v>66</v>
      </c>
      <c r="N2" s="9" t="s">
        <v>67</v>
      </c>
      <c r="O2" s="887" t="s">
        <v>68</v>
      </c>
      <c r="P2" s="956"/>
      <c r="Q2" s="957"/>
      <c r="R2" s="958"/>
      <c r="S2" s="959"/>
      <c r="T2" s="960" t="s">
        <v>69</v>
      </c>
      <c r="U2" s="961"/>
      <c r="V2" s="962"/>
      <c r="W2" s="963"/>
      <c r="X2" s="964"/>
      <c r="Y2" s="965" t="s">
        <v>70</v>
      </c>
      <c r="Z2" s="956"/>
      <c r="AA2" s="957"/>
      <c r="AB2" s="958"/>
      <c r="AC2" s="966"/>
      <c r="AD2" s="953" t="s">
        <v>71</v>
      </c>
      <c r="AE2" s="888"/>
      <c r="AF2" s="954"/>
      <c r="AG2" s="882"/>
      <c r="AH2" s="955"/>
      <c r="AI2" s="918" t="s">
        <v>72</v>
      </c>
      <c r="AJ2" s="887"/>
      <c r="AK2" s="967"/>
      <c r="AL2" s="885"/>
      <c r="AM2" s="968"/>
      <c r="AN2" s="953" t="s">
        <v>73</v>
      </c>
      <c r="AO2" s="888"/>
      <c r="AP2" s="954"/>
      <c r="AQ2" s="882"/>
      <c r="AR2" s="955"/>
      <c r="AS2" s="754" t="s">
        <v>76</v>
      </c>
    </row>
    <row r="3" spans="1:45">
      <c r="A3" s="117"/>
      <c r="B3" s="75"/>
      <c r="C3" s="76"/>
      <c r="D3" s="75"/>
      <c r="E3" s="75"/>
      <c r="F3" s="75"/>
      <c r="G3" s="118"/>
      <c r="H3" s="118"/>
      <c r="I3" s="75"/>
      <c r="J3" s="75"/>
      <c r="K3" s="75"/>
      <c r="L3" s="118"/>
      <c r="M3" s="655"/>
      <c r="N3" s="62"/>
      <c r="O3" s="378" t="s">
        <v>17</v>
      </c>
      <c r="P3" s="379" t="s">
        <v>49</v>
      </c>
      <c r="Q3" s="380" t="s">
        <v>50</v>
      </c>
      <c r="R3" s="381" t="s">
        <v>51</v>
      </c>
      <c r="S3" s="382" t="s">
        <v>44</v>
      </c>
      <c r="T3" s="773" t="s">
        <v>17</v>
      </c>
      <c r="U3" s="774" t="s">
        <v>49</v>
      </c>
      <c r="V3" s="775" t="s">
        <v>50</v>
      </c>
      <c r="W3" s="776" t="s">
        <v>51</v>
      </c>
      <c r="X3" s="777" t="s">
        <v>44</v>
      </c>
      <c r="Y3" s="378" t="s">
        <v>17</v>
      </c>
      <c r="Z3" s="379" t="s">
        <v>49</v>
      </c>
      <c r="AA3" s="380" t="s">
        <v>50</v>
      </c>
      <c r="AB3" s="381" t="s">
        <v>51</v>
      </c>
      <c r="AC3" s="382" t="s">
        <v>44</v>
      </c>
      <c r="AD3" s="773" t="s">
        <v>17</v>
      </c>
      <c r="AE3" s="774" t="s">
        <v>49</v>
      </c>
      <c r="AF3" s="775" t="s">
        <v>50</v>
      </c>
      <c r="AG3" s="776" t="s">
        <v>51</v>
      </c>
      <c r="AH3" s="777" t="s">
        <v>44</v>
      </c>
      <c r="AI3" s="378" t="s">
        <v>17</v>
      </c>
      <c r="AJ3" s="379" t="s">
        <v>49</v>
      </c>
      <c r="AK3" s="380" t="s">
        <v>50</v>
      </c>
      <c r="AL3" s="381" t="s">
        <v>51</v>
      </c>
      <c r="AM3" s="382" t="s">
        <v>44</v>
      </c>
      <c r="AN3" s="773" t="s">
        <v>17</v>
      </c>
      <c r="AO3" s="774" t="s">
        <v>49</v>
      </c>
      <c r="AP3" s="775" t="s">
        <v>50</v>
      </c>
      <c r="AQ3" s="776" t="s">
        <v>51</v>
      </c>
      <c r="AR3" s="777" t="s">
        <v>44</v>
      </c>
      <c r="AS3" s="75"/>
    </row>
    <row r="4" spans="1:45" s="47" customFormat="1" ht="22.9" customHeight="1">
      <c r="A4" s="316">
        <v>1</v>
      </c>
      <c r="B4" s="316" t="s">
        <v>21</v>
      </c>
      <c r="C4" s="73" t="s">
        <v>1477</v>
      </c>
      <c r="D4" s="317" t="s">
        <v>1478</v>
      </c>
      <c r="E4" s="238" t="s">
        <v>1479</v>
      </c>
      <c r="F4" s="234"/>
      <c r="G4" s="214"/>
      <c r="H4" s="214">
        <f>G4+7</f>
        <v>7</v>
      </c>
      <c r="I4" s="103"/>
      <c r="J4" s="103"/>
      <c r="K4" s="103"/>
      <c r="L4" s="214"/>
      <c r="M4" s="656" t="s">
        <v>81</v>
      </c>
      <c r="N4" s="160"/>
      <c r="O4" s="214"/>
      <c r="P4" s="214"/>
      <c r="Q4" s="214"/>
      <c r="R4" s="214"/>
      <c r="S4" s="103"/>
      <c r="T4" s="92"/>
      <c r="U4" s="92"/>
      <c r="V4" s="92"/>
      <c r="W4" s="92"/>
      <c r="X4" s="103"/>
      <c r="Y4" s="92"/>
      <c r="Z4" s="92"/>
      <c r="AA4" s="92"/>
      <c r="AB4" s="92"/>
      <c r="AC4" s="103"/>
      <c r="AD4" s="96"/>
      <c r="AE4" s="96"/>
      <c r="AF4" s="96"/>
      <c r="AG4" s="96"/>
      <c r="AH4" s="104"/>
      <c r="AI4" s="96"/>
      <c r="AJ4" s="96"/>
      <c r="AK4" s="96"/>
      <c r="AL4" s="96"/>
      <c r="AM4" s="104"/>
      <c r="AN4" s="96"/>
      <c r="AO4" s="96"/>
      <c r="AP4" s="96"/>
      <c r="AQ4" s="96"/>
      <c r="AR4" s="104"/>
      <c r="AS4" s="234" t="s">
        <v>82</v>
      </c>
    </row>
    <row r="5" spans="1:45" s="47" customFormat="1" ht="22.9" customHeight="1">
      <c r="A5" s="316">
        <f t="shared" ref="A5:A43" si="0">A4+1</f>
        <v>2</v>
      </c>
      <c r="B5" s="316" t="s">
        <v>21</v>
      </c>
      <c r="C5" s="73" t="s">
        <v>1480</v>
      </c>
      <c r="D5" s="317" t="s">
        <v>1481</v>
      </c>
      <c r="E5" s="238" t="s">
        <v>1482</v>
      </c>
      <c r="F5" s="234">
        <v>46034</v>
      </c>
      <c r="G5" s="214">
        <v>46034</v>
      </c>
      <c r="H5" s="214">
        <f t="shared" ref="H5:H43" si="1">G5+7</f>
        <v>46041</v>
      </c>
      <c r="I5" s="311">
        <v>0</v>
      </c>
      <c r="J5" s="103" t="s">
        <v>50</v>
      </c>
      <c r="K5" s="95" t="s">
        <v>89</v>
      </c>
      <c r="L5" s="221"/>
      <c r="M5" s="656" t="s">
        <v>81</v>
      </c>
      <c r="N5" s="318"/>
      <c r="O5" s="214">
        <v>46034</v>
      </c>
      <c r="P5" s="214">
        <v>46057</v>
      </c>
      <c r="Q5" s="214"/>
      <c r="R5" s="214"/>
      <c r="S5" s="103"/>
      <c r="T5" s="92"/>
      <c r="U5" s="92"/>
      <c r="V5" s="92"/>
      <c r="W5" s="92"/>
      <c r="X5" s="103"/>
      <c r="Y5" s="92"/>
      <c r="Z5" s="92"/>
      <c r="AA5" s="92"/>
      <c r="AB5" s="92"/>
      <c r="AC5" s="103"/>
      <c r="AD5" s="92"/>
      <c r="AE5" s="92"/>
      <c r="AF5" s="92"/>
      <c r="AG5" s="92"/>
      <c r="AH5" s="103"/>
      <c r="AI5" s="92"/>
      <c r="AJ5" s="92"/>
      <c r="AK5" s="92"/>
      <c r="AL5" s="92"/>
      <c r="AM5" s="103"/>
      <c r="AN5" s="92"/>
      <c r="AO5" s="92"/>
      <c r="AP5" s="92"/>
      <c r="AQ5" s="92"/>
      <c r="AR5" s="103"/>
      <c r="AS5" s="234" t="s">
        <v>82</v>
      </c>
    </row>
    <row r="6" spans="1:45" s="47" customFormat="1" ht="22.9" customHeight="1">
      <c r="A6" s="316">
        <f t="shared" si="0"/>
        <v>3</v>
      </c>
      <c r="B6" s="316" t="s">
        <v>21</v>
      </c>
      <c r="C6" s="73" t="s">
        <v>1483</v>
      </c>
      <c r="D6" s="317" t="s">
        <v>1484</v>
      </c>
      <c r="E6" s="238" t="s">
        <v>1485</v>
      </c>
      <c r="F6" s="234">
        <f>F5+7</f>
        <v>46041</v>
      </c>
      <c r="G6" s="214">
        <v>46041</v>
      </c>
      <c r="H6" s="214">
        <f t="shared" ref="H6" si="2">G6+7</f>
        <v>46048</v>
      </c>
      <c r="I6" s="311">
        <v>0</v>
      </c>
      <c r="J6" s="103" t="s">
        <v>50</v>
      </c>
      <c r="K6" s="95" t="s">
        <v>89</v>
      </c>
      <c r="L6" s="214"/>
      <c r="M6" s="656" t="s">
        <v>81</v>
      </c>
      <c r="N6" s="628"/>
      <c r="O6" s="214">
        <v>46041</v>
      </c>
      <c r="P6" s="214">
        <v>46057</v>
      </c>
      <c r="Q6" s="214"/>
      <c r="R6" s="214"/>
      <c r="S6" s="103"/>
      <c r="T6" s="92"/>
      <c r="U6" s="92"/>
      <c r="V6" s="92"/>
      <c r="W6" s="92"/>
      <c r="X6" s="103"/>
      <c r="Y6" s="92"/>
      <c r="Z6" s="92"/>
      <c r="AA6" s="92"/>
      <c r="AB6" s="92"/>
      <c r="AC6" s="103"/>
      <c r="AD6" s="96"/>
      <c r="AE6" s="96"/>
      <c r="AF6" s="96"/>
      <c r="AG6" s="96"/>
      <c r="AH6" s="104"/>
      <c r="AI6" s="96"/>
      <c r="AJ6" s="96"/>
      <c r="AK6" s="96"/>
      <c r="AL6" s="96"/>
      <c r="AM6" s="104"/>
      <c r="AN6" s="96"/>
      <c r="AO6" s="96"/>
      <c r="AP6" s="96"/>
      <c r="AQ6" s="96"/>
      <c r="AR6" s="104"/>
      <c r="AS6" s="234" t="s">
        <v>82</v>
      </c>
    </row>
    <row r="7" spans="1:45" s="47" customFormat="1" ht="22.9" customHeight="1">
      <c r="A7" s="316">
        <f t="shared" si="0"/>
        <v>4</v>
      </c>
      <c r="B7" s="316" t="s">
        <v>21</v>
      </c>
      <c r="C7" s="73" t="s">
        <v>1486</v>
      </c>
      <c r="D7" s="317" t="s">
        <v>1487</v>
      </c>
      <c r="E7" s="238" t="s">
        <v>1488</v>
      </c>
      <c r="F7" s="234">
        <f t="shared" ref="F7:F13" si="3">F6</f>
        <v>46041</v>
      </c>
      <c r="G7" s="214">
        <v>46041</v>
      </c>
      <c r="H7" s="214">
        <f t="shared" ref="H7" si="4">G7+7</f>
        <v>46048</v>
      </c>
      <c r="I7" s="311">
        <v>0</v>
      </c>
      <c r="J7" s="103" t="s">
        <v>50</v>
      </c>
      <c r="K7" s="95" t="s">
        <v>89</v>
      </c>
      <c r="L7" s="214"/>
      <c r="M7" s="656" t="s">
        <v>81</v>
      </c>
      <c r="N7" s="628"/>
      <c r="O7" s="214">
        <v>46041</v>
      </c>
      <c r="P7" s="214">
        <v>46057</v>
      </c>
      <c r="Q7" s="214"/>
      <c r="R7" s="214"/>
      <c r="S7" s="103"/>
      <c r="T7" s="92"/>
      <c r="U7" s="92"/>
      <c r="V7" s="92"/>
      <c r="W7" s="92"/>
      <c r="X7" s="103"/>
      <c r="Y7" s="92"/>
      <c r="Z7" s="92"/>
      <c r="AA7" s="92"/>
      <c r="AB7" s="92"/>
      <c r="AC7" s="103"/>
      <c r="AD7" s="96"/>
      <c r="AE7" s="96"/>
      <c r="AF7" s="96"/>
      <c r="AG7" s="96"/>
      <c r="AH7" s="104"/>
      <c r="AI7" s="96"/>
      <c r="AJ7" s="96"/>
      <c r="AK7" s="96"/>
      <c r="AL7" s="96"/>
      <c r="AM7" s="104"/>
      <c r="AN7" s="96"/>
      <c r="AO7" s="96"/>
      <c r="AP7" s="96"/>
      <c r="AQ7" s="96"/>
      <c r="AR7" s="104"/>
      <c r="AS7" s="234" t="s">
        <v>82</v>
      </c>
    </row>
    <row r="8" spans="1:45" s="47" customFormat="1" ht="22.9" customHeight="1">
      <c r="A8" s="316">
        <f t="shared" si="0"/>
        <v>5</v>
      </c>
      <c r="B8" s="316" t="s">
        <v>21</v>
      </c>
      <c r="C8" s="73" t="s">
        <v>1489</v>
      </c>
      <c r="D8" s="317" t="s">
        <v>1490</v>
      </c>
      <c r="E8" s="238" t="s">
        <v>1491</v>
      </c>
      <c r="F8" s="630">
        <f t="shared" si="3"/>
        <v>46041</v>
      </c>
      <c r="G8" s="214"/>
      <c r="H8" s="214">
        <f t="shared" si="1"/>
        <v>7</v>
      </c>
      <c r="I8" s="311"/>
      <c r="J8" s="103"/>
      <c r="K8" s="95"/>
      <c r="L8" s="214"/>
      <c r="M8" s="656" t="s">
        <v>81</v>
      </c>
      <c r="N8" s="444" t="s">
        <v>1492</v>
      </c>
      <c r="O8" s="214"/>
      <c r="P8" s="214"/>
      <c r="Q8" s="214"/>
      <c r="R8" s="214"/>
      <c r="S8" s="103"/>
      <c r="T8" s="92"/>
      <c r="U8" s="92"/>
      <c r="V8" s="92"/>
      <c r="W8" s="92"/>
      <c r="X8" s="103"/>
      <c r="Y8" s="92"/>
      <c r="Z8" s="92"/>
      <c r="AA8" s="92"/>
      <c r="AB8" s="92"/>
      <c r="AC8" s="103"/>
      <c r="AD8" s="96"/>
      <c r="AE8" s="96"/>
      <c r="AF8" s="96"/>
      <c r="AG8" s="96"/>
      <c r="AH8" s="104"/>
      <c r="AI8" s="96"/>
      <c r="AJ8" s="96"/>
      <c r="AK8" s="96"/>
      <c r="AL8" s="96"/>
      <c r="AM8" s="104"/>
      <c r="AN8" s="96"/>
      <c r="AO8" s="96"/>
      <c r="AP8" s="96"/>
      <c r="AQ8" s="96"/>
      <c r="AR8" s="104"/>
      <c r="AS8" s="234" t="s">
        <v>82</v>
      </c>
    </row>
    <row r="9" spans="1:45" s="47" customFormat="1" ht="22.9" customHeight="1">
      <c r="A9" s="316">
        <f t="shared" si="0"/>
        <v>6</v>
      </c>
      <c r="B9" s="316" t="s">
        <v>21</v>
      </c>
      <c r="C9" s="73" t="s">
        <v>1493</v>
      </c>
      <c r="D9" s="317" t="s">
        <v>1494</v>
      </c>
      <c r="E9" s="238" t="s">
        <v>1495</v>
      </c>
      <c r="F9" s="630">
        <f t="shared" si="3"/>
        <v>46041</v>
      </c>
      <c r="G9" s="214"/>
      <c r="H9" s="214">
        <f t="shared" si="1"/>
        <v>7</v>
      </c>
      <c r="I9" s="311"/>
      <c r="J9" s="103"/>
      <c r="K9" s="95"/>
      <c r="L9" s="221"/>
      <c r="M9" s="656" t="s">
        <v>81</v>
      </c>
      <c r="N9" s="444" t="s">
        <v>1492</v>
      </c>
      <c r="O9" s="214"/>
      <c r="P9" s="214"/>
      <c r="Q9" s="214"/>
      <c r="R9" s="214"/>
      <c r="S9" s="103"/>
      <c r="T9" s="92"/>
      <c r="U9" s="92"/>
      <c r="V9" s="92"/>
      <c r="W9" s="92"/>
      <c r="X9" s="103"/>
      <c r="Y9" s="92"/>
      <c r="Z9" s="92"/>
      <c r="AA9" s="92"/>
      <c r="AB9" s="92"/>
      <c r="AC9" s="103"/>
      <c r="AD9" s="92"/>
      <c r="AE9" s="92"/>
      <c r="AF9" s="113"/>
      <c r="AG9" s="113"/>
      <c r="AH9" s="95"/>
      <c r="AI9" s="92"/>
      <c r="AJ9" s="92"/>
      <c r="AK9" s="113"/>
      <c r="AL9" s="113"/>
      <c r="AM9" s="95"/>
      <c r="AN9" s="92"/>
      <c r="AO9" s="92"/>
      <c r="AP9" s="113"/>
      <c r="AQ9" s="113"/>
      <c r="AR9" s="95"/>
      <c r="AS9" s="234" t="s">
        <v>82</v>
      </c>
    </row>
    <row r="10" spans="1:45" s="47" customFormat="1" ht="22.9" customHeight="1">
      <c r="A10" s="316">
        <f t="shared" si="0"/>
        <v>7</v>
      </c>
      <c r="B10" s="316" t="s">
        <v>21</v>
      </c>
      <c r="C10" s="73" t="s">
        <v>1496</v>
      </c>
      <c r="D10" s="317" t="s">
        <v>1497</v>
      </c>
      <c r="E10" s="238" t="s">
        <v>1498</v>
      </c>
      <c r="F10" s="234">
        <f t="shared" si="3"/>
        <v>46041</v>
      </c>
      <c r="G10" s="214">
        <v>46048</v>
      </c>
      <c r="H10" s="214">
        <f>G10+7</f>
        <v>46055</v>
      </c>
      <c r="I10" s="311">
        <v>0</v>
      </c>
      <c r="J10" s="103" t="s">
        <v>50</v>
      </c>
      <c r="K10" s="95" t="s">
        <v>89</v>
      </c>
      <c r="L10" s="214"/>
      <c r="M10" s="656" t="s">
        <v>81</v>
      </c>
      <c r="N10" s="500"/>
      <c r="O10" s="214">
        <v>46048</v>
      </c>
      <c r="P10" s="214">
        <v>46057</v>
      </c>
      <c r="Q10" s="214"/>
      <c r="R10" s="214"/>
      <c r="S10" s="103"/>
      <c r="T10" s="92"/>
      <c r="U10" s="92"/>
      <c r="V10" s="92"/>
      <c r="W10" s="92"/>
      <c r="X10" s="103"/>
      <c r="Y10" s="92"/>
      <c r="Z10" s="92"/>
      <c r="AA10" s="92"/>
      <c r="AB10" s="92"/>
      <c r="AC10" s="103"/>
      <c r="AD10" s="113"/>
      <c r="AE10" s="113"/>
      <c r="AF10" s="113"/>
      <c r="AG10" s="113"/>
      <c r="AH10" s="95"/>
      <c r="AI10" s="113"/>
      <c r="AJ10" s="113"/>
      <c r="AK10" s="113"/>
      <c r="AL10" s="113"/>
      <c r="AM10" s="95"/>
      <c r="AN10" s="113"/>
      <c r="AO10" s="113"/>
      <c r="AP10" s="113"/>
      <c r="AQ10" s="113"/>
      <c r="AR10" s="95"/>
      <c r="AS10" s="234" t="s">
        <v>82</v>
      </c>
    </row>
    <row r="11" spans="1:45" s="344" customFormat="1" ht="22.9" customHeight="1">
      <c r="A11" s="316">
        <f t="shared" si="0"/>
        <v>8</v>
      </c>
      <c r="B11" s="316" t="s">
        <v>21</v>
      </c>
      <c r="C11" s="73" t="s">
        <v>1499</v>
      </c>
      <c r="D11" s="342" t="s">
        <v>1500</v>
      </c>
      <c r="E11" s="238" t="s">
        <v>1501</v>
      </c>
      <c r="F11" s="234">
        <f t="shared" si="3"/>
        <v>46041</v>
      </c>
      <c r="G11" s="214">
        <v>46048</v>
      </c>
      <c r="H11" s="214">
        <f>G11+7</f>
        <v>46055</v>
      </c>
      <c r="I11" s="311">
        <v>0</v>
      </c>
      <c r="J11" s="103" t="s">
        <v>50</v>
      </c>
      <c r="K11" s="95" t="s">
        <v>89</v>
      </c>
      <c r="L11" s="214"/>
      <c r="M11" s="656" t="s">
        <v>81</v>
      </c>
      <c r="N11" s="500"/>
      <c r="O11" s="214">
        <v>46048</v>
      </c>
      <c r="P11" s="214">
        <v>46057</v>
      </c>
      <c r="Q11" s="343"/>
      <c r="R11" s="343"/>
      <c r="S11" s="269"/>
      <c r="T11" s="268"/>
      <c r="U11" s="268"/>
      <c r="V11" s="268"/>
      <c r="W11" s="268"/>
      <c r="X11" s="269"/>
      <c r="Y11" s="268"/>
      <c r="Z11" s="268"/>
      <c r="AA11" s="268"/>
      <c r="AB11" s="268"/>
      <c r="AC11" s="269"/>
      <c r="AD11" s="270"/>
      <c r="AE11" s="270"/>
      <c r="AF11" s="270"/>
      <c r="AG11" s="270"/>
      <c r="AH11" s="271"/>
      <c r="AI11" s="270"/>
      <c r="AJ11" s="270"/>
      <c r="AK11" s="270"/>
      <c r="AL11" s="270"/>
      <c r="AM11" s="271"/>
      <c r="AN11" s="270"/>
      <c r="AO11" s="270"/>
      <c r="AP11" s="270"/>
      <c r="AQ11" s="270"/>
      <c r="AR11" s="271"/>
      <c r="AS11" s="234" t="s">
        <v>82</v>
      </c>
    </row>
    <row r="12" spans="1:45" s="47" customFormat="1" ht="22.9" customHeight="1">
      <c r="A12" s="316">
        <f t="shared" si="0"/>
        <v>9</v>
      </c>
      <c r="B12" s="316" t="s">
        <v>21</v>
      </c>
      <c r="C12" s="73" t="s">
        <v>1502</v>
      </c>
      <c r="D12" s="317" t="s">
        <v>1402</v>
      </c>
      <c r="E12" s="238" t="s">
        <v>1503</v>
      </c>
      <c r="F12" s="234">
        <f t="shared" si="3"/>
        <v>46041</v>
      </c>
      <c r="G12" s="214">
        <v>46041</v>
      </c>
      <c r="H12" s="214">
        <f t="shared" si="1"/>
        <v>46048</v>
      </c>
      <c r="I12" s="311">
        <v>0</v>
      </c>
      <c r="J12" s="103" t="s">
        <v>50</v>
      </c>
      <c r="K12" s="95" t="s">
        <v>89</v>
      </c>
      <c r="L12" s="214"/>
      <c r="M12" s="656" t="s">
        <v>81</v>
      </c>
      <c r="N12" s="160"/>
      <c r="O12" s="214">
        <v>46041</v>
      </c>
      <c r="P12" s="214">
        <v>46057</v>
      </c>
      <c r="Q12" s="214"/>
      <c r="R12" s="214"/>
      <c r="S12" s="103"/>
      <c r="T12" s="92"/>
      <c r="U12" s="92"/>
      <c r="V12" s="92"/>
      <c r="W12" s="92"/>
      <c r="X12" s="103"/>
      <c r="Y12" s="92"/>
      <c r="Z12" s="92"/>
      <c r="AA12" s="92"/>
      <c r="AB12" s="92"/>
      <c r="AC12" s="103"/>
      <c r="AD12" s="96"/>
      <c r="AE12" s="96"/>
      <c r="AF12" s="96"/>
      <c r="AG12" s="96"/>
      <c r="AH12" s="104"/>
      <c r="AI12" s="96"/>
      <c r="AJ12" s="96"/>
      <c r="AK12" s="96"/>
      <c r="AL12" s="96"/>
      <c r="AM12" s="104"/>
      <c r="AN12" s="96"/>
      <c r="AO12" s="96"/>
      <c r="AP12" s="96"/>
      <c r="AQ12" s="96"/>
      <c r="AR12" s="104"/>
      <c r="AS12" s="234" t="s">
        <v>82</v>
      </c>
    </row>
    <row r="13" spans="1:45" s="47" customFormat="1" ht="22.9" customHeight="1">
      <c r="A13" s="316">
        <f t="shared" si="0"/>
        <v>10</v>
      </c>
      <c r="B13" s="316" t="s">
        <v>21</v>
      </c>
      <c r="C13" s="73" t="s">
        <v>1504</v>
      </c>
      <c r="D13" s="317" t="s">
        <v>1405</v>
      </c>
      <c r="E13" s="238" t="s">
        <v>1505</v>
      </c>
      <c r="F13" s="234">
        <f t="shared" si="3"/>
        <v>46041</v>
      </c>
      <c r="G13" s="214">
        <v>46041</v>
      </c>
      <c r="H13" s="214">
        <f t="shared" si="1"/>
        <v>46048</v>
      </c>
      <c r="I13" s="311">
        <v>0</v>
      </c>
      <c r="J13" s="103" t="s">
        <v>50</v>
      </c>
      <c r="K13" s="95" t="s">
        <v>89</v>
      </c>
      <c r="L13" s="214"/>
      <c r="M13" s="656" t="s">
        <v>81</v>
      </c>
      <c r="N13" s="160"/>
      <c r="O13" s="214">
        <v>46041</v>
      </c>
      <c r="P13" s="214">
        <v>46057</v>
      </c>
      <c r="Q13" s="214"/>
      <c r="R13" s="214"/>
      <c r="S13" s="103"/>
      <c r="T13" s="92"/>
      <c r="U13" s="92"/>
      <c r="V13" s="92"/>
      <c r="W13" s="92"/>
      <c r="X13" s="103"/>
      <c r="Y13" s="92"/>
      <c r="Z13" s="92"/>
      <c r="AA13" s="92"/>
      <c r="AB13" s="92"/>
      <c r="AC13" s="103"/>
      <c r="AD13" s="96"/>
      <c r="AE13" s="96"/>
      <c r="AF13" s="96"/>
      <c r="AG13" s="96"/>
      <c r="AH13" s="104"/>
      <c r="AI13" s="96"/>
      <c r="AJ13" s="96"/>
      <c r="AK13" s="96"/>
      <c r="AL13" s="96"/>
      <c r="AM13" s="104"/>
      <c r="AN13" s="96"/>
      <c r="AO13" s="96"/>
      <c r="AP13" s="96"/>
      <c r="AQ13" s="96"/>
      <c r="AR13" s="104"/>
      <c r="AS13" s="234" t="s">
        <v>82</v>
      </c>
    </row>
    <row r="14" spans="1:45" ht="22.9" customHeight="1">
      <c r="A14" s="316">
        <f t="shared" si="0"/>
        <v>11</v>
      </c>
      <c r="B14" s="316" t="s">
        <v>21</v>
      </c>
      <c r="C14" s="73" t="s">
        <v>1506</v>
      </c>
      <c r="D14" s="342" t="s">
        <v>1507</v>
      </c>
      <c r="E14" s="238" t="s">
        <v>1508</v>
      </c>
      <c r="F14" s="784">
        <v>46055</v>
      </c>
      <c r="G14" s="214">
        <v>46064</v>
      </c>
      <c r="H14" s="214">
        <f t="shared" si="1"/>
        <v>46071</v>
      </c>
      <c r="I14" s="311">
        <v>0</v>
      </c>
      <c r="J14" s="103" t="s">
        <v>49</v>
      </c>
      <c r="K14" s="95" t="s">
        <v>89</v>
      </c>
      <c r="L14" s="214"/>
      <c r="M14" s="656" t="s">
        <v>81</v>
      </c>
      <c r="N14" s="383"/>
      <c r="O14" s="214">
        <v>46064</v>
      </c>
      <c r="P14" s="214"/>
      <c r="Q14" s="214"/>
      <c r="R14" s="214"/>
      <c r="S14" s="103"/>
      <c r="T14" s="92"/>
      <c r="U14" s="92"/>
      <c r="V14" s="92"/>
      <c r="W14" s="92"/>
      <c r="X14" s="103"/>
      <c r="Y14" s="92"/>
      <c r="Z14" s="92"/>
      <c r="AA14" s="92"/>
      <c r="AB14" s="92"/>
      <c r="AC14" s="103"/>
      <c r="AD14" s="96"/>
      <c r="AE14" s="96"/>
      <c r="AF14" s="96"/>
      <c r="AG14" s="96"/>
      <c r="AH14" s="104"/>
      <c r="AI14" s="96"/>
      <c r="AJ14" s="96"/>
      <c r="AK14" s="96"/>
      <c r="AL14" s="96"/>
      <c r="AM14" s="104"/>
      <c r="AN14" s="96"/>
      <c r="AO14" s="96"/>
      <c r="AP14" s="96"/>
      <c r="AQ14" s="96"/>
      <c r="AR14" s="104"/>
      <c r="AS14" s="234" t="s">
        <v>82</v>
      </c>
    </row>
    <row r="15" spans="1:45" ht="22.9" customHeight="1">
      <c r="A15" s="316">
        <f t="shared" si="0"/>
        <v>12</v>
      </c>
      <c r="B15" s="316" t="s">
        <v>21</v>
      </c>
      <c r="C15" s="73" t="s">
        <v>1509</v>
      </c>
      <c r="D15" s="342" t="s">
        <v>1510</v>
      </c>
      <c r="E15" s="238" t="s">
        <v>1511</v>
      </c>
      <c r="F15" s="784">
        <v>46055</v>
      </c>
      <c r="G15" s="214">
        <v>46064</v>
      </c>
      <c r="H15" s="214">
        <f t="shared" ref="H15:H17" si="5">G15+7</f>
        <v>46071</v>
      </c>
      <c r="I15" s="311">
        <v>0</v>
      </c>
      <c r="J15" s="103" t="s">
        <v>49</v>
      </c>
      <c r="K15" s="95" t="s">
        <v>89</v>
      </c>
      <c r="L15" s="214"/>
      <c r="M15" s="656" t="s">
        <v>81</v>
      </c>
      <c r="N15" s="383"/>
      <c r="O15" s="214">
        <v>46064</v>
      </c>
      <c r="P15" s="214"/>
      <c r="Q15" s="214"/>
      <c r="R15" s="214"/>
      <c r="S15" s="103"/>
      <c r="T15" s="92"/>
      <c r="U15" s="92"/>
      <c r="V15" s="92"/>
      <c r="W15" s="92"/>
      <c r="X15" s="103"/>
      <c r="Y15" s="92"/>
      <c r="Z15" s="92"/>
      <c r="AA15" s="92"/>
      <c r="AB15" s="92"/>
      <c r="AC15" s="103"/>
      <c r="AD15" s="96"/>
      <c r="AE15" s="96"/>
      <c r="AF15" s="96"/>
      <c r="AG15" s="96"/>
      <c r="AH15" s="104"/>
      <c r="AI15" s="96"/>
      <c r="AJ15" s="96"/>
      <c r="AK15" s="96"/>
      <c r="AL15" s="96"/>
      <c r="AM15" s="104"/>
      <c r="AN15" s="96"/>
      <c r="AO15" s="96"/>
      <c r="AP15" s="96"/>
      <c r="AQ15" s="96"/>
      <c r="AR15" s="104"/>
      <c r="AS15" s="234" t="s">
        <v>82</v>
      </c>
    </row>
    <row r="16" spans="1:45" ht="22.9" customHeight="1">
      <c r="A16" s="316">
        <f t="shared" si="0"/>
        <v>13</v>
      </c>
      <c r="B16" s="316" t="s">
        <v>21</v>
      </c>
      <c r="C16" s="73" t="s">
        <v>1512</v>
      </c>
      <c r="D16" s="342" t="s">
        <v>1513</v>
      </c>
      <c r="E16" s="238" t="s">
        <v>1514</v>
      </c>
      <c r="F16" s="784">
        <v>46055</v>
      </c>
      <c r="G16" s="214">
        <v>46064</v>
      </c>
      <c r="H16" s="214">
        <f t="shared" si="5"/>
        <v>46071</v>
      </c>
      <c r="I16" s="311">
        <v>0</v>
      </c>
      <c r="J16" s="103" t="s">
        <v>49</v>
      </c>
      <c r="K16" s="95" t="s">
        <v>89</v>
      </c>
      <c r="L16" s="214"/>
      <c r="M16" s="656" t="s">
        <v>81</v>
      </c>
      <c r="N16" s="383"/>
      <c r="O16" s="214">
        <v>46064</v>
      </c>
      <c r="P16" s="214"/>
      <c r="Q16" s="214"/>
      <c r="R16" s="214"/>
      <c r="S16" s="103"/>
      <c r="T16" s="92"/>
      <c r="U16" s="92"/>
      <c r="V16" s="92"/>
      <c r="W16" s="92"/>
      <c r="X16" s="103"/>
      <c r="Y16" s="92"/>
      <c r="Z16" s="92"/>
      <c r="AA16" s="92"/>
      <c r="AB16" s="92"/>
      <c r="AC16" s="103"/>
      <c r="AD16" s="96"/>
      <c r="AE16" s="96"/>
      <c r="AF16" s="96"/>
      <c r="AG16" s="96"/>
      <c r="AH16" s="104"/>
      <c r="AI16" s="96"/>
      <c r="AJ16" s="96"/>
      <c r="AK16" s="96"/>
      <c r="AL16" s="96"/>
      <c r="AM16" s="104"/>
      <c r="AN16" s="96"/>
      <c r="AO16" s="96"/>
      <c r="AP16" s="96"/>
      <c r="AQ16" s="96"/>
      <c r="AR16" s="104"/>
      <c r="AS16" s="234" t="s">
        <v>82</v>
      </c>
    </row>
    <row r="17" spans="1:45" ht="22.9" customHeight="1">
      <c r="A17" s="316">
        <f t="shared" si="0"/>
        <v>14</v>
      </c>
      <c r="B17" s="316" t="s">
        <v>21</v>
      </c>
      <c r="C17" s="73" t="s">
        <v>1515</v>
      </c>
      <c r="D17" s="342" t="s">
        <v>1516</v>
      </c>
      <c r="E17" s="238" t="s">
        <v>1517</v>
      </c>
      <c r="F17" s="784">
        <v>46055</v>
      </c>
      <c r="G17" s="214">
        <v>46064</v>
      </c>
      <c r="H17" s="214">
        <f t="shared" si="5"/>
        <v>46071</v>
      </c>
      <c r="I17" s="311">
        <v>0</v>
      </c>
      <c r="J17" s="103" t="s">
        <v>49</v>
      </c>
      <c r="K17" s="95" t="s">
        <v>89</v>
      </c>
      <c r="L17" s="214"/>
      <c r="M17" s="656" t="s">
        <v>81</v>
      </c>
      <c r="N17" s="383"/>
      <c r="O17" s="214">
        <v>46064</v>
      </c>
      <c r="P17" s="214"/>
      <c r="Q17" s="214"/>
      <c r="R17" s="214"/>
      <c r="S17" s="103"/>
      <c r="T17" s="92"/>
      <c r="U17" s="92"/>
      <c r="V17" s="92"/>
      <c r="W17" s="92"/>
      <c r="X17" s="103"/>
      <c r="Y17" s="92"/>
      <c r="Z17" s="92"/>
      <c r="AA17" s="92"/>
      <c r="AB17" s="92"/>
      <c r="AC17" s="103"/>
      <c r="AD17" s="96"/>
      <c r="AE17" s="96"/>
      <c r="AF17" s="96"/>
      <c r="AG17" s="96"/>
      <c r="AH17" s="104"/>
      <c r="AI17" s="96"/>
      <c r="AJ17" s="96"/>
      <c r="AK17" s="96"/>
      <c r="AL17" s="96"/>
      <c r="AM17" s="104"/>
      <c r="AN17" s="96"/>
      <c r="AO17" s="96"/>
      <c r="AP17" s="96"/>
      <c r="AQ17" s="96"/>
      <c r="AR17" s="104"/>
      <c r="AS17" s="234" t="s">
        <v>82</v>
      </c>
    </row>
    <row r="18" spans="1:45" ht="22.9" customHeight="1">
      <c r="A18" s="316">
        <f t="shared" si="0"/>
        <v>15</v>
      </c>
      <c r="B18" s="316" t="s">
        <v>21</v>
      </c>
      <c r="C18" s="73" t="s">
        <v>1518</v>
      </c>
      <c r="D18" s="240" t="s">
        <v>1519</v>
      </c>
      <c r="E18" s="238" t="s">
        <v>1520</v>
      </c>
      <c r="F18" s="824">
        <v>46083</v>
      </c>
      <c r="G18" s="214"/>
      <c r="H18" s="214">
        <f t="shared" si="1"/>
        <v>7</v>
      </c>
      <c r="I18" s="311"/>
      <c r="J18" s="103"/>
      <c r="K18" s="95"/>
      <c r="L18" s="214"/>
      <c r="M18" s="656" t="s">
        <v>81</v>
      </c>
      <c r="N18" s="444" t="s">
        <v>1521</v>
      </c>
      <c r="O18" s="214"/>
      <c r="P18" s="214"/>
      <c r="Q18" s="214"/>
      <c r="R18" s="214"/>
      <c r="S18" s="103"/>
      <c r="T18" s="92"/>
      <c r="U18" s="92"/>
      <c r="V18" s="92"/>
      <c r="W18" s="92"/>
      <c r="X18" s="103"/>
      <c r="Y18" s="92"/>
      <c r="Z18" s="92"/>
      <c r="AA18" s="92"/>
      <c r="AB18" s="92"/>
      <c r="AC18" s="103"/>
      <c r="AD18" s="96"/>
      <c r="AE18" s="96"/>
      <c r="AF18" s="96"/>
      <c r="AG18" s="96"/>
      <c r="AH18" s="104"/>
      <c r="AI18" s="96"/>
      <c r="AJ18" s="96"/>
      <c r="AK18" s="96"/>
      <c r="AL18" s="96"/>
      <c r="AM18" s="104"/>
      <c r="AN18" s="96"/>
      <c r="AO18" s="96"/>
      <c r="AP18" s="96"/>
      <c r="AQ18" s="96"/>
      <c r="AR18" s="104"/>
      <c r="AS18" s="234" t="s">
        <v>82</v>
      </c>
    </row>
    <row r="19" spans="1:45" ht="22.9" customHeight="1">
      <c r="A19" s="316">
        <f t="shared" si="0"/>
        <v>16</v>
      </c>
      <c r="B19" s="316" t="s">
        <v>21</v>
      </c>
      <c r="C19" s="73" t="s">
        <v>1522</v>
      </c>
      <c r="D19" s="240" t="s">
        <v>1523</v>
      </c>
      <c r="E19" s="238" t="s">
        <v>1524</v>
      </c>
      <c r="F19" s="647">
        <v>46069</v>
      </c>
      <c r="G19" s="214"/>
      <c r="H19" s="214">
        <f t="shared" si="1"/>
        <v>7</v>
      </c>
      <c r="I19" s="311"/>
      <c r="J19" s="103"/>
      <c r="K19" s="95"/>
      <c r="L19" s="214"/>
      <c r="M19" s="656" t="s">
        <v>81</v>
      </c>
      <c r="N19" s="444" t="s">
        <v>1525</v>
      </c>
      <c r="O19" s="214"/>
      <c r="P19" s="214"/>
      <c r="Q19" s="214"/>
      <c r="R19" s="214"/>
      <c r="S19" s="103"/>
      <c r="T19" s="92"/>
      <c r="U19" s="92"/>
      <c r="V19" s="92"/>
      <c r="W19" s="92"/>
      <c r="X19" s="103"/>
      <c r="Y19" s="92"/>
      <c r="Z19" s="92"/>
      <c r="AA19" s="92"/>
      <c r="AB19" s="92"/>
      <c r="AC19" s="103"/>
      <c r="AD19" s="96"/>
      <c r="AE19" s="96"/>
      <c r="AF19" s="96"/>
      <c r="AG19" s="96"/>
      <c r="AH19" s="104"/>
      <c r="AI19" s="96"/>
      <c r="AJ19" s="96"/>
      <c r="AK19" s="96"/>
      <c r="AL19" s="96"/>
      <c r="AM19" s="104"/>
      <c r="AN19" s="96"/>
      <c r="AO19" s="96"/>
      <c r="AP19" s="96"/>
      <c r="AQ19" s="96"/>
      <c r="AR19" s="104"/>
      <c r="AS19" s="234" t="s">
        <v>82</v>
      </c>
    </row>
    <row r="20" spans="1:45" ht="22.9" customHeight="1">
      <c r="A20" s="316">
        <f t="shared" si="0"/>
        <v>17</v>
      </c>
      <c r="B20" s="316" t="s">
        <v>21</v>
      </c>
      <c r="C20" s="73" t="s">
        <v>1526</v>
      </c>
      <c r="D20" s="240" t="s">
        <v>1527</v>
      </c>
      <c r="E20" s="238" t="s">
        <v>1528</v>
      </c>
      <c r="F20" s="647">
        <v>46090</v>
      </c>
      <c r="G20" s="214"/>
      <c r="H20" s="214">
        <f t="shared" si="1"/>
        <v>7</v>
      </c>
      <c r="I20" s="311"/>
      <c r="J20" s="103"/>
      <c r="K20" s="95"/>
      <c r="L20" s="214"/>
      <c r="M20" s="656" t="s">
        <v>81</v>
      </c>
      <c r="N20" s="444" t="s">
        <v>1525</v>
      </c>
      <c r="O20" s="214"/>
      <c r="P20" s="214"/>
      <c r="Q20" s="214"/>
      <c r="R20" s="214"/>
      <c r="S20" s="103"/>
      <c r="T20" s="92"/>
      <c r="U20" s="92"/>
      <c r="V20" s="92"/>
      <c r="W20" s="92"/>
      <c r="X20" s="103"/>
      <c r="Y20" s="92"/>
      <c r="Z20" s="92"/>
      <c r="AA20" s="92"/>
      <c r="AB20" s="92"/>
      <c r="AC20" s="103"/>
      <c r="AD20" s="96"/>
      <c r="AE20" s="96"/>
      <c r="AF20" s="96"/>
      <c r="AG20" s="96"/>
      <c r="AH20" s="104"/>
      <c r="AI20" s="96"/>
      <c r="AJ20" s="96"/>
      <c r="AK20" s="96"/>
      <c r="AL20" s="96"/>
      <c r="AM20" s="104"/>
      <c r="AN20" s="96"/>
      <c r="AO20" s="96"/>
      <c r="AP20" s="96"/>
      <c r="AQ20" s="96"/>
      <c r="AR20" s="104"/>
      <c r="AS20" s="234" t="s">
        <v>82</v>
      </c>
    </row>
    <row r="21" spans="1:45" ht="24" customHeight="1">
      <c r="A21" s="316">
        <f t="shared" si="0"/>
        <v>18</v>
      </c>
      <c r="B21" s="316" t="s">
        <v>21</v>
      </c>
      <c r="C21" s="73" t="s">
        <v>1529</v>
      </c>
      <c r="D21" s="240" t="s">
        <v>1530</v>
      </c>
      <c r="E21" s="238" t="s">
        <v>1531</v>
      </c>
      <c r="F21" s="647">
        <v>46090</v>
      </c>
      <c r="G21" s="214"/>
      <c r="H21" s="214">
        <f t="shared" si="1"/>
        <v>7</v>
      </c>
      <c r="I21" s="311"/>
      <c r="J21" s="103"/>
      <c r="K21" s="95"/>
      <c r="L21" s="214"/>
      <c r="M21" s="656" t="s">
        <v>81</v>
      </c>
      <c r="N21" s="383"/>
      <c r="O21" s="214"/>
      <c r="P21" s="214"/>
      <c r="Q21" s="214"/>
      <c r="R21" s="214"/>
      <c r="S21" s="103"/>
      <c r="T21" s="92"/>
      <c r="U21" s="92"/>
      <c r="V21" s="92"/>
      <c r="W21" s="92"/>
      <c r="X21" s="103"/>
      <c r="Y21" s="92"/>
      <c r="Z21" s="92"/>
      <c r="AA21" s="92"/>
      <c r="AB21" s="92"/>
      <c r="AC21" s="103"/>
      <c r="AD21" s="96"/>
      <c r="AE21" s="96"/>
      <c r="AF21" s="96"/>
      <c r="AG21" s="96"/>
      <c r="AH21" s="104"/>
      <c r="AI21" s="96"/>
      <c r="AJ21" s="96"/>
      <c r="AK21" s="96"/>
      <c r="AL21" s="96"/>
      <c r="AM21" s="104"/>
      <c r="AN21" s="96"/>
      <c r="AO21" s="96"/>
      <c r="AP21" s="96"/>
      <c r="AQ21" s="96"/>
      <c r="AR21" s="104"/>
      <c r="AS21" s="234" t="s">
        <v>82</v>
      </c>
    </row>
    <row r="22" spans="1:45" ht="22.9" customHeight="1">
      <c r="A22" s="316">
        <f t="shared" si="0"/>
        <v>19</v>
      </c>
      <c r="B22" s="316" t="s">
        <v>21</v>
      </c>
      <c r="C22" s="73" t="s">
        <v>1532</v>
      </c>
      <c r="D22" s="240" t="s">
        <v>1533</v>
      </c>
      <c r="E22" s="238" t="s">
        <v>1534</v>
      </c>
      <c r="F22" s="647">
        <v>46097</v>
      </c>
      <c r="G22" s="214"/>
      <c r="H22" s="214">
        <f t="shared" si="1"/>
        <v>7</v>
      </c>
      <c r="I22" s="311"/>
      <c r="J22" s="103"/>
      <c r="K22" s="95"/>
      <c r="L22" s="214"/>
      <c r="M22" s="656" t="s">
        <v>81</v>
      </c>
      <c r="N22" s="444" t="s">
        <v>1535</v>
      </c>
      <c r="O22" s="214"/>
      <c r="P22" s="214"/>
      <c r="Q22" s="214"/>
      <c r="R22" s="214"/>
      <c r="S22" s="103"/>
      <c r="T22" s="92"/>
      <c r="U22" s="92"/>
      <c r="V22" s="92"/>
      <c r="W22" s="92"/>
      <c r="X22" s="103"/>
      <c r="Y22" s="92"/>
      <c r="Z22" s="92"/>
      <c r="AA22" s="92"/>
      <c r="AB22" s="92"/>
      <c r="AC22" s="103"/>
      <c r="AD22" s="96"/>
      <c r="AE22" s="96"/>
      <c r="AF22" s="96"/>
      <c r="AG22" s="96"/>
      <c r="AH22" s="104"/>
      <c r="AI22" s="96"/>
      <c r="AJ22" s="96"/>
      <c r="AK22" s="96"/>
      <c r="AL22" s="96"/>
      <c r="AM22" s="104"/>
      <c r="AN22" s="96"/>
      <c r="AO22" s="96"/>
      <c r="AP22" s="96"/>
      <c r="AQ22" s="96"/>
      <c r="AR22" s="104"/>
      <c r="AS22" s="234" t="s">
        <v>82</v>
      </c>
    </row>
    <row r="23" spans="1:45" ht="22.9" customHeight="1">
      <c r="A23" s="316">
        <f t="shared" si="0"/>
        <v>20</v>
      </c>
      <c r="B23" s="316" t="s">
        <v>21</v>
      </c>
      <c r="C23" s="73" t="s">
        <v>1536</v>
      </c>
      <c r="D23" s="240" t="s">
        <v>1537</v>
      </c>
      <c r="E23" s="238" t="s">
        <v>1538</v>
      </c>
      <c r="F23" s="647">
        <v>46097</v>
      </c>
      <c r="G23" s="214"/>
      <c r="H23" s="214">
        <f t="shared" si="1"/>
        <v>7</v>
      </c>
      <c r="I23" s="311"/>
      <c r="J23" s="103"/>
      <c r="K23" s="95"/>
      <c r="L23" s="214"/>
      <c r="M23" s="656" t="s">
        <v>81</v>
      </c>
      <c r="N23" s="444" t="s">
        <v>1535</v>
      </c>
      <c r="O23" s="214"/>
      <c r="P23" s="214"/>
      <c r="Q23" s="214"/>
      <c r="R23" s="214"/>
      <c r="S23" s="103"/>
      <c r="T23" s="92"/>
      <c r="U23" s="92"/>
      <c r="V23" s="92"/>
      <c r="W23" s="92"/>
      <c r="X23" s="103"/>
      <c r="Y23" s="92"/>
      <c r="Z23" s="92"/>
      <c r="AA23" s="92"/>
      <c r="AB23" s="92"/>
      <c r="AC23" s="103"/>
      <c r="AD23" s="96"/>
      <c r="AE23" s="96"/>
      <c r="AF23" s="96"/>
      <c r="AG23" s="96"/>
      <c r="AH23" s="104"/>
      <c r="AI23" s="96"/>
      <c r="AJ23" s="96"/>
      <c r="AK23" s="96"/>
      <c r="AL23" s="96"/>
      <c r="AM23" s="104"/>
      <c r="AN23" s="96"/>
      <c r="AO23" s="96"/>
      <c r="AP23" s="96"/>
      <c r="AQ23" s="96"/>
      <c r="AR23" s="104"/>
      <c r="AS23" s="234" t="s">
        <v>82</v>
      </c>
    </row>
    <row r="24" spans="1:45" ht="22.9" customHeight="1">
      <c r="A24" s="316">
        <f t="shared" si="0"/>
        <v>21</v>
      </c>
      <c r="B24" s="316" t="s">
        <v>21</v>
      </c>
      <c r="C24" s="73" t="s">
        <v>1539</v>
      </c>
      <c r="D24" s="240" t="s">
        <v>1540</v>
      </c>
      <c r="E24" s="238" t="s">
        <v>1541</v>
      </c>
      <c r="F24" s="647">
        <v>46083</v>
      </c>
      <c r="G24" s="214"/>
      <c r="H24" s="214">
        <f t="shared" si="1"/>
        <v>7</v>
      </c>
      <c r="I24" s="311"/>
      <c r="J24" s="103"/>
      <c r="K24" s="95"/>
      <c r="L24" s="214"/>
      <c r="M24" s="656" t="s">
        <v>81</v>
      </c>
      <c r="N24" s="383"/>
      <c r="O24" s="214"/>
      <c r="P24" s="214"/>
      <c r="Q24" s="214"/>
      <c r="R24" s="214"/>
      <c r="S24" s="103"/>
      <c r="T24" s="92"/>
      <c r="U24" s="92"/>
      <c r="V24" s="92"/>
      <c r="W24" s="92"/>
      <c r="X24" s="103"/>
      <c r="Y24" s="92"/>
      <c r="Z24" s="92"/>
      <c r="AA24" s="92"/>
      <c r="AB24" s="92"/>
      <c r="AC24" s="103"/>
      <c r="AD24" s="96"/>
      <c r="AE24" s="96"/>
      <c r="AF24" s="96"/>
      <c r="AG24" s="96"/>
      <c r="AH24" s="104"/>
      <c r="AI24" s="96"/>
      <c r="AJ24" s="96"/>
      <c r="AK24" s="96"/>
      <c r="AL24" s="96"/>
      <c r="AM24" s="104"/>
      <c r="AN24" s="96"/>
      <c r="AO24" s="96"/>
      <c r="AP24" s="96"/>
      <c r="AQ24" s="96"/>
      <c r="AR24" s="104"/>
      <c r="AS24" s="234" t="s">
        <v>82</v>
      </c>
    </row>
    <row r="25" spans="1:45" ht="22.9" customHeight="1">
      <c r="A25" s="316">
        <f t="shared" si="0"/>
        <v>22</v>
      </c>
      <c r="B25" s="316" t="s">
        <v>21</v>
      </c>
      <c r="C25" s="73" t="s">
        <v>1542</v>
      </c>
      <c r="D25" s="240" t="s">
        <v>1543</v>
      </c>
      <c r="E25" s="238" t="s">
        <v>1544</v>
      </c>
      <c r="F25" s="647">
        <v>46083</v>
      </c>
      <c r="G25" s="214"/>
      <c r="H25" s="214">
        <f t="shared" si="1"/>
        <v>7</v>
      </c>
      <c r="I25" s="311"/>
      <c r="J25" s="103"/>
      <c r="K25" s="95"/>
      <c r="L25" s="214"/>
      <c r="M25" s="656" t="s">
        <v>81</v>
      </c>
      <c r="N25" s="383"/>
      <c r="O25" s="214"/>
      <c r="P25" s="214"/>
      <c r="Q25" s="214"/>
      <c r="R25" s="214"/>
      <c r="S25" s="103"/>
      <c r="T25" s="92"/>
      <c r="U25" s="92"/>
      <c r="V25" s="92"/>
      <c r="W25" s="92"/>
      <c r="X25" s="103"/>
      <c r="Y25" s="92"/>
      <c r="Z25" s="92"/>
      <c r="AA25" s="92"/>
      <c r="AB25" s="92"/>
      <c r="AC25" s="103"/>
      <c r="AD25" s="96"/>
      <c r="AE25" s="96"/>
      <c r="AF25" s="96"/>
      <c r="AG25" s="96"/>
      <c r="AH25" s="104"/>
      <c r="AI25" s="96"/>
      <c r="AJ25" s="96"/>
      <c r="AK25" s="96"/>
      <c r="AL25" s="96"/>
      <c r="AM25" s="104"/>
      <c r="AN25" s="96"/>
      <c r="AO25" s="96"/>
      <c r="AP25" s="96"/>
      <c r="AQ25" s="96"/>
      <c r="AR25" s="104"/>
      <c r="AS25" s="234" t="s">
        <v>82</v>
      </c>
    </row>
    <row r="26" spans="1:45" ht="22.9" customHeight="1">
      <c r="A26" s="316">
        <f t="shared" si="0"/>
        <v>23</v>
      </c>
      <c r="B26" s="316" t="s">
        <v>21</v>
      </c>
      <c r="C26" s="73" t="s">
        <v>1545</v>
      </c>
      <c r="D26" s="240" t="s">
        <v>1546</v>
      </c>
      <c r="E26" s="238" t="s">
        <v>1547</v>
      </c>
      <c r="F26" s="647">
        <v>46104</v>
      </c>
      <c r="G26" s="214"/>
      <c r="H26" s="214">
        <f t="shared" si="1"/>
        <v>7</v>
      </c>
      <c r="I26" s="311"/>
      <c r="J26" s="103"/>
      <c r="K26" s="95"/>
      <c r="L26" s="214"/>
      <c r="M26" s="656" t="s">
        <v>81</v>
      </c>
      <c r="N26" s="383"/>
      <c r="O26" s="214"/>
      <c r="P26" s="214"/>
      <c r="Q26" s="214"/>
      <c r="R26" s="214"/>
      <c r="S26" s="103"/>
      <c r="T26" s="92"/>
      <c r="U26" s="92"/>
      <c r="V26" s="92"/>
      <c r="W26" s="92"/>
      <c r="X26" s="103"/>
      <c r="Y26" s="92"/>
      <c r="Z26" s="92"/>
      <c r="AA26" s="92"/>
      <c r="AB26" s="92"/>
      <c r="AC26" s="103"/>
      <c r="AD26" s="96"/>
      <c r="AE26" s="96"/>
      <c r="AF26" s="96"/>
      <c r="AG26" s="96"/>
      <c r="AH26" s="104"/>
      <c r="AI26" s="96"/>
      <c r="AJ26" s="96"/>
      <c r="AK26" s="96"/>
      <c r="AL26" s="96"/>
      <c r="AM26" s="104"/>
      <c r="AN26" s="96"/>
      <c r="AO26" s="96"/>
      <c r="AP26" s="96"/>
      <c r="AQ26" s="96"/>
      <c r="AR26" s="104"/>
      <c r="AS26" s="234" t="s">
        <v>82</v>
      </c>
    </row>
    <row r="27" spans="1:45" ht="22.9" customHeight="1">
      <c r="A27" s="316">
        <f t="shared" si="0"/>
        <v>24</v>
      </c>
      <c r="B27" s="316" t="s">
        <v>21</v>
      </c>
      <c r="C27" s="73" t="s">
        <v>1548</v>
      </c>
      <c r="D27" s="240" t="s">
        <v>1549</v>
      </c>
      <c r="E27" s="238" t="s">
        <v>1550</v>
      </c>
      <c r="F27" s="647">
        <v>46104</v>
      </c>
      <c r="G27" s="214"/>
      <c r="H27" s="214">
        <f t="shared" si="1"/>
        <v>7</v>
      </c>
      <c r="I27" s="311"/>
      <c r="J27" s="103"/>
      <c r="K27" s="95"/>
      <c r="L27" s="214"/>
      <c r="M27" s="656" t="s">
        <v>81</v>
      </c>
      <c r="N27" s="383"/>
      <c r="O27" s="214"/>
      <c r="P27" s="214"/>
      <c r="Q27" s="214"/>
      <c r="R27" s="214"/>
      <c r="S27" s="103"/>
      <c r="T27" s="92"/>
      <c r="U27" s="92"/>
      <c r="V27" s="92"/>
      <c r="W27" s="92"/>
      <c r="X27" s="103"/>
      <c r="Y27" s="92"/>
      <c r="Z27" s="92"/>
      <c r="AA27" s="92"/>
      <c r="AB27" s="92"/>
      <c r="AC27" s="103"/>
      <c r="AD27" s="96"/>
      <c r="AE27" s="96"/>
      <c r="AF27" s="96"/>
      <c r="AG27" s="96"/>
      <c r="AH27" s="104"/>
      <c r="AI27" s="96"/>
      <c r="AJ27" s="96"/>
      <c r="AK27" s="96"/>
      <c r="AL27" s="96"/>
      <c r="AM27" s="104"/>
      <c r="AN27" s="96"/>
      <c r="AO27" s="96"/>
      <c r="AP27" s="96"/>
      <c r="AQ27" s="96"/>
      <c r="AR27" s="104"/>
      <c r="AS27" s="234" t="s">
        <v>82</v>
      </c>
    </row>
    <row r="28" spans="1:45" ht="22.9" customHeight="1">
      <c r="A28" s="316">
        <f t="shared" si="0"/>
        <v>25</v>
      </c>
      <c r="B28" s="316" t="s">
        <v>21</v>
      </c>
      <c r="C28" s="73" t="s">
        <v>1551</v>
      </c>
      <c r="D28" s="240" t="s">
        <v>1552</v>
      </c>
      <c r="E28" s="238" t="s">
        <v>1553</v>
      </c>
      <c r="F28" s="647">
        <v>46083</v>
      </c>
      <c r="G28" s="214"/>
      <c r="H28" s="214">
        <f t="shared" si="1"/>
        <v>7</v>
      </c>
      <c r="I28" s="311"/>
      <c r="J28" s="103"/>
      <c r="K28" s="95"/>
      <c r="L28" s="214"/>
      <c r="M28" s="656" t="s">
        <v>81</v>
      </c>
      <c r="N28" s="383"/>
      <c r="O28" s="214"/>
      <c r="P28" s="214"/>
      <c r="Q28" s="214"/>
      <c r="R28" s="214"/>
      <c r="S28" s="103"/>
      <c r="T28" s="92"/>
      <c r="U28" s="92"/>
      <c r="V28" s="92"/>
      <c r="W28" s="92"/>
      <c r="X28" s="103"/>
      <c r="Y28" s="92"/>
      <c r="Z28" s="92"/>
      <c r="AA28" s="92"/>
      <c r="AB28" s="92"/>
      <c r="AC28" s="103"/>
      <c r="AD28" s="96"/>
      <c r="AE28" s="96"/>
      <c r="AF28" s="96"/>
      <c r="AG28" s="96"/>
      <c r="AH28" s="104"/>
      <c r="AI28" s="96"/>
      <c r="AJ28" s="96"/>
      <c r="AK28" s="96"/>
      <c r="AL28" s="96"/>
      <c r="AM28" s="104"/>
      <c r="AN28" s="96"/>
      <c r="AO28" s="96"/>
      <c r="AP28" s="96"/>
      <c r="AQ28" s="96"/>
      <c r="AR28" s="104"/>
      <c r="AS28" s="234" t="s">
        <v>82</v>
      </c>
    </row>
    <row r="29" spans="1:45" ht="22.9" customHeight="1">
      <c r="A29" s="316">
        <f t="shared" si="0"/>
        <v>26</v>
      </c>
      <c r="B29" s="316" t="s">
        <v>21</v>
      </c>
      <c r="C29" s="73" t="s">
        <v>1554</v>
      </c>
      <c r="D29" s="240" t="s">
        <v>1555</v>
      </c>
      <c r="E29" s="238" t="s">
        <v>1556</v>
      </c>
      <c r="F29" s="647">
        <v>46076</v>
      </c>
      <c r="G29" s="214"/>
      <c r="H29" s="214">
        <f t="shared" si="1"/>
        <v>7</v>
      </c>
      <c r="I29" s="311"/>
      <c r="J29" s="103"/>
      <c r="K29" s="95"/>
      <c r="L29" s="214"/>
      <c r="M29" s="656" t="s">
        <v>81</v>
      </c>
      <c r="N29" s="383"/>
      <c r="O29" s="214"/>
      <c r="P29" s="214"/>
      <c r="Q29" s="214"/>
      <c r="R29" s="214"/>
      <c r="S29" s="103"/>
      <c r="T29" s="92"/>
      <c r="U29" s="92"/>
      <c r="V29" s="92"/>
      <c r="W29" s="92"/>
      <c r="X29" s="103"/>
      <c r="Y29" s="92"/>
      <c r="Z29" s="92"/>
      <c r="AA29" s="92"/>
      <c r="AB29" s="92"/>
      <c r="AC29" s="103"/>
      <c r="AD29" s="96"/>
      <c r="AE29" s="96"/>
      <c r="AF29" s="96"/>
      <c r="AG29" s="96"/>
      <c r="AH29" s="104"/>
      <c r="AI29" s="96"/>
      <c r="AJ29" s="96"/>
      <c r="AK29" s="96"/>
      <c r="AL29" s="96"/>
      <c r="AM29" s="104"/>
      <c r="AN29" s="96"/>
      <c r="AO29" s="96"/>
      <c r="AP29" s="96"/>
      <c r="AQ29" s="96"/>
      <c r="AR29" s="104"/>
      <c r="AS29" s="234" t="s">
        <v>82</v>
      </c>
    </row>
    <row r="30" spans="1:45" ht="22.9" customHeight="1">
      <c r="A30" s="316">
        <f t="shared" si="0"/>
        <v>27</v>
      </c>
      <c r="B30" s="316" t="s">
        <v>21</v>
      </c>
      <c r="C30" s="73" t="s">
        <v>1557</v>
      </c>
      <c r="D30" s="240" t="s">
        <v>1558</v>
      </c>
      <c r="E30" s="238" t="s">
        <v>1559</v>
      </c>
      <c r="F30" s="647">
        <v>46083</v>
      </c>
      <c r="G30" s="214"/>
      <c r="H30" s="214">
        <f t="shared" si="1"/>
        <v>7</v>
      </c>
      <c r="I30" s="311"/>
      <c r="J30" s="103"/>
      <c r="K30" s="95"/>
      <c r="L30" s="214"/>
      <c r="M30" s="656" t="s">
        <v>81</v>
      </c>
      <c r="N30" s="383"/>
      <c r="O30" s="214"/>
      <c r="P30" s="214"/>
      <c r="Q30" s="214"/>
      <c r="R30" s="214"/>
      <c r="S30" s="103"/>
      <c r="T30" s="92"/>
      <c r="U30" s="92"/>
      <c r="V30" s="92"/>
      <c r="W30" s="92"/>
      <c r="X30" s="103"/>
      <c r="Y30" s="92"/>
      <c r="Z30" s="92"/>
      <c r="AA30" s="92"/>
      <c r="AB30" s="92"/>
      <c r="AC30" s="103"/>
      <c r="AD30" s="96"/>
      <c r="AE30" s="96"/>
      <c r="AF30" s="96"/>
      <c r="AG30" s="96"/>
      <c r="AH30" s="104"/>
      <c r="AI30" s="96"/>
      <c r="AJ30" s="96"/>
      <c r="AK30" s="96"/>
      <c r="AL30" s="96"/>
      <c r="AM30" s="104"/>
      <c r="AN30" s="96"/>
      <c r="AO30" s="96"/>
      <c r="AP30" s="96"/>
      <c r="AQ30" s="96"/>
      <c r="AR30" s="104"/>
      <c r="AS30" s="234" t="s">
        <v>82</v>
      </c>
    </row>
    <row r="31" spans="1:45" ht="22.9" customHeight="1">
      <c r="A31" s="316">
        <f t="shared" si="0"/>
        <v>28</v>
      </c>
      <c r="B31" s="316" t="s">
        <v>21</v>
      </c>
      <c r="C31" s="73" t="s">
        <v>1560</v>
      </c>
      <c r="D31" s="240" t="s">
        <v>1561</v>
      </c>
      <c r="E31" s="238" t="s">
        <v>1562</v>
      </c>
      <c r="F31" s="647">
        <v>46083</v>
      </c>
      <c r="G31" s="214"/>
      <c r="H31" s="214">
        <f t="shared" si="1"/>
        <v>7</v>
      </c>
      <c r="I31" s="311"/>
      <c r="J31" s="103"/>
      <c r="K31" s="95"/>
      <c r="L31" s="214"/>
      <c r="M31" s="656" t="s">
        <v>81</v>
      </c>
      <c r="N31" s="383"/>
      <c r="O31" s="214"/>
      <c r="P31" s="214"/>
      <c r="Q31" s="214"/>
      <c r="R31" s="214"/>
      <c r="S31" s="103"/>
      <c r="T31" s="92"/>
      <c r="U31" s="92"/>
      <c r="V31" s="92"/>
      <c r="W31" s="92"/>
      <c r="X31" s="103"/>
      <c r="Y31" s="92"/>
      <c r="Z31" s="92"/>
      <c r="AA31" s="92"/>
      <c r="AB31" s="92"/>
      <c r="AC31" s="103"/>
      <c r="AD31" s="96"/>
      <c r="AE31" s="96"/>
      <c r="AF31" s="96"/>
      <c r="AG31" s="96"/>
      <c r="AH31" s="104"/>
      <c r="AI31" s="96"/>
      <c r="AJ31" s="96"/>
      <c r="AK31" s="96"/>
      <c r="AL31" s="96"/>
      <c r="AM31" s="104"/>
      <c r="AN31" s="96"/>
      <c r="AO31" s="96"/>
      <c r="AP31" s="96"/>
      <c r="AQ31" s="96"/>
      <c r="AR31" s="104"/>
      <c r="AS31" s="234" t="s">
        <v>82</v>
      </c>
    </row>
    <row r="32" spans="1:45" ht="22.9" customHeight="1">
      <c r="A32" s="316">
        <f t="shared" si="0"/>
        <v>29</v>
      </c>
      <c r="B32" s="316" t="s">
        <v>21</v>
      </c>
      <c r="C32" s="73" t="s">
        <v>1563</v>
      </c>
      <c r="D32" s="240" t="s">
        <v>1564</v>
      </c>
      <c r="E32" s="238" t="s">
        <v>1565</v>
      </c>
      <c r="F32" s="647">
        <v>46111</v>
      </c>
      <c r="G32" s="214"/>
      <c r="H32" s="214">
        <f t="shared" si="1"/>
        <v>7</v>
      </c>
      <c r="I32" s="311"/>
      <c r="J32" s="103"/>
      <c r="K32" s="95"/>
      <c r="L32" s="214"/>
      <c r="M32" s="656" t="s">
        <v>81</v>
      </c>
      <c r="N32" s="383"/>
      <c r="O32" s="214"/>
      <c r="P32" s="214"/>
      <c r="Q32" s="214"/>
      <c r="R32" s="214"/>
      <c r="S32" s="103"/>
      <c r="T32" s="92"/>
      <c r="U32" s="92"/>
      <c r="V32" s="92"/>
      <c r="W32" s="92"/>
      <c r="X32" s="103"/>
      <c r="Y32" s="92"/>
      <c r="Z32" s="92"/>
      <c r="AA32" s="92"/>
      <c r="AB32" s="92"/>
      <c r="AC32" s="103"/>
      <c r="AD32" s="96"/>
      <c r="AE32" s="96"/>
      <c r="AF32" s="96"/>
      <c r="AG32" s="96"/>
      <c r="AH32" s="104"/>
      <c r="AI32" s="96"/>
      <c r="AJ32" s="96"/>
      <c r="AK32" s="96"/>
      <c r="AL32" s="96"/>
      <c r="AM32" s="104"/>
      <c r="AN32" s="96"/>
      <c r="AO32" s="96"/>
      <c r="AP32" s="96"/>
      <c r="AQ32" s="96"/>
      <c r="AR32" s="104"/>
      <c r="AS32" s="234" t="s">
        <v>82</v>
      </c>
    </row>
    <row r="33" spans="1:45" ht="22.9" customHeight="1">
      <c r="A33" s="316">
        <f t="shared" si="0"/>
        <v>30</v>
      </c>
      <c r="B33" s="316" t="s">
        <v>21</v>
      </c>
      <c r="C33" s="73" t="s">
        <v>1566</v>
      </c>
      <c r="D33" s="240" t="s">
        <v>1567</v>
      </c>
      <c r="E33" s="238" t="s">
        <v>1568</v>
      </c>
      <c r="F33" s="647">
        <v>46111</v>
      </c>
      <c r="G33" s="214"/>
      <c r="H33" s="214">
        <f t="shared" si="1"/>
        <v>7</v>
      </c>
      <c r="I33" s="311"/>
      <c r="J33" s="103"/>
      <c r="K33" s="95"/>
      <c r="L33" s="214"/>
      <c r="M33" s="656" t="s">
        <v>81</v>
      </c>
      <c r="N33" s="383"/>
      <c r="O33" s="214"/>
      <c r="P33" s="214"/>
      <c r="Q33" s="214"/>
      <c r="R33" s="214"/>
      <c r="S33" s="103"/>
      <c r="T33" s="92"/>
      <c r="U33" s="92"/>
      <c r="V33" s="92"/>
      <c r="W33" s="92"/>
      <c r="X33" s="103"/>
      <c r="Y33" s="92"/>
      <c r="Z33" s="92"/>
      <c r="AA33" s="92"/>
      <c r="AB33" s="92"/>
      <c r="AC33" s="103"/>
      <c r="AD33" s="96"/>
      <c r="AE33" s="96"/>
      <c r="AF33" s="96"/>
      <c r="AG33" s="96"/>
      <c r="AH33" s="104"/>
      <c r="AI33" s="96"/>
      <c r="AJ33" s="96"/>
      <c r="AK33" s="96"/>
      <c r="AL33" s="96"/>
      <c r="AM33" s="104"/>
      <c r="AN33" s="96"/>
      <c r="AO33" s="96"/>
      <c r="AP33" s="96"/>
      <c r="AQ33" s="96"/>
      <c r="AR33" s="104"/>
      <c r="AS33" s="234" t="s">
        <v>82</v>
      </c>
    </row>
    <row r="34" spans="1:45" ht="22.9" customHeight="1">
      <c r="A34" s="316">
        <f t="shared" si="0"/>
        <v>31</v>
      </c>
      <c r="B34" s="316" t="s">
        <v>21</v>
      </c>
      <c r="C34" s="73" t="s">
        <v>1569</v>
      </c>
      <c r="D34" s="240" t="s">
        <v>1570</v>
      </c>
      <c r="E34" s="238" t="s">
        <v>1571</v>
      </c>
      <c r="F34" s="647">
        <v>46090</v>
      </c>
      <c r="G34" s="214"/>
      <c r="H34" s="214">
        <f t="shared" si="1"/>
        <v>7</v>
      </c>
      <c r="I34" s="311"/>
      <c r="J34" s="103"/>
      <c r="K34" s="95"/>
      <c r="L34" s="214"/>
      <c r="M34" s="656" t="s">
        <v>81</v>
      </c>
      <c r="N34" s="383"/>
      <c r="O34" s="214"/>
      <c r="P34" s="214"/>
      <c r="Q34" s="214"/>
      <c r="R34" s="214"/>
      <c r="S34" s="103"/>
      <c r="T34" s="92"/>
      <c r="U34" s="92"/>
      <c r="V34" s="92"/>
      <c r="W34" s="92"/>
      <c r="X34" s="103"/>
      <c r="Y34" s="92"/>
      <c r="Z34" s="92"/>
      <c r="AA34" s="92"/>
      <c r="AB34" s="92"/>
      <c r="AC34" s="103"/>
      <c r="AD34" s="96"/>
      <c r="AE34" s="96"/>
      <c r="AF34" s="96"/>
      <c r="AG34" s="96"/>
      <c r="AH34" s="104"/>
      <c r="AI34" s="96"/>
      <c r="AJ34" s="96"/>
      <c r="AK34" s="96"/>
      <c r="AL34" s="96"/>
      <c r="AM34" s="104"/>
      <c r="AN34" s="96"/>
      <c r="AO34" s="96"/>
      <c r="AP34" s="96"/>
      <c r="AQ34" s="96"/>
      <c r="AR34" s="104"/>
      <c r="AS34" s="234" t="s">
        <v>82</v>
      </c>
    </row>
    <row r="35" spans="1:45" ht="22.9" customHeight="1">
      <c r="A35" s="316">
        <f t="shared" si="0"/>
        <v>32</v>
      </c>
      <c r="B35" s="316" t="s">
        <v>21</v>
      </c>
      <c r="C35" s="73" t="s">
        <v>1572</v>
      </c>
      <c r="D35" s="240" t="s">
        <v>1573</v>
      </c>
      <c r="E35" s="238" t="s">
        <v>1574</v>
      </c>
      <c r="F35" s="647">
        <v>46090</v>
      </c>
      <c r="G35" s="214"/>
      <c r="H35" s="214">
        <f t="shared" si="1"/>
        <v>7</v>
      </c>
      <c r="I35" s="311"/>
      <c r="J35" s="103"/>
      <c r="K35" s="95"/>
      <c r="L35" s="214"/>
      <c r="M35" s="656" t="s">
        <v>81</v>
      </c>
      <c r="N35" s="383"/>
      <c r="O35" s="214"/>
      <c r="P35" s="214"/>
      <c r="Q35" s="214"/>
      <c r="R35" s="214"/>
      <c r="S35" s="103"/>
      <c r="T35" s="92"/>
      <c r="U35" s="92"/>
      <c r="V35" s="92"/>
      <c r="W35" s="92"/>
      <c r="X35" s="103"/>
      <c r="Y35" s="92"/>
      <c r="Z35" s="92"/>
      <c r="AA35" s="92"/>
      <c r="AB35" s="92"/>
      <c r="AC35" s="103"/>
      <c r="AD35" s="96"/>
      <c r="AE35" s="96"/>
      <c r="AF35" s="96"/>
      <c r="AG35" s="96"/>
      <c r="AH35" s="104"/>
      <c r="AI35" s="96"/>
      <c r="AJ35" s="96"/>
      <c r="AK35" s="96"/>
      <c r="AL35" s="96"/>
      <c r="AM35" s="104"/>
      <c r="AN35" s="96"/>
      <c r="AO35" s="96"/>
      <c r="AP35" s="96"/>
      <c r="AQ35" s="96"/>
      <c r="AR35" s="104"/>
      <c r="AS35" s="234" t="s">
        <v>82</v>
      </c>
    </row>
    <row r="36" spans="1:45" ht="22.9" customHeight="1">
      <c r="A36" s="316">
        <f t="shared" si="0"/>
        <v>33</v>
      </c>
      <c r="B36" s="316" t="s">
        <v>21</v>
      </c>
      <c r="C36" s="73" t="s">
        <v>1575</v>
      </c>
      <c r="D36" s="240" t="s">
        <v>1576</v>
      </c>
      <c r="E36" s="238" t="s">
        <v>1577</v>
      </c>
      <c r="F36" s="647">
        <v>46090</v>
      </c>
      <c r="G36" s="214"/>
      <c r="H36" s="214">
        <f t="shared" si="1"/>
        <v>7</v>
      </c>
      <c r="I36" s="311"/>
      <c r="J36" s="103"/>
      <c r="K36" s="95"/>
      <c r="L36" s="214"/>
      <c r="M36" s="656" t="s">
        <v>81</v>
      </c>
      <c r="N36" s="383"/>
      <c r="O36" s="214"/>
      <c r="P36" s="214"/>
      <c r="Q36" s="214"/>
      <c r="R36" s="214"/>
      <c r="S36" s="103"/>
      <c r="T36" s="92"/>
      <c r="U36" s="92"/>
      <c r="V36" s="92"/>
      <c r="W36" s="92"/>
      <c r="X36" s="103"/>
      <c r="Y36" s="92"/>
      <c r="Z36" s="92"/>
      <c r="AA36" s="92"/>
      <c r="AB36" s="92"/>
      <c r="AC36" s="103"/>
      <c r="AD36" s="96"/>
      <c r="AE36" s="96"/>
      <c r="AF36" s="96"/>
      <c r="AG36" s="96"/>
      <c r="AH36" s="104"/>
      <c r="AI36" s="96"/>
      <c r="AJ36" s="96"/>
      <c r="AK36" s="96"/>
      <c r="AL36" s="96"/>
      <c r="AM36" s="104"/>
      <c r="AN36" s="96"/>
      <c r="AO36" s="96"/>
      <c r="AP36" s="96"/>
      <c r="AQ36" s="96"/>
      <c r="AR36" s="104"/>
      <c r="AS36" s="234" t="s">
        <v>82</v>
      </c>
    </row>
    <row r="37" spans="1:45" ht="22.9" customHeight="1">
      <c r="A37" s="316">
        <f t="shared" si="0"/>
        <v>34</v>
      </c>
      <c r="B37" s="316" t="s">
        <v>21</v>
      </c>
      <c r="C37" s="73" t="s">
        <v>1578</v>
      </c>
      <c r="D37" s="240" t="s">
        <v>1579</v>
      </c>
      <c r="E37" s="238" t="s">
        <v>1580</v>
      </c>
      <c r="F37" s="647">
        <v>46090</v>
      </c>
      <c r="G37" s="214"/>
      <c r="H37" s="214">
        <f t="shared" si="1"/>
        <v>7</v>
      </c>
      <c r="I37" s="311"/>
      <c r="J37" s="103"/>
      <c r="K37" s="95"/>
      <c r="L37" s="214"/>
      <c r="M37" s="656" t="s">
        <v>81</v>
      </c>
      <c r="N37" s="383"/>
      <c r="O37" s="214"/>
      <c r="P37" s="214"/>
      <c r="Q37" s="214"/>
      <c r="R37" s="214"/>
      <c r="S37" s="103"/>
      <c r="T37" s="92"/>
      <c r="U37" s="92"/>
      <c r="V37" s="92"/>
      <c r="W37" s="92"/>
      <c r="X37" s="103"/>
      <c r="Y37" s="92"/>
      <c r="Z37" s="92"/>
      <c r="AA37" s="92"/>
      <c r="AB37" s="92"/>
      <c r="AC37" s="103"/>
      <c r="AD37" s="96"/>
      <c r="AE37" s="96"/>
      <c r="AF37" s="96"/>
      <c r="AG37" s="96"/>
      <c r="AH37" s="104"/>
      <c r="AI37" s="96"/>
      <c r="AJ37" s="96"/>
      <c r="AK37" s="96"/>
      <c r="AL37" s="96"/>
      <c r="AM37" s="104"/>
      <c r="AN37" s="96"/>
      <c r="AO37" s="96"/>
      <c r="AP37" s="96"/>
      <c r="AQ37" s="96"/>
      <c r="AR37" s="104"/>
      <c r="AS37" s="234" t="s">
        <v>82</v>
      </c>
    </row>
    <row r="38" spans="1:45" ht="22.9" customHeight="1">
      <c r="A38" s="316">
        <f t="shared" si="0"/>
        <v>35</v>
      </c>
      <c r="B38" s="316" t="s">
        <v>21</v>
      </c>
      <c r="C38" s="73" t="s">
        <v>1581</v>
      </c>
      <c r="D38" s="240" t="s">
        <v>1175</v>
      </c>
      <c r="E38" s="238" t="s">
        <v>1582</v>
      </c>
      <c r="F38" s="647">
        <v>46055</v>
      </c>
      <c r="G38" s="214"/>
      <c r="H38" s="214">
        <f t="shared" si="1"/>
        <v>7</v>
      </c>
      <c r="I38" s="311"/>
      <c r="J38" s="103"/>
      <c r="K38" s="95"/>
      <c r="L38" s="214"/>
      <c r="M38" s="656" t="s">
        <v>81</v>
      </c>
      <c r="N38" s="383"/>
      <c r="O38" s="214"/>
      <c r="P38" s="214"/>
      <c r="Q38" s="214"/>
      <c r="R38" s="214"/>
      <c r="S38" s="103"/>
      <c r="T38" s="92"/>
      <c r="U38" s="92"/>
      <c r="V38" s="92"/>
      <c r="W38" s="92"/>
      <c r="X38" s="103"/>
      <c r="Y38" s="92"/>
      <c r="Z38" s="92"/>
      <c r="AA38" s="92"/>
      <c r="AB38" s="92"/>
      <c r="AC38" s="103"/>
      <c r="AD38" s="96"/>
      <c r="AE38" s="96"/>
      <c r="AF38" s="96"/>
      <c r="AG38" s="96"/>
      <c r="AH38" s="104"/>
      <c r="AI38" s="96"/>
      <c r="AJ38" s="96"/>
      <c r="AK38" s="96"/>
      <c r="AL38" s="96"/>
      <c r="AM38" s="104"/>
      <c r="AN38" s="96"/>
      <c r="AO38" s="96"/>
      <c r="AP38" s="96"/>
      <c r="AQ38" s="96"/>
      <c r="AR38" s="104"/>
      <c r="AS38" s="234" t="s">
        <v>82</v>
      </c>
    </row>
    <row r="39" spans="1:45" ht="22.9" customHeight="1">
      <c r="A39" s="316">
        <f t="shared" si="0"/>
        <v>36</v>
      </c>
      <c r="B39" s="316" t="s">
        <v>21</v>
      </c>
      <c r="C39" s="73" t="s">
        <v>1583</v>
      </c>
      <c r="D39" s="240" t="s">
        <v>1180</v>
      </c>
      <c r="E39" s="238" t="s">
        <v>1584</v>
      </c>
      <c r="F39" s="647">
        <v>46056</v>
      </c>
      <c r="G39" s="214"/>
      <c r="H39" s="214">
        <f t="shared" si="1"/>
        <v>7</v>
      </c>
      <c r="I39" s="311"/>
      <c r="J39" s="103"/>
      <c r="K39" s="95"/>
      <c r="L39" s="214"/>
      <c r="M39" s="656" t="s">
        <v>81</v>
      </c>
      <c r="N39" s="383"/>
      <c r="O39" s="214"/>
      <c r="P39" s="214"/>
      <c r="Q39" s="214"/>
      <c r="R39" s="214"/>
      <c r="S39" s="103"/>
      <c r="T39" s="92"/>
      <c r="U39" s="92"/>
      <c r="V39" s="92"/>
      <c r="W39" s="92"/>
      <c r="X39" s="103"/>
      <c r="Y39" s="92"/>
      <c r="Z39" s="92"/>
      <c r="AA39" s="92"/>
      <c r="AB39" s="92"/>
      <c r="AC39" s="103"/>
      <c r="AD39" s="96"/>
      <c r="AE39" s="96"/>
      <c r="AF39" s="96"/>
      <c r="AG39" s="96"/>
      <c r="AH39" s="104"/>
      <c r="AI39" s="96"/>
      <c r="AJ39" s="96"/>
      <c r="AK39" s="96"/>
      <c r="AL39" s="96"/>
      <c r="AM39" s="104"/>
      <c r="AN39" s="96"/>
      <c r="AO39" s="96"/>
      <c r="AP39" s="96"/>
      <c r="AQ39" s="96"/>
      <c r="AR39" s="104"/>
      <c r="AS39" s="234" t="s">
        <v>82</v>
      </c>
    </row>
    <row r="40" spans="1:45" ht="22.9" customHeight="1">
      <c r="A40" s="316">
        <f t="shared" si="0"/>
        <v>37</v>
      </c>
      <c r="B40" s="316" t="s">
        <v>21</v>
      </c>
      <c r="C40" s="73" t="s">
        <v>1585</v>
      </c>
      <c r="D40" s="240" t="s">
        <v>1183</v>
      </c>
      <c r="E40" s="238" t="s">
        <v>1586</v>
      </c>
      <c r="F40" s="647">
        <v>46057</v>
      </c>
      <c r="G40" s="214"/>
      <c r="H40" s="214">
        <f t="shared" si="1"/>
        <v>7</v>
      </c>
      <c r="I40" s="311"/>
      <c r="J40" s="103"/>
      <c r="K40" s="95"/>
      <c r="L40" s="214"/>
      <c r="M40" s="656" t="s">
        <v>81</v>
      </c>
      <c r="N40" s="383"/>
      <c r="O40" s="214"/>
      <c r="P40" s="214"/>
      <c r="Q40" s="214"/>
      <c r="R40" s="214"/>
      <c r="S40" s="103"/>
      <c r="T40" s="92"/>
      <c r="U40" s="92"/>
      <c r="V40" s="92"/>
      <c r="W40" s="92"/>
      <c r="X40" s="103"/>
      <c r="Y40" s="92"/>
      <c r="Z40" s="92"/>
      <c r="AA40" s="92"/>
      <c r="AB40" s="92"/>
      <c r="AC40" s="103"/>
      <c r="AD40" s="96"/>
      <c r="AE40" s="96"/>
      <c r="AF40" s="96"/>
      <c r="AG40" s="96"/>
      <c r="AH40" s="104"/>
      <c r="AI40" s="96"/>
      <c r="AJ40" s="96"/>
      <c r="AK40" s="96"/>
      <c r="AL40" s="96"/>
      <c r="AM40" s="104"/>
      <c r="AN40" s="96"/>
      <c r="AO40" s="96"/>
      <c r="AP40" s="96"/>
      <c r="AQ40" s="96"/>
      <c r="AR40" s="104"/>
      <c r="AS40" s="234" t="s">
        <v>82</v>
      </c>
    </row>
    <row r="41" spans="1:45" ht="22.9" customHeight="1">
      <c r="A41" s="316">
        <f t="shared" si="0"/>
        <v>38</v>
      </c>
      <c r="B41" s="316" t="s">
        <v>21</v>
      </c>
      <c r="C41" s="73" t="s">
        <v>1587</v>
      </c>
      <c r="D41" s="240" t="s">
        <v>1186</v>
      </c>
      <c r="E41" s="238" t="s">
        <v>1588</v>
      </c>
      <c r="F41" s="647">
        <v>46058</v>
      </c>
      <c r="G41" s="214"/>
      <c r="H41" s="214">
        <f t="shared" si="1"/>
        <v>7</v>
      </c>
      <c r="I41" s="311"/>
      <c r="J41" s="103"/>
      <c r="K41" s="95"/>
      <c r="L41" s="214"/>
      <c r="M41" s="656" t="s">
        <v>81</v>
      </c>
      <c r="N41" s="383"/>
      <c r="O41" s="214"/>
      <c r="P41" s="214"/>
      <c r="Q41" s="214"/>
      <c r="R41" s="214"/>
      <c r="S41" s="103"/>
      <c r="T41" s="92"/>
      <c r="U41" s="92"/>
      <c r="V41" s="92"/>
      <c r="W41" s="92"/>
      <c r="X41" s="103"/>
      <c r="Y41" s="92"/>
      <c r="Z41" s="92"/>
      <c r="AA41" s="92"/>
      <c r="AB41" s="92"/>
      <c r="AC41" s="103"/>
      <c r="AD41" s="96"/>
      <c r="AE41" s="96"/>
      <c r="AF41" s="96"/>
      <c r="AG41" s="96"/>
      <c r="AH41" s="104"/>
      <c r="AI41" s="96"/>
      <c r="AJ41" s="96"/>
      <c r="AK41" s="96"/>
      <c r="AL41" s="96"/>
      <c r="AM41" s="104"/>
      <c r="AN41" s="96"/>
      <c r="AO41" s="96"/>
      <c r="AP41" s="96"/>
      <c r="AQ41" s="96"/>
      <c r="AR41" s="104"/>
      <c r="AS41" s="234" t="s">
        <v>82</v>
      </c>
    </row>
    <row r="42" spans="1:45" ht="22.9" customHeight="1">
      <c r="A42" s="316">
        <f t="shared" si="0"/>
        <v>39</v>
      </c>
      <c r="B42" s="316" t="s">
        <v>21</v>
      </c>
      <c r="C42" s="73" t="s">
        <v>1589</v>
      </c>
      <c r="D42" s="240" t="s">
        <v>1189</v>
      </c>
      <c r="E42" s="238" t="s">
        <v>1590</v>
      </c>
      <c r="F42" s="647">
        <v>46059</v>
      </c>
      <c r="G42" s="214"/>
      <c r="H42" s="214">
        <f t="shared" si="1"/>
        <v>7</v>
      </c>
      <c r="I42" s="311"/>
      <c r="J42" s="103"/>
      <c r="K42" s="95"/>
      <c r="L42" s="214"/>
      <c r="M42" s="656" t="s">
        <v>81</v>
      </c>
      <c r="N42" s="383"/>
      <c r="O42" s="214"/>
      <c r="P42" s="214"/>
      <c r="Q42" s="214"/>
      <c r="R42" s="214"/>
      <c r="S42" s="103"/>
      <c r="T42" s="92"/>
      <c r="U42" s="92"/>
      <c r="V42" s="92"/>
      <c r="W42" s="92"/>
      <c r="X42" s="103"/>
      <c r="Y42" s="92"/>
      <c r="Z42" s="92"/>
      <c r="AA42" s="92"/>
      <c r="AB42" s="92"/>
      <c r="AC42" s="103"/>
      <c r="AD42" s="96"/>
      <c r="AE42" s="96"/>
      <c r="AF42" s="96"/>
      <c r="AG42" s="96"/>
      <c r="AH42" s="104"/>
      <c r="AI42" s="96"/>
      <c r="AJ42" s="96"/>
      <c r="AK42" s="96"/>
      <c r="AL42" s="96"/>
      <c r="AM42" s="104"/>
      <c r="AN42" s="96"/>
      <c r="AO42" s="96"/>
      <c r="AP42" s="96"/>
      <c r="AQ42" s="96"/>
      <c r="AR42" s="104"/>
      <c r="AS42" s="234" t="s">
        <v>82</v>
      </c>
    </row>
    <row r="43" spans="1:45" ht="22.9" customHeight="1">
      <c r="A43" s="316">
        <f t="shared" si="0"/>
        <v>40</v>
      </c>
      <c r="B43" s="316" t="s">
        <v>21</v>
      </c>
      <c r="C43" s="73" t="s">
        <v>1591</v>
      </c>
      <c r="D43" s="240" t="s">
        <v>1193</v>
      </c>
      <c r="E43" s="238" t="s">
        <v>1592</v>
      </c>
      <c r="F43" s="647">
        <v>46060</v>
      </c>
      <c r="G43" s="214"/>
      <c r="H43" s="214">
        <f t="shared" si="1"/>
        <v>7</v>
      </c>
      <c r="I43" s="311"/>
      <c r="J43" s="103"/>
      <c r="K43" s="95"/>
      <c r="L43" s="214"/>
      <c r="M43" s="656" t="s">
        <v>81</v>
      </c>
      <c r="N43" s="383"/>
      <c r="O43" s="214"/>
      <c r="P43" s="214"/>
      <c r="Q43" s="214"/>
      <c r="R43" s="214"/>
      <c r="S43" s="103"/>
      <c r="T43" s="92"/>
      <c r="U43" s="92"/>
      <c r="V43" s="92"/>
      <c r="W43" s="92"/>
      <c r="X43" s="103"/>
      <c r="Y43" s="92"/>
      <c r="Z43" s="92"/>
      <c r="AA43" s="92"/>
      <c r="AB43" s="92"/>
      <c r="AC43" s="103"/>
      <c r="AD43" s="96"/>
      <c r="AE43" s="96"/>
      <c r="AF43" s="96"/>
      <c r="AG43" s="96"/>
      <c r="AH43" s="104"/>
      <c r="AI43" s="96"/>
      <c r="AJ43" s="96"/>
      <c r="AK43" s="96"/>
      <c r="AL43" s="96"/>
      <c r="AM43" s="104"/>
      <c r="AN43" s="96"/>
      <c r="AO43" s="96"/>
      <c r="AP43" s="96"/>
      <c r="AQ43" s="96"/>
      <c r="AR43" s="104"/>
      <c r="AS43" s="234" t="s">
        <v>82</v>
      </c>
    </row>
    <row r="44" spans="1:45">
      <c r="AD44" s="48"/>
      <c r="AE44" s="48"/>
      <c r="AF44" s="48"/>
      <c r="AG44" s="48"/>
      <c r="AI44" s="48"/>
      <c r="AJ44" s="48"/>
      <c r="AK44" s="48"/>
      <c r="AL44" s="48"/>
      <c r="AN44" s="48"/>
      <c r="AO44" s="48"/>
      <c r="AP44" s="48"/>
      <c r="AQ44" s="48"/>
    </row>
    <row r="45" spans="1:45">
      <c r="AD45" s="48"/>
      <c r="AE45" s="48"/>
      <c r="AF45" s="48"/>
      <c r="AG45" s="48"/>
      <c r="AI45" s="48"/>
      <c r="AJ45" s="48"/>
      <c r="AK45" s="48"/>
      <c r="AL45" s="48"/>
      <c r="AN45" s="48"/>
      <c r="AO45" s="48"/>
      <c r="AP45" s="48"/>
      <c r="AQ45" s="48"/>
    </row>
    <row r="46" spans="1:45">
      <c r="AD46" s="48"/>
      <c r="AE46" s="48"/>
      <c r="AF46" s="48"/>
      <c r="AG46" s="48"/>
      <c r="AI46" s="48"/>
      <c r="AJ46" s="48"/>
      <c r="AK46" s="48"/>
      <c r="AL46" s="48"/>
      <c r="AN46" s="48"/>
      <c r="AO46" s="48"/>
      <c r="AP46" s="48"/>
      <c r="AQ46" s="48"/>
    </row>
    <row r="47" spans="1:45">
      <c r="AD47" s="48"/>
      <c r="AE47" s="48"/>
      <c r="AF47" s="48"/>
      <c r="AG47" s="48"/>
      <c r="AI47" s="48"/>
      <c r="AJ47" s="48"/>
      <c r="AK47" s="48"/>
      <c r="AL47" s="48"/>
      <c r="AN47" s="48"/>
      <c r="AO47" s="48"/>
      <c r="AP47" s="48"/>
      <c r="AQ47" s="48"/>
    </row>
    <row r="48" spans="1:45">
      <c r="AD48" s="48"/>
      <c r="AE48" s="48"/>
      <c r="AF48" s="48"/>
      <c r="AG48" s="48"/>
      <c r="AI48" s="48"/>
      <c r="AJ48" s="48"/>
      <c r="AK48" s="48"/>
      <c r="AL48" s="48"/>
      <c r="AN48" s="48"/>
      <c r="AO48" s="48"/>
      <c r="AP48" s="48"/>
      <c r="AQ48" s="48"/>
    </row>
    <row r="49" spans="10:43">
      <c r="AD49" s="48"/>
      <c r="AE49" s="48"/>
      <c r="AF49" s="48"/>
      <c r="AG49" s="48"/>
      <c r="AI49" s="48"/>
      <c r="AJ49" s="48"/>
      <c r="AK49" s="48"/>
      <c r="AL49" s="48"/>
      <c r="AN49" s="48"/>
      <c r="AO49" s="48"/>
      <c r="AP49" s="48"/>
      <c r="AQ49" s="48"/>
    </row>
    <row r="50" spans="10:43">
      <c r="AD50" s="48"/>
      <c r="AE50" s="48"/>
      <c r="AF50" s="48"/>
      <c r="AG50" s="48"/>
      <c r="AI50" s="48"/>
      <c r="AJ50" s="48"/>
      <c r="AK50" s="48"/>
      <c r="AL50" s="48"/>
      <c r="AN50" s="48"/>
      <c r="AO50" s="48"/>
      <c r="AP50" s="48"/>
      <c r="AQ50" s="48"/>
    </row>
    <row r="51" spans="10:43">
      <c r="AD51" s="48"/>
      <c r="AE51" s="48"/>
      <c r="AF51" s="48"/>
      <c r="AG51" s="48"/>
      <c r="AI51" s="48"/>
      <c r="AJ51" s="48"/>
      <c r="AK51" s="48"/>
      <c r="AL51" s="48"/>
      <c r="AN51" s="48"/>
      <c r="AO51" s="48"/>
      <c r="AP51" s="48"/>
      <c r="AQ51" s="48"/>
    </row>
    <row r="52" spans="10:43">
      <c r="AD52" s="48"/>
      <c r="AE52" s="48"/>
      <c r="AF52" s="48"/>
      <c r="AG52" s="48"/>
      <c r="AI52" s="48"/>
      <c r="AJ52" s="48"/>
      <c r="AK52" s="48"/>
      <c r="AL52" s="48"/>
      <c r="AN52" s="48"/>
      <c r="AO52" s="48"/>
      <c r="AP52" s="48"/>
      <c r="AQ52" s="48"/>
    </row>
    <row r="53" spans="10:43">
      <c r="J53" s="128" t="s">
        <v>331</v>
      </c>
      <c r="K53" s="128"/>
      <c r="AD53" s="48"/>
      <c r="AE53" s="48"/>
      <c r="AF53" s="48"/>
      <c r="AG53" s="48"/>
      <c r="AI53" s="48"/>
      <c r="AJ53" s="48"/>
      <c r="AK53" s="48"/>
      <c r="AL53" s="48"/>
      <c r="AN53" s="48"/>
      <c r="AO53" s="48"/>
      <c r="AP53" s="48"/>
      <c r="AQ53" s="48"/>
    </row>
    <row r="54" spans="10:43">
      <c r="J54" s="3" t="s">
        <v>56</v>
      </c>
      <c r="AD54" s="48"/>
      <c r="AE54" s="48"/>
      <c r="AF54" s="48"/>
      <c r="AG54" s="48"/>
      <c r="AI54" s="48"/>
      <c r="AJ54" s="48"/>
      <c r="AK54" s="48"/>
      <c r="AL54" s="48"/>
      <c r="AN54" s="48"/>
      <c r="AO54" s="48"/>
      <c r="AP54" s="48"/>
      <c r="AQ54" s="48"/>
    </row>
    <row r="55" spans="10:43">
      <c r="J55" s="126" t="s">
        <v>49</v>
      </c>
      <c r="K55" s="126"/>
      <c r="L55" s="126"/>
      <c r="M55" s="126"/>
      <c r="N55" s="48"/>
      <c r="R55" s="3"/>
      <c r="S55" s="48"/>
      <c r="W55" s="3"/>
      <c r="X55" s="48"/>
      <c r="AB55" s="3"/>
      <c r="AD55" s="48"/>
      <c r="AE55" s="48"/>
      <c r="AF55" s="48"/>
      <c r="AG55" s="48"/>
      <c r="AI55" s="48"/>
      <c r="AJ55" s="48"/>
      <c r="AK55" s="48"/>
      <c r="AL55" s="48"/>
      <c r="AN55" s="48"/>
      <c r="AO55" s="48"/>
      <c r="AP55" s="48"/>
      <c r="AQ55" s="48"/>
    </row>
    <row r="56" spans="10:43">
      <c r="J56" s="126" t="s">
        <v>50</v>
      </c>
      <c r="K56" s="126"/>
      <c r="L56" s="126"/>
      <c r="M56" s="126"/>
      <c r="N56" s="48"/>
      <c r="R56" s="3"/>
      <c r="S56" s="48"/>
      <c r="W56" s="3"/>
      <c r="X56" s="48"/>
      <c r="AB56" s="3"/>
      <c r="AD56" s="48"/>
      <c r="AE56" s="48"/>
      <c r="AF56" s="48"/>
      <c r="AG56" s="48"/>
      <c r="AI56" s="48"/>
      <c r="AJ56" s="48"/>
      <c r="AK56" s="48"/>
      <c r="AL56" s="48"/>
      <c r="AN56" s="48"/>
      <c r="AO56" s="48"/>
      <c r="AP56" s="48"/>
      <c r="AQ56" s="48"/>
    </row>
    <row r="57" spans="10:43">
      <c r="J57" s="126" t="s">
        <v>51</v>
      </c>
      <c r="K57" s="126"/>
      <c r="L57" s="126"/>
      <c r="M57" s="126"/>
      <c r="N57" s="48"/>
      <c r="R57" s="3"/>
      <c r="S57" s="48"/>
      <c r="W57" s="3"/>
      <c r="X57" s="48"/>
      <c r="AB57" s="3"/>
      <c r="AD57" s="48"/>
      <c r="AE57" s="48"/>
      <c r="AF57" s="48"/>
      <c r="AG57" s="48"/>
      <c r="AI57" s="48"/>
      <c r="AJ57" s="48"/>
      <c r="AK57" s="48"/>
      <c r="AL57" s="48"/>
      <c r="AN57" s="48"/>
      <c r="AO57" s="48"/>
      <c r="AP57" s="48"/>
      <c r="AQ57" s="48"/>
    </row>
    <row r="58" spans="10:43">
      <c r="J58" s="126" t="s">
        <v>80</v>
      </c>
      <c r="K58" s="126"/>
      <c r="L58" s="126"/>
      <c r="M58" s="126"/>
      <c r="N58" s="48"/>
      <c r="R58" s="3"/>
      <c r="S58" s="48"/>
      <c r="W58" s="3"/>
      <c r="X58" s="48"/>
      <c r="AB58" s="3"/>
      <c r="AD58" s="48"/>
      <c r="AE58" s="48"/>
      <c r="AF58" s="48"/>
      <c r="AG58" s="48"/>
      <c r="AI58" s="48"/>
      <c r="AJ58" s="48"/>
      <c r="AK58" s="48"/>
      <c r="AL58" s="48"/>
      <c r="AN58" s="48"/>
      <c r="AO58" s="48"/>
      <c r="AP58" s="48"/>
      <c r="AQ58" s="48"/>
    </row>
    <row r="59" spans="10:43">
      <c r="AD59" s="48"/>
      <c r="AE59" s="48"/>
      <c r="AF59" s="48"/>
      <c r="AG59" s="48"/>
      <c r="AI59" s="48"/>
      <c r="AJ59" s="48"/>
      <c r="AK59" s="48"/>
      <c r="AL59" s="48"/>
      <c r="AN59" s="48"/>
      <c r="AO59" s="48"/>
      <c r="AP59" s="48"/>
      <c r="AQ59" s="48"/>
    </row>
    <row r="60" spans="10:43">
      <c r="AD60" s="48"/>
      <c r="AE60" s="48"/>
      <c r="AF60" s="48"/>
      <c r="AG60" s="48"/>
      <c r="AI60" s="48"/>
      <c r="AJ60" s="48"/>
      <c r="AK60" s="48"/>
      <c r="AL60" s="48"/>
      <c r="AN60" s="48"/>
      <c r="AO60" s="48"/>
      <c r="AP60" s="48"/>
      <c r="AQ60" s="48"/>
    </row>
    <row r="61" spans="10:43">
      <c r="AD61" s="48"/>
      <c r="AE61" s="48"/>
      <c r="AF61" s="48"/>
      <c r="AG61" s="48"/>
      <c r="AI61" s="48"/>
      <c r="AJ61" s="48"/>
      <c r="AK61" s="48"/>
      <c r="AL61" s="48"/>
      <c r="AN61" s="48"/>
      <c r="AO61" s="48"/>
      <c r="AP61" s="48"/>
      <c r="AQ61" s="48"/>
    </row>
    <row r="62" spans="10:43">
      <c r="AD62" s="48"/>
      <c r="AE62" s="48"/>
      <c r="AF62" s="48"/>
      <c r="AG62" s="48"/>
      <c r="AI62" s="48"/>
      <c r="AJ62" s="48"/>
      <c r="AK62" s="48"/>
      <c r="AL62" s="48"/>
      <c r="AN62" s="48"/>
      <c r="AO62" s="48"/>
      <c r="AP62" s="48"/>
      <c r="AQ62" s="48"/>
    </row>
  </sheetData>
  <autoFilter ref="A3:AC43" xr:uid="{00000000-0009-0000-0000-000000000000}">
    <filterColumn colId="5">
      <filters>
        <dateGroupItem year="2026" month="2" day="2" dateTimeGrouping="day"/>
        <dateGroupItem year="2026" month="2" day="3" dateTimeGrouping="day"/>
        <dateGroupItem year="2026" month="2" day="4" dateTimeGrouping="day"/>
        <dateGroupItem year="2026" month="2" day="5" dateTimeGrouping="day"/>
        <dateGroupItem year="2026" month="2" day="6" dateTimeGrouping="day"/>
        <dateGroupItem year="2026" month="2" day="7" dateTimeGrouping="day"/>
      </filters>
    </filterColumn>
  </autoFilter>
  <mergeCells count="6">
    <mergeCell ref="AN2:AR2"/>
    <mergeCell ref="O2:S2"/>
    <mergeCell ref="T2:X2"/>
    <mergeCell ref="Y2:AC2"/>
    <mergeCell ref="AD2:AH2"/>
    <mergeCell ref="AI2:AM2"/>
  </mergeCells>
  <phoneticPr fontId="11" type="noConversion"/>
  <conditionalFormatting sqref="A4:E11 B12:E15 A12:A43 B16:B43 E16:E43 A44:AR512">
    <cfRule type="expression" dxfId="87" priority="6300">
      <formula>$J4="CTA"</formula>
    </cfRule>
    <cfRule type="expression" dxfId="86" priority="6301">
      <formula>$J4="GAA"</formula>
    </cfRule>
    <cfRule type="expression" dxfId="85" priority="6308">
      <formula>$J4="AUR"</formula>
    </cfRule>
  </conditionalFormatting>
  <conditionalFormatting sqref="A4:AR4 A5:L10 J11:L13 AT4:XFD43 A11:I11 B12:I13 A12:A43 B14:E43 G14:L43 M5:AR43">
    <cfRule type="expression" dxfId="84" priority="8">
      <formula>$J4="AUR"</formula>
    </cfRule>
  </conditionalFormatting>
  <conditionalFormatting sqref="A4:AR4 AT4:XFD43 A5:L10 A11:I11 J11:L13 B12:I13 A12:A43 B14:E43 A44:XFD44 G14:L43 M5:AR43">
    <cfRule type="expression" dxfId="83" priority="10">
      <formula>$J4="GAA"</formula>
    </cfRule>
  </conditionalFormatting>
  <conditionalFormatting sqref="C16:D17 C18:C40">
    <cfRule type="expression" dxfId="82" priority="6657">
      <formula>$J19="CTA"</formula>
    </cfRule>
    <cfRule type="expression" dxfId="81" priority="6658">
      <formula>$J19="GAA"</formula>
    </cfRule>
    <cfRule type="expression" dxfId="80" priority="6662">
      <formula>$J19="AUR"</formula>
    </cfRule>
  </conditionalFormatting>
  <conditionalFormatting sqref="D18:D19">
    <cfRule type="expression" dxfId="79" priority="6770">
      <formula>$J22="CTA"</formula>
    </cfRule>
    <cfRule type="expression" dxfId="78" priority="6771">
      <formula>$J22="GAA"</formula>
    </cfRule>
    <cfRule type="expression" dxfId="77" priority="6775">
      <formula>$J22="AUR"</formula>
    </cfRule>
  </conditionalFormatting>
  <conditionalFormatting sqref="D20:D25">
    <cfRule type="expression" dxfId="76" priority="6778">
      <formula>$J28="CTA"</formula>
    </cfRule>
    <cfRule type="expression" dxfId="75" priority="6779">
      <formula>$J28="GAA"</formula>
    </cfRule>
    <cfRule type="expression" dxfId="74" priority="6783">
      <formula>$J28="AUR"</formula>
    </cfRule>
  </conditionalFormatting>
  <conditionalFormatting sqref="D26:D33">
    <cfRule type="expression" dxfId="73" priority="6786">
      <formula>$J36="CTA"</formula>
    </cfRule>
    <cfRule type="expression" dxfId="72" priority="6787">
      <formula>$J36="GAA"</formula>
    </cfRule>
    <cfRule type="expression" dxfId="71" priority="6791">
      <formula>$J36="AUR"</formula>
    </cfRule>
  </conditionalFormatting>
  <conditionalFormatting sqref="D34:D43 C41:C43">
    <cfRule type="expression" dxfId="70" priority="6856">
      <formula>#REF!="CTA"</formula>
    </cfRule>
    <cfRule type="expression" dxfId="69" priority="6857">
      <formula>#REF!="GAA"</formula>
    </cfRule>
    <cfRule type="expression" dxfId="68" priority="6859">
      <formula>#REF!="AUR"</formula>
    </cfRule>
  </conditionalFormatting>
  <conditionalFormatting sqref="K4:K512">
    <cfRule type="expression" dxfId="67" priority="7">
      <formula>$K4="Pending"</formula>
    </cfRule>
    <cfRule type="expression" dxfId="66" priority="6312">
      <formula>SUMPRODUCT(($K4="A")+($K4="B"))</formula>
    </cfRule>
    <cfRule type="expression" dxfId="65" priority="6313">
      <formula>SUMPRODUCT((#REF!&lt;&gt;"")*($K4="")+($K4="C"))</formula>
    </cfRule>
    <cfRule type="expression" dxfId="64" priority="6314">
      <formula>$K4="Pending"</formula>
    </cfRule>
  </conditionalFormatting>
  <conditionalFormatting sqref="AS4:AS43">
    <cfRule type="expression" dxfId="63" priority="1">
      <formula>#REF!="AUR"</formula>
    </cfRule>
    <cfRule type="expression" dxfId="62" priority="2">
      <formula>#REF!="CTA"</formula>
    </cfRule>
    <cfRule type="expression" dxfId="61" priority="3">
      <formula>#REF!="GAA"</formula>
    </cfRule>
  </conditionalFormatting>
  <conditionalFormatting sqref="A4:AR4 AT4:XFD43 A5:L10 A11:I11 J11:L13 B12:I13 A12:A43 B14:E43 A44:XFD44 G14:L43 M5:AR43 F14:F17">
    <cfRule type="expression" dxfId="60" priority="9">
      <formula>$J4="CTA"</formula>
    </cfRule>
  </conditionalFormatting>
  <dataValidations count="2">
    <dataValidation type="list" allowBlank="1" showInputMessage="1" showErrorMessage="1" sqref="K1 K53:K1048576 J1:J1048576" xr:uid="{B3A0BF1B-B80E-4DBF-9BF7-1E479F38F07F}">
      <formula1>$J$54:$J$58</formula1>
    </dataValidation>
    <dataValidation type="list" allowBlank="1" showInputMessage="1" showErrorMessage="1" sqref="K3:K52" xr:uid="{7A4869B1-8C8F-4A9D-9F8D-9810489CF7F8}">
      <formula1>"A,B,C,Pending,"</formula1>
    </dataValidation>
  </dataValidations>
  <pageMargins left="0.23622047244094499" right="0.23622047244094499" top="0.74803149606299202" bottom="0.74803149606299202" header="0.31496062992126" footer="0.31496062992126"/>
  <pageSetup paperSize="8" scale="32" fitToHeight="0" orientation="landscape" r:id="rId1"/>
  <headerFooter>
    <oddHeader>&amp;L&amp;G&amp;CProject Terra Phase 9 + 2MW Shop Drawing Approval Submission List</oddHeader>
    <oddFooter>&amp;L&amp;D&amp;RPage &amp;P of &amp;N</oddFooter>
  </headerFooter>
  <colBreaks count="1" manualBreakCount="1">
    <brk id="14" max="1048575" man="1"/>
  </colBreaks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D987-F110-4F21-87D0-EC1EFC6E2AEE}">
  <dimension ref="A1:AS105"/>
  <sheetViews>
    <sheetView topLeftCell="B1" zoomScale="55" zoomScaleNormal="55" workbookViewId="0">
      <pane ySplit="3" topLeftCell="F8" activePane="bottomLeft" state="frozen"/>
      <selection pane="bottomLeft" activeCell="F5" sqref="F5"/>
    </sheetView>
  </sheetViews>
  <sheetFormatPr defaultRowHeight="13.9"/>
  <cols>
    <col min="1" max="1" width="7.75" customWidth="1"/>
    <col min="2" max="2" width="15.875" customWidth="1"/>
    <col min="3" max="3" width="32.125" customWidth="1"/>
    <col min="4" max="4" width="72.75" customWidth="1"/>
    <col min="5" max="5" width="31.75" customWidth="1"/>
    <col min="6" max="6" width="14.875" customWidth="1"/>
    <col min="7" max="7" width="15.25" style="222" customWidth="1"/>
    <col min="8" max="8" width="13.75" customWidth="1"/>
    <col min="9" max="9" width="6.375" customWidth="1"/>
    <col min="12" max="13" width="10.25" customWidth="1"/>
    <col min="14" max="14" width="41" bestFit="1" customWidth="1"/>
    <col min="15" max="15" width="10.625" style="199" customWidth="1"/>
    <col min="16" max="16" width="10.625" style="222" customWidth="1"/>
    <col min="17" max="19" width="10.625" customWidth="1"/>
    <col min="20" max="20" width="10.625" style="222" customWidth="1"/>
    <col min="21" max="44" width="10.625" customWidth="1"/>
    <col min="45" max="45" width="17.25" customWidth="1"/>
  </cols>
  <sheetData>
    <row r="1" spans="1:45" s="171" customFormat="1">
      <c r="A1" s="126" t="s">
        <v>54</v>
      </c>
      <c r="B1" s="126"/>
      <c r="C1" s="126"/>
      <c r="D1" s="126"/>
      <c r="E1" s="126"/>
      <c r="F1" s="126"/>
      <c r="G1" s="223"/>
      <c r="H1" s="126"/>
      <c r="I1" s="126"/>
      <c r="J1" s="126"/>
      <c r="K1" s="126"/>
      <c r="L1" s="126"/>
      <c r="M1" s="126"/>
      <c r="N1" s="201" t="s">
        <v>55</v>
      </c>
      <c r="O1" s="202" t="s">
        <v>56</v>
      </c>
      <c r="P1" s="218" t="s">
        <v>49</v>
      </c>
      <c r="Q1" s="203" t="s">
        <v>50</v>
      </c>
      <c r="R1" s="47"/>
      <c r="S1" s="47"/>
      <c r="T1" s="22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750"/>
    </row>
    <row r="2" spans="1:45" s="171" customFormat="1" ht="52.5" customHeight="1">
      <c r="A2" s="969" t="s">
        <v>57</v>
      </c>
      <c r="B2" s="969" t="s">
        <v>1</v>
      </c>
      <c r="C2" s="969" t="s">
        <v>1593</v>
      </c>
      <c r="D2" s="309"/>
      <c r="E2" s="969" t="s">
        <v>1594</v>
      </c>
      <c r="F2" s="969" t="s">
        <v>42</v>
      </c>
      <c r="G2" s="973" t="s">
        <v>1595</v>
      </c>
      <c r="H2" s="969" t="s">
        <v>62</v>
      </c>
      <c r="I2" s="969" t="s">
        <v>63</v>
      </c>
      <c r="J2" s="969" t="s">
        <v>64</v>
      </c>
      <c r="K2" s="969" t="s">
        <v>44</v>
      </c>
      <c r="L2" s="969" t="s">
        <v>65</v>
      </c>
      <c r="M2" s="309" t="s">
        <v>66</v>
      </c>
      <c r="N2" s="969" t="s">
        <v>67</v>
      </c>
      <c r="O2" s="971" t="s">
        <v>68</v>
      </c>
      <c r="P2" s="971"/>
      <c r="Q2" s="971"/>
      <c r="R2" s="971"/>
      <c r="S2" s="971"/>
      <c r="T2" s="972" t="s">
        <v>69</v>
      </c>
      <c r="U2" s="972"/>
      <c r="V2" s="972"/>
      <c r="W2" s="972"/>
      <c r="X2" s="972"/>
      <c r="Y2" s="971" t="s">
        <v>70</v>
      </c>
      <c r="Z2" s="971"/>
      <c r="AA2" s="971"/>
      <c r="AB2" s="971"/>
      <c r="AC2" s="971"/>
      <c r="AD2" s="972" t="s">
        <v>71</v>
      </c>
      <c r="AE2" s="972"/>
      <c r="AF2" s="972"/>
      <c r="AG2" s="972"/>
      <c r="AH2" s="972"/>
      <c r="AI2" s="971" t="s">
        <v>72</v>
      </c>
      <c r="AJ2" s="971"/>
      <c r="AK2" s="971"/>
      <c r="AL2" s="971"/>
      <c r="AM2" s="971"/>
      <c r="AN2" s="972" t="s">
        <v>73</v>
      </c>
      <c r="AO2" s="972"/>
      <c r="AP2" s="972"/>
      <c r="AQ2" s="972"/>
      <c r="AR2" s="972"/>
      <c r="AS2" s="969" t="s">
        <v>76</v>
      </c>
    </row>
    <row r="3" spans="1:45" s="171" customFormat="1" ht="30" customHeight="1">
      <c r="A3" s="970"/>
      <c r="B3" s="970"/>
      <c r="C3" s="970"/>
      <c r="D3" s="310"/>
      <c r="E3" s="970"/>
      <c r="F3" s="970"/>
      <c r="G3" s="974"/>
      <c r="H3" s="970"/>
      <c r="I3" s="970"/>
      <c r="J3" s="970"/>
      <c r="K3" s="970"/>
      <c r="L3" s="970"/>
      <c r="M3" s="310"/>
      <c r="N3" s="970"/>
      <c r="O3" s="204" t="s">
        <v>17</v>
      </c>
      <c r="P3" s="219" t="s">
        <v>49</v>
      </c>
      <c r="Q3" s="205" t="s">
        <v>50</v>
      </c>
      <c r="R3" s="205" t="s">
        <v>51</v>
      </c>
      <c r="S3" s="205" t="s">
        <v>44</v>
      </c>
      <c r="T3" s="778" t="s">
        <v>17</v>
      </c>
      <c r="U3" s="779" t="s">
        <v>49</v>
      </c>
      <c r="V3" s="779" t="s">
        <v>50</v>
      </c>
      <c r="W3" s="779" t="s">
        <v>51</v>
      </c>
      <c r="X3" s="779" t="s">
        <v>44</v>
      </c>
      <c r="Y3" s="205" t="s">
        <v>17</v>
      </c>
      <c r="Z3" s="205" t="s">
        <v>49</v>
      </c>
      <c r="AA3" s="205" t="s">
        <v>50</v>
      </c>
      <c r="AB3" s="205" t="s">
        <v>51</v>
      </c>
      <c r="AC3" s="205" t="s">
        <v>44</v>
      </c>
      <c r="AD3" s="779" t="s">
        <v>17</v>
      </c>
      <c r="AE3" s="779" t="s">
        <v>49</v>
      </c>
      <c r="AF3" s="779" t="s">
        <v>50</v>
      </c>
      <c r="AG3" s="779" t="s">
        <v>51</v>
      </c>
      <c r="AH3" s="779" t="s">
        <v>44</v>
      </c>
      <c r="AI3" s="205" t="s">
        <v>17</v>
      </c>
      <c r="AJ3" s="205" t="s">
        <v>49</v>
      </c>
      <c r="AK3" s="205" t="s">
        <v>50</v>
      </c>
      <c r="AL3" s="205" t="s">
        <v>51</v>
      </c>
      <c r="AM3" s="205" t="s">
        <v>44</v>
      </c>
      <c r="AN3" s="779" t="s">
        <v>17</v>
      </c>
      <c r="AO3" s="779" t="s">
        <v>49</v>
      </c>
      <c r="AP3" s="779" t="s">
        <v>50</v>
      </c>
      <c r="AQ3" s="779" t="s">
        <v>51</v>
      </c>
      <c r="AR3" s="779" t="s">
        <v>44</v>
      </c>
      <c r="AS3" s="970"/>
    </row>
    <row r="4" spans="1:45" s="3" customFormat="1" ht="19.149999999999999" customHeight="1">
      <c r="A4" s="206">
        <v>1</v>
      </c>
      <c r="B4" s="206" t="s">
        <v>1596</v>
      </c>
      <c r="C4" s="207" t="s">
        <v>1597</v>
      </c>
      <c r="D4" s="158" t="s">
        <v>1598</v>
      </c>
      <c r="E4" s="207" t="s">
        <v>1599</v>
      </c>
      <c r="F4" s="212">
        <f>F5+21</f>
        <v>46076</v>
      </c>
      <c r="G4" s="220"/>
      <c r="H4" s="213">
        <f>G4+7</f>
        <v>7</v>
      </c>
      <c r="I4" s="210"/>
      <c r="J4" s="210"/>
      <c r="K4" s="103"/>
      <c r="L4" s="220"/>
      <c r="M4" s="220" t="s">
        <v>81</v>
      </c>
      <c r="N4" s="206"/>
      <c r="O4" s="211"/>
      <c r="P4" s="220"/>
      <c r="Q4" s="220"/>
      <c r="R4" s="220"/>
      <c r="S4" s="210"/>
      <c r="T4" s="220"/>
      <c r="U4" s="213"/>
      <c r="V4" s="213"/>
      <c r="W4" s="210"/>
      <c r="X4" s="210"/>
      <c r="Y4" s="213"/>
      <c r="Z4" s="213"/>
      <c r="AA4" s="213"/>
      <c r="AB4" s="213"/>
      <c r="AC4" s="210"/>
      <c r="AD4" s="210"/>
      <c r="AE4" s="210"/>
      <c r="AF4" s="210"/>
      <c r="AG4" s="210"/>
      <c r="AH4" s="210"/>
      <c r="AI4" s="210"/>
      <c r="AJ4" s="210"/>
      <c r="AK4" s="210"/>
      <c r="AL4" s="210"/>
      <c r="AM4" s="210"/>
      <c r="AN4" s="210"/>
      <c r="AO4" s="210"/>
      <c r="AP4" s="210"/>
      <c r="AQ4" s="210"/>
      <c r="AR4" s="210"/>
      <c r="AS4" s="212" t="s">
        <v>82</v>
      </c>
    </row>
    <row r="5" spans="1:45" s="3" customFormat="1" ht="19.149999999999999" customHeight="1">
      <c r="A5" s="206">
        <v>2</v>
      </c>
      <c r="B5" s="206" t="s">
        <v>1596</v>
      </c>
      <c r="C5" s="207" t="s">
        <v>1600</v>
      </c>
      <c r="D5" s="158" t="s">
        <v>1601</v>
      </c>
      <c r="E5" s="207" t="s">
        <v>1602</v>
      </c>
      <c r="F5" s="214">
        <f>F24+14</f>
        <v>46055</v>
      </c>
      <c r="G5" s="221">
        <v>46043</v>
      </c>
      <c r="H5" s="213">
        <f t="shared" ref="H5" si="0">G5+7</f>
        <v>46050</v>
      </c>
      <c r="I5" s="215">
        <v>0</v>
      </c>
      <c r="J5" s="210" t="s">
        <v>49</v>
      </c>
      <c r="K5" s="103" t="s">
        <v>89</v>
      </c>
      <c r="L5" s="220"/>
      <c r="M5" s="220" t="s">
        <v>81</v>
      </c>
      <c r="N5" s="649"/>
      <c r="O5" s="211">
        <v>46043</v>
      </c>
      <c r="P5" s="221"/>
      <c r="Q5" s="220"/>
      <c r="R5" s="220"/>
      <c r="S5" s="103"/>
      <c r="T5" s="221"/>
      <c r="U5" s="214"/>
      <c r="V5" s="214"/>
      <c r="W5" s="214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212" t="s">
        <v>82</v>
      </c>
    </row>
    <row r="6" spans="1:45" s="3" customFormat="1" ht="19.149999999999999" customHeight="1">
      <c r="A6" s="206">
        <v>3</v>
      </c>
      <c r="B6" s="206" t="s">
        <v>1596</v>
      </c>
      <c r="C6" s="207" t="s">
        <v>1603</v>
      </c>
      <c r="D6" s="158" t="s">
        <v>1604</v>
      </c>
      <c r="E6" s="207" t="s">
        <v>1605</v>
      </c>
      <c r="F6" s="214">
        <f>F5</f>
        <v>46055</v>
      </c>
      <c r="G6" s="221">
        <v>46043</v>
      </c>
      <c r="H6" s="213">
        <f t="shared" ref="H6:H7" si="1">G6+7</f>
        <v>46050</v>
      </c>
      <c r="I6" s="215">
        <v>0</v>
      </c>
      <c r="J6" s="210" t="s">
        <v>49</v>
      </c>
      <c r="K6" s="103" t="s">
        <v>89</v>
      </c>
      <c r="L6" s="220"/>
      <c r="M6" s="220" t="s">
        <v>81</v>
      </c>
      <c r="N6" s="649"/>
      <c r="O6" s="211">
        <v>46043</v>
      </c>
      <c r="P6" s="221"/>
      <c r="Q6" s="220"/>
      <c r="R6" s="220"/>
      <c r="S6" s="103"/>
      <c r="T6" s="221"/>
      <c r="U6" s="214"/>
      <c r="V6" s="214"/>
      <c r="W6" s="214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212" t="s">
        <v>82</v>
      </c>
    </row>
    <row r="7" spans="1:45" s="3" customFormat="1" ht="19.149999999999999" customHeight="1">
      <c r="A7" s="206">
        <v>4</v>
      </c>
      <c r="B7" s="206" t="s">
        <v>1596</v>
      </c>
      <c r="C7" s="207" t="s">
        <v>1606</v>
      </c>
      <c r="D7" s="158" t="s">
        <v>1607</v>
      </c>
      <c r="E7" s="207" t="s">
        <v>1608</v>
      </c>
      <c r="F7" s="214">
        <f>F6</f>
        <v>46055</v>
      </c>
      <c r="G7" s="221">
        <v>46043</v>
      </c>
      <c r="H7" s="213">
        <f t="shared" si="1"/>
        <v>46050</v>
      </c>
      <c r="I7" s="215">
        <v>0</v>
      </c>
      <c r="J7" s="210" t="s">
        <v>49</v>
      </c>
      <c r="K7" s="103" t="s">
        <v>89</v>
      </c>
      <c r="L7" s="220"/>
      <c r="M7" s="220" t="s">
        <v>81</v>
      </c>
      <c r="N7" s="649"/>
      <c r="O7" s="211">
        <v>46043</v>
      </c>
      <c r="P7" s="221"/>
      <c r="Q7" s="220"/>
      <c r="R7" s="220"/>
      <c r="S7" s="103"/>
      <c r="T7" s="221"/>
      <c r="U7" s="214"/>
      <c r="V7" s="214"/>
      <c r="W7" s="214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212" t="s">
        <v>82</v>
      </c>
    </row>
    <row r="8" spans="1:45" s="3" customFormat="1" ht="19.149999999999999" customHeight="1">
      <c r="A8" s="206">
        <v>5</v>
      </c>
      <c r="B8" s="206" t="s">
        <v>1596</v>
      </c>
      <c r="C8" s="207" t="s">
        <v>1609</v>
      </c>
      <c r="D8" s="158" t="s">
        <v>1610</v>
      </c>
      <c r="E8" s="207" t="s">
        <v>1611</v>
      </c>
      <c r="F8" s="214">
        <f>F7</f>
        <v>46055</v>
      </c>
      <c r="G8" s="221">
        <v>46043</v>
      </c>
      <c r="H8" s="213">
        <f t="shared" ref="H8" si="2">G8+7</f>
        <v>46050</v>
      </c>
      <c r="I8" s="215">
        <v>0</v>
      </c>
      <c r="J8" s="210" t="s">
        <v>49</v>
      </c>
      <c r="K8" s="103" t="s">
        <v>89</v>
      </c>
      <c r="L8" s="220"/>
      <c r="M8" s="220" t="s">
        <v>81</v>
      </c>
      <c r="N8" s="649"/>
      <c r="O8" s="211">
        <v>46043</v>
      </c>
      <c r="P8" s="220"/>
      <c r="Q8" s="220"/>
      <c r="R8" s="220"/>
      <c r="S8" s="210"/>
      <c r="T8" s="220"/>
      <c r="U8" s="213"/>
      <c r="V8" s="214"/>
      <c r="W8" s="214"/>
      <c r="X8" s="103"/>
      <c r="Y8" s="210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2" t="s">
        <v>82</v>
      </c>
    </row>
    <row r="9" spans="1:45" s="3" customFormat="1" ht="19.149999999999999" customHeight="1">
      <c r="A9" s="206">
        <v>6</v>
      </c>
      <c r="B9" s="206" t="s">
        <v>1596</v>
      </c>
      <c r="C9" s="207" t="s">
        <v>1612</v>
      </c>
      <c r="D9" s="158" t="s">
        <v>1613</v>
      </c>
      <c r="E9" s="207" t="s">
        <v>1614</v>
      </c>
      <c r="F9" s="214">
        <f t="shared" ref="F9:F10" si="3">F8</f>
        <v>46055</v>
      </c>
      <c r="G9" s="221">
        <v>46048</v>
      </c>
      <c r="H9" s="213">
        <f>G9+7</f>
        <v>46055</v>
      </c>
      <c r="I9" s="215">
        <v>0</v>
      </c>
      <c r="J9" s="210" t="s">
        <v>49</v>
      </c>
      <c r="K9" s="103" t="s">
        <v>89</v>
      </c>
      <c r="L9" s="220"/>
      <c r="M9" s="220" t="s">
        <v>81</v>
      </c>
      <c r="N9" s="649"/>
      <c r="O9" s="211">
        <v>46048</v>
      </c>
      <c r="P9" s="220"/>
      <c r="Q9" s="220"/>
      <c r="R9" s="220"/>
      <c r="S9" s="210"/>
      <c r="T9" s="220"/>
      <c r="U9" s="213"/>
      <c r="V9" s="214"/>
      <c r="W9" s="214"/>
      <c r="X9" s="103"/>
      <c r="Y9" s="210"/>
      <c r="Z9" s="210"/>
      <c r="AA9" s="210"/>
      <c r="AB9" s="210"/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0"/>
      <c r="AQ9" s="210"/>
      <c r="AR9" s="210"/>
      <c r="AS9" s="212" t="s">
        <v>82</v>
      </c>
    </row>
    <row r="10" spans="1:45" s="3" customFormat="1" ht="19.149999999999999" customHeight="1">
      <c r="A10" s="206">
        <v>7</v>
      </c>
      <c r="B10" s="206" t="s">
        <v>1596</v>
      </c>
      <c r="C10" s="207" t="s">
        <v>1615</v>
      </c>
      <c r="D10" s="158" t="s">
        <v>1616</v>
      </c>
      <c r="E10" s="207" t="s">
        <v>1617</v>
      </c>
      <c r="F10" s="214">
        <f t="shared" si="3"/>
        <v>46055</v>
      </c>
      <c r="G10" s="221">
        <v>46048</v>
      </c>
      <c r="H10" s="213">
        <f>G10+7</f>
        <v>46055</v>
      </c>
      <c r="I10" s="215">
        <v>0</v>
      </c>
      <c r="J10" s="210" t="s">
        <v>49</v>
      </c>
      <c r="K10" s="103" t="s">
        <v>89</v>
      </c>
      <c r="L10" s="220"/>
      <c r="M10" s="220" t="s">
        <v>81</v>
      </c>
      <c r="N10" s="649"/>
      <c r="O10" s="211">
        <v>46048</v>
      </c>
      <c r="P10" s="220"/>
      <c r="Q10" s="220"/>
      <c r="R10" s="220"/>
      <c r="S10" s="210"/>
      <c r="T10" s="220"/>
      <c r="U10" s="213"/>
      <c r="V10" s="214"/>
      <c r="W10" s="214"/>
      <c r="X10" s="103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2" t="s">
        <v>82</v>
      </c>
    </row>
    <row r="11" spans="1:45" s="3" customFormat="1" ht="19.149999999999999" customHeight="1">
      <c r="A11" s="206">
        <v>8</v>
      </c>
      <c r="B11" s="206" t="s">
        <v>1596</v>
      </c>
      <c r="C11" s="207" t="s">
        <v>1618</v>
      </c>
      <c r="D11" s="158" t="s">
        <v>1619</v>
      </c>
      <c r="E11" s="207" t="s">
        <v>1620</v>
      </c>
      <c r="F11" s="214">
        <f t="shared" ref="F11" si="4">F10</f>
        <v>46055</v>
      </c>
      <c r="G11" s="221">
        <v>46050</v>
      </c>
      <c r="H11" s="213">
        <f>G11+7</f>
        <v>46057</v>
      </c>
      <c r="I11" s="215">
        <v>0</v>
      </c>
      <c r="J11" s="210" t="s">
        <v>49</v>
      </c>
      <c r="K11" s="103" t="s">
        <v>89</v>
      </c>
      <c r="L11" s="220"/>
      <c r="M11" s="220" t="s">
        <v>81</v>
      </c>
      <c r="N11" s="649"/>
      <c r="O11" s="211">
        <v>46050</v>
      </c>
      <c r="P11" s="220"/>
      <c r="Q11" s="220"/>
      <c r="R11" s="220"/>
      <c r="S11" s="210"/>
      <c r="T11" s="220"/>
      <c r="U11" s="213"/>
      <c r="V11" s="214"/>
      <c r="W11" s="214"/>
      <c r="X11" s="103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0"/>
      <c r="AS11" s="212" t="s">
        <v>82</v>
      </c>
    </row>
    <row r="12" spans="1:45" s="3" customFormat="1" ht="19.149999999999999" customHeight="1">
      <c r="A12" s="206">
        <v>9</v>
      </c>
      <c r="B12" s="206" t="s">
        <v>1596</v>
      </c>
      <c r="C12" s="207" t="s">
        <v>1621</v>
      </c>
      <c r="D12" s="158" t="s">
        <v>1622</v>
      </c>
      <c r="E12" s="207" t="s">
        <v>1623</v>
      </c>
      <c r="F12" s="214">
        <f t="shared" ref="F12" si="5">F11</f>
        <v>46055</v>
      </c>
      <c r="G12" s="221">
        <v>46055</v>
      </c>
      <c r="H12" s="213">
        <f>G12+7</f>
        <v>46062</v>
      </c>
      <c r="I12" s="215">
        <v>0</v>
      </c>
      <c r="J12" s="210" t="s">
        <v>49</v>
      </c>
      <c r="K12" s="103" t="s">
        <v>89</v>
      </c>
      <c r="L12" s="220"/>
      <c r="M12" s="220" t="s">
        <v>81</v>
      </c>
      <c r="N12" s="649"/>
      <c r="O12" s="211">
        <v>46055</v>
      </c>
      <c r="P12" s="220"/>
      <c r="Q12" s="220"/>
      <c r="R12" s="220"/>
      <c r="S12" s="210"/>
      <c r="T12" s="220"/>
      <c r="U12" s="213"/>
      <c r="V12" s="214"/>
      <c r="W12" s="214"/>
      <c r="X12" s="103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2" t="s">
        <v>82</v>
      </c>
    </row>
    <row r="13" spans="1:45" s="3" customFormat="1" ht="19.149999999999999" customHeight="1">
      <c r="A13" s="206">
        <v>10</v>
      </c>
      <c r="B13" s="206" t="s">
        <v>1596</v>
      </c>
      <c r="C13" s="207" t="s">
        <v>1624</v>
      </c>
      <c r="D13" s="158" t="s">
        <v>1625</v>
      </c>
      <c r="E13" s="207" t="s">
        <v>1626</v>
      </c>
      <c r="F13" s="214">
        <f t="shared" ref="F13" si="6">F12</f>
        <v>46055</v>
      </c>
      <c r="G13" s="221">
        <v>46055</v>
      </c>
      <c r="H13" s="213">
        <f>G13+7</f>
        <v>46062</v>
      </c>
      <c r="I13" s="215">
        <v>0</v>
      </c>
      <c r="J13" s="210" t="s">
        <v>49</v>
      </c>
      <c r="K13" s="103" t="s">
        <v>89</v>
      </c>
      <c r="L13" s="220"/>
      <c r="M13" s="220" t="s">
        <v>81</v>
      </c>
      <c r="N13" s="649"/>
      <c r="O13" s="211">
        <v>46055</v>
      </c>
      <c r="P13" s="220"/>
      <c r="Q13" s="220"/>
      <c r="R13" s="220"/>
      <c r="S13" s="210"/>
      <c r="T13" s="220"/>
      <c r="U13" s="213"/>
      <c r="V13" s="214"/>
      <c r="W13" s="214"/>
      <c r="X13" s="103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2" t="s">
        <v>82</v>
      </c>
    </row>
    <row r="14" spans="1:45" s="3" customFormat="1" ht="19.149999999999999" customHeight="1">
      <c r="A14" s="206">
        <v>11</v>
      </c>
      <c r="B14" s="206" t="s">
        <v>1596</v>
      </c>
      <c r="C14" s="207" t="s">
        <v>1627</v>
      </c>
      <c r="D14" s="158" t="s">
        <v>1628</v>
      </c>
      <c r="E14" s="207" t="s">
        <v>1629</v>
      </c>
      <c r="F14" s="214">
        <f t="shared" ref="F14" si="7">F13</f>
        <v>46055</v>
      </c>
      <c r="G14" s="221">
        <v>46058</v>
      </c>
      <c r="H14" s="213">
        <f t="shared" ref="H14" si="8">G14+7</f>
        <v>46065</v>
      </c>
      <c r="I14" s="215">
        <v>0</v>
      </c>
      <c r="J14" s="210" t="s">
        <v>49</v>
      </c>
      <c r="K14" s="103" t="s">
        <v>89</v>
      </c>
      <c r="L14" s="220"/>
      <c r="M14" s="220" t="s">
        <v>81</v>
      </c>
      <c r="N14" s="649"/>
      <c r="O14" s="211">
        <v>46058</v>
      </c>
      <c r="P14" s="220"/>
      <c r="Q14" s="220"/>
      <c r="R14" s="220"/>
      <c r="S14" s="210"/>
      <c r="T14" s="220"/>
      <c r="U14" s="213"/>
      <c r="V14" s="214"/>
      <c r="W14" s="214"/>
      <c r="X14" s="103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2" t="s">
        <v>82</v>
      </c>
    </row>
    <row r="15" spans="1:45" s="3" customFormat="1" ht="19.149999999999999" customHeight="1">
      <c r="A15" s="206">
        <v>12</v>
      </c>
      <c r="B15" s="206" t="s">
        <v>1596</v>
      </c>
      <c r="C15" s="207" t="s">
        <v>1630</v>
      </c>
      <c r="D15" s="158" t="s">
        <v>1631</v>
      </c>
      <c r="E15" s="207" t="s">
        <v>1632</v>
      </c>
      <c r="F15" s="214">
        <f t="shared" ref="F15" si="9">F14</f>
        <v>46055</v>
      </c>
      <c r="G15" s="221">
        <v>46060</v>
      </c>
      <c r="H15" s="213">
        <f t="shared" ref="H15" si="10">G15+7</f>
        <v>46067</v>
      </c>
      <c r="I15" s="215">
        <v>0</v>
      </c>
      <c r="J15" s="210" t="s">
        <v>49</v>
      </c>
      <c r="K15" s="103" t="s">
        <v>89</v>
      </c>
      <c r="L15" s="220"/>
      <c r="M15" s="220" t="s">
        <v>81</v>
      </c>
      <c r="N15" s="649"/>
      <c r="O15" s="211">
        <v>46060</v>
      </c>
      <c r="P15" s="220"/>
      <c r="Q15" s="220"/>
      <c r="R15" s="220"/>
      <c r="S15" s="210"/>
      <c r="T15" s="220"/>
      <c r="U15" s="213"/>
      <c r="V15" s="214"/>
      <c r="W15" s="214"/>
      <c r="X15" s="103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2" t="s">
        <v>82</v>
      </c>
    </row>
    <row r="16" spans="1:45" s="3" customFormat="1" ht="19.149999999999999" customHeight="1">
      <c r="A16" s="206">
        <v>13</v>
      </c>
      <c r="B16" s="206" t="s">
        <v>1596</v>
      </c>
      <c r="C16" s="207" t="s">
        <v>1633</v>
      </c>
      <c r="D16" s="158" t="s">
        <v>1634</v>
      </c>
      <c r="E16" s="207" t="s">
        <v>1635</v>
      </c>
      <c r="F16" s="214">
        <f t="shared" ref="F16:F17" si="11">F15</f>
        <v>46055</v>
      </c>
      <c r="G16" s="221">
        <v>46057</v>
      </c>
      <c r="H16" s="213">
        <f>G16+7</f>
        <v>46064</v>
      </c>
      <c r="I16" s="215">
        <v>0</v>
      </c>
      <c r="J16" s="210" t="s">
        <v>49</v>
      </c>
      <c r="K16" s="103" t="s">
        <v>89</v>
      </c>
      <c r="L16" s="220"/>
      <c r="M16" s="220" t="s">
        <v>81</v>
      </c>
      <c r="N16" s="649"/>
      <c r="O16" s="211">
        <v>46057</v>
      </c>
      <c r="P16" s="220"/>
      <c r="Q16" s="220"/>
      <c r="R16" s="220"/>
      <c r="S16" s="210"/>
      <c r="T16" s="220"/>
      <c r="U16" s="213"/>
      <c r="V16" s="214"/>
      <c r="W16" s="214"/>
      <c r="X16" s="103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2" t="s">
        <v>82</v>
      </c>
    </row>
    <row r="17" spans="1:45" s="3" customFormat="1" ht="19.149999999999999" customHeight="1">
      <c r="A17" s="206">
        <v>14</v>
      </c>
      <c r="B17" s="206" t="s">
        <v>1596</v>
      </c>
      <c r="C17" s="207" t="s">
        <v>1636</v>
      </c>
      <c r="D17" s="158" t="s">
        <v>1637</v>
      </c>
      <c r="E17" s="207" t="s">
        <v>1638</v>
      </c>
      <c r="F17" s="214">
        <f>F16</f>
        <v>46055</v>
      </c>
      <c r="G17" s="221">
        <v>46058</v>
      </c>
      <c r="H17" s="213">
        <f t="shared" ref="H17" si="12">G17+7</f>
        <v>46065</v>
      </c>
      <c r="I17" s="215">
        <v>0</v>
      </c>
      <c r="J17" s="210" t="s">
        <v>49</v>
      </c>
      <c r="K17" s="103" t="s">
        <v>89</v>
      </c>
      <c r="L17" s="220"/>
      <c r="M17" s="220" t="s">
        <v>81</v>
      </c>
      <c r="N17" s="649"/>
      <c r="O17" s="211">
        <v>46058</v>
      </c>
      <c r="P17" s="220"/>
      <c r="Q17" s="220"/>
      <c r="R17" s="220"/>
      <c r="S17" s="210"/>
      <c r="T17" s="220"/>
      <c r="U17" s="213"/>
      <c r="V17" s="214"/>
      <c r="W17" s="214"/>
      <c r="X17" s="103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2"/>
    </row>
    <row r="18" spans="1:45" s="3" customFormat="1" ht="19.149999999999999" customHeight="1">
      <c r="A18" s="206">
        <v>11</v>
      </c>
      <c r="B18" s="206" t="s">
        <v>1596</v>
      </c>
      <c r="C18" s="207" t="s">
        <v>1639</v>
      </c>
      <c r="D18" s="158" t="s">
        <v>1640</v>
      </c>
      <c r="E18" s="207" t="s">
        <v>1641</v>
      </c>
      <c r="F18" s="214">
        <f>F30+7</f>
        <v>46097</v>
      </c>
      <c r="G18" s="221"/>
      <c r="H18" s="213">
        <f t="shared" ref="H18:H30" si="13">G18+7</f>
        <v>7</v>
      </c>
      <c r="I18" s="215"/>
      <c r="J18" s="210"/>
      <c r="K18" s="103"/>
      <c r="L18" s="220"/>
      <c r="M18" s="220" t="s">
        <v>81</v>
      </c>
      <c r="N18" s="210"/>
      <c r="O18" s="211"/>
      <c r="P18" s="220"/>
      <c r="Q18" s="214"/>
      <c r="R18" s="214"/>
      <c r="S18" s="210"/>
      <c r="T18" s="220"/>
      <c r="U18" s="213"/>
      <c r="V18" s="214"/>
      <c r="W18" s="214"/>
      <c r="X18" s="103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2" t="s">
        <v>82</v>
      </c>
    </row>
    <row r="19" spans="1:45" s="3" customFormat="1" ht="19.149999999999999" customHeight="1">
      <c r="A19" s="206">
        <v>12</v>
      </c>
      <c r="B19" s="206" t="s">
        <v>1596</v>
      </c>
      <c r="C19" s="207" t="s">
        <v>1642</v>
      </c>
      <c r="D19" s="158" t="s">
        <v>1643</v>
      </c>
      <c r="E19" s="207" t="s">
        <v>1644</v>
      </c>
      <c r="F19" s="214">
        <f>F18</f>
        <v>46097</v>
      </c>
      <c r="G19" s="221"/>
      <c r="H19" s="213">
        <f t="shared" si="13"/>
        <v>7</v>
      </c>
      <c r="I19" s="206"/>
      <c r="J19" s="210"/>
      <c r="K19" s="103"/>
      <c r="L19" s="220"/>
      <c r="M19" s="220" t="s">
        <v>81</v>
      </c>
      <c r="N19" s="210"/>
      <c r="O19" s="211"/>
      <c r="P19" s="220"/>
      <c r="Q19" s="217"/>
      <c r="R19" s="217"/>
      <c r="S19" s="210"/>
      <c r="T19" s="220"/>
      <c r="U19" s="214"/>
      <c r="V19" s="214"/>
      <c r="W19" s="220"/>
      <c r="X19" s="210"/>
      <c r="Y19" s="210"/>
      <c r="Z19" s="210"/>
      <c r="AA19" s="210"/>
      <c r="AB19" s="210"/>
      <c r="AC19" s="210"/>
      <c r="AD19" s="210"/>
      <c r="AE19" s="210"/>
      <c r="AF19" s="210"/>
      <c r="AG19" s="207"/>
      <c r="AH19" s="210"/>
      <c r="AI19" s="210"/>
      <c r="AJ19" s="210"/>
      <c r="AK19" s="210"/>
      <c r="AL19" s="207"/>
      <c r="AM19" s="210"/>
      <c r="AN19" s="210"/>
      <c r="AO19" s="210"/>
      <c r="AP19" s="210"/>
      <c r="AQ19" s="207"/>
      <c r="AR19" s="210"/>
      <c r="AS19" s="212" t="s">
        <v>82</v>
      </c>
    </row>
    <row r="20" spans="1:45" s="3" customFormat="1" ht="19.149999999999999" customHeight="1">
      <c r="A20" s="206">
        <v>13</v>
      </c>
      <c r="B20" s="206" t="s">
        <v>1596</v>
      </c>
      <c r="C20" s="207" t="s">
        <v>1645</v>
      </c>
      <c r="D20" s="158" t="s">
        <v>1646</v>
      </c>
      <c r="E20" s="207" t="s">
        <v>1647</v>
      </c>
      <c r="F20" s="214">
        <f>F19</f>
        <v>46097</v>
      </c>
      <c r="G20" s="220"/>
      <c r="H20" s="213">
        <f t="shared" si="13"/>
        <v>7</v>
      </c>
      <c r="I20" s="210"/>
      <c r="J20" s="210"/>
      <c r="K20" s="103"/>
      <c r="L20" s="220"/>
      <c r="M20" s="220" t="s">
        <v>81</v>
      </c>
      <c r="N20" s="207"/>
      <c r="O20" s="211"/>
      <c r="P20" s="220"/>
      <c r="Q20" s="220"/>
      <c r="R20" s="220"/>
      <c r="S20" s="210"/>
      <c r="T20" s="220"/>
      <c r="U20" s="220"/>
      <c r="V20" s="220"/>
      <c r="W20" s="244"/>
      <c r="X20" s="210"/>
      <c r="Y20" s="213"/>
      <c r="Z20" s="213"/>
      <c r="AA20" s="213"/>
      <c r="AB20" s="213"/>
      <c r="AC20" s="210"/>
      <c r="AD20" s="210"/>
      <c r="AE20" s="210"/>
      <c r="AF20" s="207"/>
      <c r="AG20" s="207"/>
      <c r="AH20" s="207"/>
      <c r="AI20" s="210"/>
      <c r="AJ20" s="210"/>
      <c r="AK20" s="207"/>
      <c r="AL20" s="207"/>
      <c r="AM20" s="207"/>
      <c r="AN20" s="210"/>
      <c r="AO20" s="210"/>
      <c r="AP20" s="207"/>
      <c r="AQ20" s="207"/>
      <c r="AR20" s="207"/>
      <c r="AS20" s="212" t="s">
        <v>82</v>
      </c>
    </row>
    <row r="21" spans="1:45" s="3" customFormat="1" ht="19.149999999999999" customHeight="1">
      <c r="A21" s="206">
        <v>14</v>
      </c>
      <c r="B21" s="206" t="s">
        <v>1596</v>
      </c>
      <c r="C21" s="207" t="s">
        <v>1648</v>
      </c>
      <c r="D21" s="208" t="s">
        <v>1649</v>
      </c>
      <c r="E21" s="207" t="s">
        <v>1650</v>
      </c>
      <c r="F21" s="220">
        <f>F4+7</f>
        <v>46083</v>
      </c>
      <c r="G21" s="220"/>
      <c r="H21" s="213">
        <f t="shared" si="13"/>
        <v>7</v>
      </c>
      <c r="I21" s="206"/>
      <c r="J21" s="210"/>
      <c r="K21" s="103"/>
      <c r="L21" s="220"/>
      <c r="M21" s="220" t="s">
        <v>81</v>
      </c>
      <c r="N21" s="206"/>
      <c r="O21" s="220"/>
      <c r="P21" s="213"/>
      <c r="Q21" s="214"/>
      <c r="R21" s="214"/>
      <c r="S21" s="210"/>
      <c r="T21" s="220"/>
      <c r="U21" s="213"/>
      <c r="V21" s="214"/>
      <c r="W21" s="244"/>
      <c r="X21" s="210"/>
      <c r="Y21" s="210"/>
      <c r="Z21" s="210"/>
      <c r="AA21" s="210"/>
      <c r="AB21" s="210"/>
      <c r="AC21" s="210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12" t="s">
        <v>82</v>
      </c>
    </row>
    <row r="22" spans="1:45" s="3" customFormat="1" ht="19.149999999999999" customHeight="1">
      <c r="A22" s="206">
        <v>15</v>
      </c>
      <c r="B22" s="206" t="s">
        <v>1596</v>
      </c>
      <c r="C22" s="207" t="s">
        <v>1651</v>
      </c>
      <c r="D22" s="208" t="s">
        <v>1652</v>
      </c>
      <c r="E22" s="207" t="s">
        <v>1653</v>
      </c>
      <c r="F22" s="228">
        <f>F21+7</f>
        <v>46090</v>
      </c>
      <c r="G22" s="220"/>
      <c r="H22" s="213">
        <f t="shared" si="13"/>
        <v>7</v>
      </c>
      <c r="I22" s="206"/>
      <c r="J22" s="210"/>
      <c r="K22" s="103"/>
      <c r="L22" s="220"/>
      <c r="M22" s="220" t="s">
        <v>81</v>
      </c>
      <c r="N22" s="206"/>
      <c r="O22" s="211"/>
      <c r="P22" s="220"/>
      <c r="Q22" s="214"/>
      <c r="R22" s="214"/>
      <c r="S22" s="210"/>
      <c r="T22" s="220"/>
      <c r="U22" s="220"/>
      <c r="V22" s="220"/>
      <c r="W22" s="220"/>
      <c r="X22" s="210"/>
      <c r="Y22" s="220"/>
      <c r="Z22" s="220"/>
      <c r="AA22" s="220"/>
      <c r="AB22" s="220"/>
      <c r="AC22" s="210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12" t="s">
        <v>82</v>
      </c>
    </row>
    <row r="23" spans="1:45" s="3" customFormat="1" ht="19.149999999999999" customHeight="1">
      <c r="A23" s="206">
        <v>16</v>
      </c>
      <c r="B23" s="206" t="s">
        <v>1596</v>
      </c>
      <c r="C23" s="207" t="s">
        <v>1654</v>
      </c>
      <c r="D23" s="158" t="s">
        <v>1655</v>
      </c>
      <c r="E23" s="207" t="s">
        <v>1656</v>
      </c>
      <c r="F23" s="220">
        <f>F24+21</f>
        <v>46062</v>
      </c>
      <c r="G23" s="220"/>
      <c r="H23" s="213">
        <f t="shared" si="13"/>
        <v>7</v>
      </c>
      <c r="I23" s="210"/>
      <c r="J23" s="210"/>
      <c r="K23" s="103"/>
      <c r="L23" s="220"/>
      <c r="M23" s="220" t="s">
        <v>81</v>
      </c>
      <c r="N23" s="206"/>
      <c r="O23" s="211"/>
      <c r="P23" s="220"/>
      <c r="Q23" s="220"/>
      <c r="R23" s="214"/>
      <c r="S23" s="210"/>
      <c r="T23" s="220"/>
      <c r="U23" s="220"/>
      <c r="V23" s="220"/>
      <c r="W23" s="22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2" t="s">
        <v>82</v>
      </c>
    </row>
    <row r="24" spans="1:45" s="3" customFormat="1" ht="19.149999999999999" customHeight="1">
      <c r="A24" s="206">
        <v>17</v>
      </c>
      <c r="B24" s="206" t="s">
        <v>1596</v>
      </c>
      <c r="C24" s="207" t="s">
        <v>1657</v>
      </c>
      <c r="D24" s="208" t="s">
        <v>1658</v>
      </c>
      <c r="E24" s="207" t="s">
        <v>1659</v>
      </c>
      <c r="F24" s="629">
        <v>46041</v>
      </c>
      <c r="G24" s="228"/>
      <c r="H24" s="213">
        <f t="shared" si="13"/>
        <v>7</v>
      </c>
      <c r="I24" s="206"/>
      <c r="J24" s="210"/>
      <c r="K24" s="103"/>
      <c r="L24" s="220"/>
      <c r="M24" s="220" t="s">
        <v>81</v>
      </c>
      <c r="N24" s="206"/>
      <c r="O24" s="211"/>
      <c r="P24" s="220"/>
      <c r="Q24" s="213"/>
      <c r="R24" s="214"/>
      <c r="S24" s="210"/>
      <c r="T24" s="220"/>
      <c r="U24" s="220"/>
      <c r="V24" s="220"/>
      <c r="W24" s="22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2" t="s">
        <v>82</v>
      </c>
    </row>
    <row r="25" spans="1:45" s="3" customFormat="1" ht="19.149999999999999" customHeight="1">
      <c r="A25" s="206">
        <v>18</v>
      </c>
      <c r="B25" s="206" t="s">
        <v>1596</v>
      </c>
      <c r="C25" s="207" t="s">
        <v>1660</v>
      </c>
      <c r="D25" s="208" t="s">
        <v>1658</v>
      </c>
      <c r="E25" s="207" t="s">
        <v>1661</v>
      </c>
      <c r="F25" s="629">
        <v>46041</v>
      </c>
      <c r="G25" s="228"/>
      <c r="H25" s="213">
        <f>G25+7</f>
        <v>7</v>
      </c>
      <c r="I25" s="206"/>
      <c r="J25" s="210"/>
      <c r="K25" s="103"/>
      <c r="L25" s="220"/>
      <c r="M25" s="220"/>
      <c r="N25" s="206"/>
      <c r="O25" s="211"/>
      <c r="P25" s="220"/>
      <c r="Q25" s="213"/>
      <c r="R25" s="213"/>
      <c r="S25" s="210"/>
      <c r="T25" s="220"/>
      <c r="U25" s="220"/>
      <c r="V25" s="220"/>
      <c r="W25" s="22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2"/>
    </row>
    <row r="26" spans="1:45" s="3" customFormat="1" ht="19.149999999999999" customHeight="1">
      <c r="A26" s="206">
        <v>18</v>
      </c>
      <c r="B26" s="206" t="s">
        <v>1596</v>
      </c>
      <c r="C26" s="207" t="s">
        <v>1662</v>
      </c>
      <c r="D26" s="208" t="s">
        <v>1663</v>
      </c>
      <c r="E26" s="207" t="s">
        <v>1661</v>
      </c>
      <c r="F26" s="209">
        <f>F30+7</f>
        <v>46097</v>
      </c>
      <c r="G26" s="221"/>
      <c r="H26" s="213">
        <f t="shared" si="13"/>
        <v>7</v>
      </c>
      <c r="I26" s="206"/>
      <c r="J26" s="210"/>
      <c r="K26" s="103"/>
      <c r="L26" s="220"/>
      <c r="M26" s="220" t="s">
        <v>81</v>
      </c>
      <c r="N26" s="206"/>
      <c r="O26" s="211"/>
      <c r="P26" s="220"/>
      <c r="Q26" s="217"/>
      <c r="R26" s="217"/>
      <c r="S26" s="210"/>
      <c r="T26" s="220"/>
      <c r="U26" s="214"/>
      <c r="V26" s="213"/>
      <c r="W26" s="214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2" t="s">
        <v>82</v>
      </c>
    </row>
    <row r="27" spans="1:45" s="3" customFormat="1" ht="19.149999999999999" customHeight="1">
      <c r="A27" s="206">
        <v>19</v>
      </c>
      <c r="B27" s="206" t="s">
        <v>1596</v>
      </c>
      <c r="C27" s="207" t="s">
        <v>1664</v>
      </c>
      <c r="D27" s="158" t="s">
        <v>1665</v>
      </c>
      <c r="E27" s="207" t="s">
        <v>1666</v>
      </c>
      <c r="F27" s="209">
        <f>F26</f>
        <v>46097</v>
      </c>
      <c r="G27" s="220"/>
      <c r="H27" s="213">
        <f t="shared" si="13"/>
        <v>7</v>
      </c>
      <c r="I27" s="206"/>
      <c r="J27" s="210"/>
      <c r="K27" s="103"/>
      <c r="L27" s="220"/>
      <c r="M27" s="220" t="s">
        <v>81</v>
      </c>
      <c r="N27" s="206"/>
      <c r="O27" s="211"/>
      <c r="P27" s="214"/>
      <c r="Q27" s="213"/>
      <c r="R27" s="214"/>
      <c r="S27" s="210"/>
      <c r="T27" s="22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2" t="s">
        <v>82</v>
      </c>
    </row>
    <row r="28" spans="1:45" s="3" customFormat="1" ht="19.149999999999999" customHeight="1">
      <c r="A28" s="206">
        <v>20</v>
      </c>
      <c r="B28" s="206" t="s">
        <v>1596</v>
      </c>
      <c r="C28" s="207" t="s">
        <v>1667</v>
      </c>
      <c r="D28" s="158" t="s">
        <v>1668</v>
      </c>
      <c r="E28" s="207" t="s">
        <v>1669</v>
      </c>
      <c r="F28" s="209">
        <f>F27</f>
        <v>46097</v>
      </c>
      <c r="G28" s="221"/>
      <c r="H28" s="213">
        <f t="shared" si="13"/>
        <v>7</v>
      </c>
      <c r="I28" s="206"/>
      <c r="J28" s="210"/>
      <c r="K28" s="103"/>
      <c r="L28" s="220"/>
      <c r="M28" s="220" t="s">
        <v>81</v>
      </c>
      <c r="N28" s="206"/>
      <c r="O28" s="211"/>
      <c r="P28" s="214"/>
      <c r="Q28" s="220"/>
      <c r="R28" s="210"/>
      <c r="S28" s="210"/>
      <c r="T28" s="220"/>
      <c r="U28" s="220"/>
      <c r="V28" s="220"/>
      <c r="W28" s="220"/>
      <c r="X28" s="220"/>
      <c r="Y28" s="220"/>
      <c r="Z28" s="220"/>
      <c r="AA28" s="220"/>
      <c r="AB28" s="220"/>
      <c r="AC28" s="210"/>
      <c r="AD28" s="220"/>
      <c r="AE28" s="220"/>
      <c r="AF28" s="220"/>
      <c r="AG28" s="220"/>
      <c r="AH28" s="210"/>
      <c r="AI28" s="220"/>
      <c r="AJ28" s="220"/>
      <c r="AK28" s="220"/>
      <c r="AL28" s="220"/>
      <c r="AM28" s="210"/>
      <c r="AN28" s="210"/>
      <c r="AO28" s="210"/>
      <c r="AP28" s="210"/>
      <c r="AQ28" s="210"/>
      <c r="AR28" s="210"/>
      <c r="AS28" s="212" t="s">
        <v>82</v>
      </c>
    </row>
    <row r="29" spans="1:45" s="3" customFormat="1" ht="19.149999999999999" customHeight="1">
      <c r="A29" s="206">
        <v>21</v>
      </c>
      <c r="B29" s="206" t="s">
        <v>1596</v>
      </c>
      <c r="C29" s="207" t="s">
        <v>1670</v>
      </c>
      <c r="D29" s="208" t="s">
        <v>1671</v>
      </c>
      <c r="E29" s="207" t="s">
        <v>1672</v>
      </c>
      <c r="F29" s="214">
        <f>F23+21</f>
        <v>46083</v>
      </c>
      <c r="G29" s="214"/>
      <c r="H29" s="213">
        <f t="shared" si="13"/>
        <v>7</v>
      </c>
      <c r="I29" s="206"/>
      <c r="J29" s="210"/>
      <c r="K29" s="103"/>
      <c r="L29" s="220"/>
      <c r="M29" s="220" t="s">
        <v>81</v>
      </c>
      <c r="N29" s="206"/>
      <c r="O29" s="211"/>
      <c r="P29" s="220"/>
      <c r="Q29" s="213"/>
      <c r="R29" s="220"/>
      <c r="S29" s="210"/>
      <c r="T29" s="220"/>
      <c r="U29" s="220"/>
      <c r="V29" s="210"/>
      <c r="W29" s="210"/>
      <c r="X29" s="210"/>
      <c r="Y29" s="220"/>
      <c r="Z29" s="220"/>
      <c r="AA29" s="210"/>
      <c r="AB29" s="210"/>
      <c r="AC29" s="210"/>
      <c r="AD29" s="220"/>
      <c r="AE29" s="220"/>
      <c r="AF29" s="220"/>
      <c r="AG29" s="22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2" t="s">
        <v>82</v>
      </c>
    </row>
    <row r="30" spans="1:45" s="3" customFormat="1" ht="19.149999999999999" customHeight="1">
      <c r="A30" s="206">
        <v>22</v>
      </c>
      <c r="B30" s="206" t="s">
        <v>1596</v>
      </c>
      <c r="C30" s="207" t="s">
        <v>1673</v>
      </c>
      <c r="D30" s="410" t="s">
        <v>1674</v>
      </c>
      <c r="E30" s="207" t="s">
        <v>1675</v>
      </c>
      <c r="F30" s="212">
        <f>F29+7</f>
        <v>46090</v>
      </c>
      <c r="G30" s="220"/>
      <c r="H30" s="213">
        <f t="shared" si="13"/>
        <v>7</v>
      </c>
      <c r="I30" s="206"/>
      <c r="J30" s="210"/>
      <c r="K30" s="103"/>
      <c r="L30" s="220"/>
      <c r="M30" s="220" t="s">
        <v>81</v>
      </c>
      <c r="N30" s="216"/>
      <c r="O30" s="211"/>
      <c r="P30" s="220"/>
      <c r="Q30" s="220"/>
      <c r="R30" s="220"/>
      <c r="S30" s="210"/>
      <c r="T30" s="22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0"/>
      <c r="AH30" s="210"/>
      <c r="AI30" s="210"/>
      <c r="AJ30" s="210"/>
      <c r="AK30" s="210"/>
      <c r="AL30" s="210"/>
      <c r="AM30" s="210"/>
      <c r="AN30" s="210"/>
      <c r="AO30" s="210"/>
      <c r="AP30" s="210"/>
      <c r="AQ30" s="210"/>
      <c r="AR30" s="210"/>
      <c r="AS30" s="212" t="s">
        <v>82</v>
      </c>
    </row>
    <row r="31" spans="1:45" s="170" customFormat="1">
      <c r="A31" s="258"/>
      <c r="B31" s="258"/>
      <c r="C31" s="258"/>
      <c r="D31" s="258"/>
      <c r="E31" s="258"/>
      <c r="F31" s="258"/>
      <c r="G31" s="259"/>
      <c r="H31" s="258"/>
      <c r="I31" s="258"/>
      <c r="J31" s="258"/>
      <c r="K31" s="258"/>
      <c r="L31" s="258"/>
      <c r="M31" s="258"/>
      <c r="N31" s="258"/>
      <c r="O31" s="260"/>
      <c r="P31" s="259"/>
      <c r="Q31" s="258"/>
      <c r="R31" s="258"/>
      <c r="S31" s="258"/>
      <c r="T31" s="259"/>
      <c r="U31" s="258"/>
      <c r="V31" s="258"/>
      <c r="W31" s="258"/>
      <c r="X31" s="258"/>
      <c r="Y31" s="258"/>
      <c r="Z31" s="258"/>
      <c r="AA31" s="258"/>
      <c r="AB31" s="258"/>
      <c r="AC31" s="258"/>
      <c r="AD31" s="258"/>
      <c r="AE31" s="258"/>
      <c r="AF31" s="258"/>
      <c r="AG31" s="258"/>
      <c r="AH31" s="258"/>
      <c r="AI31" s="258"/>
      <c r="AJ31" s="258"/>
      <c r="AK31" s="258"/>
      <c r="AL31" s="258"/>
      <c r="AM31" s="258"/>
      <c r="AN31" s="258"/>
      <c r="AO31" s="258"/>
      <c r="AP31" s="258"/>
      <c r="AQ31" s="258"/>
      <c r="AR31" s="258"/>
      <c r="AS31" s="258"/>
    </row>
    <row r="32" spans="1:45" s="170" customFormat="1">
      <c r="A32" s="258"/>
      <c r="B32" s="258"/>
      <c r="C32" s="258"/>
      <c r="D32" s="258"/>
      <c r="E32" s="258"/>
      <c r="F32" s="258"/>
      <c r="G32" s="259"/>
      <c r="H32" s="258"/>
      <c r="I32" s="258"/>
      <c r="J32" s="258"/>
      <c r="K32" s="258"/>
      <c r="L32" s="258"/>
      <c r="M32" s="258"/>
      <c r="N32" s="258"/>
      <c r="O32" s="260"/>
      <c r="P32" s="259"/>
      <c r="Q32" s="258"/>
      <c r="R32" s="258"/>
      <c r="S32" s="258"/>
      <c r="T32" s="259"/>
      <c r="U32" s="258"/>
      <c r="V32" s="258"/>
      <c r="W32" s="258"/>
      <c r="X32" s="258"/>
      <c r="Y32" s="258"/>
      <c r="Z32" s="258"/>
      <c r="AA32" s="258"/>
      <c r="AB32" s="258"/>
      <c r="AC32" s="258"/>
      <c r="AD32" s="258"/>
      <c r="AE32" s="258"/>
      <c r="AF32" s="258"/>
      <c r="AG32" s="258"/>
      <c r="AH32" s="258"/>
      <c r="AI32" s="258"/>
      <c r="AJ32" s="258"/>
      <c r="AK32" s="258"/>
      <c r="AL32" s="258"/>
      <c r="AM32" s="258"/>
      <c r="AN32" s="258"/>
      <c r="AO32" s="258"/>
      <c r="AP32" s="258"/>
      <c r="AQ32" s="258"/>
      <c r="AR32" s="258"/>
      <c r="AS32" s="258"/>
    </row>
    <row r="33" spans="1:45" s="170" customFormat="1">
      <c r="A33" s="258"/>
      <c r="B33" s="258"/>
      <c r="C33" s="258"/>
      <c r="D33" s="258"/>
      <c r="E33" s="258"/>
      <c r="F33" s="258"/>
      <c r="G33" s="259"/>
      <c r="H33" s="258"/>
      <c r="I33" s="258"/>
      <c r="J33" s="258"/>
      <c r="K33" s="258"/>
      <c r="L33" s="258"/>
      <c r="M33" s="258"/>
      <c r="N33" s="258"/>
      <c r="O33" s="260"/>
      <c r="P33" s="259"/>
      <c r="Q33" s="258"/>
      <c r="R33" s="258"/>
      <c r="S33" s="258"/>
      <c r="T33" s="259"/>
      <c r="U33" s="258"/>
      <c r="V33" s="258"/>
      <c r="W33" s="258"/>
      <c r="X33" s="258"/>
      <c r="Y33" s="258"/>
      <c r="Z33" s="258"/>
      <c r="AA33" s="258"/>
      <c r="AB33" s="258"/>
      <c r="AC33" s="258"/>
      <c r="AD33" s="258"/>
      <c r="AE33" s="258"/>
      <c r="AF33" s="258"/>
      <c r="AG33" s="258"/>
      <c r="AH33" s="258"/>
      <c r="AI33" s="258"/>
      <c r="AJ33" s="258"/>
      <c r="AK33" s="258"/>
      <c r="AL33" s="258"/>
      <c r="AM33" s="258"/>
      <c r="AN33" s="258"/>
      <c r="AO33" s="258"/>
      <c r="AP33" s="258"/>
      <c r="AQ33" s="258"/>
      <c r="AR33" s="258"/>
      <c r="AS33" s="258"/>
    </row>
    <row r="34" spans="1:45" s="170" customFormat="1">
      <c r="A34" s="258"/>
      <c r="B34" s="258"/>
      <c r="C34" s="258"/>
      <c r="D34" s="258"/>
      <c r="E34" s="258"/>
      <c r="F34" s="258"/>
      <c r="G34" s="259"/>
      <c r="H34" s="258"/>
      <c r="I34" s="258"/>
      <c r="J34" s="258"/>
      <c r="K34" s="258"/>
      <c r="L34" s="258"/>
      <c r="M34" s="258"/>
      <c r="N34" s="258"/>
      <c r="O34" s="260"/>
      <c r="P34" s="259"/>
      <c r="Q34" s="258"/>
      <c r="R34" s="258"/>
      <c r="S34" s="258"/>
      <c r="T34" s="259"/>
      <c r="U34" s="258"/>
      <c r="V34" s="258"/>
      <c r="W34" s="258"/>
      <c r="X34" s="258"/>
      <c r="Y34" s="258"/>
      <c r="Z34" s="258"/>
      <c r="AA34" s="258"/>
      <c r="AB34" s="258"/>
      <c r="AC34" s="258"/>
      <c r="AD34" s="258"/>
      <c r="AE34" s="258"/>
      <c r="AF34" s="258"/>
      <c r="AG34" s="258"/>
      <c r="AH34" s="258"/>
      <c r="AI34" s="258"/>
      <c r="AJ34" s="258"/>
      <c r="AK34" s="258"/>
      <c r="AL34" s="258"/>
      <c r="AM34" s="258"/>
      <c r="AN34" s="258"/>
      <c r="AO34" s="258"/>
      <c r="AP34" s="258"/>
      <c r="AQ34" s="258"/>
      <c r="AR34" s="258"/>
      <c r="AS34" s="258"/>
    </row>
    <row r="35" spans="1:45" s="170" customFormat="1">
      <c r="A35" s="258"/>
      <c r="B35" s="258"/>
      <c r="C35" s="258"/>
      <c r="D35" s="258"/>
      <c r="E35" s="258"/>
      <c r="F35" s="258"/>
      <c r="G35" s="259"/>
      <c r="H35" s="258"/>
      <c r="I35" s="258"/>
      <c r="J35" s="258"/>
      <c r="K35" s="258"/>
      <c r="L35" s="258"/>
      <c r="M35" s="258"/>
      <c r="N35" s="258"/>
      <c r="O35" s="260"/>
      <c r="P35" s="259"/>
      <c r="Q35" s="258"/>
      <c r="R35" s="258"/>
      <c r="S35" s="258"/>
      <c r="T35" s="259"/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258"/>
      <c r="AI35" s="258"/>
      <c r="AJ35" s="258"/>
      <c r="AK35" s="258"/>
      <c r="AL35" s="258"/>
      <c r="AM35" s="258"/>
      <c r="AN35" s="258"/>
      <c r="AO35" s="258"/>
      <c r="AP35" s="258"/>
      <c r="AQ35" s="258"/>
      <c r="AR35" s="258"/>
      <c r="AS35" s="258"/>
    </row>
    <row r="36" spans="1:45" s="170" customFormat="1">
      <c r="A36" s="258"/>
      <c r="B36" s="258"/>
      <c r="C36" s="258"/>
      <c r="D36" s="258"/>
      <c r="E36" s="258"/>
      <c r="F36" s="258"/>
      <c r="G36" s="259"/>
      <c r="H36" s="258"/>
      <c r="I36" s="258"/>
      <c r="J36" s="258"/>
      <c r="K36" s="258"/>
      <c r="L36" s="258"/>
      <c r="M36" s="258"/>
      <c r="N36" s="258"/>
      <c r="O36" s="260"/>
      <c r="P36" s="259"/>
      <c r="Q36" s="258"/>
      <c r="R36" s="258"/>
      <c r="S36" s="258"/>
      <c r="T36" s="259"/>
      <c r="U36" s="258"/>
      <c r="V36" s="258"/>
      <c r="W36" s="258"/>
      <c r="X36" s="258"/>
      <c r="Y36" s="258"/>
      <c r="Z36" s="258"/>
      <c r="AA36" s="258"/>
      <c r="AB36" s="258"/>
      <c r="AC36" s="258"/>
      <c r="AD36" s="258"/>
      <c r="AE36" s="258"/>
      <c r="AF36" s="258"/>
      <c r="AG36" s="258"/>
      <c r="AH36" s="258"/>
      <c r="AI36" s="258"/>
      <c r="AJ36" s="258"/>
      <c r="AK36" s="258"/>
      <c r="AL36" s="258"/>
      <c r="AM36" s="258"/>
      <c r="AN36" s="258"/>
      <c r="AO36" s="258"/>
      <c r="AP36" s="258"/>
      <c r="AQ36" s="258"/>
      <c r="AR36" s="258"/>
      <c r="AS36" s="258"/>
    </row>
    <row r="37" spans="1:45" s="170" customFormat="1">
      <c r="A37" s="258"/>
      <c r="B37" s="258"/>
      <c r="C37" s="258"/>
      <c r="D37" s="258"/>
      <c r="E37" s="258"/>
      <c r="F37" s="258"/>
      <c r="G37" s="259"/>
      <c r="H37" s="258"/>
      <c r="I37" s="258"/>
      <c r="J37" s="258"/>
      <c r="K37" s="258"/>
      <c r="L37" s="258"/>
      <c r="M37" s="258"/>
      <c r="N37" s="258"/>
      <c r="O37" s="260"/>
      <c r="P37" s="259"/>
      <c r="Q37" s="258"/>
      <c r="R37" s="258"/>
      <c r="S37" s="258"/>
      <c r="T37" s="259"/>
      <c r="U37" s="258"/>
      <c r="V37" s="258"/>
      <c r="W37" s="258"/>
      <c r="X37" s="258"/>
      <c r="Y37" s="258"/>
      <c r="Z37" s="258"/>
      <c r="AA37" s="258"/>
      <c r="AB37" s="258"/>
      <c r="AC37" s="258"/>
      <c r="AD37" s="258"/>
      <c r="AE37" s="258"/>
      <c r="AF37" s="258"/>
      <c r="AG37" s="258"/>
      <c r="AH37" s="258"/>
      <c r="AI37" s="258"/>
      <c r="AJ37" s="258"/>
      <c r="AK37" s="258"/>
      <c r="AL37" s="258"/>
      <c r="AM37" s="258"/>
      <c r="AN37" s="258"/>
      <c r="AO37" s="258"/>
      <c r="AP37" s="258"/>
      <c r="AQ37" s="258"/>
      <c r="AR37" s="258"/>
      <c r="AS37" s="258"/>
    </row>
    <row r="38" spans="1:45" s="170" customFormat="1">
      <c r="A38" s="258"/>
      <c r="B38" s="258"/>
      <c r="C38" s="258"/>
      <c r="D38" s="258"/>
      <c r="E38" s="258"/>
      <c r="F38" s="258"/>
      <c r="G38" s="259"/>
      <c r="H38" s="258"/>
      <c r="I38" s="258"/>
      <c r="J38" s="258"/>
      <c r="K38" s="258"/>
      <c r="L38" s="258"/>
      <c r="M38" s="258"/>
      <c r="N38" s="258"/>
      <c r="O38" s="260"/>
      <c r="P38" s="259"/>
      <c r="Q38" s="258"/>
      <c r="R38" s="258"/>
      <c r="S38" s="258"/>
      <c r="T38" s="259"/>
      <c r="U38" s="258"/>
      <c r="V38" s="258"/>
      <c r="W38" s="258"/>
      <c r="X38" s="258"/>
      <c r="Y38" s="258"/>
      <c r="Z38" s="258"/>
      <c r="AA38" s="258"/>
      <c r="AB38" s="258"/>
      <c r="AC38" s="258"/>
      <c r="AD38" s="258"/>
      <c r="AE38" s="258"/>
      <c r="AF38" s="258"/>
      <c r="AG38" s="258"/>
      <c r="AH38" s="258"/>
      <c r="AI38" s="258"/>
      <c r="AJ38" s="258"/>
      <c r="AK38" s="258"/>
      <c r="AL38" s="258"/>
      <c r="AM38" s="258"/>
      <c r="AN38" s="258"/>
      <c r="AO38" s="258"/>
      <c r="AP38" s="258"/>
      <c r="AQ38" s="258"/>
      <c r="AR38" s="258"/>
      <c r="AS38" s="258"/>
    </row>
    <row r="39" spans="1:45" s="170" customFormat="1">
      <c r="A39" s="258"/>
      <c r="B39" s="258"/>
      <c r="C39" s="258"/>
      <c r="D39" s="258"/>
      <c r="E39" s="258"/>
      <c r="F39" s="258"/>
      <c r="G39" s="259"/>
      <c r="H39" s="258"/>
      <c r="I39" s="258"/>
      <c r="J39" s="258"/>
      <c r="K39" s="258"/>
      <c r="L39" s="258"/>
      <c r="M39" s="258"/>
      <c r="N39" s="258"/>
      <c r="O39" s="260"/>
      <c r="P39" s="259"/>
      <c r="Q39" s="258"/>
      <c r="R39" s="258"/>
      <c r="S39" s="258"/>
      <c r="T39" s="259"/>
      <c r="U39" s="258"/>
      <c r="V39" s="258"/>
      <c r="W39" s="258"/>
      <c r="X39" s="258"/>
      <c r="Y39" s="258"/>
      <c r="Z39" s="258"/>
      <c r="AA39" s="258"/>
      <c r="AB39" s="258"/>
      <c r="AC39" s="258"/>
      <c r="AD39" s="258"/>
      <c r="AE39" s="258"/>
      <c r="AF39" s="258"/>
      <c r="AG39" s="258"/>
      <c r="AH39" s="258"/>
      <c r="AI39" s="258"/>
      <c r="AJ39" s="258"/>
      <c r="AK39" s="258"/>
      <c r="AL39" s="258"/>
      <c r="AM39" s="258"/>
      <c r="AN39" s="258"/>
      <c r="AO39" s="258"/>
      <c r="AP39" s="258"/>
      <c r="AQ39" s="258"/>
      <c r="AR39" s="258"/>
      <c r="AS39" s="258"/>
    </row>
    <row r="40" spans="1:45" s="170" customFormat="1">
      <c r="A40" s="258"/>
      <c r="B40" s="258"/>
      <c r="C40" s="258"/>
      <c r="D40" s="258"/>
      <c r="E40" s="258"/>
      <c r="F40" s="258"/>
      <c r="G40" s="259"/>
      <c r="H40" s="258"/>
      <c r="I40" s="258"/>
      <c r="J40" s="258"/>
      <c r="K40" s="258"/>
      <c r="L40" s="258"/>
      <c r="M40" s="258"/>
      <c r="N40" s="258"/>
      <c r="O40" s="260"/>
      <c r="P40" s="259"/>
      <c r="Q40" s="258"/>
      <c r="R40" s="258"/>
      <c r="S40" s="258"/>
      <c r="T40" s="259"/>
      <c r="U40" s="258"/>
      <c r="V40" s="258"/>
      <c r="W40" s="258"/>
      <c r="X40" s="258"/>
      <c r="Y40" s="258"/>
      <c r="Z40" s="258"/>
      <c r="AA40" s="258"/>
      <c r="AB40" s="258"/>
      <c r="AC40" s="258"/>
      <c r="AD40" s="258"/>
      <c r="AE40" s="258"/>
      <c r="AF40" s="258"/>
      <c r="AG40" s="258"/>
      <c r="AH40" s="258"/>
      <c r="AI40" s="258"/>
      <c r="AJ40" s="258"/>
      <c r="AK40" s="258"/>
      <c r="AL40" s="258"/>
      <c r="AM40" s="258"/>
      <c r="AN40" s="258"/>
      <c r="AO40" s="258"/>
      <c r="AP40" s="258"/>
      <c r="AQ40" s="258"/>
      <c r="AR40" s="258"/>
      <c r="AS40" s="258"/>
    </row>
    <row r="41" spans="1:45" s="170" customFormat="1">
      <c r="A41" s="258"/>
      <c r="B41" s="258"/>
      <c r="C41" s="258"/>
      <c r="D41" s="258"/>
      <c r="E41" s="258"/>
      <c r="F41" s="258"/>
      <c r="G41" s="259"/>
      <c r="H41" s="258"/>
      <c r="I41" s="258"/>
      <c r="J41" s="258"/>
      <c r="K41" s="258"/>
      <c r="L41" s="258"/>
      <c r="M41" s="258"/>
      <c r="N41" s="258"/>
      <c r="O41" s="260"/>
      <c r="P41" s="259"/>
      <c r="Q41" s="258"/>
      <c r="R41" s="258"/>
      <c r="S41" s="258"/>
      <c r="T41" s="259"/>
      <c r="U41" s="258"/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8"/>
      <c r="AG41" s="258"/>
      <c r="AH41" s="258"/>
      <c r="AI41" s="258"/>
      <c r="AJ41" s="258"/>
      <c r="AK41" s="258"/>
      <c r="AL41" s="258"/>
      <c r="AM41" s="258"/>
      <c r="AN41" s="258"/>
      <c r="AO41" s="258"/>
      <c r="AP41" s="258"/>
      <c r="AQ41" s="258"/>
      <c r="AR41" s="258"/>
      <c r="AS41" s="258"/>
    </row>
    <row r="42" spans="1:45" s="170" customFormat="1">
      <c r="A42" s="258"/>
      <c r="B42" s="258"/>
      <c r="C42" s="258"/>
      <c r="D42" s="258"/>
      <c r="E42" s="258"/>
      <c r="F42" s="258"/>
      <c r="G42" s="259"/>
      <c r="H42" s="258"/>
      <c r="I42" s="258"/>
      <c r="J42" s="258"/>
      <c r="K42" s="258"/>
      <c r="L42" s="258"/>
      <c r="M42" s="258"/>
      <c r="N42" s="258"/>
      <c r="O42" s="260"/>
      <c r="P42" s="259"/>
      <c r="Q42" s="258"/>
      <c r="R42" s="258"/>
      <c r="S42" s="258"/>
      <c r="T42" s="259"/>
      <c r="U42" s="258"/>
      <c r="V42" s="258"/>
      <c r="W42" s="258"/>
      <c r="X42" s="258"/>
      <c r="Y42" s="258"/>
      <c r="Z42" s="258"/>
      <c r="AA42" s="258"/>
      <c r="AB42" s="258"/>
      <c r="AC42" s="258"/>
      <c r="AD42" s="258"/>
      <c r="AE42" s="258"/>
      <c r="AF42" s="258"/>
      <c r="AG42" s="258"/>
      <c r="AH42" s="258"/>
      <c r="AI42" s="258"/>
      <c r="AJ42" s="258"/>
      <c r="AK42" s="258"/>
      <c r="AL42" s="258"/>
      <c r="AM42" s="258"/>
      <c r="AN42" s="258"/>
      <c r="AO42" s="258"/>
      <c r="AP42" s="258"/>
      <c r="AQ42" s="258"/>
      <c r="AR42" s="258"/>
      <c r="AS42" s="258"/>
    </row>
    <row r="43" spans="1:45" s="170" customFormat="1">
      <c r="A43" s="258"/>
      <c r="B43" s="258"/>
      <c r="C43" s="258"/>
      <c r="D43" s="258"/>
      <c r="E43" s="258"/>
      <c r="F43" s="258"/>
      <c r="G43" s="259"/>
      <c r="H43" s="258"/>
      <c r="I43" s="258"/>
      <c r="J43" s="258"/>
      <c r="K43" s="258"/>
      <c r="L43" s="258"/>
      <c r="M43" s="258"/>
      <c r="N43" s="258"/>
      <c r="O43" s="260"/>
      <c r="P43" s="259"/>
      <c r="Q43" s="258"/>
      <c r="R43" s="258"/>
      <c r="S43" s="258"/>
      <c r="T43" s="259"/>
      <c r="U43" s="258"/>
      <c r="V43" s="258"/>
      <c r="W43" s="258"/>
      <c r="X43" s="258"/>
      <c r="Y43" s="258"/>
      <c r="Z43" s="258"/>
      <c r="AA43" s="258"/>
      <c r="AB43" s="258"/>
      <c r="AC43" s="258"/>
      <c r="AD43" s="258"/>
      <c r="AE43" s="258"/>
      <c r="AF43" s="258"/>
      <c r="AG43" s="258"/>
      <c r="AH43" s="258"/>
      <c r="AI43" s="258"/>
      <c r="AJ43" s="258"/>
      <c r="AK43" s="258"/>
      <c r="AL43" s="258"/>
      <c r="AM43" s="258"/>
      <c r="AN43" s="258"/>
      <c r="AO43" s="258"/>
      <c r="AP43" s="258"/>
      <c r="AQ43" s="258"/>
      <c r="AR43" s="258"/>
      <c r="AS43" s="258"/>
    </row>
    <row r="44" spans="1:45" s="170" customFormat="1">
      <c r="A44" s="258"/>
      <c r="B44" s="258"/>
      <c r="C44" s="258"/>
      <c r="D44" s="258"/>
      <c r="E44" s="258"/>
      <c r="F44" s="258"/>
      <c r="G44" s="259"/>
      <c r="H44" s="258"/>
      <c r="I44" s="258"/>
      <c r="J44" s="258"/>
      <c r="K44" s="258"/>
      <c r="L44" s="258"/>
      <c r="M44" s="258"/>
      <c r="N44" s="258"/>
      <c r="O44" s="260"/>
      <c r="P44" s="259"/>
      <c r="Q44" s="258"/>
      <c r="R44" s="258"/>
      <c r="S44" s="258"/>
      <c r="T44" s="259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8"/>
      <c r="AK44" s="258"/>
      <c r="AL44" s="258"/>
      <c r="AM44" s="258"/>
      <c r="AN44" s="258"/>
      <c r="AO44" s="258"/>
      <c r="AP44" s="258"/>
      <c r="AQ44" s="258"/>
      <c r="AR44" s="258"/>
      <c r="AS44" s="258"/>
    </row>
    <row r="45" spans="1:45" s="170" customFormat="1">
      <c r="A45" s="258"/>
      <c r="B45" s="258"/>
      <c r="C45" s="258"/>
      <c r="D45" s="258"/>
      <c r="E45" s="258"/>
      <c r="F45" s="258"/>
      <c r="G45" s="259"/>
      <c r="H45" s="258"/>
      <c r="I45" s="258"/>
      <c r="J45" s="258"/>
      <c r="K45" s="258"/>
      <c r="L45" s="258"/>
      <c r="M45" s="258"/>
      <c r="N45" s="258"/>
      <c r="O45" s="260"/>
      <c r="P45" s="259"/>
      <c r="Q45" s="258"/>
      <c r="R45" s="258"/>
      <c r="S45" s="258"/>
      <c r="T45" s="259"/>
      <c r="U45" s="258"/>
      <c r="V45" s="258"/>
      <c r="W45" s="258"/>
      <c r="X45" s="258"/>
      <c r="Y45" s="258"/>
      <c r="Z45" s="258"/>
      <c r="AA45" s="258"/>
      <c r="AB45" s="258"/>
      <c r="AC45" s="258"/>
      <c r="AD45" s="258"/>
      <c r="AE45" s="258"/>
      <c r="AF45" s="258"/>
      <c r="AG45" s="258"/>
      <c r="AH45" s="258"/>
      <c r="AI45" s="258"/>
      <c r="AJ45" s="258"/>
      <c r="AK45" s="258"/>
      <c r="AL45" s="258"/>
      <c r="AM45" s="258"/>
      <c r="AN45" s="258"/>
      <c r="AO45" s="258"/>
      <c r="AP45" s="258"/>
      <c r="AQ45" s="258"/>
      <c r="AR45" s="258"/>
      <c r="AS45" s="258"/>
    </row>
    <row r="46" spans="1:45" s="170" customFormat="1">
      <c r="A46" s="258"/>
      <c r="B46" s="258"/>
      <c r="C46" s="258"/>
      <c r="D46" s="258"/>
      <c r="E46" s="258"/>
      <c r="F46" s="258"/>
      <c r="G46" s="259"/>
      <c r="H46" s="258"/>
      <c r="I46" s="258"/>
      <c r="J46" s="258"/>
      <c r="K46" s="258"/>
      <c r="L46" s="258"/>
      <c r="M46" s="258"/>
      <c r="N46" s="258"/>
      <c r="O46" s="260"/>
      <c r="P46" s="259"/>
      <c r="Q46" s="258"/>
      <c r="R46" s="258"/>
      <c r="S46" s="258"/>
      <c r="T46" s="259"/>
      <c r="U46" s="258"/>
      <c r="V46" s="258"/>
      <c r="W46" s="258"/>
      <c r="X46" s="258"/>
      <c r="Y46" s="258"/>
      <c r="Z46" s="258"/>
      <c r="AA46" s="258"/>
      <c r="AB46" s="258"/>
      <c r="AC46" s="258"/>
      <c r="AD46" s="258"/>
      <c r="AE46" s="258"/>
      <c r="AF46" s="258"/>
      <c r="AG46" s="258"/>
      <c r="AH46" s="258"/>
      <c r="AI46" s="258"/>
      <c r="AJ46" s="258"/>
      <c r="AK46" s="258"/>
      <c r="AL46" s="258"/>
      <c r="AM46" s="258"/>
      <c r="AN46" s="258"/>
      <c r="AO46" s="258"/>
      <c r="AP46" s="258"/>
      <c r="AQ46" s="258"/>
      <c r="AR46" s="258"/>
      <c r="AS46" s="258"/>
    </row>
    <row r="47" spans="1:45" s="170" customFormat="1">
      <c r="A47" s="258"/>
      <c r="B47" s="258"/>
      <c r="C47" s="258"/>
      <c r="D47" s="258"/>
      <c r="E47" s="258"/>
      <c r="F47" s="258"/>
      <c r="G47" s="259"/>
      <c r="H47" s="258"/>
      <c r="I47" s="258"/>
      <c r="J47" s="258"/>
      <c r="K47" s="258"/>
      <c r="L47" s="258"/>
      <c r="M47" s="258"/>
      <c r="N47" s="258"/>
      <c r="O47" s="260"/>
      <c r="P47" s="259"/>
      <c r="Q47" s="258"/>
      <c r="R47" s="258"/>
      <c r="S47" s="258"/>
      <c r="T47" s="259"/>
      <c r="U47" s="258"/>
      <c r="V47" s="258"/>
      <c r="W47" s="258"/>
      <c r="X47" s="258"/>
      <c r="Y47" s="258"/>
      <c r="Z47" s="258"/>
      <c r="AA47" s="258"/>
      <c r="AB47" s="258"/>
      <c r="AC47" s="258"/>
      <c r="AD47" s="258"/>
      <c r="AE47" s="258"/>
      <c r="AF47" s="258"/>
      <c r="AG47" s="258"/>
      <c r="AH47" s="258"/>
      <c r="AI47" s="258"/>
      <c r="AJ47" s="258"/>
      <c r="AK47" s="258"/>
      <c r="AL47" s="258"/>
      <c r="AM47" s="258"/>
      <c r="AN47" s="258"/>
      <c r="AO47" s="258"/>
      <c r="AP47" s="258"/>
      <c r="AQ47" s="258"/>
      <c r="AR47" s="258"/>
      <c r="AS47" s="258"/>
    </row>
    <row r="48" spans="1:45" s="170" customFormat="1">
      <c r="A48" s="258"/>
      <c r="B48" s="258"/>
      <c r="C48" s="258"/>
      <c r="D48" s="258"/>
      <c r="E48" s="258"/>
      <c r="F48" s="258"/>
      <c r="G48" s="259"/>
      <c r="H48" s="258"/>
      <c r="I48" s="258"/>
      <c r="J48" s="258"/>
      <c r="K48" s="258"/>
      <c r="L48" s="258"/>
      <c r="M48" s="258"/>
      <c r="N48" s="258"/>
      <c r="O48" s="260"/>
      <c r="P48" s="259"/>
      <c r="Q48" s="258"/>
      <c r="R48" s="258"/>
      <c r="S48" s="258"/>
      <c r="T48" s="259"/>
      <c r="U48" s="258"/>
      <c r="V48" s="258"/>
      <c r="W48" s="258"/>
      <c r="X48" s="258"/>
      <c r="Y48" s="258"/>
      <c r="Z48" s="258"/>
      <c r="AA48" s="258"/>
      <c r="AB48" s="258"/>
      <c r="AC48" s="258"/>
      <c r="AD48" s="258"/>
      <c r="AE48" s="258"/>
      <c r="AF48" s="258"/>
      <c r="AG48" s="258"/>
      <c r="AH48" s="258"/>
      <c r="AI48" s="258"/>
      <c r="AJ48" s="258"/>
      <c r="AK48" s="258"/>
      <c r="AL48" s="258"/>
      <c r="AM48" s="258"/>
      <c r="AN48" s="258"/>
      <c r="AO48" s="258"/>
      <c r="AP48" s="258"/>
      <c r="AQ48" s="258"/>
      <c r="AR48" s="258"/>
      <c r="AS48" s="258"/>
    </row>
    <row r="49" spans="1:45" s="170" customFormat="1">
      <c r="A49" s="258"/>
      <c r="B49" s="258"/>
      <c r="C49" s="258"/>
      <c r="D49" s="258"/>
      <c r="E49" s="258"/>
      <c r="F49" s="258"/>
      <c r="G49" s="259"/>
      <c r="H49" s="258"/>
      <c r="I49" s="258"/>
      <c r="J49" s="258"/>
      <c r="K49" s="258"/>
      <c r="L49" s="258"/>
      <c r="M49" s="258"/>
      <c r="N49" s="258"/>
      <c r="O49" s="260"/>
      <c r="P49" s="259"/>
      <c r="Q49" s="258"/>
      <c r="R49" s="258"/>
      <c r="S49" s="258"/>
      <c r="T49" s="259"/>
      <c r="U49" s="258"/>
      <c r="V49" s="258"/>
      <c r="W49" s="258"/>
      <c r="X49" s="258"/>
      <c r="Y49" s="258"/>
      <c r="Z49" s="258"/>
      <c r="AA49" s="258"/>
      <c r="AB49" s="258"/>
      <c r="AC49" s="258"/>
      <c r="AD49" s="258"/>
      <c r="AE49" s="258"/>
      <c r="AF49" s="258"/>
      <c r="AG49" s="258"/>
      <c r="AH49" s="258"/>
      <c r="AI49" s="258"/>
      <c r="AJ49" s="258"/>
      <c r="AK49" s="258"/>
      <c r="AL49" s="258"/>
      <c r="AM49" s="258"/>
      <c r="AN49" s="258"/>
      <c r="AO49" s="258"/>
      <c r="AP49" s="258"/>
      <c r="AQ49" s="258"/>
      <c r="AR49" s="258"/>
      <c r="AS49" s="258"/>
    </row>
    <row r="50" spans="1:45" s="170" customFormat="1">
      <c r="A50" s="258"/>
      <c r="B50" s="258"/>
      <c r="C50" s="258"/>
      <c r="D50" s="258"/>
      <c r="E50" s="258"/>
      <c r="F50" s="258"/>
      <c r="G50" s="259"/>
      <c r="H50" s="258"/>
      <c r="I50" s="258"/>
      <c r="J50" s="258"/>
      <c r="K50" s="258"/>
      <c r="L50" s="258"/>
      <c r="M50" s="258"/>
      <c r="N50" s="258"/>
      <c r="O50" s="260"/>
      <c r="P50" s="259"/>
      <c r="Q50" s="258"/>
      <c r="R50" s="258"/>
      <c r="S50" s="258"/>
      <c r="T50" s="259"/>
      <c r="U50" s="258"/>
      <c r="V50" s="258"/>
      <c r="W50" s="258"/>
      <c r="X50" s="258"/>
      <c r="Y50" s="258"/>
      <c r="Z50" s="258"/>
      <c r="AA50" s="258"/>
      <c r="AB50" s="258"/>
      <c r="AC50" s="258"/>
      <c r="AD50" s="258"/>
      <c r="AE50" s="258"/>
      <c r="AF50" s="258"/>
      <c r="AG50" s="258"/>
      <c r="AH50" s="258"/>
      <c r="AI50" s="258"/>
      <c r="AJ50" s="258"/>
      <c r="AK50" s="258"/>
      <c r="AL50" s="258"/>
      <c r="AM50" s="258"/>
      <c r="AN50" s="258"/>
      <c r="AO50" s="258"/>
      <c r="AP50" s="258"/>
      <c r="AQ50" s="258"/>
      <c r="AR50" s="258"/>
      <c r="AS50" s="258"/>
    </row>
    <row r="51" spans="1:45" s="170" customFormat="1">
      <c r="A51" s="258"/>
      <c r="B51" s="258"/>
      <c r="C51" s="258"/>
      <c r="D51" s="258"/>
      <c r="E51" s="258"/>
      <c r="F51" s="258"/>
      <c r="G51" s="259"/>
      <c r="H51" s="258"/>
      <c r="I51" s="258"/>
      <c r="J51" s="258"/>
      <c r="K51" s="258"/>
      <c r="L51" s="258"/>
      <c r="M51" s="258"/>
      <c r="N51" s="258"/>
      <c r="O51" s="260"/>
      <c r="P51" s="259"/>
      <c r="Q51" s="258"/>
      <c r="R51" s="258"/>
      <c r="S51" s="258"/>
      <c r="T51" s="259"/>
      <c r="U51" s="258"/>
      <c r="V51" s="258"/>
      <c r="W51" s="258"/>
      <c r="X51" s="258"/>
      <c r="Y51" s="258"/>
      <c r="Z51" s="258"/>
      <c r="AA51" s="258"/>
      <c r="AB51" s="258"/>
      <c r="AC51" s="258"/>
      <c r="AD51" s="258"/>
      <c r="AE51" s="258"/>
      <c r="AF51" s="258"/>
      <c r="AG51" s="258"/>
      <c r="AH51" s="258"/>
      <c r="AI51" s="258"/>
      <c r="AJ51" s="258"/>
      <c r="AK51" s="258"/>
      <c r="AL51" s="258"/>
      <c r="AM51" s="258"/>
      <c r="AN51" s="258"/>
      <c r="AO51" s="258"/>
      <c r="AP51" s="258"/>
      <c r="AQ51" s="258"/>
      <c r="AR51" s="258"/>
      <c r="AS51" s="258"/>
    </row>
    <row r="52" spans="1:45" s="170" customFormat="1">
      <c r="A52" s="258"/>
      <c r="B52" s="258"/>
      <c r="C52" s="258"/>
      <c r="D52" s="258"/>
      <c r="E52" s="258"/>
      <c r="F52" s="258"/>
      <c r="G52" s="259"/>
      <c r="H52" s="258"/>
      <c r="I52" s="258"/>
      <c r="J52" s="258"/>
      <c r="K52" s="258"/>
      <c r="L52" s="258"/>
      <c r="M52" s="258"/>
      <c r="N52" s="258"/>
      <c r="O52" s="260"/>
      <c r="P52" s="259"/>
      <c r="Q52" s="258"/>
      <c r="R52" s="258"/>
      <c r="S52" s="258"/>
      <c r="T52" s="259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  <c r="AO52" s="258"/>
      <c r="AP52" s="258"/>
      <c r="AQ52" s="258"/>
      <c r="AR52" s="258"/>
      <c r="AS52" s="258"/>
    </row>
    <row r="53" spans="1:45" s="170" customFormat="1">
      <c r="A53" s="258"/>
      <c r="B53" s="258"/>
      <c r="C53" s="258"/>
      <c r="D53" s="258"/>
      <c r="E53" s="258"/>
      <c r="F53" s="258"/>
      <c r="G53" s="259"/>
      <c r="H53" s="258"/>
      <c r="I53" s="258"/>
      <c r="J53" s="258"/>
      <c r="K53" s="258"/>
      <c r="L53" s="258"/>
      <c r="M53" s="258"/>
      <c r="N53" s="258"/>
      <c r="O53" s="260"/>
      <c r="P53" s="259"/>
      <c r="Q53" s="258"/>
      <c r="R53" s="258"/>
      <c r="S53" s="258"/>
      <c r="T53" s="259"/>
      <c r="U53" s="258"/>
      <c r="V53" s="258"/>
      <c r="W53" s="258"/>
      <c r="X53" s="258"/>
      <c r="Y53" s="258"/>
      <c r="Z53" s="258"/>
      <c r="AA53" s="258"/>
      <c r="AB53" s="258"/>
      <c r="AC53" s="258"/>
      <c r="AD53" s="258"/>
      <c r="AE53" s="258"/>
      <c r="AF53" s="258"/>
      <c r="AG53" s="258"/>
      <c r="AH53" s="258"/>
      <c r="AI53" s="258"/>
      <c r="AJ53" s="258"/>
      <c r="AK53" s="258"/>
      <c r="AL53" s="258"/>
      <c r="AM53" s="258"/>
      <c r="AN53" s="258"/>
      <c r="AO53" s="258"/>
      <c r="AP53" s="258"/>
      <c r="AQ53" s="258"/>
      <c r="AR53" s="258"/>
      <c r="AS53" s="258"/>
    </row>
    <row r="54" spans="1:45" s="170" customFormat="1">
      <c r="A54" s="258"/>
      <c r="B54" s="258"/>
      <c r="C54" s="258"/>
      <c r="D54" s="258"/>
      <c r="E54" s="258"/>
      <c r="F54" s="258"/>
      <c r="G54" s="259"/>
      <c r="H54" s="258"/>
      <c r="I54" s="258"/>
      <c r="J54" s="258"/>
      <c r="K54" s="258"/>
      <c r="L54" s="258"/>
      <c r="M54" s="258"/>
      <c r="N54" s="258"/>
      <c r="O54" s="260"/>
      <c r="P54" s="259"/>
      <c r="Q54" s="258"/>
      <c r="R54" s="258"/>
      <c r="S54" s="258"/>
      <c r="T54" s="259"/>
      <c r="U54" s="258"/>
      <c r="V54" s="258"/>
      <c r="W54" s="258"/>
      <c r="X54" s="258"/>
      <c r="Y54" s="258"/>
      <c r="Z54" s="258"/>
      <c r="AA54" s="258"/>
      <c r="AB54" s="258"/>
      <c r="AC54" s="258"/>
      <c r="AD54" s="258"/>
      <c r="AE54" s="258"/>
      <c r="AF54" s="258"/>
      <c r="AG54" s="258"/>
      <c r="AH54" s="258"/>
      <c r="AI54" s="258"/>
      <c r="AJ54" s="258"/>
      <c r="AK54" s="258"/>
      <c r="AL54" s="258"/>
      <c r="AM54" s="258"/>
      <c r="AN54" s="258"/>
      <c r="AO54" s="258"/>
      <c r="AP54" s="258"/>
      <c r="AQ54" s="258"/>
      <c r="AR54" s="258"/>
      <c r="AS54" s="258"/>
    </row>
    <row r="55" spans="1:45" s="170" customFormat="1">
      <c r="A55" s="258"/>
      <c r="B55" s="258"/>
      <c r="C55" s="258"/>
      <c r="D55" s="258"/>
      <c r="E55" s="258"/>
      <c r="F55" s="258"/>
      <c r="G55" s="259"/>
      <c r="H55" s="258"/>
      <c r="I55" s="258"/>
      <c r="J55" s="258"/>
      <c r="K55" s="258"/>
      <c r="L55" s="258"/>
      <c r="M55" s="258"/>
      <c r="N55" s="258"/>
      <c r="O55" s="260"/>
      <c r="P55" s="259"/>
      <c r="Q55" s="258"/>
      <c r="R55" s="258"/>
      <c r="S55" s="258"/>
      <c r="T55" s="259"/>
      <c r="U55" s="258"/>
      <c r="V55" s="258"/>
      <c r="W55" s="258"/>
      <c r="X55" s="258"/>
      <c r="Y55" s="258"/>
      <c r="Z55" s="258"/>
      <c r="AA55" s="258"/>
      <c r="AB55" s="258"/>
      <c r="AC55" s="258"/>
      <c r="AD55" s="258"/>
      <c r="AE55" s="258"/>
      <c r="AF55" s="258"/>
      <c r="AG55" s="258"/>
      <c r="AH55" s="258"/>
      <c r="AI55" s="258"/>
      <c r="AJ55" s="258"/>
      <c r="AK55" s="258"/>
      <c r="AL55" s="258"/>
      <c r="AM55" s="258"/>
      <c r="AN55" s="258"/>
      <c r="AO55" s="258"/>
      <c r="AP55" s="258"/>
      <c r="AQ55" s="258"/>
      <c r="AR55" s="258"/>
      <c r="AS55" s="258"/>
    </row>
    <row r="56" spans="1:45" s="170" customFormat="1">
      <c r="A56" s="258"/>
      <c r="B56" s="258"/>
      <c r="C56" s="258"/>
      <c r="D56" s="258"/>
      <c r="E56" s="258"/>
      <c r="F56" s="258"/>
      <c r="G56" s="259"/>
      <c r="H56" s="258"/>
      <c r="I56" s="258"/>
      <c r="J56" s="258"/>
      <c r="K56" s="258"/>
      <c r="L56" s="258"/>
      <c r="M56" s="258"/>
      <c r="N56" s="258"/>
      <c r="O56" s="260"/>
      <c r="P56" s="259"/>
      <c r="Q56" s="258"/>
      <c r="R56" s="258"/>
      <c r="S56" s="258"/>
      <c r="T56" s="259"/>
      <c r="U56" s="258"/>
      <c r="V56" s="258"/>
      <c r="W56" s="258"/>
      <c r="X56" s="258"/>
      <c r="Y56" s="258"/>
      <c r="Z56" s="258"/>
      <c r="AA56" s="258"/>
      <c r="AB56" s="258"/>
      <c r="AC56" s="258"/>
      <c r="AD56" s="258"/>
      <c r="AE56" s="258"/>
      <c r="AF56" s="258"/>
      <c r="AG56" s="258"/>
      <c r="AH56" s="258"/>
      <c r="AI56" s="258"/>
      <c r="AJ56" s="258"/>
      <c r="AK56" s="258"/>
      <c r="AL56" s="258"/>
      <c r="AM56" s="258"/>
      <c r="AN56" s="258"/>
      <c r="AO56" s="258"/>
      <c r="AP56" s="258"/>
      <c r="AQ56" s="258"/>
      <c r="AR56" s="258"/>
      <c r="AS56" s="258"/>
    </row>
    <row r="57" spans="1:45" s="170" customFormat="1">
      <c r="A57" s="258"/>
      <c r="B57" s="258"/>
      <c r="C57" s="258"/>
      <c r="D57" s="258"/>
      <c r="E57" s="258"/>
      <c r="F57" s="258"/>
      <c r="G57" s="259"/>
      <c r="H57" s="258"/>
      <c r="I57" s="258"/>
      <c r="J57" s="258"/>
      <c r="K57" s="258"/>
      <c r="L57" s="258"/>
      <c r="M57" s="258"/>
      <c r="N57" s="258"/>
      <c r="O57" s="260"/>
      <c r="P57" s="259"/>
      <c r="Q57" s="258"/>
      <c r="R57" s="258"/>
      <c r="S57" s="258"/>
      <c r="T57" s="259"/>
      <c r="U57" s="258"/>
      <c r="V57" s="258"/>
      <c r="W57" s="258"/>
      <c r="X57" s="258"/>
      <c r="Y57" s="258"/>
      <c r="Z57" s="258"/>
      <c r="AA57" s="258"/>
      <c r="AB57" s="258"/>
      <c r="AC57" s="258"/>
      <c r="AD57" s="258"/>
      <c r="AE57" s="258"/>
      <c r="AF57" s="258"/>
      <c r="AG57" s="258"/>
      <c r="AH57" s="258"/>
      <c r="AI57" s="258"/>
      <c r="AJ57" s="258"/>
      <c r="AK57" s="258"/>
      <c r="AL57" s="258"/>
      <c r="AM57" s="258"/>
      <c r="AN57" s="258"/>
      <c r="AO57" s="258"/>
      <c r="AP57" s="258"/>
      <c r="AQ57" s="258"/>
      <c r="AR57" s="258"/>
      <c r="AS57" s="258"/>
    </row>
    <row r="58" spans="1:45" s="170" customFormat="1">
      <c r="A58" s="258"/>
      <c r="B58" s="258"/>
      <c r="C58" s="258"/>
      <c r="D58" s="258"/>
      <c r="E58" s="258"/>
      <c r="F58" s="258"/>
      <c r="G58" s="259"/>
      <c r="H58" s="258"/>
      <c r="I58" s="258"/>
      <c r="J58" s="258"/>
      <c r="K58" s="258"/>
      <c r="L58" s="258"/>
      <c r="M58" s="258"/>
      <c r="N58" s="258"/>
      <c r="O58" s="260"/>
      <c r="P58" s="259"/>
      <c r="Q58" s="258"/>
      <c r="R58" s="258"/>
      <c r="S58" s="258"/>
      <c r="T58" s="259"/>
      <c r="U58" s="258"/>
      <c r="V58" s="258"/>
      <c r="W58" s="258"/>
      <c r="X58" s="258"/>
      <c r="Y58" s="258"/>
      <c r="Z58" s="258"/>
      <c r="AA58" s="258"/>
      <c r="AB58" s="258"/>
      <c r="AC58" s="258"/>
      <c r="AD58" s="258"/>
      <c r="AE58" s="258"/>
      <c r="AF58" s="258"/>
      <c r="AG58" s="258"/>
      <c r="AH58" s="258"/>
      <c r="AI58" s="258"/>
      <c r="AJ58" s="258"/>
      <c r="AK58" s="258"/>
      <c r="AL58" s="258"/>
      <c r="AM58" s="258"/>
      <c r="AN58" s="258"/>
      <c r="AO58" s="258"/>
      <c r="AP58" s="258"/>
      <c r="AQ58" s="258"/>
      <c r="AR58" s="258"/>
      <c r="AS58" s="258"/>
    </row>
    <row r="59" spans="1:45" s="170" customFormat="1">
      <c r="A59" s="258"/>
      <c r="B59" s="258"/>
      <c r="C59" s="258"/>
      <c r="D59" s="258"/>
      <c r="E59" s="258"/>
      <c r="F59" s="258"/>
      <c r="G59" s="259"/>
      <c r="H59" s="258"/>
      <c r="I59" s="258"/>
      <c r="J59" s="258"/>
      <c r="K59" s="258"/>
      <c r="L59" s="258"/>
      <c r="M59" s="258"/>
      <c r="N59" s="258"/>
      <c r="O59" s="260"/>
      <c r="P59" s="259"/>
      <c r="Q59" s="258"/>
      <c r="R59" s="258"/>
      <c r="S59" s="258"/>
      <c r="T59" s="259"/>
      <c r="U59" s="258"/>
      <c r="V59" s="258"/>
      <c r="W59" s="258"/>
      <c r="X59" s="258"/>
      <c r="Y59" s="258"/>
      <c r="Z59" s="258"/>
      <c r="AA59" s="258"/>
      <c r="AB59" s="258"/>
      <c r="AC59" s="258"/>
      <c r="AD59" s="258"/>
      <c r="AE59" s="258"/>
      <c r="AF59" s="258"/>
      <c r="AG59" s="258"/>
      <c r="AH59" s="258"/>
      <c r="AI59" s="258"/>
      <c r="AJ59" s="258"/>
      <c r="AK59" s="258"/>
      <c r="AL59" s="258"/>
      <c r="AM59" s="258"/>
      <c r="AN59" s="258"/>
      <c r="AO59" s="258"/>
      <c r="AP59" s="258"/>
      <c r="AQ59" s="258"/>
      <c r="AR59" s="258"/>
      <c r="AS59" s="258"/>
    </row>
    <row r="60" spans="1:45" s="170" customFormat="1">
      <c r="A60" s="258"/>
      <c r="B60" s="258"/>
      <c r="C60" s="258"/>
      <c r="D60" s="258"/>
      <c r="E60" s="258"/>
      <c r="F60" s="258"/>
      <c r="G60" s="259"/>
      <c r="H60" s="258"/>
      <c r="I60" s="258"/>
      <c r="J60" s="258"/>
      <c r="K60" s="258"/>
      <c r="L60" s="258"/>
      <c r="M60" s="258"/>
      <c r="N60" s="258"/>
      <c r="O60" s="260"/>
      <c r="P60" s="259"/>
      <c r="Q60" s="258"/>
      <c r="R60" s="258"/>
      <c r="S60" s="258"/>
      <c r="T60" s="259"/>
      <c r="U60" s="258"/>
      <c r="V60" s="258"/>
      <c r="W60" s="258"/>
      <c r="X60" s="258"/>
      <c r="Y60" s="258"/>
      <c r="Z60" s="258"/>
      <c r="AA60" s="258"/>
      <c r="AB60" s="258"/>
      <c r="AC60" s="258"/>
      <c r="AD60" s="258"/>
      <c r="AE60" s="258"/>
      <c r="AF60" s="258"/>
      <c r="AG60" s="258"/>
      <c r="AH60" s="258"/>
      <c r="AI60" s="258"/>
      <c r="AJ60" s="258"/>
      <c r="AK60" s="258"/>
      <c r="AL60" s="258"/>
      <c r="AM60" s="258"/>
      <c r="AN60" s="258"/>
      <c r="AO60" s="258"/>
      <c r="AP60" s="258"/>
      <c r="AQ60" s="258"/>
      <c r="AR60" s="258"/>
      <c r="AS60" s="258"/>
    </row>
    <row r="61" spans="1:45" s="170" customFormat="1">
      <c r="A61" s="258"/>
      <c r="B61" s="258"/>
      <c r="C61" s="258"/>
      <c r="D61" s="258"/>
      <c r="E61" s="258"/>
      <c r="F61" s="258"/>
      <c r="G61" s="259"/>
      <c r="H61" s="258"/>
      <c r="I61" s="258"/>
      <c r="J61" s="258"/>
      <c r="K61" s="258"/>
      <c r="L61" s="258"/>
      <c r="M61" s="258"/>
      <c r="N61" s="258"/>
      <c r="O61" s="260"/>
      <c r="P61" s="259"/>
      <c r="Q61" s="258"/>
      <c r="R61" s="258"/>
      <c r="S61" s="258"/>
      <c r="T61" s="259"/>
      <c r="U61" s="258"/>
      <c r="V61" s="258"/>
      <c r="W61" s="258"/>
      <c r="X61" s="258"/>
      <c r="Y61" s="258"/>
      <c r="Z61" s="258"/>
      <c r="AA61" s="258"/>
      <c r="AB61" s="258"/>
      <c r="AC61" s="258"/>
      <c r="AD61" s="258"/>
      <c r="AE61" s="258"/>
      <c r="AF61" s="258"/>
      <c r="AG61" s="258"/>
      <c r="AH61" s="258"/>
      <c r="AI61" s="258"/>
      <c r="AJ61" s="258"/>
      <c r="AK61" s="258"/>
      <c r="AL61" s="258"/>
      <c r="AM61" s="258"/>
      <c r="AN61" s="258"/>
      <c r="AO61" s="258"/>
      <c r="AP61" s="258"/>
      <c r="AQ61" s="258"/>
      <c r="AR61" s="258"/>
      <c r="AS61" s="258"/>
    </row>
    <row r="62" spans="1:45" s="170" customFormat="1">
      <c r="A62" s="258"/>
      <c r="B62" s="258"/>
      <c r="C62" s="258"/>
      <c r="D62" s="258"/>
      <c r="E62" s="258"/>
      <c r="F62" s="258"/>
      <c r="G62" s="259"/>
      <c r="H62" s="258"/>
      <c r="I62" s="258"/>
      <c r="J62" s="258"/>
      <c r="K62" s="258"/>
      <c r="L62" s="258"/>
      <c r="M62" s="258"/>
      <c r="N62" s="258"/>
      <c r="O62" s="260"/>
      <c r="P62" s="259"/>
      <c r="Q62" s="258"/>
      <c r="R62" s="258"/>
      <c r="S62" s="258"/>
      <c r="T62" s="259"/>
      <c r="U62" s="258"/>
      <c r="V62" s="258"/>
      <c r="W62" s="258"/>
      <c r="X62" s="258"/>
      <c r="Y62" s="258"/>
      <c r="Z62" s="258"/>
      <c r="AA62" s="258"/>
      <c r="AB62" s="258"/>
      <c r="AC62" s="258"/>
      <c r="AD62" s="258"/>
      <c r="AE62" s="258"/>
      <c r="AF62" s="258"/>
      <c r="AG62" s="258"/>
      <c r="AH62" s="258"/>
      <c r="AI62" s="258"/>
      <c r="AJ62" s="258"/>
      <c r="AK62" s="258"/>
      <c r="AL62" s="258"/>
      <c r="AM62" s="258"/>
      <c r="AN62" s="258"/>
      <c r="AO62" s="258"/>
      <c r="AP62" s="258"/>
      <c r="AQ62" s="258"/>
      <c r="AR62" s="258"/>
      <c r="AS62" s="258"/>
    </row>
    <row r="63" spans="1:45" s="170" customFormat="1">
      <c r="A63" s="258"/>
      <c r="B63" s="258"/>
      <c r="C63" s="258"/>
      <c r="D63" s="258"/>
      <c r="E63" s="258"/>
      <c r="F63" s="258"/>
      <c r="G63" s="259"/>
      <c r="H63" s="258"/>
      <c r="I63" s="258"/>
      <c r="J63" s="258"/>
      <c r="K63" s="258"/>
      <c r="L63" s="258"/>
      <c r="M63" s="258"/>
      <c r="N63" s="258"/>
      <c r="O63" s="260"/>
      <c r="P63" s="259"/>
      <c r="Q63" s="258"/>
      <c r="R63" s="258"/>
      <c r="S63" s="258"/>
      <c r="T63" s="259"/>
      <c r="U63" s="258"/>
      <c r="V63" s="258"/>
      <c r="W63" s="258"/>
      <c r="X63" s="258"/>
      <c r="Y63" s="258"/>
      <c r="Z63" s="258"/>
      <c r="AA63" s="258"/>
      <c r="AB63" s="258"/>
      <c r="AC63" s="258"/>
      <c r="AD63" s="258"/>
      <c r="AE63" s="258"/>
      <c r="AF63" s="258"/>
      <c r="AG63" s="258"/>
      <c r="AH63" s="258"/>
      <c r="AI63" s="258"/>
      <c r="AJ63" s="258"/>
      <c r="AK63" s="258"/>
      <c r="AL63" s="258"/>
      <c r="AM63" s="258"/>
      <c r="AN63" s="258"/>
      <c r="AO63" s="258"/>
      <c r="AP63" s="258"/>
      <c r="AQ63" s="258"/>
      <c r="AR63" s="258"/>
      <c r="AS63" s="258"/>
    </row>
    <row r="64" spans="1:45" s="170" customFormat="1">
      <c r="A64" s="258"/>
      <c r="B64" s="258"/>
      <c r="C64" s="258"/>
      <c r="D64" s="258"/>
      <c r="E64" s="258"/>
      <c r="F64" s="258"/>
      <c r="G64" s="259"/>
      <c r="H64" s="258"/>
      <c r="I64" s="258"/>
      <c r="J64" s="258"/>
      <c r="K64" s="258"/>
      <c r="L64" s="258"/>
      <c r="M64" s="258"/>
      <c r="N64" s="258"/>
      <c r="O64" s="260"/>
      <c r="P64" s="259"/>
      <c r="Q64" s="258"/>
      <c r="R64" s="258"/>
      <c r="S64" s="258"/>
      <c r="T64" s="259"/>
      <c r="U64" s="258"/>
      <c r="V64" s="258"/>
      <c r="W64" s="258"/>
      <c r="X64" s="258"/>
      <c r="Y64" s="258"/>
      <c r="Z64" s="258"/>
      <c r="AA64" s="258"/>
      <c r="AB64" s="258"/>
      <c r="AC64" s="258"/>
      <c r="AD64" s="258"/>
      <c r="AE64" s="258"/>
      <c r="AF64" s="258"/>
      <c r="AG64" s="258"/>
      <c r="AH64" s="258"/>
      <c r="AI64" s="258"/>
      <c r="AJ64" s="258"/>
      <c r="AK64" s="258"/>
      <c r="AL64" s="258"/>
      <c r="AM64" s="258"/>
      <c r="AN64" s="258"/>
      <c r="AO64" s="258"/>
      <c r="AP64" s="258"/>
      <c r="AQ64" s="258"/>
      <c r="AR64" s="258"/>
      <c r="AS64" s="258"/>
    </row>
    <row r="65" spans="1:45" s="170" customFormat="1">
      <c r="A65" s="258"/>
      <c r="B65" s="258"/>
      <c r="C65" s="258"/>
      <c r="D65" s="258"/>
      <c r="E65" s="258"/>
      <c r="F65" s="258"/>
      <c r="G65" s="259"/>
      <c r="H65" s="258"/>
      <c r="I65" s="258"/>
      <c r="J65" s="258"/>
      <c r="K65" s="258"/>
      <c r="L65" s="258"/>
      <c r="M65" s="258"/>
      <c r="N65" s="258"/>
      <c r="O65" s="260"/>
      <c r="P65" s="259"/>
      <c r="Q65" s="258"/>
      <c r="R65" s="258"/>
      <c r="S65" s="258"/>
      <c r="T65" s="259"/>
      <c r="U65" s="258"/>
      <c r="V65" s="258"/>
      <c r="W65" s="258"/>
      <c r="X65" s="258"/>
      <c r="Y65" s="258"/>
      <c r="Z65" s="258"/>
      <c r="AA65" s="258"/>
      <c r="AB65" s="258"/>
      <c r="AC65" s="258"/>
      <c r="AD65" s="258"/>
      <c r="AE65" s="258"/>
      <c r="AF65" s="258"/>
      <c r="AG65" s="258"/>
      <c r="AH65" s="258"/>
      <c r="AI65" s="258"/>
      <c r="AJ65" s="258"/>
      <c r="AK65" s="258"/>
      <c r="AL65" s="258"/>
      <c r="AM65" s="258"/>
      <c r="AN65" s="258"/>
      <c r="AO65" s="258"/>
      <c r="AP65" s="258"/>
      <c r="AQ65" s="258"/>
      <c r="AR65" s="258"/>
      <c r="AS65" s="258"/>
    </row>
    <row r="66" spans="1:45" s="170" customFormat="1">
      <c r="A66" s="258"/>
      <c r="B66" s="258"/>
      <c r="C66" s="258"/>
      <c r="D66" s="258"/>
      <c r="E66" s="258"/>
      <c r="F66" s="258"/>
      <c r="G66" s="259"/>
      <c r="H66" s="258"/>
      <c r="I66" s="258"/>
      <c r="J66" s="258"/>
      <c r="K66" s="258"/>
      <c r="L66" s="258"/>
      <c r="M66" s="258"/>
      <c r="N66" s="258"/>
      <c r="O66" s="260"/>
      <c r="P66" s="259"/>
      <c r="Q66" s="258"/>
      <c r="R66" s="258"/>
      <c r="S66" s="258"/>
      <c r="T66" s="259"/>
      <c r="U66" s="258"/>
      <c r="V66" s="258"/>
      <c r="W66" s="258"/>
      <c r="X66" s="258"/>
      <c r="Y66" s="258"/>
      <c r="Z66" s="258"/>
      <c r="AA66" s="258"/>
      <c r="AB66" s="258"/>
      <c r="AC66" s="258"/>
      <c r="AD66" s="258"/>
      <c r="AE66" s="258"/>
      <c r="AF66" s="258"/>
      <c r="AG66" s="258"/>
      <c r="AH66" s="258"/>
      <c r="AI66" s="258"/>
      <c r="AJ66" s="258"/>
      <c r="AK66" s="258"/>
      <c r="AL66" s="258"/>
      <c r="AM66" s="258"/>
      <c r="AN66" s="258"/>
      <c r="AO66" s="258"/>
      <c r="AP66" s="258"/>
      <c r="AQ66" s="258"/>
      <c r="AR66" s="258"/>
      <c r="AS66" s="258"/>
    </row>
    <row r="67" spans="1:45" s="170" customFormat="1">
      <c r="A67" s="258"/>
      <c r="B67" s="258"/>
      <c r="C67" s="258"/>
      <c r="D67" s="258"/>
      <c r="E67" s="258"/>
      <c r="F67" s="258"/>
      <c r="G67" s="259"/>
      <c r="H67" s="258"/>
      <c r="I67" s="258"/>
      <c r="J67" s="258"/>
      <c r="K67" s="258"/>
      <c r="L67" s="258"/>
      <c r="M67" s="258"/>
      <c r="N67" s="258"/>
      <c r="O67" s="260"/>
      <c r="P67" s="259"/>
      <c r="Q67" s="258"/>
      <c r="R67" s="258"/>
      <c r="S67" s="258"/>
      <c r="T67" s="259"/>
      <c r="U67" s="258"/>
      <c r="V67" s="258"/>
      <c r="W67" s="258"/>
      <c r="X67" s="258"/>
      <c r="Y67" s="258"/>
      <c r="Z67" s="258"/>
      <c r="AA67" s="258"/>
      <c r="AB67" s="258"/>
      <c r="AC67" s="258"/>
      <c r="AD67" s="258"/>
      <c r="AE67" s="258"/>
      <c r="AF67" s="258"/>
      <c r="AG67" s="258"/>
      <c r="AH67" s="258"/>
      <c r="AI67" s="258"/>
      <c r="AJ67" s="258"/>
      <c r="AK67" s="258"/>
      <c r="AL67" s="258"/>
      <c r="AM67" s="258"/>
      <c r="AN67" s="258"/>
      <c r="AO67" s="258"/>
      <c r="AP67" s="258"/>
      <c r="AQ67" s="258"/>
      <c r="AR67" s="258"/>
      <c r="AS67" s="258"/>
    </row>
    <row r="68" spans="1:45" s="170" customFormat="1">
      <c r="A68" s="258"/>
      <c r="B68" s="258"/>
      <c r="C68" s="258"/>
      <c r="D68" s="258"/>
      <c r="E68" s="258"/>
      <c r="F68" s="258"/>
      <c r="G68" s="259"/>
      <c r="H68" s="258"/>
      <c r="I68" s="258"/>
      <c r="J68" s="258"/>
      <c r="K68" s="258"/>
      <c r="L68" s="258"/>
      <c r="M68" s="258"/>
      <c r="N68" s="258"/>
      <c r="O68" s="260"/>
      <c r="P68" s="259"/>
      <c r="Q68" s="258"/>
      <c r="R68" s="258"/>
      <c r="S68" s="258"/>
      <c r="T68" s="259"/>
      <c r="U68" s="258"/>
      <c r="V68" s="258"/>
      <c r="W68" s="258"/>
      <c r="X68" s="258"/>
      <c r="Y68" s="258"/>
      <c r="Z68" s="258"/>
      <c r="AA68" s="258"/>
      <c r="AB68" s="258"/>
      <c r="AC68" s="258"/>
      <c r="AD68" s="258"/>
      <c r="AE68" s="258"/>
      <c r="AF68" s="258"/>
      <c r="AG68" s="258"/>
      <c r="AH68" s="258"/>
      <c r="AI68" s="258"/>
      <c r="AJ68" s="258"/>
      <c r="AK68" s="258"/>
      <c r="AL68" s="258"/>
      <c r="AM68" s="258"/>
      <c r="AN68" s="258"/>
      <c r="AO68" s="258"/>
      <c r="AP68" s="258"/>
      <c r="AQ68" s="258"/>
      <c r="AR68" s="258"/>
      <c r="AS68" s="258"/>
    </row>
    <row r="69" spans="1:45" s="170" customFormat="1">
      <c r="A69" s="258"/>
      <c r="B69" s="258"/>
      <c r="C69" s="258"/>
      <c r="D69" s="258"/>
      <c r="E69" s="258"/>
      <c r="F69" s="258"/>
      <c r="G69" s="259"/>
      <c r="H69" s="258"/>
      <c r="I69" s="258"/>
      <c r="J69" s="258"/>
      <c r="K69" s="258"/>
      <c r="L69" s="258"/>
      <c r="M69" s="258"/>
      <c r="N69" s="258"/>
      <c r="O69" s="260"/>
      <c r="P69" s="259"/>
      <c r="Q69" s="258"/>
      <c r="R69" s="258"/>
      <c r="S69" s="258"/>
      <c r="T69" s="259"/>
      <c r="U69" s="258"/>
      <c r="V69" s="258"/>
      <c r="W69" s="258"/>
      <c r="X69" s="258"/>
      <c r="Y69" s="258"/>
      <c r="Z69" s="258"/>
      <c r="AA69" s="258"/>
      <c r="AB69" s="258"/>
      <c r="AC69" s="258"/>
      <c r="AD69" s="258"/>
      <c r="AE69" s="258"/>
      <c r="AF69" s="258"/>
      <c r="AG69" s="258"/>
      <c r="AH69" s="258"/>
      <c r="AI69" s="258"/>
      <c r="AJ69" s="258"/>
      <c r="AK69" s="258"/>
      <c r="AL69" s="258"/>
      <c r="AM69" s="258"/>
      <c r="AN69" s="258"/>
      <c r="AO69" s="258"/>
      <c r="AP69" s="258"/>
      <c r="AQ69" s="258"/>
      <c r="AR69" s="258"/>
      <c r="AS69" s="258"/>
    </row>
    <row r="70" spans="1:45" s="170" customFormat="1">
      <c r="A70" s="258"/>
      <c r="B70" s="258"/>
      <c r="C70" s="258"/>
      <c r="D70" s="258"/>
      <c r="E70" s="258"/>
      <c r="F70" s="258"/>
      <c r="G70" s="259"/>
      <c r="H70" s="258"/>
      <c r="I70" s="258"/>
      <c r="J70" s="258"/>
      <c r="K70" s="258"/>
      <c r="L70" s="258"/>
      <c r="M70" s="258"/>
      <c r="N70" s="258"/>
      <c r="O70" s="260"/>
      <c r="P70" s="259"/>
      <c r="Q70" s="258"/>
      <c r="R70" s="258"/>
      <c r="S70" s="258"/>
      <c r="T70" s="259"/>
      <c r="U70" s="258"/>
      <c r="V70" s="258"/>
      <c r="W70" s="258"/>
      <c r="X70" s="258"/>
      <c r="Y70" s="258"/>
      <c r="Z70" s="258"/>
      <c r="AA70" s="258"/>
      <c r="AB70" s="258"/>
      <c r="AC70" s="258"/>
      <c r="AD70" s="258"/>
      <c r="AE70" s="258"/>
      <c r="AF70" s="258"/>
      <c r="AG70" s="258"/>
      <c r="AH70" s="258"/>
      <c r="AI70" s="258"/>
      <c r="AJ70" s="258"/>
      <c r="AK70" s="258"/>
      <c r="AL70" s="258"/>
      <c r="AM70" s="258"/>
      <c r="AN70" s="258"/>
      <c r="AO70" s="258"/>
      <c r="AP70" s="258"/>
      <c r="AQ70" s="258"/>
      <c r="AR70" s="258"/>
      <c r="AS70" s="258"/>
    </row>
    <row r="71" spans="1:45" s="170" customFormat="1">
      <c r="A71" s="258"/>
      <c r="B71" s="258"/>
      <c r="C71" s="258"/>
      <c r="D71" s="258"/>
      <c r="E71" s="258"/>
      <c r="F71" s="258"/>
      <c r="G71" s="259"/>
      <c r="H71" s="258"/>
      <c r="I71" s="258"/>
      <c r="J71" s="258"/>
      <c r="K71" s="258"/>
      <c r="L71" s="258"/>
      <c r="M71" s="258"/>
      <c r="N71" s="258"/>
      <c r="O71" s="260"/>
      <c r="P71" s="259"/>
      <c r="Q71" s="258"/>
      <c r="R71" s="258"/>
      <c r="S71" s="258"/>
      <c r="T71" s="259"/>
      <c r="U71" s="258"/>
      <c r="V71" s="258"/>
      <c r="W71" s="258"/>
      <c r="X71" s="258"/>
      <c r="Y71" s="258"/>
      <c r="Z71" s="258"/>
      <c r="AA71" s="258"/>
      <c r="AB71" s="258"/>
      <c r="AC71" s="258"/>
      <c r="AD71" s="258"/>
      <c r="AE71" s="258"/>
      <c r="AF71" s="258"/>
      <c r="AG71" s="258"/>
      <c r="AH71" s="258"/>
      <c r="AI71" s="258"/>
      <c r="AJ71" s="258"/>
      <c r="AK71" s="258"/>
      <c r="AL71" s="258"/>
      <c r="AM71" s="258"/>
      <c r="AN71" s="258"/>
      <c r="AO71" s="258"/>
      <c r="AP71" s="258"/>
      <c r="AQ71" s="258"/>
      <c r="AR71" s="258"/>
      <c r="AS71" s="258"/>
    </row>
    <row r="72" spans="1:45" s="170" customFormat="1">
      <c r="A72" s="258"/>
      <c r="B72" s="258"/>
      <c r="C72" s="258"/>
      <c r="D72" s="258"/>
      <c r="E72" s="258"/>
      <c r="F72" s="258"/>
      <c r="G72" s="259"/>
      <c r="H72" s="258"/>
      <c r="I72" s="258"/>
      <c r="J72" s="258"/>
      <c r="K72" s="258"/>
      <c r="L72" s="258"/>
      <c r="M72" s="258"/>
      <c r="N72" s="258"/>
      <c r="O72" s="260"/>
      <c r="P72" s="259"/>
      <c r="Q72" s="258"/>
      <c r="R72" s="258"/>
      <c r="S72" s="258"/>
      <c r="T72" s="259"/>
      <c r="U72" s="258"/>
      <c r="V72" s="258"/>
      <c r="W72" s="258"/>
      <c r="X72" s="258"/>
      <c r="Y72" s="258"/>
      <c r="Z72" s="258"/>
      <c r="AA72" s="258"/>
      <c r="AB72" s="258"/>
      <c r="AC72" s="258"/>
      <c r="AD72" s="258"/>
      <c r="AE72" s="258"/>
      <c r="AF72" s="258"/>
      <c r="AG72" s="258"/>
      <c r="AH72" s="258"/>
      <c r="AI72" s="258"/>
      <c r="AJ72" s="258"/>
      <c r="AK72" s="258"/>
      <c r="AL72" s="258"/>
      <c r="AM72" s="258"/>
      <c r="AN72" s="258"/>
      <c r="AO72" s="258"/>
      <c r="AP72" s="258"/>
      <c r="AQ72" s="258"/>
      <c r="AR72" s="258"/>
      <c r="AS72" s="258"/>
    </row>
    <row r="73" spans="1:45" s="170" customFormat="1">
      <c r="A73" s="258"/>
      <c r="B73" s="258"/>
      <c r="C73" s="258"/>
      <c r="D73" s="258"/>
      <c r="E73" s="258"/>
      <c r="F73" s="258"/>
      <c r="G73" s="259"/>
      <c r="H73" s="258"/>
      <c r="I73" s="258"/>
      <c r="J73" s="258"/>
      <c r="K73" s="258"/>
      <c r="L73" s="258"/>
      <c r="M73" s="258"/>
      <c r="N73" s="258"/>
      <c r="O73" s="260"/>
      <c r="P73" s="259"/>
      <c r="Q73" s="258"/>
      <c r="R73" s="258"/>
      <c r="S73" s="258"/>
      <c r="T73" s="259"/>
      <c r="U73" s="258"/>
      <c r="V73" s="258"/>
      <c r="W73" s="258"/>
      <c r="X73" s="258"/>
      <c r="Y73" s="258"/>
      <c r="Z73" s="258"/>
      <c r="AA73" s="258"/>
      <c r="AB73" s="258"/>
      <c r="AC73" s="258"/>
      <c r="AD73" s="258"/>
      <c r="AE73" s="258"/>
      <c r="AF73" s="258"/>
      <c r="AG73" s="258"/>
      <c r="AH73" s="258"/>
      <c r="AI73" s="258"/>
      <c r="AJ73" s="258"/>
      <c r="AK73" s="258"/>
      <c r="AL73" s="258"/>
      <c r="AM73" s="258"/>
      <c r="AN73" s="258"/>
      <c r="AO73" s="258"/>
      <c r="AP73" s="258"/>
      <c r="AQ73" s="258"/>
      <c r="AR73" s="258"/>
      <c r="AS73" s="258"/>
    </row>
    <row r="74" spans="1:45" s="170" customFormat="1">
      <c r="A74" s="258"/>
      <c r="B74" s="258"/>
      <c r="C74" s="258"/>
      <c r="D74" s="258"/>
      <c r="E74" s="258"/>
      <c r="F74" s="258"/>
      <c r="G74" s="259"/>
      <c r="H74" s="258"/>
      <c r="I74" s="258"/>
      <c r="J74" s="258"/>
      <c r="K74" s="258"/>
      <c r="L74" s="258"/>
      <c r="M74" s="258"/>
      <c r="N74" s="258"/>
      <c r="O74" s="260"/>
      <c r="P74" s="259"/>
      <c r="Q74" s="258"/>
      <c r="R74" s="258"/>
      <c r="S74" s="258"/>
      <c r="T74" s="259"/>
      <c r="U74" s="258"/>
      <c r="V74" s="258"/>
      <c r="W74" s="258"/>
      <c r="X74" s="258"/>
      <c r="Y74" s="258"/>
      <c r="Z74" s="258"/>
      <c r="AA74" s="258"/>
      <c r="AB74" s="258"/>
      <c r="AC74" s="258"/>
      <c r="AD74" s="258"/>
      <c r="AE74" s="258"/>
      <c r="AF74" s="258"/>
      <c r="AG74" s="258"/>
      <c r="AH74" s="258"/>
      <c r="AI74" s="258"/>
      <c r="AJ74" s="258"/>
      <c r="AK74" s="258"/>
      <c r="AL74" s="258"/>
      <c r="AM74" s="258"/>
      <c r="AN74" s="258"/>
      <c r="AO74" s="258"/>
      <c r="AP74" s="258"/>
      <c r="AQ74" s="258"/>
      <c r="AR74" s="258"/>
      <c r="AS74" s="258"/>
    </row>
    <row r="75" spans="1:45" s="170" customFormat="1">
      <c r="A75" s="258"/>
      <c r="B75" s="258"/>
      <c r="C75" s="258"/>
      <c r="D75" s="258"/>
      <c r="E75" s="258"/>
      <c r="F75" s="258"/>
      <c r="G75" s="259"/>
      <c r="H75" s="258"/>
      <c r="I75" s="258"/>
      <c r="J75" s="258"/>
      <c r="K75" s="258"/>
      <c r="L75" s="258"/>
      <c r="M75" s="258"/>
      <c r="N75" s="258"/>
      <c r="O75" s="260"/>
      <c r="P75" s="259"/>
      <c r="Q75" s="258"/>
      <c r="R75" s="258"/>
      <c r="S75" s="258"/>
      <c r="T75" s="259"/>
      <c r="U75" s="258"/>
      <c r="V75" s="258"/>
      <c r="W75" s="258"/>
      <c r="X75" s="258"/>
      <c r="Y75" s="258"/>
      <c r="Z75" s="258"/>
      <c r="AA75" s="258"/>
      <c r="AB75" s="258"/>
      <c r="AC75" s="258"/>
      <c r="AD75" s="258"/>
      <c r="AE75" s="258"/>
      <c r="AF75" s="258"/>
      <c r="AG75" s="258"/>
      <c r="AH75" s="258"/>
      <c r="AI75" s="258"/>
      <c r="AJ75" s="258"/>
      <c r="AK75" s="258"/>
      <c r="AL75" s="258"/>
      <c r="AM75" s="258"/>
      <c r="AN75" s="258"/>
      <c r="AO75" s="258"/>
      <c r="AP75" s="258"/>
      <c r="AQ75" s="258"/>
      <c r="AR75" s="258"/>
      <c r="AS75" s="258"/>
    </row>
    <row r="76" spans="1:45" s="170" customFormat="1">
      <c r="A76" s="258"/>
      <c r="B76" s="258"/>
      <c r="C76" s="258"/>
      <c r="D76" s="258"/>
      <c r="E76" s="258"/>
      <c r="F76" s="258"/>
      <c r="G76" s="259"/>
      <c r="H76" s="258"/>
      <c r="I76" s="258"/>
      <c r="J76" s="258"/>
      <c r="K76" s="258"/>
      <c r="L76" s="258"/>
      <c r="M76" s="258"/>
      <c r="N76" s="258"/>
      <c r="O76" s="260"/>
      <c r="P76" s="259"/>
      <c r="Q76" s="258"/>
      <c r="R76" s="258"/>
      <c r="S76" s="258"/>
      <c r="T76" s="259"/>
      <c r="U76" s="258"/>
      <c r="V76" s="258"/>
      <c r="W76" s="258"/>
      <c r="X76" s="258"/>
      <c r="Y76" s="258"/>
      <c r="Z76" s="258"/>
      <c r="AA76" s="258"/>
      <c r="AB76" s="258"/>
      <c r="AC76" s="258"/>
      <c r="AD76" s="258"/>
      <c r="AE76" s="258"/>
      <c r="AF76" s="258"/>
      <c r="AG76" s="258"/>
      <c r="AH76" s="258"/>
      <c r="AI76" s="258"/>
      <c r="AJ76" s="258"/>
      <c r="AK76" s="258"/>
      <c r="AL76" s="258"/>
      <c r="AM76" s="258"/>
      <c r="AN76" s="258"/>
      <c r="AO76" s="258"/>
      <c r="AP76" s="258"/>
      <c r="AQ76" s="258"/>
      <c r="AR76" s="258"/>
      <c r="AS76" s="258"/>
    </row>
    <row r="77" spans="1:45" s="170" customFormat="1">
      <c r="A77" s="258"/>
      <c r="B77" s="258"/>
      <c r="C77" s="258"/>
      <c r="D77" s="258"/>
      <c r="E77" s="258"/>
      <c r="F77" s="258"/>
      <c r="G77" s="259"/>
      <c r="H77" s="258"/>
      <c r="I77" s="258"/>
      <c r="J77" s="258"/>
      <c r="K77" s="258"/>
      <c r="L77" s="258"/>
      <c r="M77" s="258"/>
      <c r="N77" s="258"/>
      <c r="O77" s="260"/>
      <c r="P77" s="259"/>
      <c r="Q77" s="258"/>
      <c r="R77" s="258"/>
      <c r="S77" s="258"/>
      <c r="T77" s="259"/>
      <c r="U77" s="258"/>
      <c r="V77" s="258"/>
      <c r="W77" s="258"/>
      <c r="X77" s="258"/>
      <c r="Y77" s="258"/>
      <c r="Z77" s="258"/>
      <c r="AA77" s="258"/>
      <c r="AB77" s="258"/>
      <c r="AC77" s="258"/>
      <c r="AD77" s="258"/>
      <c r="AE77" s="258"/>
      <c r="AF77" s="258"/>
      <c r="AG77" s="258"/>
      <c r="AH77" s="258"/>
      <c r="AI77" s="258"/>
      <c r="AJ77" s="258"/>
      <c r="AK77" s="258"/>
      <c r="AL77" s="258"/>
      <c r="AM77" s="258"/>
      <c r="AN77" s="258"/>
      <c r="AO77" s="258"/>
      <c r="AP77" s="258"/>
      <c r="AQ77" s="258"/>
      <c r="AR77" s="258"/>
      <c r="AS77" s="258"/>
    </row>
    <row r="78" spans="1:45" s="170" customFormat="1">
      <c r="A78" s="258"/>
      <c r="B78" s="258"/>
      <c r="C78" s="258"/>
      <c r="D78" s="258"/>
      <c r="E78" s="258"/>
      <c r="F78" s="258"/>
      <c r="G78" s="259"/>
      <c r="H78" s="258"/>
      <c r="I78" s="258"/>
      <c r="J78" s="258"/>
      <c r="K78" s="258"/>
      <c r="L78" s="258"/>
      <c r="M78" s="258"/>
      <c r="N78" s="258"/>
      <c r="O78" s="260"/>
      <c r="P78" s="259"/>
      <c r="Q78" s="258"/>
      <c r="R78" s="258"/>
      <c r="S78" s="258"/>
      <c r="T78" s="259"/>
      <c r="U78" s="258"/>
      <c r="V78" s="258"/>
      <c r="W78" s="258"/>
      <c r="X78" s="258"/>
      <c r="Y78" s="258"/>
      <c r="Z78" s="258"/>
      <c r="AA78" s="258"/>
      <c r="AB78" s="258"/>
      <c r="AC78" s="258"/>
      <c r="AD78" s="258"/>
      <c r="AE78" s="258"/>
      <c r="AF78" s="258"/>
      <c r="AG78" s="258"/>
      <c r="AH78" s="258"/>
      <c r="AI78" s="258"/>
      <c r="AJ78" s="258"/>
      <c r="AK78" s="258"/>
      <c r="AL78" s="258"/>
      <c r="AM78" s="258"/>
      <c r="AN78" s="258"/>
      <c r="AO78" s="258"/>
      <c r="AP78" s="258"/>
      <c r="AQ78" s="258"/>
      <c r="AR78" s="258"/>
      <c r="AS78" s="258"/>
    </row>
    <row r="79" spans="1:45" s="170" customFormat="1">
      <c r="A79" s="258"/>
      <c r="B79" s="258"/>
      <c r="C79" s="258"/>
      <c r="D79" s="258"/>
      <c r="E79" s="258"/>
      <c r="F79" s="258"/>
      <c r="G79" s="259"/>
      <c r="H79" s="258"/>
      <c r="I79" s="258"/>
      <c r="J79" s="258"/>
      <c r="K79" s="258"/>
      <c r="L79" s="258"/>
      <c r="M79" s="258"/>
      <c r="N79" s="258"/>
      <c r="O79" s="260"/>
      <c r="P79" s="259"/>
      <c r="Q79" s="258"/>
      <c r="R79" s="258"/>
      <c r="S79" s="258"/>
      <c r="T79" s="259"/>
      <c r="U79" s="258"/>
      <c r="V79" s="258"/>
      <c r="W79" s="258"/>
      <c r="X79" s="258"/>
      <c r="Y79" s="258"/>
      <c r="Z79" s="258"/>
      <c r="AA79" s="258"/>
      <c r="AB79" s="258"/>
      <c r="AC79" s="258"/>
      <c r="AD79" s="258"/>
      <c r="AE79" s="258"/>
      <c r="AF79" s="258"/>
      <c r="AG79" s="258"/>
      <c r="AH79" s="258"/>
      <c r="AI79" s="258"/>
      <c r="AJ79" s="258"/>
      <c r="AK79" s="258"/>
      <c r="AL79" s="258"/>
      <c r="AM79" s="258"/>
      <c r="AN79" s="258"/>
      <c r="AO79" s="258"/>
      <c r="AP79" s="258"/>
      <c r="AQ79" s="258"/>
      <c r="AR79" s="258"/>
      <c r="AS79" s="258"/>
    </row>
    <row r="80" spans="1:45" s="170" customFormat="1">
      <c r="A80" s="258"/>
      <c r="B80" s="258"/>
      <c r="C80" s="258"/>
      <c r="D80" s="258"/>
      <c r="E80" s="258"/>
      <c r="F80" s="258"/>
      <c r="G80" s="259"/>
      <c r="H80" s="258"/>
      <c r="I80" s="258"/>
      <c r="J80" s="258"/>
      <c r="K80" s="258"/>
      <c r="L80" s="258"/>
      <c r="M80" s="258"/>
      <c r="N80" s="258"/>
      <c r="O80" s="260"/>
      <c r="P80" s="259"/>
      <c r="Q80" s="258"/>
      <c r="R80" s="258"/>
      <c r="S80" s="258"/>
      <c r="T80" s="259"/>
      <c r="U80" s="258"/>
      <c r="V80" s="258"/>
      <c r="W80" s="258"/>
      <c r="X80" s="258"/>
      <c r="Y80" s="258"/>
      <c r="Z80" s="258"/>
      <c r="AA80" s="258"/>
      <c r="AB80" s="258"/>
      <c r="AC80" s="258"/>
      <c r="AD80" s="258"/>
      <c r="AE80" s="258"/>
      <c r="AF80" s="258"/>
      <c r="AG80" s="258"/>
      <c r="AH80" s="258"/>
      <c r="AI80" s="258"/>
      <c r="AJ80" s="258"/>
      <c r="AK80" s="258"/>
      <c r="AL80" s="258"/>
      <c r="AM80" s="258"/>
      <c r="AN80" s="258"/>
      <c r="AO80" s="258"/>
      <c r="AP80" s="258"/>
      <c r="AQ80" s="258"/>
      <c r="AR80" s="258"/>
      <c r="AS80" s="258"/>
    </row>
    <row r="81" spans="1:45" s="170" customFormat="1">
      <c r="A81" s="258"/>
      <c r="B81" s="258"/>
      <c r="C81" s="258"/>
      <c r="D81" s="258"/>
      <c r="E81" s="258"/>
      <c r="F81" s="258"/>
      <c r="G81" s="259"/>
      <c r="H81" s="258"/>
      <c r="I81" s="258"/>
      <c r="J81" s="258"/>
      <c r="K81" s="258"/>
      <c r="L81" s="258"/>
      <c r="M81" s="258"/>
      <c r="N81" s="258"/>
      <c r="O81" s="260"/>
      <c r="P81" s="259"/>
      <c r="Q81" s="258"/>
      <c r="R81" s="258"/>
      <c r="S81" s="258"/>
      <c r="T81" s="259"/>
      <c r="U81" s="258"/>
      <c r="V81" s="258"/>
      <c r="W81" s="258"/>
      <c r="X81" s="258"/>
      <c r="Y81" s="258"/>
      <c r="Z81" s="258"/>
      <c r="AA81" s="258"/>
      <c r="AB81" s="258"/>
      <c r="AC81" s="258"/>
      <c r="AD81" s="258"/>
      <c r="AE81" s="258"/>
      <c r="AF81" s="258"/>
      <c r="AG81" s="258"/>
      <c r="AH81" s="258"/>
      <c r="AI81" s="258"/>
      <c r="AJ81" s="258"/>
      <c r="AK81" s="258"/>
      <c r="AL81" s="258"/>
      <c r="AM81" s="258"/>
      <c r="AN81" s="258"/>
      <c r="AO81" s="258"/>
      <c r="AP81" s="258"/>
      <c r="AQ81" s="258"/>
      <c r="AR81" s="258"/>
      <c r="AS81" s="258"/>
    </row>
    <row r="82" spans="1:45" s="170" customFormat="1">
      <c r="A82" s="258"/>
      <c r="B82" s="258"/>
      <c r="C82" s="258"/>
      <c r="D82" s="258"/>
      <c r="E82" s="258"/>
      <c r="F82" s="258"/>
      <c r="G82" s="259"/>
      <c r="H82" s="258"/>
      <c r="I82" s="258"/>
      <c r="J82" s="258"/>
      <c r="K82" s="258"/>
      <c r="L82" s="258"/>
      <c r="M82" s="258"/>
      <c r="N82" s="258"/>
      <c r="O82" s="260"/>
      <c r="P82" s="259"/>
      <c r="Q82" s="258"/>
      <c r="R82" s="258"/>
      <c r="S82" s="258"/>
      <c r="T82" s="259"/>
      <c r="U82" s="258"/>
      <c r="V82" s="258"/>
      <c r="W82" s="258"/>
      <c r="X82" s="258"/>
      <c r="Y82" s="258"/>
      <c r="Z82" s="258"/>
      <c r="AA82" s="258"/>
      <c r="AB82" s="258"/>
      <c r="AC82" s="258"/>
      <c r="AD82" s="258"/>
      <c r="AE82" s="258"/>
      <c r="AF82" s="258"/>
      <c r="AG82" s="258"/>
      <c r="AH82" s="258"/>
      <c r="AI82" s="258"/>
      <c r="AJ82" s="258"/>
      <c r="AK82" s="258"/>
      <c r="AL82" s="258"/>
      <c r="AM82" s="258"/>
      <c r="AN82" s="258"/>
      <c r="AO82" s="258"/>
      <c r="AP82" s="258"/>
      <c r="AQ82" s="258"/>
      <c r="AR82" s="258"/>
      <c r="AS82" s="258"/>
    </row>
    <row r="83" spans="1:45" s="170" customFormat="1">
      <c r="A83" s="258"/>
      <c r="B83" s="258"/>
      <c r="C83" s="258"/>
      <c r="D83" s="258"/>
      <c r="E83" s="258"/>
      <c r="F83" s="258"/>
      <c r="G83" s="259"/>
      <c r="H83" s="258"/>
      <c r="I83" s="258"/>
      <c r="J83" s="258"/>
      <c r="K83" s="258"/>
      <c r="L83" s="258"/>
      <c r="M83" s="258"/>
      <c r="N83" s="258"/>
      <c r="O83" s="260"/>
      <c r="P83" s="259"/>
      <c r="Q83" s="258"/>
      <c r="R83" s="258"/>
      <c r="S83" s="258"/>
      <c r="T83" s="259"/>
      <c r="U83" s="258"/>
      <c r="V83" s="258"/>
      <c r="W83" s="258"/>
      <c r="X83" s="258"/>
      <c r="Y83" s="258"/>
      <c r="Z83" s="258"/>
      <c r="AA83" s="258"/>
      <c r="AB83" s="258"/>
      <c r="AC83" s="258"/>
      <c r="AD83" s="258"/>
      <c r="AE83" s="258"/>
      <c r="AF83" s="258"/>
      <c r="AG83" s="258"/>
      <c r="AH83" s="258"/>
      <c r="AI83" s="258"/>
      <c r="AJ83" s="258"/>
      <c r="AK83" s="258"/>
      <c r="AL83" s="258"/>
      <c r="AM83" s="258"/>
      <c r="AN83" s="258"/>
      <c r="AO83" s="258"/>
      <c r="AP83" s="258"/>
      <c r="AQ83" s="258"/>
      <c r="AR83" s="258"/>
      <c r="AS83" s="258"/>
    </row>
    <row r="84" spans="1:45" s="170" customFormat="1">
      <c r="A84" s="258"/>
      <c r="B84" s="258"/>
      <c r="C84" s="258"/>
      <c r="D84" s="258"/>
      <c r="E84" s="258"/>
      <c r="F84" s="258"/>
      <c r="G84" s="259"/>
      <c r="H84" s="258"/>
      <c r="I84" s="258"/>
      <c r="J84" s="258"/>
      <c r="K84" s="258"/>
      <c r="L84" s="258"/>
      <c r="M84" s="258"/>
      <c r="N84" s="258"/>
      <c r="O84" s="260"/>
      <c r="P84" s="259"/>
      <c r="Q84" s="258"/>
      <c r="R84" s="258"/>
      <c r="S84" s="258"/>
      <c r="T84" s="259"/>
      <c r="U84" s="258"/>
      <c r="V84" s="258"/>
      <c r="W84" s="258"/>
      <c r="X84" s="258"/>
      <c r="Y84" s="258"/>
      <c r="Z84" s="258"/>
      <c r="AA84" s="258"/>
      <c r="AB84" s="258"/>
      <c r="AC84" s="258"/>
      <c r="AD84" s="258"/>
      <c r="AE84" s="258"/>
      <c r="AF84" s="258"/>
      <c r="AG84" s="258"/>
      <c r="AH84" s="258"/>
      <c r="AI84" s="258"/>
      <c r="AJ84" s="258"/>
      <c r="AK84" s="258"/>
      <c r="AL84" s="258"/>
      <c r="AM84" s="258"/>
      <c r="AN84" s="258"/>
      <c r="AO84" s="258"/>
      <c r="AP84" s="258"/>
      <c r="AQ84" s="258"/>
      <c r="AR84" s="258"/>
      <c r="AS84" s="258"/>
    </row>
    <row r="85" spans="1:45" s="170" customFormat="1">
      <c r="A85" s="258"/>
      <c r="B85" s="258"/>
      <c r="C85" s="258"/>
      <c r="D85" s="258"/>
      <c r="E85" s="258"/>
      <c r="F85" s="258"/>
      <c r="G85" s="259"/>
      <c r="H85" s="258"/>
      <c r="I85" s="258"/>
      <c r="J85" s="258"/>
      <c r="K85" s="258"/>
      <c r="L85" s="258"/>
      <c r="M85" s="258"/>
      <c r="N85" s="258"/>
      <c r="O85" s="260"/>
      <c r="P85" s="259"/>
      <c r="Q85" s="258"/>
      <c r="R85" s="258"/>
      <c r="S85" s="258"/>
      <c r="T85" s="259"/>
      <c r="U85" s="258"/>
      <c r="V85" s="258"/>
      <c r="W85" s="258"/>
      <c r="X85" s="258"/>
      <c r="Y85" s="258"/>
      <c r="Z85" s="258"/>
      <c r="AA85" s="258"/>
      <c r="AB85" s="258"/>
      <c r="AC85" s="258"/>
      <c r="AD85" s="258"/>
      <c r="AE85" s="258"/>
      <c r="AF85" s="258"/>
      <c r="AG85" s="258"/>
      <c r="AH85" s="258"/>
      <c r="AI85" s="258"/>
      <c r="AJ85" s="258"/>
      <c r="AK85" s="258"/>
      <c r="AL85" s="258"/>
      <c r="AM85" s="258"/>
      <c r="AN85" s="258"/>
      <c r="AO85" s="258"/>
      <c r="AP85" s="258"/>
      <c r="AQ85" s="258"/>
      <c r="AR85" s="258"/>
      <c r="AS85" s="258"/>
    </row>
    <row r="86" spans="1:45" s="170" customFormat="1">
      <c r="A86" s="258"/>
      <c r="B86" s="258"/>
      <c r="C86" s="258"/>
      <c r="D86" s="258"/>
      <c r="E86" s="258"/>
      <c r="F86" s="258"/>
      <c r="G86" s="259"/>
      <c r="H86" s="258"/>
      <c r="I86" s="258"/>
      <c r="J86" s="258"/>
      <c r="K86" s="258"/>
      <c r="L86" s="258"/>
      <c r="M86" s="258"/>
      <c r="N86" s="258"/>
      <c r="O86" s="260"/>
      <c r="P86" s="259"/>
      <c r="Q86" s="258"/>
      <c r="R86" s="258"/>
      <c r="S86" s="258"/>
      <c r="T86" s="259"/>
      <c r="U86" s="258"/>
      <c r="V86" s="258"/>
      <c r="W86" s="258"/>
      <c r="X86" s="258"/>
      <c r="Y86" s="258"/>
      <c r="Z86" s="258"/>
      <c r="AA86" s="258"/>
      <c r="AB86" s="258"/>
      <c r="AC86" s="258"/>
      <c r="AD86" s="258"/>
      <c r="AE86" s="258"/>
      <c r="AF86" s="258"/>
      <c r="AG86" s="258"/>
      <c r="AH86" s="258"/>
      <c r="AI86" s="258"/>
      <c r="AJ86" s="258"/>
      <c r="AK86" s="258"/>
      <c r="AL86" s="258"/>
      <c r="AM86" s="258"/>
      <c r="AN86" s="258"/>
      <c r="AO86" s="258"/>
      <c r="AP86" s="258"/>
      <c r="AQ86" s="258"/>
      <c r="AR86" s="258"/>
      <c r="AS86" s="258"/>
    </row>
    <row r="87" spans="1:45" s="170" customFormat="1">
      <c r="A87" s="258"/>
      <c r="B87" s="258"/>
      <c r="C87" s="258"/>
      <c r="D87" s="258"/>
      <c r="E87" s="258"/>
      <c r="F87" s="258"/>
      <c r="G87" s="259"/>
      <c r="H87" s="258"/>
      <c r="I87" s="258"/>
      <c r="J87" s="258"/>
      <c r="K87" s="258"/>
      <c r="L87" s="258"/>
      <c r="M87" s="258"/>
      <c r="N87" s="258"/>
      <c r="O87" s="260"/>
      <c r="P87" s="259"/>
      <c r="Q87" s="258"/>
      <c r="R87" s="258"/>
      <c r="S87" s="258"/>
      <c r="T87" s="259"/>
      <c r="U87" s="258"/>
      <c r="V87" s="258"/>
      <c r="W87" s="258"/>
      <c r="X87" s="258"/>
      <c r="Y87" s="258"/>
      <c r="Z87" s="258"/>
      <c r="AA87" s="258"/>
      <c r="AB87" s="258"/>
      <c r="AC87" s="258"/>
      <c r="AD87" s="258"/>
      <c r="AE87" s="258"/>
      <c r="AF87" s="258"/>
      <c r="AG87" s="258"/>
      <c r="AH87" s="258"/>
      <c r="AI87" s="258"/>
      <c r="AJ87" s="258"/>
      <c r="AK87" s="258"/>
      <c r="AL87" s="258"/>
      <c r="AM87" s="258"/>
      <c r="AN87" s="258"/>
      <c r="AO87" s="258"/>
      <c r="AP87" s="258"/>
      <c r="AQ87" s="258"/>
      <c r="AR87" s="258"/>
      <c r="AS87" s="258"/>
    </row>
    <row r="88" spans="1:45" s="170" customFormat="1">
      <c r="A88" s="258"/>
      <c r="B88" s="258"/>
      <c r="C88" s="258"/>
      <c r="D88" s="258"/>
      <c r="E88" s="258"/>
      <c r="F88" s="258"/>
      <c r="G88" s="259"/>
      <c r="H88" s="258"/>
      <c r="I88" s="258"/>
      <c r="J88" s="258"/>
      <c r="K88" s="258"/>
      <c r="L88" s="258"/>
      <c r="M88" s="258"/>
      <c r="N88" s="258"/>
      <c r="O88" s="260"/>
      <c r="P88" s="259"/>
      <c r="Q88" s="258"/>
      <c r="R88" s="258"/>
      <c r="S88" s="258"/>
      <c r="T88" s="259"/>
      <c r="U88" s="258"/>
      <c r="V88" s="258"/>
      <c r="W88" s="258"/>
      <c r="X88" s="258"/>
      <c r="Y88" s="258"/>
      <c r="Z88" s="258"/>
      <c r="AA88" s="258"/>
      <c r="AB88" s="258"/>
      <c r="AC88" s="258"/>
      <c r="AD88" s="258"/>
      <c r="AE88" s="258"/>
      <c r="AF88" s="258"/>
      <c r="AG88" s="258"/>
      <c r="AH88" s="258"/>
      <c r="AI88" s="258"/>
      <c r="AJ88" s="258"/>
      <c r="AK88" s="258"/>
      <c r="AL88" s="258"/>
      <c r="AM88" s="258"/>
      <c r="AN88" s="258"/>
      <c r="AO88" s="258"/>
      <c r="AP88" s="258"/>
      <c r="AQ88" s="258"/>
      <c r="AR88" s="258"/>
      <c r="AS88" s="258"/>
    </row>
    <row r="89" spans="1:45" s="170" customFormat="1">
      <c r="A89" s="258"/>
      <c r="B89" s="258"/>
      <c r="C89" s="258"/>
      <c r="D89" s="258"/>
      <c r="E89" s="258"/>
      <c r="F89" s="258"/>
      <c r="G89" s="259"/>
      <c r="H89" s="258"/>
      <c r="I89" s="258"/>
      <c r="J89" s="258"/>
      <c r="K89" s="258"/>
      <c r="L89" s="258"/>
      <c r="M89" s="258"/>
      <c r="N89" s="258"/>
      <c r="O89" s="260"/>
      <c r="P89" s="259"/>
      <c r="Q89" s="258"/>
      <c r="R89" s="258"/>
      <c r="S89" s="258"/>
      <c r="T89" s="259"/>
      <c r="U89" s="258"/>
      <c r="V89" s="258"/>
      <c r="W89" s="258"/>
      <c r="X89" s="258"/>
      <c r="Y89" s="258"/>
      <c r="Z89" s="258"/>
      <c r="AA89" s="258"/>
      <c r="AB89" s="258"/>
      <c r="AC89" s="258"/>
      <c r="AD89" s="258"/>
      <c r="AE89" s="258"/>
      <c r="AF89" s="258"/>
      <c r="AG89" s="258"/>
      <c r="AH89" s="258"/>
      <c r="AI89" s="258"/>
      <c r="AJ89" s="258"/>
      <c r="AK89" s="258"/>
      <c r="AL89" s="258"/>
      <c r="AM89" s="258"/>
      <c r="AN89" s="258"/>
      <c r="AO89" s="258"/>
      <c r="AP89" s="258"/>
      <c r="AQ89" s="258"/>
      <c r="AR89" s="258"/>
      <c r="AS89" s="258"/>
    </row>
    <row r="90" spans="1:45" s="170" customFormat="1">
      <c r="A90" s="258"/>
      <c r="B90" s="258"/>
      <c r="C90" s="258"/>
      <c r="D90" s="258"/>
      <c r="E90" s="258"/>
      <c r="F90" s="258"/>
      <c r="G90" s="259"/>
      <c r="H90" s="258"/>
      <c r="I90" s="258"/>
      <c r="J90" s="258"/>
      <c r="K90" s="258"/>
      <c r="L90" s="258"/>
      <c r="M90" s="258"/>
      <c r="N90" s="258"/>
      <c r="O90" s="260"/>
      <c r="P90" s="259"/>
      <c r="Q90" s="258"/>
      <c r="R90" s="258"/>
      <c r="S90" s="258"/>
      <c r="T90" s="259"/>
      <c r="U90" s="258"/>
      <c r="V90" s="258"/>
      <c r="W90" s="258"/>
      <c r="X90" s="258"/>
      <c r="Y90" s="258"/>
      <c r="Z90" s="258"/>
      <c r="AA90" s="258"/>
      <c r="AB90" s="258"/>
      <c r="AC90" s="258"/>
      <c r="AD90" s="258"/>
      <c r="AE90" s="258"/>
      <c r="AF90" s="258"/>
      <c r="AG90" s="258"/>
      <c r="AH90" s="258"/>
      <c r="AI90" s="258"/>
      <c r="AJ90" s="258"/>
      <c r="AK90" s="258"/>
      <c r="AL90" s="258"/>
      <c r="AM90" s="258"/>
      <c r="AN90" s="258"/>
      <c r="AO90" s="258"/>
      <c r="AP90" s="258"/>
      <c r="AQ90" s="258"/>
      <c r="AR90" s="258"/>
      <c r="AS90" s="258"/>
    </row>
    <row r="91" spans="1:45" s="170" customFormat="1">
      <c r="A91" s="258"/>
      <c r="B91" s="258"/>
      <c r="C91" s="258"/>
      <c r="D91" s="258"/>
      <c r="E91" s="258"/>
      <c r="F91" s="258"/>
      <c r="G91" s="259"/>
      <c r="H91" s="258"/>
      <c r="I91" s="258"/>
      <c r="J91" s="258"/>
      <c r="K91" s="258"/>
      <c r="L91" s="258"/>
      <c r="M91" s="258"/>
      <c r="N91" s="258"/>
      <c r="O91" s="260"/>
      <c r="P91" s="259"/>
      <c r="Q91" s="258"/>
      <c r="R91" s="258"/>
      <c r="S91" s="258"/>
      <c r="T91" s="259"/>
      <c r="U91" s="258"/>
      <c r="V91" s="258"/>
      <c r="W91" s="258"/>
      <c r="X91" s="258"/>
      <c r="Y91" s="258"/>
      <c r="Z91" s="258"/>
      <c r="AA91" s="258"/>
      <c r="AB91" s="258"/>
      <c r="AC91" s="258"/>
      <c r="AD91" s="258"/>
      <c r="AE91" s="258"/>
      <c r="AF91" s="258"/>
      <c r="AG91" s="258"/>
      <c r="AH91" s="258"/>
      <c r="AI91" s="258"/>
      <c r="AJ91" s="258"/>
      <c r="AK91" s="258"/>
      <c r="AL91" s="258"/>
      <c r="AM91" s="258"/>
      <c r="AN91" s="258"/>
      <c r="AO91" s="258"/>
      <c r="AP91" s="258"/>
      <c r="AQ91" s="258"/>
      <c r="AR91" s="258"/>
      <c r="AS91" s="258"/>
    </row>
    <row r="92" spans="1:45" s="170" customFormat="1">
      <c r="A92" s="258"/>
      <c r="B92" s="258"/>
      <c r="C92" s="258"/>
      <c r="D92" s="258"/>
      <c r="E92" s="258"/>
      <c r="F92" s="258"/>
      <c r="G92" s="259"/>
      <c r="H92" s="258"/>
      <c r="I92" s="258"/>
      <c r="J92" s="258"/>
      <c r="K92" s="258"/>
      <c r="L92" s="258"/>
      <c r="M92" s="258"/>
      <c r="N92" s="258"/>
      <c r="O92" s="260"/>
      <c r="P92" s="259"/>
      <c r="Q92" s="258"/>
      <c r="R92" s="258"/>
      <c r="S92" s="258"/>
      <c r="T92" s="259"/>
      <c r="U92" s="258"/>
      <c r="V92" s="258"/>
      <c r="W92" s="258"/>
      <c r="X92" s="258"/>
      <c r="Y92" s="258"/>
      <c r="Z92" s="258"/>
      <c r="AA92" s="258"/>
      <c r="AB92" s="258"/>
      <c r="AC92" s="258"/>
      <c r="AD92" s="258"/>
      <c r="AE92" s="258"/>
      <c r="AF92" s="258"/>
      <c r="AG92" s="258"/>
      <c r="AH92" s="258"/>
      <c r="AI92" s="258"/>
      <c r="AJ92" s="258"/>
      <c r="AK92" s="258"/>
      <c r="AL92" s="258"/>
      <c r="AM92" s="258"/>
      <c r="AN92" s="258"/>
      <c r="AO92" s="258"/>
      <c r="AP92" s="258"/>
      <c r="AQ92" s="258"/>
      <c r="AR92" s="258"/>
      <c r="AS92" s="258"/>
    </row>
    <row r="93" spans="1:45" s="170" customFormat="1">
      <c r="A93" s="258"/>
      <c r="B93" s="258"/>
      <c r="C93" s="258"/>
      <c r="D93" s="258"/>
      <c r="E93" s="258"/>
      <c r="F93" s="258"/>
      <c r="G93" s="259"/>
      <c r="H93" s="258"/>
      <c r="I93" s="258"/>
      <c r="J93" s="258"/>
      <c r="K93" s="258"/>
      <c r="L93" s="258"/>
      <c r="M93" s="258"/>
      <c r="N93" s="258"/>
      <c r="O93" s="260"/>
      <c r="P93" s="259"/>
      <c r="Q93" s="258"/>
      <c r="R93" s="258"/>
      <c r="S93" s="258"/>
      <c r="T93" s="259"/>
      <c r="U93" s="258"/>
      <c r="V93" s="258"/>
      <c r="W93" s="258"/>
      <c r="X93" s="258"/>
      <c r="Y93" s="258"/>
      <c r="Z93" s="258"/>
      <c r="AA93" s="258"/>
      <c r="AB93" s="258"/>
      <c r="AC93" s="258"/>
      <c r="AD93" s="258"/>
      <c r="AE93" s="258"/>
      <c r="AF93" s="258"/>
      <c r="AG93" s="258"/>
      <c r="AH93" s="258"/>
      <c r="AI93" s="258"/>
      <c r="AJ93" s="258"/>
      <c r="AK93" s="258"/>
      <c r="AL93" s="258"/>
      <c r="AM93" s="258"/>
      <c r="AN93" s="258"/>
      <c r="AO93" s="258"/>
      <c r="AP93" s="258"/>
      <c r="AQ93" s="258"/>
      <c r="AR93" s="258"/>
      <c r="AS93" s="258"/>
    </row>
    <row r="94" spans="1:45" s="170" customFormat="1">
      <c r="A94" s="258"/>
      <c r="B94" s="258"/>
      <c r="C94" s="258"/>
      <c r="D94" s="258"/>
      <c r="E94" s="258"/>
      <c r="F94" s="258"/>
      <c r="G94" s="259"/>
      <c r="H94" s="258"/>
      <c r="I94" s="258"/>
      <c r="J94" s="258"/>
      <c r="K94" s="258"/>
      <c r="L94" s="258"/>
      <c r="M94" s="258"/>
      <c r="N94" s="258"/>
      <c r="O94" s="260"/>
      <c r="P94" s="259"/>
      <c r="Q94" s="258"/>
      <c r="R94" s="258"/>
      <c r="S94" s="258"/>
      <c r="T94" s="259"/>
      <c r="U94" s="258"/>
      <c r="V94" s="258"/>
      <c r="W94" s="258"/>
      <c r="X94" s="258"/>
      <c r="Y94" s="258"/>
      <c r="Z94" s="258"/>
      <c r="AA94" s="258"/>
      <c r="AB94" s="258"/>
      <c r="AC94" s="258"/>
      <c r="AD94" s="258"/>
      <c r="AE94" s="258"/>
      <c r="AF94" s="258"/>
      <c r="AG94" s="258"/>
      <c r="AH94" s="258"/>
      <c r="AI94" s="258"/>
      <c r="AJ94" s="258"/>
      <c r="AK94" s="258"/>
      <c r="AL94" s="258"/>
      <c r="AM94" s="258"/>
      <c r="AN94" s="258"/>
      <c r="AO94" s="258"/>
      <c r="AP94" s="258"/>
      <c r="AQ94" s="258"/>
      <c r="AR94" s="258"/>
      <c r="AS94" s="258"/>
    </row>
    <row r="95" spans="1:45" s="170" customFormat="1">
      <c r="A95" s="258"/>
      <c r="B95" s="258"/>
      <c r="C95" s="258"/>
      <c r="D95" s="258"/>
      <c r="E95" s="258"/>
      <c r="F95" s="258"/>
      <c r="G95" s="259"/>
      <c r="H95" s="258"/>
      <c r="I95" s="258"/>
      <c r="J95" s="258"/>
      <c r="K95" s="258"/>
      <c r="L95" s="258"/>
      <c r="M95" s="258"/>
      <c r="N95" s="258"/>
      <c r="O95" s="260"/>
      <c r="P95" s="259"/>
      <c r="Q95" s="258"/>
      <c r="R95" s="258"/>
      <c r="S95" s="258"/>
      <c r="T95" s="259"/>
      <c r="U95" s="258"/>
      <c r="V95" s="258"/>
      <c r="W95" s="258"/>
      <c r="X95" s="258"/>
      <c r="Y95" s="258"/>
      <c r="Z95" s="258"/>
      <c r="AA95" s="258"/>
      <c r="AB95" s="258"/>
      <c r="AC95" s="258"/>
      <c r="AD95" s="258"/>
      <c r="AE95" s="258"/>
      <c r="AF95" s="258"/>
      <c r="AG95" s="258"/>
      <c r="AH95" s="258"/>
      <c r="AI95" s="258"/>
      <c r="AJ95" s="258"/>
      <c r="AK95" s="258"/>
      <c r="AL95" s="258"/>
      <c r="AM95" s="258"/>
      <c r="AN95" s="258"/>
      <c r="AO95" s="258"/>
      <c r="AP95" s="258"/>
      <c r="AQ95" s="258"/>
      <c r="AR95" s="258"/>
      <c r="AS95" s="258"/>
    </row>
    <row r="96" spans="1:45" s="170" customFormat="1">
      <c r="A96" s="258"/>
      <c r="B96" s="258"/>
      <c r="C96" s="258"/>
      <c r="D96" s="258"/>
      <c r="E96" s="258"/>
      <c r="F96" s="258"/>
      <c r="G96" s="259"/>
      <c r="H96" s="258"/>
      <c r="I96" s="258"/>
      <c r="J96" s="258"/>
      <c r="K96" s="258"/>
      <c r="L96" s="258"/>
      <c r="M96" s="258"/>
      <c r="N96" s="258"/>
      <c r="O96" s="260"/>
      <c r="P96" s="259"/>
      <c r="Q96" s="258"/>
      <c r="R96" s="258"/>
      <c r="S96" s="258"/>
      <c r="T96" s="259"/>
      <c r="U96" s="258"/>
      <c r="V96" s="258"/>
      <c r="W96" s="258"/>
      <c r="X96" s="258"/>
      <c r="Y96" s="258"/>
      <c r="Z96" s="258"/>
      <c r="AA96" s="258"/>
      <c r="AB96" s="258"/>
      <c r="AC96" s="258"/>
      <c r="AD96" s="258"/>
      <c r="AE96" s="258"/>
      <c r="AF96" s="258"/>
      <c r="AG96" s="258"/>
      <c r="AH96" s="258"/>
      <c r="AI96" s="258"/>
      <c r="AJ96" s="258"/>
      <c r="AK96" s="258"/>
      <c r="AL96" s="258"/>
      <c r="AM96" s="258"/>
      <c r="AN96" s="258"/>
      <c r="AO96" s="258"/>
      <c r="AP96" s="258"/>
      <c r="AQ96" s="258"/>
      <c r="AR96" s="258"/>
      <c r="AS96" s="258"/>
    </row>
    <row r="97" spans="1:45" s="170" customFormat="1">
      <c r="A97" s="258"/>
      <c r="B97" s="258"/>
      <c r="C97" s="258"/>
      <c r="D97" s="258"/>
      <c r="E97" s="258"/>
      <c r="F97" s="258"/>
      <c r="G97" s="259"/>
      <c r="H97" s="258"/>
      <c r="I97" s="258"/>
      <c r="J97" s="258"/>
      <c r="K97" s="258"/>
      <c r="L97" s="258"/>
      <c r="M97" s="258"/>
      <c r="N97" s="258"/>
      <c r="O97" s="260"/>
      <c r="P97" s="259"/>
      <c r="Q97" s="258"/>
      <c r="R97" s="258"/>
      <c r="S97" s="258"/>
      <c r="T97" s="259"/>
      <c r="U97" s="258"/>
      <c r="V97" s="258"/>
      <c r="W97" s="258"/>
      <c r="X97" s="258"/>
      <c r="Y97" s="258"/>
      <c r="Z97" s="258"/>
      <c r="AA97" s="258"/>
      <c r="AB97" s="258"/>
      <c r="AC97" s="258"/>
      <c r="AD97" s="258"/>
      <c r="AE97" s="258"/>
      <c r="AF97" s="258"/>
      <c r="AG97" s="258"/>
      <c r="AH97" s="258"/>
      <c r="AI97" s="258"/>
      <c r="AJ97" s="258"/>
      <c r="AK97" s="258"/>
      <c r="AL97" s="258"/>
      <c r="AM97" s="258"/>
      <c r="AN97" s="258"/>
      <c r="AO97" s="258"/>
      <c r="AP97" s="258"/>
      <c r="AQ97" s="258"/>
      <c r="AR97" s="258"/>
      <c r="AS97" s="258"/>
    </row>
    <row r="98" spans="1:45" s="170" customFormat="1">
      <c r="A98" s="258"/>
      <c r="B98" s="258"/>
      <c r="C98" s="258"/>
      <c r="D98" s="258"/>
      <c r="E98" s="258"/>
      <c r="F98" s="258"/>
      <c r="G98" s="259"/>
      <c r="H98" s="258"/>
      <c r="I98" s="258"/>
      <c r="J98" s="258"/>
      <c r="K98" s="258"/>
      <c r="L98" s="258"/>
      <c r="M98" s="258"/>
      <c r="N98" s="258"/>
      <c r="O98" s="260"/>
      <c r="P98" s="259"/>
      <c r="Q98" s="258"/>
      <c r="R98" s="258"/>
      <c r="S98" s="258"/>
      <c r="T98" s="259"/>
      <c r="U98" s="258"/>
      <c r="V98" s="258"/>
      <c r="W98" s="258"/>
      <c r="X98" s="258"/>
      <c r="Y98" s="258"/>
      <c r="Z98" s="258"/>
      <c r="AA98" s="258"/>
      <c r="AB98" s="258"/>
      <c r="AC98" s="258"/>
      <c r="AD98" s="258"/>
      <c r="AE98" s="258"/>
      <c r="AF98" s="258"/>
      <c r="AG98" s="258"/>
      <c r="AH98" s="258"/>
      <c r="AI98" s="258"/>
      <c r="AJ98" s="258"/>
      <c r="AK98" s="258"/>
      <c r="AL98" s="258"/>
      <c r="AM98" s="258"/>
      <c r="AN98" s="258"/>
      <c r="AO98" s="258"/>
      <c r="AP98" s="258"/>
      <c r="AQ98" s="258"/>
      <c r="AR98" s="258"/>
      <c r="AS98" s="258"/>
    </row>
    <row r="99" spans="1:45" s="170" customFormat="1">
      <c r="A99" s="258"/>
      <c r="B99" s="258"/>
      <c r="C99" s="258"/>
      <c r="D99" s="258"/>
      <c r="E99" s="258"/>
      <c r="F99" s="258"/>
      <c r="G99" s="259"/>
      <c r="H99" s="258"/>
      <c r="I99" s="258"/>
      <c r="J99" s="258"/>
      <c r="K99" s="258"/>
      <c r="L99" s="258"/>
      <c r="M99" s="258"/>
      <c r="N99" s="258"/>
      <c r="O99" s="260"/>
      <c r="P99" s="259"/>
      <c r="Q99" s="258"/>
      <c r="R99" s="258"/>
      <c r="S99" s="258"/>
      <c r="T99" s="259"/>
      <c r="U99" s="258"/>
      <c r="V99" s="258"/>
      <c r="W99" s="258"/>
      <c r="X99" s="258"/>
      <c r="Y99" s="258"/>
      <c r="Z99" s="258"/>
      <c r="AA99" s="258"/>
      <c r="AB99" s="258"/>
      <c r="AC99" s="258"/>
      <c r="AD99" s="258"/>
      <c r="AE99" s="258"/>
      <c r="AF99" s="258"/>
      <c r="AG99" s="258"/>
      <c r="AH99" s="258"/>
      <c r="AI99" s="258"/>
      <c r="AJ99" s="258"/>
      <c r="AK99" s="258"/>
      <c r="AL99" s="258"/>
      <c r="AM99" s="258"/>
      <c r="AN99" s="258"/>
      <c r="AO99" s="258"/>
      <c r="AP99" s="258"/>
      <c r="AQ99" s="258"/>
      <c r="AR99" s="258"/>
      <c r="AS99" s="258"/>
    </row>
    <row r="100" spans="1:45" s="170" customFormat="1">
      <c r="A100" s="258"/>
      <c r="B100" s="258"/>
      <c r="C100" s="258"/>
      <c r="D100" s="258"/>
      <c r="E100" s="258"/>
      <c r="F100" s="258"/>
      <c r="G100" s="259"/>
      <c r="H100" s="258"/>
      <c r="I100" s="258"/>
      <c r="J100" s="258"/>
      <c r="K100" s="258"/>
      <c r="L100" s="258"/>
      <c r="M100" s="258"/>
      <c r="N100" s="258"/>
      <c r="O100" s="260"/>
      <c r="P100" s="259"/>
      <c r="Q100" s="258"/>
      <c r="R100" s="258"/>
      <c r="S100" s="258"/>
      <c r="T100" s="259"/>
      <c r="U100" s="258"/>
      <c r="V100" s="258"/>
      <c r="W100" s="258"/>
      <c r="X100" s="258"/>
      <c r="Y100" s="258"/>
      <c r="Z100" s="258"/>
      <c r="AA100" s="258"/>
      <c r="AB100" s="258"/>
      <c r="AC100" s="258"/>
      <c r="AD100" s="258"/>
      <c r="AE100" s="258"/>
      <c r="AF100" s="258"/>
      <c r="AG100" s="258"/>
      <c r="AH100" s="258"/>
      <c r="AI100" s="258"/>
      <c r="AJ100" s="258"/>
      <c r="AK100" s="258"/>
      <c r="AL100" s="258"/>
      <c r="AM100" s="258"/>
      <c r="AN100" s="258"/>
      <c r="AO100" s="258"/>
      <c r="AP100" s="258"/>
      <c r="AQ100" s="258"/>
      <c r="AR100" s="258"/>
      <c r="AS100" s="258"/>
    </row>
    <row r="101" spans="1:45" s="170" customFormat="1">
      <c r="A101" s="258"/>
      <c r="B101" s="258"/>
      <c r="C101" s="258"/>
      <c r="D101" s="258"/>
      <c r="E101" s="258"/>
      <c r="F101" s="258"/>
      <c r="G101" s="259"/>
      <c r="H101" s="258"/>
      <c r="I101" s="258"/>
      <c r="J101" s="258"/>
      <c r="K101" s="258"/>
      <c r="L101" s="258"/>
      <c r="M101" s="258"/>
      <c r="N101" s="258"/>
      <c r="O101" s="260"/>
      <c r="P101" s="259"/>
      <c r="Q101" s="258"/>
      <c r="R101" s="258"/>
      <c r="S101" s="258"/>
      <c r="T101" s="259"/>
      <c r="U101" s="258"/>
      <c r="V101" s="258"/>
      <c r="W101" s="258"/>
      <c r="X101" s="258"/>
      <c r="Y101" s="258"/>
      <c r="Z101" s="258"/>
      <c r="AA101" s="258"/>
      <c r="AB101" s="258"/>
      <c r="AC101" s="258"/>
      <c r="AD101" s="258"/>
      <c r="AE101" s="258"/>
      <c r="AF101" s="258"/>
      <c r="AG101" s="258"/>
      <c r="AH101" s="258"/>
      <c r="AI101" s="258"/>
      <c r="AJ101" s="258"/>
      <c r="AK101" s="258"/>
      <c r="AL101" s="258"/>
      <c r="AM101" s="258"/>
      <c r="AN101" s="258"/>
      <c r="AO101" s="258"/>
      <c r="AP101" s="258"/>
      <c r="AQ101" s="258"/>
      <c r="AR101" s="258"/>
      <c r="AS101" s="258"/>
    </row>
    <row r="102" spans="1:45" s="170" customFormat="1">
      <c r="A102" s="258"/>
      <c r="B102" s="258"/>
      <c r="C102" s="258"/>
      <c r="D102" s="258"/>
      <c r="E102" s="258"/>
      <c r="F102" s="258"/>
      <c r="G102" s="259"/>
      <c r="H102" s="258"/>
      <c r="I102" s="258"/>
      <c r="J102" s="258"/>
      <c r="K102" s="258"/>
      <c r="L102" s="258"/>
      <c r="M102" s="258"/>
      <c r="N102" s="258"/>
      <c r="O102" s="260"/>
      <c r="P102" s="259"/>
      <c r="Q102" s="258"/>
      <c r="R102" s="258"/>
      <c r="S102" s="258"/>
      <c r="T102" s="259"/>
      <c r="U102" s="258"/>
      <c r="V102" s="258"/>
      <c r="W102" s="258"/>
      <c r="X102" s="258"/>
      <c r="Y102" s="258"/>
      <c r="Z102" s="258"/>
      <c r="AA102" s="258"/>
      <c r="AB102" s="258"/>
      <c r="AC102" s="258"/>
      <c r="AD102" s="258"/>
      <c r="AE102" s="258"/>
      <c r="AF102" s="258"/>
      <c r="AG102" s="258"/>
      <c r="AH102" s="258"/>
      <c r="AI102" s="258"/>
      <c r="AJ102" s="258"/>
      <c r="AK102" s="258"/>
      <c r="AL102" s="258"/>
      <c r="AM102" s="258"/>
      <c r="AN102" s="258"/>
      <c r="AO102" s="258"/>
      <c r="AP102" s="258"/>
      <c r="AQ102" s="258"/>
      <c r="AR102" s="258"/>
      <c r="AS102" s="258"/>
    </row>
    <row r="103" spans="1:45" s="170" customFormat="1">
      <c r="A103" s="258"/>
      <c r="B103" s="258"/>
      <c r="C103" s="258"/>
      <c r="D103" s="258"/>
      <c r="E103" s="258"/>
      <c r="F103" s="258"/>
      <c r="G103" s="259"/>
      <c r="H103" s="258"/>
      <c r="I103" s="258"/>
      <c r="J103" s="258"/>
      <c r="K103" s="258"/>
      <c r="L103" s="258"/>
      <c r="M103" s="258"/>
      <c r="N103" s="258"/>
      <c r="O103" s="260"/>
      <c r="P103" s="259"/>
      <c r="Q103" s="258"/>
      <c r="R103" s="258"/>
      <c r="S103" s="258"/>
      <c r="T103" s="259"/>
      <c r="U103" s="258"/>
      <c r="V103" s="258"/>
      <c r="W103" s="258"/>
      <c r="X103" s="258"/>
      <c r="Y103" s="258"/>
      <c r="Z103" s="258"/>
      <c r="AA103" s="258"/>
      <c r="AB103" s="258"/>
      <c r="AC103" s="258"/>
      <c r="AD103" s="258"/>
      <c r="AE103" s="258"/>
      <c r="AF103" s="258"/>
      <c r="AG103" s="258"/>
      <c r="AH103" s="258"/>
      <c r="AI103" s="258"/>
      <c r="AJ103" s="258"/>
      <c r="AK103" s="258"/>
      <c r="AL103" s="258"/>
      <c r="AM103" s="258"/>
      <c r="AN103" s="258"/>
      <c r="AO103" s="258"/>
      <c r="AP103" s="258"/>
      <c r="AQ103" s="258"/>
      <c r="AR103" s="258"/>
      <c r="AS103" s="258"/>
    </row>
    <row r="104" spans="1:45" s="170" customFormat="1">
      <c r="A104" s="258"/>
      <c r="B104" s="258"/>
      <c r="C104" s="258"/>
      <c r="D104" s="258"/>
      <c r="E104" s="258"/>
      <c r="F104" s="258"/>
      <c r="G104" s="259"/>
      <c r="H104" s="258"/>
      <c r="I104" s="258"/>
      <c r="J104" s="258"/>
      <c r="K104" s="258"/>
      <c r="L104" s="258"/>
      <c r="M104" s="258"/>
      <c r="N104" s="258"/>
      <c r="O104" s="260"/>
      <c r="P104" s="259"/>
      <c r="Q104" s="258"/>
      <c r="R104" s="258"/>
      <c r="S104" s="258"/>
      <c r="T104" s="259"/>
      <c r="U104" s="258"/>
      <c r="V104" s="258"/>
      <c r="W104" s="258"/>
      <c r="X104" s="258"/>
      <c r="Y104" s="258"/>
      <c r="Z104" s="258"/>
      <c r="AA104" s="258"/>
      <c r="AB104" s="258"/>
      <c r="AC104" s="258"/>
      <c r="AD104" s="258"/>
      <c r="AE104" s="258"/>
      <c r="AF104" s="258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</row>
    <row r="105" spans="1:45" s="170" customFormat="1">
      <c r="A105" s="258"/>
      <c r="B105" s="258"/>
      <c r="C105" s="258"/>
      <c r="D105" s="258"/>
      <c r="E105" s="258"/>
      <c r="F105" s="258"/>
      <c r="G105" s="259"/>
      <c r="H105" s="258"/>
      <c r="I105" s="258"/>
      <c r="J105" s="258"/>
      <c r="K105" s="258"/>
      <c r="L105" s="258"/>
      <c r="M105" s="258"/>
      <c r="N105" s="258"/>
      <c r="O105" s="260"/>
      <c r="P105" s="259"/>
      <c r="Q105" s="258"/>
      <c r="R105" s="258"/>
      <c r="S105" s="258"/>
      <c r="T105" s="259"/>
      <c r="U105" s="258"/>
      <c r="V105" s="258"/>
      <c r="W105" s="258"/>
      <c r="X105" s="258"/>
      <c r="Y105" s="258"/>
      <c r="Z105" s="258"/>
      <c r="AA105" s="258"/>
      <c r="AB105" s="258"/>
      <c r="AC105" s="258"/>
      <c r="AD105" s="258"/>
      <c r="AE105" s="258"/>
      <c r="AF105" s="258"/>
      <c r="AG105" s="258"/>
      <c r="AH105" s="258"/>
      <c r="AI105" s="258"/>
      <c r="AJ105" s="258"/>
      <c r="AK105" s="258"/>
      <c r="AL105" s="258"/>
      <c r="AM105" s="258"/>
      <c r="AN105" s="258"/>
      <c r="AO105" s="258"/>
      <c r="AP105" s="258"/>
      <c r="AQ105" s="258"/>
      <c r="AR105" s="258"/>
      <c r="AS105" s="258"/>
    </row>
  </sheetData>
  <autoFilter ref="D1:AR30" xr:uid="{ABABD987-F110-4F21-87D0-EC1EFC6E2AEE}"/>
  <mergeCells count="19">
    <mergeCell ref="K2:K3"/>
    <mergeCell ref="L2:L3"/>
    <mergeCell ref="N2:N3"/>
    <mergeCell ref="AS2:AS3"/>
    <mergeCell ref="B2:B3"/>
    <mergeCell ref="AI2:AM2"/>
    <mergeCell ref="AN2:AR2"/>
    <mergeCell ref="A2:A3"/>
    <mergeCell ref="F2:F3"/>
    <mergeCell ref="G2:G3"/>
    <mergeCell ref="H2:H3"/>
    <mergeCell ref="AD2:AH2"/>
    <mergeCell ref="E2:E3"/>
    <mergeCell ref="C2:C3"/>
    <mergeCell ref="O2:S2"/>
    <mergeCell ref="T2:X2"/>
    <mergeCell ref="Y2:AC2"/>
    <mergeCell ref="I2:I3"/>
    <mergeCell ref="J2:J3"/>
  </mergeCells>
  <phoneticPr fontId="11" type="noConversion"/>
  <conditionalFormatting sqref="A31:XFD31 AT4:XFD30 A4:AR30">
    <cfRule type="expression" dxfId="59" priority="18">
      <formula>$J4="AUR"</formula>
    </cfRule>
  </conditionalFormatting>
  <conditionalFormatting sqref="AT4:XFD30 A31:XFD31 A4:AR30">
    <cfRule type="expression" dxfId="58" priority="77">
      <formula>$J4="GAA"</formula>
    </cfRule>
  </conditionalFormatting>
  <conditionalFormatting sqref="AT4:XFD30 A31:XFD32 A4:AR30">
    <cfRule type="expression" dxfId="57" priority="76">
      <formula>$J4="CTA"</formula>
    </cfRule>
  </conditionalFormatting>
  <conditionalFormatting sqref="F24:F25">
    <cfRule type="expression" dxfId="56" priority="20">
      <formula>$J24="GAA"</formula>
    </cfRule>
  </conditionalFormatting>
  <conditionalFormatting sqref="F18:AR30">
    <cfRule type="expression" dxfId="55" priority="19">
      <formula>$J18="CTA"</formula>
    </cfRule>
  </conditionalFormatting>
  <conditionalFormatting sqref="K4">
    <cfRule type="expression" dxfId="54" priority="6836">
      <formula>SUMPRODUCT((#REF!&lt;&gt;"")*($K4="")+($K1048565="C"))</formula>
    </cfRule>
  </conditionalFormatting>
  <conditionalFormatting sqref="K4:K41">
    <cfRule type="expression" dxfId="53" priority="17">
      <formula>$K4="Pending"</formula>
    </cfRule>
    <cfRule type="expression" dxfId="52" priority="872">
      <formula>SUMPRODUCT(($K4="A")+($K4="B"))</formula>
    </cfRule>
  </conditionalFormatting>
  <conditionalFormatting sqref="K4:K491">
    <cfRule type="expression" dxfId="51" priority="870">
      <formula>$K4="Pending"</formula>
    </cfRule>
  </conditionalFormatting>
  <conditionalFormatting sqref="K11:K17">
    <cfRule type="expression" dxfId="50" priority="7100">
      <formula>SUMPRODUCT((#REF!&lt;&gt;"")*($K11="")+($K1048570="C"))</formula>
    </cfRule>
  </conditionalFormatting>
  <conditionalFormatting sqref="K26:K30">
    <cfRule type="expression" dxfId="49" priority="6422">
      <formula>SUMPRODUCT((#REF!&lt;&gt;"")*($K26="")+($K1048574="C"))</formula>
    </cfRule>
  </conditionalFormatting>
  <conditionalFormatting sqref="K31:K41">
    <cfRule type="expression" dxfId="48" priority="6423">
      <formula>SUMPRODUCT((#REF!&lt;&gt;"")*($K31="")+(#REF!="C"))</formula>
    </cfRule>
  </conditionalFormatting>
  <conditionalFormatting sqref="K42:K491">
    <cfRule type="expression" dxfId="47" priority="6425">
      <formula>SUMPRODUCT((#REF!&lt;&gt;"")*($K42="")+($K31="C"))</formula>
    </cfRule>
    <cfRule type="expression" dxfId="46" priority="6426">
      <formula>SUMPRODUCT(($K42="A")+($K42="B"))</formula>
    </cfRule>
  </conditionalFormatting>
  <conditionalFormatting sqref="AS4:AS30">
    <cfRule type="expression" dxfId="45" priority="2">
      <formula>#REF!="AUR"</formula>
    </cfRule>
    <cfRule type="expression" dxfId="44" priority="3">
      <formula>#REF!="GAA"</formula>
    </cfRule>
    <cfRule type="expression" dxfId="43" priority="4">
      <formula>#REF!="CTA"</formula>
    </cfRule>
  </conditionalFormatting>
  <conditionalFormatting sqref="AS24:AS25">
    <cfRule type="expression" dxfId="42" priority="5">
      <formula>#REF!="GAA"</formula>
    </cfRule>
  </conditionalFormatting>
  <conditionalFormatting sqref="K5:K17">
    <cfRule type="expression" dxfId="41" priority="7351">
      <formula>SUMPRODUCT((#REF!&lt;&gt;"")*($K5="")+($K1048565="C"))</formula>
    </cfRule>
  </conditionalFormatting>
  <conditionalFormatting sqref="K18:K25">
    <cfRule type="expression" dxfId="40" priority="7354">
      <formula>SUMPRODUCT((#REF!&lt;&gt;"")*($K18="")+($K1048567="C"))</formula>
    </cfRule>
  </conditionalFormatting>
  <dataValidations disablePrompts="1" count="2">
    <dataValidation type="list" allowBlank="1" showInputMessage="1" showErrorMessage="1" sqref="K4:K30" xr:uid="{55E8E24F-C7E2-4443-B6BA-70F1E9FA9920}">
      <formula1>"A, B, C, Pending, Closed"</formula1>
    </dataValidation>
    <dataValidation type="list" allowBlank="1" showInputMessage="1" showErrorMessage="1" sqref="J4:J30" xr:uid="{CBC06700-8293-49D2-9EA0-9838D9837335}">
      <formula1>"GAA, CTA, AUR, STT, Closed"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7961-636C-423D-AA02-81BF19900DFD}">
  <dimension ref="A1:Q15"/>
  <sheetViews>
    <sheetView workbookViewId="0">
      <selection activeCell="N8" sqref="N8"/>
    </sheetView>
  </sheetViews>
  <sheetFormatPr defaultRowHeight="13.9"/>
  <cols>
    <col min="1" max="1" width="18.75" customWidth="1"/>
    <col min="2" max="2" width="18" customWidth="1"/>
    <col min="16" max="16" width="12.75" customWidth="1"/>
  </cols>
  <sheetData>
    <row r="1" spans="1:17">
      <c r="A1" s="12" t="s">
        <v>1676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7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7">
      <c r="A3" s="863" t="s">
        <v>1</v>
      </c>
      <c r="B3" s="865" t="s">
        <v>1677</v>
      </c>
      <c r="C3" s="996" t="s">
        <v>1678</v>
      </c>
      <c r="D3" s="997"/>
      <c r="E3" s="998"/>
      <c r="F3" s="983" t="s">
        <v>1679</v>
      </c>
      <c r="G3" s="984"/>
      <c r="H3" s="985"/>
      <c r="I3" s="989" t="s">
        <v>1680</v>
      </c>
      <c r="J3" s="990"/>
      <c r="K3" s="991"/>
      <c r="L3" s="984" t="s">
        <v>1679</v>
      </c>
      <c r="M3" s="1003" t="s">
        <v>1681</v>
      </c>
      <c r="N3" s="989" t="s">
        <v>1680</v>
      </c>
      <c r="O3" s="981" t="s">
        <v>1681</v>
      </c>
      <c r="P3" s="975" t="s">
        <v>1682</v>
      </c>
      <c r="Q3" s="978" t="s">
        <v>1681</v>
      </c>
    </row>
    <row r="4" spans="1:17">
      <c r="A4" s="864"/>
      <c r="B4" s="866"/>
      <c r="C4" s="999"/>
      <c r="D4" s="1000"/>
      <c r="E4" s="1001"/>
      <c r="F4" s="986"/>
      <c r="G4" s="987"/>
      <c r="H4" s="988"/>
      <c r="I4" s="992"/>
      <c r="J4" s="993"/>
      <c r="K4" s="994"/>
      <c r="L4" s="1002"/>
      <c r="M4" s="1004"/>
      <c r="N4" s="995"/>
      <c r="O4" s="982"/>
      <c r="P4" s="976"/>
      <c r="Q4" s="979"/>
    </row>
    <row r="5" spans="1:17">
      <c r="A5" s="864"/>
      <c r="B5" s="867"/>
      <c r="C5" s="143" t="s">
        <v>1683</v>
      </c>
      <c r="D5" s="136" t="s">
        <v>1684</v>
      </c>
      <c r="E5" s="137" t="s">
        <v>1685</v>
      </c>
      <c r="F5" s="135" t="s">
        <v>1683</v>
      </c>
      <c r="G5" s="136" t="s">
        <v>1684</v>
      </c>
      <c r="H5" s="137" t="s">
        <v>1685</v>
      </c>
      <c r="I5" s="135" t="s">
        <v>1683</v>
      </c>
      <c r="J5" s="136" t="s">
        <v>1684</v>
      </c>
      <c r="K5" s="137" t="s">
        <v>1685</v>
      </c>
      <c r="L5" s="987"/>
      <c r="M5" s="1005"/>
      <c r="N5" s="992"/>
      <c r="O5" s="982"/>
      <c r="P5" s="977"/>
      <c r="Q5" s="980"/>
    </row>
    <row r="6" spans="1:17">
      <c r="A6" s="19" t="s">
        <v>18</v>
      </c>
      <c r="B6" s="31" t="e" cm="1">
        <f t="array" ref="B6">SUMPRODUCT((ST!#REF!&lt;&gt;"")*(ST!$E$4:$E$951&lt;&gt;""))</f>
        <v>#REF!</v>
      </c>
      <c r="C6" s="129" t="e">
        <f>COUNTIF(#REF!,"High")</f>
        <v>#REF!</v>
      </c>
      <c r="D6" s="129" t="e">
        <f>COUNTIF(#REF!,"Medium")</f>
        <v>#REF!</v>
      </c>
      <c r="E6" s="129" t="e">
        <f>COUNTIF(#REF!,"Low")</f>
        <v>#REF!</v>
      </c>
      <c r="F6" s="129" t="e">
        <f>COUNTIFS(#REF!,'Internal Progress'!F5,#REF!,'Internal Progress'!$F$3)</f>
        <v>#REF!</v>
      </c>
      <c r="G6" s="129" t="e">
        <f>COUNTIFS(#REF!,'Internal Progress'!G5,#REF!,'Internal Progress'!$F$3)</f>
        <v>#REF!</v>
      </c>
      <c r="H6" s="129" t="e">
        <f>COUNTIFS(#REF!,'Internal Progress'!H5,#REF!,'Internal Progress'!$F$3)</f>
        <v>#REF!</v>
      </c>
      <c r="I6" s="129" t="e">
        <f>COUNTIFS(#REF!,'Internal Progress'!F5,#REF!,'Internal Progress'!$I$3)</f>
        <v>#REF!</v>
      </c>
      <c r="J6" s="129" t="e">
        <f>COUNTIFS(#REF!,'Internal Progress'!J5,#REF!,'Internal Progress'!$I$3)</f>
        <v>#REF!</v>
      </c>
      <c r="K6" s="129" t="e">
        <f>COUNTIFS(#REF!,'Internal Progress'!K5,#REF!,'Internal Progress'!$I$3)</f>
        <v>#REF!</v>
      </c>
      <c r="L6" s="144" t="e">
        <f>SUM(F6:H6)</f>
        <v>#REF!</v>
      </c>
      <c r="M6" s="151" t="e">
        <f t="shared" ref="M6:M12" si="0">L6/B6</f>
        <v>#REF!</v>
      </c>
      <c r="N6" s="132" t="e">
        <f>SUM(I6:K6)</f>
        <v>#REF!</v>
      </c>
      <c r="O6" s="153" t="e">
        <f t="shared" ref="O6:O12" si="1">N6/B6</f>
        <v>#REF!</v>
      </c>
      <c r="P6" s="156" t="e">
        <f>SUM(L6+N6)</f>
        <v>#REF!</v>
      </c>
      <c r="Q6" s="134" t="e">
        <f>P6/B6</f>
        <v>#REF!</v>
      </c>
    </row>
    <row r="7" spans="1:17">
      <c r="A7" s="21" t="s">
        <v>19</v>
      </c>
      <c r="B7" s="30" cm="1">
        <f t="array" ref="B7">SUMPRODUCT((AR!$C$4:$C$964&lt;&gt;"")*(AR!$D$4:$D$964&lt;&gt;""))</f>
        <v>83</v>
      </c>
      <c r="C7" s="129" t="e">
        <f>COUNTIF(#REF!,"High")</f>
        <v>#REF!</v>
      </c>
      <c r="D7" s="129" t="e">
        <f>COUNTIF(#REF!,"Medium")</f>
        <v>#REF!</v>
      </c>
      <c r="E7" s="129" t="e">
        <f>COUNTIF(#REF!,"Low")</f>
        <v>#REF!</v>
      </c>
      <c r="F7" s="129" t="e">
        <f>COUNTIFS(#REF!,'Internal Progress'!F5,#REF!,'Internal Progress'!$F$3)</f>
        <v>#REF!</v>
      </c>
      <c r="G7" s="129" t="e">
        <f>COUNTIFS(#REF!,'Internal Progress'!G5,#REF!,'Internal Progress'!$F$3)</f>
        <v>#REF!</v>
      </c>
      <c r="H7" s="129" t="e">
        <f>COUNTIFS(#REF!,'Internal Progress'!H5,#REF!,'Internal Progress'!$F$3)</f>
        <v>#REF!</v>
      </c>
      <c r="I7" s="129" t="e">
        <f>COUNTIFS(#REF!,'Internal Progress'!F5,#REF!,'Internal Progress'!$I$3)</f>
        <v>#REF!</v>
      </c>
      <c r="J7" s="129" t="e">
        <f>COUNTIFS(#REF!,'Internal Progress'!J5,#REF!,'Internal Progress'!$I$3)</f>
        <v>#REF!</v>
      </c>
      <c r="K7" s="129" t="e">
        <f>COUNTIFS(#REF!,'Internal Progress'!K5,#REF!,'Internal Progress'!$I$3)</f>
        <v>#REF!</v>
      </c>
      <c r="L7" s="144" t="e">
        <f>SUM(F7:H7)</f>
        <v>#REF!</v>
      </c>
      <c r="M7" s="151" t="e">
        <f t="shared" si="0"/>
        <v>#REF!</v>
      </c>
      <c r="N7" s="132" t="e">
        <f t="shared" ref="N7:N10" si="2">SUM(I7:K7)</f>
        <v>#REF!</v>
      </c>
      <c r="O7" s="154" t="e">
        <f t="shared" si="1"/>
        <v>#REF!</v>
      </c>
      <c r="P7" s="156" t="e">
        <f t="shared" ref="P7:P11" si="3">SUM(L7+N7)</f>
        <v>#REF!</v>
      </c>
      <c r="Q7" s="134" t="e">
        <f t="shared" ref="Q7:Q11" si="4">P7/B7</f>
        <v>#REF!</v>
      </c>
    </row>
    <row r="8" spans="1:17">
      <c r="A8" s="21" t="s">
        <v>20</v>
      </c>
      <c r="B8" s="30" t="e" cm="1">
        <f t="array" ref="B8">SUMPRODUCT((ME!$C$4:$C$927&lt;&gt;"")*(ME!#REF!&lt;&gt;""))</f>
        <v>#REF!</v>
      </c>
      <c r="C8" s="129" t="e">
        <f>COUNTIF(#REF!,"High")</f>
        <v>#REF!</v>
      </c>
      <c r="D8" s="129" t="e">
        <f>COUNTIF(#REF!,"Medium")</f>
        <v>#REF!</v>
      </c>
      <c r="E8" s="129" t="e">
        <f>COUNTIF(#REF!,"Low")</f>
        <v>#REF!</v>
      </c>
      <c r="F8" s="129" t="e">
        <f>COUNTIFS(#REF!,'Internal Progress'!F5,#REF!,'Internal Progress'!$F$3)</f>
        <v>#REF!</v>
      </c>
      <c r="G8" s="129" t="e">
        <f>COUNTIFS(#REF!,'Internal Progress'!G5,#REF!,'Internal Progress'!$F$3)</f>
        <v>#REF!</v>
      </c>
      <c r="H8" s="129" t="e">
        <f>COUNTIFS(#REF!,'Internal Progress'!H5,#REF!,'Internal Progress'!$F$3)</f>
        <v>#REF!</v>
      </c>
      <c r="I8" s="129" t="e">
        <f>COUNTIFS(#REF!,'Internal Progress'!$I$5,#REF!,'Internal Progress'!$I$3)</f>
        <v>#REF!</v>
      </c>
      <c r="J8" s="129" t="e">
        <f>COUNTIFS(#REF!,'Internal Progress'!J5,#REF!,'Internal Progress'!$I$3)</f>
        <v>#REF!</v>
      </c>
      <c r="K8" s="129" t="e">
        <f>COUNTIFS(#REF!,'Internal Progress'!K5,#REF!,'Internal Progress'!$I$3)</f>
        <v>#REF!</v>
      </c>
      <c r="L8" s="144" t="e">
        <f t="shared" ref="L8:L11" si="5">SUM(F8:H8)</f>
        <v>#REF!</v>
      </c>
      <c r="M8" s="151" t="e">
        <f t="shared" si="0"/>
        <v>#REF!</v>
      </c>
      <c r="N8" s="132" t="e">
        <f t="shared" si="2"/>
        <v>#REF!</v>
      </c>
      <c r="O8" s="154" t="e">
        <f t="shared" si="1"/>
        <v>#REF!</v>
      </c>
      <c r="P8" s="156" t="e">
        <f t="shared" si="3"/>
        <v>#REF!</v>
      </c>
      <c r="Q8" s="134" t="e">
        <f t="shared" si="4"/>
        <v>#REF!</v>
      </c>
    </row>
    <row r="9" spans="1:17">
      <c r="A9" s="21" t="s">
        <v>21</v>
      </c>
      <c r="B9" s="30" t="e" cm="1">
        <f t="array" ref="B9">SUMPRODUCT((FI!$C$4:$C$988&lt;&gt;"")*(FI!#REF!&lt;&gt;""))</f>
        <v>#REF!</v>
      </c>
      <c r="C9" s="129" t="e">
        <f>COUNTIF(#REF!,"High")</f>
        <v>#REF!</v>
      </c>
      <c r="D9" s="129" t="e">
        <f>COUNTIF(#REF!,"Medium")</f>
        <v>#REF!</v>
      </c>
      <c r="E9" s="129" t="e">
        <f>COUNTIF(#REF!,"Low")</f>
        <v>#REF!</v>
      </c>
      <c r="F9" s="129" t="e">
        <f>COUNTIFS(#REF!,'Internal Progress'!F5,#REF!,'Internal Progress'!$F$3)</f>
        <v>#REF!</v>
      </c>
      <c r="G9" s="129" t="e">
        <f>COUNTIFS(#REF!,'Internal Progress'!G5,#REF!,'Internal Progress'!$F$3)</f>
        <v>#REF!</v>
      </c>
      <c r="H9" s="129" t="e">
        <f>COUNTIFS(#REF!,'Internal Progress'!H5,#REF!,'Internal Progress'!$F$3)</f>
        <v>#REF!</v>
      </c>
      <c r="I9" s="129" t="e">
        <f>COUNTIFS(#REF!,'Internal Progress'!F5,#REF!,'Internal Progress'!$I$3)</f>
        <v>#REF!</v>
      </c>
      <c r="J9" s="129" t="e">
        <f>COUNTIFS(#REF!,'Internal Progress'!J5,#REF!,'Internal Progress'!$I$3)</f>
        <v>#REF!</v>
      </c>
      <c r="K9" s="129" t="e">
        <f>COUNTIFS(#REF!,'Internal Progress'!K5,#REF!,'Internal Progress'!$I$3)</f>
        <v>#REF!</v>
      </c>
      <c r="L9" s="144" t="e">
        <f t="shared" si="5"/>
        <v>#REF!</v>
      </c>
      <c r="M9" s="151" t="e">
        <f t="shared" si="0"/>
        <v>#REF!</v>
      </c>
      <c r="N9" s="132" t="e">
        <f t="shared" si="2"/>
        <v>#REF!</v>
      </c>
      <c r="O9" s="154" t="e">
        <f t="shared" si="1"/>
        <v>#REF!</v>
      </c>
      <c r="P9" s="156" t="e">
        <f t="shared" si="3"/>
        <v>#REF!</v>
      </c>
      <c r="Q9" s="134" t="e">
        <f t="shared" si="4"/>
        <v>#REF!</v>
      </c>
    </row>
    <row r="10" spans="1:17">
      <c r="A10" s="21" t="s">
        <v>22</v>
      </c>
      <c r="B10" s="30" t="e" cm="1">
        <f t="array" ref="B10">SUMPRODUCT((HY!$C$5:$C$999&lt;&gt;"")*(HY!#REF!&lt;&gt;""))</f>
        <v>#REF!</v>
      </c>
      <c r="C10" s="129" t="e">
        <f>COUNTIF(#REF!,"High")</f>
        <v>#REF!</v>
      </c>
      <c r="D10" s="129" t="e">
        <f>COUNTIF(#REF!,"Medium")</f>
        <v>#REF!</v>
      </c>
      <c r="E10" s="129" t="e">
        <f>COUNTIF(#REF!,"low")</f>
        <v>#REF!</v>
      </c>
      <c r="F10" s="129" t="e">
        <f>COUNTIFS(#REF!,'Internal Progress'!F5,#REF!,'Internal Progress'!$F$3)</f>
        <v>#REF!</v>
      </c>
      <c r="G10" s="129" t="e">
        <f>COUNTIFS(#REF!,'Internal Progress'!G5,#REF!,'Internal Progress'!$F$3)</f>
        <v>#REF!</v>
      </c>
      <c r="H10" s="129" t="e">
        <f>COUNTIFS(#REF!,'Internal Progress'!H5,#REF!,'Internal Progress'!$F$3)</f>
        <v>#REF!</v>
      </c>
      <c r="I10" s="129" t="e">
        <f>COUNTIFS(#REF!,'Internal Progress'!F5,#REF!,'Internal Progress'!$I$3)</f>
        <v>#REF!</v>
      </c>
      <c r="J10" s="129" t="e">
        <f>COUNTIFS(#REF!,'Internal Progress'!J5,#REF!,'Internal Progress'!$I$3)</f>
        <v>#REF!</v>
      </c>
      <c r="K10" s="129" t="e">
        <f>COUNTIFS(#REF!,'Internal Progress'!K5,#REF!,'Internal Progress'!$I$3)</f>
        <v>#REF!</v>
      </c>
      <c r="L10" s="144" t="e">
        <f t="shared" si="5"/>
        <v>#REF!</v>
      </c>
      <c r="M10" s="151" t="e">
        <f t="shared" si="0"/>
        <v>#REF!</v>
      </c>
      <c r="N10" s="132" t="e">
        <f t="shared" si="2"/>
        <v>#REF!</v>
      </c>
      <c r="O10" s="154" t="e">
        <f t="shared" si="1"/>
        <v>#REF!</v>
      </c>
      <c r="P10" s="156" t="e">
        <f t="shared" si="3"/>
        <v>#REF!</v>
      </c>
      <c r="Q10" s="134" t="e">
        <f t="shared" si="4"/>
        <v>#REF!</v>
      </c>
    </row>
    <row r="11" spans="1:17">
      <c r="A11" s="21" t="s">
        <v>23</v>
      </c>
      <c r="B11" s="30" t="e" cm="1">
        <f t="array" ref="B11">SUMPRODUCT((EL!$C$4:$C$1136&lt;&gt;"")*(EL!#REF!&lt;&gt;""))</f>
        <v>#REF!</v>
      </c>
      <c r="C11" s="129" t="e">
        <f>COUNTIF(#REF!,"High")</f>
        <v>#REF!</v>
      </c>
      <c r="D11" s="129" t="e">
        <f>COUNTIF(#REF!,"Medium")</f>
        <v>#REF!</v>
      </c>
      <c r="E11" s="129" t="e">
        <f>COUNTIF(#REF!,"Low")</f>
        <v>#REF!</v>
      </c>
      <c r="F11" s="129" t="e">
        <f>COUNTIFS(#REF!,'Internal Progress'!F5,#REF!,'Internal Progress'!$F$3)</f>
        <v>#REF!</v>
      </c>
      <c r="G11" s="129" t="e">
        <f>COUNTIFS(#REF!,'Internal Progress'!G5,#REF!,'Internal Progress'!$F$3)</f>
        <v>#REF!</v>
      </c>
      <c r="H11" s="129" t="e">
        <f>COUNTIFS(#REF!,'Internal Progress'!H5,#REF!,'Internal Progress'!$F$3)</f>
        <v>#REF!</v>
      </c>
      <c r="I11" s="129" t="e">
        <f>COUNTIFS(#REF!,'Internal Progress'!I5,#REF!,I3)</f>
        <v>#REF!</v>
      </c>
      <c r="J11" s="129" t="e">
        <f>COUNTIFS(#REF!,'Internal Progress'!J5,#REF!,'Internal Progress'!$I$3)</f>
        <v>#REF!</v>
      </c>
      <c r="K11" s="129" t="e">
        <f>COUNTIFS(#REF!,'Internal Progress'!K5,#REF!,'Internal Progress'!$I$3)</f>
        <v>#REF!</v>
      </c>
      <c r="L11" s="144" t="e">
        <f t="shared" si="5"/>
        <v>#REF!</v>
      </c>
      <c r="M11" s="151" t="e">
        <f t="shared" si="0"/>
        <v>#REF!</v>
      </c>
      <c r="N11" s="132" t="e">
        <f>SUM(I11:K11)</f>
        <v>#REF!</v>
      </c>
      <c r="O11" s="155" t="e">
        <f t="shared" si="1"/>
        <v>#REF!</v>
      </c>
      <c r="P11" s="156" t="e">
        <f t="shared" si="3"/>
        <v>#REF!</v>
      </c>
      <c r="Q11" s="134" t="e">
        <f t="shared" si="4"/>
        <v>#REF!</v>
      </c>
    </row>
    <row r="12" spans="1:17">
      <c r="A12" s="27" t="s">
        <v>25</v>
      </c>
      <c r="B12" s="28" t="e">
        <f>SUM(B6:B11)</f>
        <v>#REF!</v>
      </c>
      <c r="C12" s="138" t="e">
        <f>SUM(C6:C11)</f>
        <v>#REF!</v>
      </c>
      <c r="D12" s="139" t="e">
        <f>SUM(D6:D11)</f>
        <v>#REF!</v>
      </c>
      <c r="E12" s="140" t="e">
        <f>SUM(E6:E11)</f>
        <v>#REF!</v>
      </c>
      <c r="F12" s="138" t="e">
        <f>SUM(F6:F11)</f>
        <v>#REF!</v>
      </c>
      <c r="G12" s="139" t="e">
        <f t="shared" ref="G12:K12" si="6">SUM(G6:G11)</f>
        <v>#REF!</v>
      </c>
      <c r="H12" s="140" t="e">
        <f>SUM(H6:H11)</f>
        <v>#REF!</v>
      </c>
      <c r="I12" s="138" t="e">
        <f t="shared" si="6"/>
        <v>#REF!</v>
      </c>
      <c r="J12" s="139" t="e">
        <f>SUM(J6:J11)</f>
        <v>#REF!</v>
      </c>
      <c r="K12" s="140" t="e">
        <f t="shared" si="6"/>
        <v>#REF!</v>
      </c>
      <c r="L12" s="145" t="e">
        <f>SUM(L6:L11)</f>
        <v>#REF!</v>
      </c>
      <c r="M12" s="152" t="e">
        <f t="shared" si="0"/>
        <v>#REF!</v>
      </c>
      <c r="N12" s="133" t="e">
        <f>SUM(N6:N11)</f>
        <v>#REF!</v>
      </c>
      <c r="O12" s="155" t="e">
        <f t="shared" si="1"/>
        <v>#REF!</v>
      </c>
      <c r="P12" s="157" t="e">
        <f>SUM(P6:P11)</f>
        <v>#REF!</v>
      </c>
      <c r="Q12" s="150" t="e">
        <f>P12/B12</f>
        <v>#REF!</v>
      </c>
    </row>
    <row r="14" spans="1:17">
      <c r="L14" s="148" t="e">
        <f>F12+I12</f>
        <v>#REF!</v>
      </c>
      <c r="M14" s="131" t="e">
        <f>G12+J12</f>
        <v>#REF!</v>
      </c>
      <c r="N14" s="149" t="e">
        <f>H12+K12</f>
        <v>#REF!</v>
      </c>
    </row>
    <row r="15" spans="1:17" s="146" customFormat="1" ht="15">
      <c r="L15" s="146" t="s">
        <v>1686</v>
      </c>
      <c r="M15" s="147" t="e">
        <f>Q12</f>
        <v>#REF!</v>
      </c>
    </row>
  </sheetData>
  <mergeCells count="11">
    <mergeCell ref="A3:A5"/>
    <mergeCell ref="B3:B5"/>
    <mergeCell ref="C3:E4"/>
    <mergeCell ref="L3:L5"/>
    <mergeCell ref="M3:M5"/>
    <mergeCell ref="P3:P5"/>
    <mergeCell ref="Q3:Q5"/>
    <mergeCell ref="O3:O5"/>
    <mergeCell ref="F3:H4"/>
    <mergeCell ref="I3:K4"/>
    <mergeCell ref="N3:N5"/>
  </mergeCells>
  <conditionalFormatting sqref="M15">
    <cfRule type="cellIs" dxfId="39" priority="1" operator="greaterThan">
      <formula>50%</formula>
    </cfRule>
    <cfRule type="cellIs" dxfId="38" priority="2" operator="equal">
      <formula>100%</formula>
    </cfRule>
    <cfRule type="cellIs" dxfId="37" priority="3" operator="lessThanOrEqual">
      <formula>50%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E0DD-8B78-42B6-8417-8D636BD54901}">
  <sheetPr filterMode="1"/>
  <dimension ref="A1:W559"/>
  <sheetViews>
    <sheetView view="pageBreakPreview" zoomScale="55" zoomScaleNormal="85" zoomScaleSheetLayoutView="55" workbookViewId="0">
      <pane ySplit="3" topLeftCell="A525" activePane="bottomLeft" state="frozen"/>
      <selection pane="bottomLeft" activeCell="M2" sqref="M2:M3"/>
    </sheetView>
  </sheetViews>
  <sheetFormatPr defaultColWidth="8.75" defaultRowHeight="15" customHeight="1"/>
  <cols>
    <col min="1" max="1" width="5.75" style="446" customWidth="1"/>
    <col min="2" max="2" width="16.25" style="605" customWidth="1"/>
    <col min="3" max="3" width="30.875" style="446" customWidth="1"/>
    <col min="4" max="4" width="61.25" style="448" customWidth="1"/>
    <col min="5" max="5" width="10.125" style="446" customWidth="1"/>
    <col min="6" max="11" width="12.75" style="446" customWidth="1"/>
    <col min="12" max="12" width="11.375" style="446" customWidth="1"/>
    <col min="13" max="13" width="10" style="449" customWidth="1"/>
    <col min="14" max="14" width="8.75" style="446" customWidth="1"/>
    <col min="15" max="15" width="12" style="447" customWidth="1"/>
    <col min="16" max="16" width="12" style="446" customWidth="1"/>
    <col min="17" max="17" width="44.25" style="450" bestFit="1" customWidth="1"/>
    <col min="18" max="18" width="41.75" style="450" bestFit="1" customWidth="1"/>
    <col min="19" max="19" width="65.125" style="450" bestFit="1" customWidth="1"/>
    <col min="20" max="20" width="50.75" style="450" bestFit="1" customWidth="1"/>
    <col min="21" max="21" width="27.25" style="450" bestFit="1" customWidth="1"/>
    <col min="22" max="22" width="36.75" style="450" bestFit="1" customWidth="1"/>
    <col min="23" max="23" width="35.875" style="450" bestFit="1" customWidth="1"/>
    <col min="24" max="16384" width="8.75" style="450"/>
  </cols>
  <sheetData>
    <row r="1" spans="1:23" ht="20.100000000000001" customHeight="1">
      <c r="I1" s="446" t="str">
        <f>IF(WEEKDAY(G6=0,2),"",IF(WEEKDAY(G6,2)=7,G6+4,IF(WEEKDAY(G6,2)&lt;=3,G6+3,G6+5)))</f>
        <v/>
      </c>
    </row>
    <row r="2" spans="1:23" ht="39" customHeight="1">
      <c r="A2" s="451" t="s">
        <v>57</v>
      </c>
      <c r="B2" s="606" t="s">
        <v>1</v>
      </c>
      <c r="C2" s="451" t="s">
        <v>1687</v>
      </c>
      <c r="D2" s="451" t="s">
        <v>59</v>
      </c>
      <c r="E2" s="451" t="s">
        <v>63</v>
      </c>
      <c r="F2" s="452" t="s">
        <v>1688</v>
      </c>
      <c r="G2" s="453" t="s">
        <v>1595</v>
      </c>
      <c r="H2" s="1010" t="s">
        <v>65</v>
      </c>
      <c r="I2" s="1010"/>
      <c r="J2" s="1010"/>
      <c r="K2" s="1011" t="s">
        <v>1689</v>
      </c>
      <c r="L2" s="1012" t="s">
        <v>1690</v>
      </c>
      <c r="M2" s="1013" t="s">
        <v>44</v>
      </c>
      <c r="N2" s="1014" t="s">
        <v>1691</v>
      </c>
      <c r="O2" s="1009" t="s">
        <v>66</v>
      </c>
      <c r="P2" s="1006" t="s">
        <v>76</v>
      </c>
    </row>
    <row r="3" spans="1:23" s="385" customFormat="1" ht="15" hidden="1" customHeight="1">
      <c r="A3" s="386"/>
      <c r="B3" s="386"/>
      <c r="C3" s="386"/>
      <c r="D3" s="386"/>
      <c r="E3" s="386"/>
      <c r="F3" s="387"/>
      <c r="G3" s="388"/>
      <c r="H3" s="389" t="s">
        <v>49</v>
      </c>
      <c r="I3" s="389" t="s">
        <v>50</v>
      </c>
      <c r="J3" s="390" t="s">
        <v>51</v>
      </c>
      <c r="K3" s="1012"/>
      <c r="L3" s="1012"/>
      <c r="M3" s="1013"/>
      <c r="N3" s="1014"/>
      <c r="O3" s="1009"/>
      <c r="P3" s="1007"/>
    </row>
    <row r="4" spans="1:23" s="385" customFormat="1" ht="13.9" hidden="1">
      <c r="A4" s="391" t="s">
        <v>1692</v>
      </c>
      <c r="B4" s="392"/>
      <c r="C4" s="393"/>
      <c r="D4" s="394"/>
      <c r="E4" s="393"/>
      <c r="F4" s="395" t="s">
        <v>1693</v>
      </c>
      <c r="G4" s="393" t="s">
        <v>1694</v>
      </c>
      <c r="H4" s="396"/>
      <c r="I4" s="396"/>
      <c r="J4" s="396"/>
      <c r="K4" s="397"/>
      <c r="L4" s="397"/>
      <c r="M4" s="751"/>
      <c r="N4" s="398"/>
      <c r="O4" s="737"/>
      <c r="P4" s="744"/>
      <c r="Q4" s="406"/>
      <c r="R4" s="406"/>
      <c r="S4" s="406"/>
      <c r="T4" s="406"/>
      <c r="U4" s="406"/>
      <c r="V4" s="406"/>
      <c r="W4" s="406"/>
    </row>
    <row r="5" spans="1:23" s="385" customFormat="1" ht="27" hidden="1" customHeight="1">
      <c r="A5" s="399">
        <v>1</v>
      </c>
      <c r="B5" s="607" t="s">
        <v>19</v>
      </c>
      <c r="C5" s="454" t="s">
        <v>79</v>
      </c>
      <c r="D5" s="456" t="str">
        <f>_xlfn.XLOOKUP(C5,AR!$E$4:$E$56,AR!$D$4:$D$56)</f>
        <v>Architectural Drawing Index</v>
      </c>
      <c r="E5" s="454">
        <f>IF(VLOOKUP(C5,AR!$E$4:$AC$512,5,0)="","",VLOOKUP(C5,AR!$E$4:$AC$1011,5,0))</f>
        <v>0</v>
      </c>
      <c r="F5" s="466">
        <v>46034</v>
      </c>
      <c r="G5" s="458">
        <f>IF(VLOOKUP(C5,AR!$E$4:$AC$512,3,0)="","",VLOOKUP(C5,AR!$E$4:$AC$512,3,0))</f>
        <v>46034</v>
      </c>
      <c r="H5" s="459">
        <f>IF(ISNA(MATCH($C5,AR!$E$4:$E$1019,0)),"",
IF($E5=0,IF(INDEX(AR!$P$4:$P$1019,MATCH($C5,AR!$E$4:$E$1019,0))="","",INDEX(AR!$P$4:$P$1019,MATCH($C5,AR!$E$4:$E$1019,0))),
IF($E5=1,IF(INDEX(AR!$U$4:$U$1019,MATCH($C5,AR!$E$4:$E$1019,0))="","",INDEX(AR!$U$4:$U$1019,MATCH($C5,AR!$E$4:$E$1019,0))),
IF($E5=2,IF(INDEX(AR!$Z$4:$Z$1019,MATCH($C5,AR!$E$4:$E$1019,0))="","",INDEX(AR!$Z$4:$Z$1019,MATCH($C5,AR!$E$4:$E$1019,0))),
IF($E5=3,IF(INDEX(AR!$AE$4:$AE$1019,MATCH($C5,AR!$E$4:$E$1019,0))="","",INDEX(AR!$AE$4:$AE$1019,MATCH($C5,AR!$E$4:$E$1019,0))),
IF($E5=4,IF(INDEX(AR!$AJ$4:$AJ$1019,MATCH($C5,AR!$E$4:$E$1019,0))="","",INDEX(AR!$AJ$4:$AJ$1019,MATCH($C5,AR!$E$4:$E$1019,0))),
IF($E5=5,IF(INDEX(AR!$AO$4:$AO$1019,MATCH($C5,AR!$E$4:$E$1019,0))="","",INDEX(AR!$AO$4:$AO$1019,MATCH($C5,AR!$E$4:$E$1019,0))),"")))))))</f>
        <v>46043</v>
      </c>
      <c r="I5" s="459">
        <f>IF(ISNA(MATCH($C5,AR!$E$4:$E$1019,0)),"",
IF($E5=0,IF(INDEX(AR!$Q$4:$Q$1019,MATCH($C5,AR!$E$4:$E$1019,0))="","",INDEX(AR!$Q$4:$Q$1019,MATCH($C5,AR!$E$4:$E$1019,0))),
IF($E5=1,IF(INDEX(AR!$V$4:$V$1019,MATCH($C5,AR!$E$4:$E$1019,0))="","",INDEX(AR!$V$4:$V$1019,MATCH($C5,AR!$E$4:$E$1019,0))),
IF($E5=2,IF(INDEX(AR!$AA$4:$AA$1019,MATCH($C5,AR!$E$4:$E$1019,0))="","",INDEX(AR!$AA$4:$AA$1019,MATCH($C5,AR!$E$4:$E$1019,0))),
IF($E5=3,IF(INDEX(AR!$AF$4:$AF$1019,MATCH($C5,AR!$E$4:$E$1019,0))="","",INDEX(AR!$AF$4:$AF$1019,MATCH($C5,AR!$E$4:$E$1019,0))),
IF($E5=4,IF(INDEX(AR!$AK$4:$AK$1019,MATCH($C5,AR!$E$4:$E$1019,0))="","",INDEX(AR!$AK$4:$AK$1019,MATCH($C5,AR!$E$4:$E$1019,0))),
IF($E5=5,IF(INDEX(AR!$AP$4:$AP$1019,MATCH($C5,AR!$E$4:$E$1019,0))="","",INDEX(AR!$AP$4:$AP$1019,MATCH($C5,AR!$E$4:$E$1019,0))),"")))))))</f>
        <v>46045</v>
      </c>
      <c r="J5" s="459">
        <f>IF(ISNA(MATCH($C5,AR!$E$4:$E$1019,0)),"",
IF($E5=0,IF(INDEX(AR!$R$4:$R$1019,MATCH($C5,AR!$E$4:$E$1019,0))="","",INDEX(AR!$R$4:$R$1019,MATCH($C5,AR!$E$4:$E$1019,0))),
IF($E5=1,IF(INDEX(AR!$W$4:$W$1019,MATCH($C5,AR!$E$4:$E$1019,0))="","",INDEX(AR!$W$4:$W$1019,MATCH($C5,AR!$E$4:$E$1019,0))),
IF($E5=2,IF(INDEX(AR!$AB$4:$AB$1019,MATCH($C5,AR!$E$4:$E$1019,0))="","",INDEX(AR!$AB$4:$AB$1019,MATCH($C5,AR!$E$4:$E$1019,0))),
IF($E5=3,IF(INDEX(AR!$AG$4:$AG$1019,MATCH($C5,AR!$E$4:$E$1019,0))="","",INDEX(AR!$AG$4:$AG$1019,MATCH($C5,AR!$E$4:$E$1019,0))),
IF($E5=4,IF(INDEX(AR!$AL$4:$AL$1019,MATCH($C5,AR!$E$4:$E$1019,0))="","",INDEX(AR!$AL$4:$AL$1019,MATCH($C5,AR!$E$4:$E$1019,0))),
IF($E5=5,IF(INDEX(AR!$AQ$4:$AQ$1019,MATCH($C5,AR!$E$4:$E$1019,0))="","",INDEX(AR!$AQ$4:$AQ$1019,MATCH($C5,AR!$E$4:$E$1019,0))),"")))))))</f>
        <v>46050</v>
      </c>
      <c r="K5" s="459" t="str">
        <f>AR!J4</f>
        <v>Closed</v>
      </c>
      <c r="L5" s="460" t="str" cm="1">
        <f t="array" aca="1" ref="L5" ca="1">_xlfn.IFS(AND($E5&lt;&gt;"",$M5="Pending",$K5="CTA"),TODAY()-$G5,AND($E5&lt;&gt;"",$M5="Pending",$K5="AUR"),TODAY()-$H5,AND($E5&lt;&gt;"",$M5="Pending",$K5="STT"),TODAY()-$I5,OR(K5="Closed",K5=""),"")</f>
        <v/>
      </c>
      <c r="M5" s="95" t="s">
        <v>47</v>
      </c>
      <c r="N5" s="650" t="str">
        <f t="shared" ref="N5" si="0">IF(AND(E5&lt;&gt;"",M5="Pending"),IF(L5&gt;=5,"Overdue",IF(L5&gt;=3,"High","")),"")</f>
        <v/>
      </c>
      <c r="O5" s="738" t="str">
        <f>AR!M4</f>
        <v>GC</v>
      </c>
      <c r="P5" s="745" t="str" cm="1">
        <f t="array" ref="P5:P85">AR!BC4:BC84</f>
        <v>NO</v>
      </c>
    </row>
    <row r="6" spans="1:23" s="385" customFormat="1" ht="27" hidden="1" customHeight="1">
      <c r="A6" s="399">
        <v>2</v>
      </c>
      <c r="B6" s="607" t="s">
        <v>19</v>
      </c>
      <c r="C6" s="454" t="s">
        <v>85</v>
      </c>
      <c r="D6" s="456" t="str">
        <f>_xlfn.XLOOKUP(C6,AR!$E$4:$E$56,AR!$D$4:$D$56)</f>
        <v>Level 1 - Overall Base Plan</v>
      </c>
      <c r="E6" s="454">
        <f>IF(VLOOKUP(C6,AR!$E$4:$AC$512,5,0)="","",VLOOKUP(C6,AR!$E$4:$AC$1011,5,0))</f>
        <v>0</v>
      </c>
      <c r="F6" s="462">
        <v>46034</v>
      </c>
      <c r="G6" s="458">
        <f>IF(VLOOKUP(C6,AR!$E$4:$AC$512,3,0)="","",VLOOKUP(C6,AR!$E$4:$AC$512,3,0))</f>
        <v>46041</v>
      </c>
      <c r="H6" s="459">
        <f>IF(ISNA(MATCH($C6,AR!$E$4:$E$1019,0)),"",
IF($E6=0,IF(INDEX(AR!$P$4:$P$1019,MATCH($C6,AR!$E$4:$E$1019,0))="","",INDEX(AR!$P$4:$P$1019,MATCH($C6,AR!$E$4:$E$1019,0))),
IF($E6=1,IF(INDEX(AR!$U$4:$U$1019,MATCH($C6,AR!$E$4:$E$1019,0))="","",INDEX(AR!$U$4:$U$1019,MATCH($C6,AR!$E$4:$E$1019,0))),
IF($E6=2,IF(INDEX(AR!$Z$4:$Z$1019,MATCH($C6,AR!$E$4:$E$1019,0))="","",INDEX(AR!$Z$4:$Z$1019,MATCH($C6,AR!$E$4:$E$1019,0))),
IF($E6=3,IF(INDEX(AR!$AE$4:$AE$1019,MATCH($C6,AR!$E$4:$E$1019,0))="","",INDEX(AR!$AE$4:$AE$1019,MATCH($C6,AR!$E$4:$E$1019,0))),
IF($E6=4,IF(INDEX(AR!$AJ$4:$AJ$1019,MATCH($C6,AR!$E$4:$E$1019,0))="","",INDEX(AR!$AJ$4:$AJ$1019,MATCH($C6,AR!$E$4:$E$1019,0))),
IF($E6=5,IF(INDEX(AR!$AO$4:$AO$1019,MATCH($C6,AR!$E$4:$E$1019,0))="","",INDEX(AR!$AO$4:$AO$1019,MATCH($C6,AR!$E$4:$E$1019,0))),"")))))))</f>
        <v>46043</v>
      </c>
      <c r="I6" s="459">
        <f>IF(ISNA(MATCH($C6,AR!$E$4:$E$1019,0)),"",
IF($E6=0,IF(INDEX(AR!$Q$4:$Q$1019,MATCH($C6,AR!$E$4:$E$1019,0))="","",INDEX(AR!$Q$4:$Q$1019,MATCH($C6,AR!$E$4:$E$1019,0))),
IF($E6=1,IF(INDEX(AR!$V$4:$V$1019,MATCH($C6,AR!$E$4:$E$1019,0))="","",INDEX(AR!$V$4:$V$1019,MATCH($C6,AR!$E$4:$E$1019,0))),
IF($E6=2,IF(INDEX(AR!$AA$4:$AA$1019,MATCH($C6,AR!$E$4:$E$1019,0))="","",INDEX(AR!$AA$4:$AA$1019,MATCH($C6,AR!$E$4:$E$1019,0))),
IF($E6=3,IF(INDEX(AR!$AF$4:$AF$1019,MATCH($C6,AR!$E$4:$E$1019,0))="","",INDEX(AR!$AF$4:$AF$1019,MATCH($C6,AR!$E$4:$E$1019,0))),
IF($E6=4,IF(INDEX(AR!$AK$4:$AK$1019,MATCH($C6,AR!$E$4:$E$1019,0))="","",INDEX(AR!$AK$4:$AK$1019,MATCH($C6,AR!$E$4:$E$1019,0))),
IF($E6=5,IF(INDEX(AR!$AP$4:$AP$1019,MATCH($C6,AR!$E$4:$E$1019,0))="","",INDEX(AR!$AP$4:$AP$1019,MATCH($C6,AR!$E$4:$E$1019,0))),"")))))))</f>
        <v>46045</v>
      </c>
      <c r="J6" s="459">
        <f>IF(ISNA(MATCH($C6,AR!$E$4:$E$1019,0)),"",
IF($E6=0,IF(INDEX(AR!$R$4:$R$1019,MATCH($C6,AR!$E$4:$E$1019,0))="","",INDEX(AR!$R$4:$R$1019,MATCH($C6,AR!$E$4:$E$1019,0))),
IF($E6=1,IF(INDEX(AR!$W$4:$W$1019,MATCH($C6,AR!$E$4:$E$1019,0))="","",INDEX(AR!$W$4:$W$1019,MATCH($C6,AR!$E$4:$E$1019,0))),
IF($E6=2,IF(INDEX(AR!$AB$4:$AB$1019,MATCH($C6,AR!$E$4:$E$1019,0))="","",INDEX(AR!$AB$4:$AB$1019,MATCH($C6,AR!$E$4:$E$1019,0))),
IF($E6=3,IF(INDEX(AR!$AG$4:$AG$1019,MATCH($C6,AR!$E$4:$E$1019,0))="","",INDEX(AR!$AG$4:$AG$1019,MATCH($C6,AR!$E$4:$E$1019,0))),
IF($E6=4,IF(INDEX(AR!$AL$4:$AL$1019,MATCH($C6,AR!$E$4:$E$1019,0))="","",INDEX(AR!$AL$4:$AL$1019,MATCH($C6,AR!$E$4:$E$1019,0))),
IF($E6=5,IF(INDEX(AR!$AQ$4:$AQ$1019,MATCH($C6,AR!$E$4:$E$1019,0))="","",INDEX(AR!$AQ$4:$AQ$1019,MATCH($C6,AR!$E$4:$E$1019,0))),"")))))))</f>
        <v>46050</v>
      </c>
      <c r="K6" s="459" t="str">
        <f>AR!J5</f>
        <v>GAA</v>
      </c>
      <c r="L6" s="460" t="e" cm="1">
        <f t="array" aca="1" ref="L6" ca="1">_xlfn.IFS(AND($E6&lt;&gt;"",$M6="Pending",$K6="CTA"),TODAY()-$G6,AND($E6&lt;&gt;"",$M6="Pending",$K6="AUR"),TODAY()-$H6,AND($E6&lt;&gt;"",$M6="Pending",$K6="STT"),TODAY()-$I6,OR(K6="Closed",K6=""),"")</f>
        <v>#N/A</v>
      </c>
      <c r="M6" s="461" t="str">
        <f>VLOOKUP(C6,AR!$E$4:$AC$512,7,0)</f>
        <v>C</v>
      </c>
      <c r="N6" s="651" t="str">
        <f t="shared" ref="N6:N69" si="1">IF(AND(E6&lt;&gt;"",M6="Pending"),IF(L6&gt;=5,"Overdue",IF(L6&gt;=3,"High","")),"")</f>
        <v/>
      </c>
      <c r="O6" s="739" t="str">
        <f>AR!M5</f>
        <v>GC</v>
      </c>
      <c r="P6" s="746" t="str">
        <v>NO</v>
      </c>
    </row>
    <row r="7" spans="1:23" s="385" customFormat="1" ht="27" customHeight="1">
      <c r="A7" s="399">
        <v>3</v>
      </c>
      <c r="B7" s="607" t="s">
        <v>19</v>
      </c>
      <c r="C7" s="454" t="s">
        <v>88</v>
      </c>
      <c r="D7" s="456" t="str">
        <f>_xlfn.XLOOKUP(C7,AR!$E$4:$E$56,AR!$D$4:$D$56)</f>
        <v>Level 2 - Overall Base Plan</v>
      </c>
      <c r="E7" s="454">
        <f>IF(VLOOKUP(C7,AR!$E$4:$AC$512,5,0)="","",VLOOKUP(C7,AR!$E$4:$AC$1011,5,0))</f>
        <v>0</v>
      </c>
      <c r="F7" s="457">
        <v>46034</v>
      </c>
      <c r="G7" s="458">
        <f>IF(VLOOKUP(C7,AR!$E$4:$AC$512,3,0)="","",VLOOKUP(C7,AR!$E$4:$AC$512,3,0))</f>
        <v>46039</v>
      </c>
      <c r="H7" s="459">
        <f>IF(ISNA(MATCH($C7,AR!$E$4:$E$1019,0)),"",
IF($E7=0,IF(INDEX(AR!$P$4:$P$1019,MATCH($C7,AR!$E$4:$E$1019,0))="","",INDEX(AR!$P$4:$P$1019,MATCH($C7,AR!$E$4:$E$1019,0))),
IF($E7=1,IF(INDEX(AR!$U$4:$U$1019,MATCH($C7,AR!$E$4:$E$1019,0))="","",INDEX(AR!$U$4:$U$1019,MATCH($C7,AR!$E$4:$E$1019,0))),
IF($E7=2,IF(INDEX(AR!$Z$4:$Z$1019,MATCH($C7,AR!$E$4:$E$1019,0))="","",INDEX(AR!$Z$4:$Z$1019,MATCH($C7,AR!$E$4:$E$1019,0))),
IF($E7=3,IF(INDEX(AR!$AE$4:$AE$1019,MATCH($C7,AR!$E$4:$E$1019,0))="","",INDEX(AR!$AE$4:$AE$1019,MATCH($C7,AR!$E$4:$E$1019,0))),
IF($E7=4,IF(INDEX(AR!$AJ$4:$AJ$1019,MATCH($C7,AR!$E$4:$E$1019,0))="","",INDEX(AR!$AJ$4:$AJ$1019,MATCH($C7,AR!$E$4:$E$1019,0))),
IF($E7=5,IF(INDEX(AR!$AO$4:$AO$1019,MATCH($C7,AR!$E$4:$E$1019,0))="","",INDEX(AR!$AO$4:$AO$1019,MATCH($C7,AR!$E$4:$E$1019,0))),"")))))))</f>
        <v>46043</v>
      </c>
      <c r="I7" s="459" t="str">
        <f>IF(ISNA(MATCH($C7,AR!$E$4:$E$1019,0)),"",
IF($E7=0,IF(INDEX(AR!$Q$4:$Q$1019,MATCH($C7,AR!$E$4:$E$1019,0))="","",INDEX(AR!$Q$4:$Q$1019,MATCH($C7,AR!$E$4:$E$1019,0))),
IF($E7=1,IF(INDEX(AR!$V$4:$V$1019,MATCH($C7,AR!$E$4:$E$1019,0))="","",INDEX(AR!$V$4:$V$1019,MATCH($C7,AR!$E$4:$E$1019,0))),
IF($E7=2,IF(INDEX(AR!$AA$4:$AA$1019,MATCH($C7,AR!$E$4:$E$1019,0))="","",INDEX(AR!$AA$4:$AA$1019,MATCH($C7,AR!$E$4:$E$1019,0))),
IF($E7=3,IF(INDEX(AR!$AF$4:$AF$1019,MATCH($C7,AR!$E$4:$E$1019,0))="","",INDEX(AR!$AF$4:$AF$1019,MATCH($C7,AR!$E$4:$E$1019,0))),
IF($E7=4,IF(INDEX(AR!$AK$4:$AK$1019,MATCH($C7,AR!$E$4:$E$1019,0))="","",INDEX(AR!$AK$4:$AK$1019,MATCH($C7,AR!$E$4:$E$1019,0))),
IF($E7=5,IF(INDEX(AR!$AP$4:$AP$1019,MATCH($C7,AR!$E$4:$E$1019,0))="","",INDEX(AR!$AP$4:$AP$1019,MATCH($C7,AR!$E$4:$E$1019,0))),"")))))))</f>
        <v/>
      </c>
      <c r="J7" s="459" t="str">
        <f>IF(ISNA(MATCH($C7,AR!$E$4:$E$1019,0)),"",
IF($E7=0,IF(INDEX(AR!$R$4:$R$1019,MATCH($C7,AR!$E$4:$E$1019,0))="","",INDEX(AR!$R$4:$R$1019,MATCH($C7,AR!$E$4:$E$1019,0))),
IF($E7=1,IF(INDEX(AR!$W$4:$W$1019,MATCH($C7,AR!$E$4:$E$1019,0))="","",INDEX(AR!$W$4:$W$1019,MATCH($C7,AR!$E$4:$E$1019,0))),
IF($E7=2,IF(INDEX(AR!$AB$4:$AB$1019,MATCH($C7,AR!$E$4:$E$1019,0))="","",INDEX(AR!$AB$4:$AB$1019,MATCH($C7,AR!$E$4:$E$1019,0))),
IF($E7=3,IF(INDEX(AR!$AG$4:$AG$1019,MATCH($C7,AR!$E$4:$E$1019,0))="","",INDEX(AR!$AG$4:$AG$1019,MATCH($C7,AR!$E$4:$E$1019,0))),
IF($E7=4,IF(INDEX(AR!$AL$4:$AL$1019,MATCH($C7,AR!$E$4:$E$1019,0))="","",INDEX(AR!$AL$4:$AL$1019,MATCH($C7,AR!$E$4:$E$1019,0))),
IF($E7=5,IF(INDEX(AR!$AQ$4:$AQ$1019,MATCH($C7,AR!$E$4:$E$1019,0))="","",INDEX(AR!$AQ$4:$AQ$1019,MATCH($C7,AR!$E$4:$E$1019,0))),"")))))))</f>
        <v/>
      </c>
      <c r="K7" s="459" t="str">
        <f>AR!J6</f>
        <v>AUR</v>
      </c>
      <c r="L7" s="460" cm="1">
        <f t="array" aca="1" ref="L7" ca="1">_xlfn.IFS(AND($E7&lt;&gt;"",$M7="Pending",$K7="CTA"),TODAY()-$G7,AND($E7&lt;&gt;"",$M7="Pending",$K7="AUR"),TODAY()-$H7,AND($E7&lt;&gt;"",$M7="Pending",$K7="STT"),TODAY()-$I7,OR(K7="Closed",K7=""),"")</f>
        <v>23</v>
      </c>
      <c r="M7" s="461" t="str">
        <f>VLOOKUP(C7,AR!$E$4:$AC$512,7,0)</f>
        <v>Pending</v>
      </c>
      <c r="N7" s="651" t="str">
        <f t="shared" ca="1" si="1"/>
        <v>Overdue</v>
      </c>
      <c r="O7" s="739" t="str">
        <f>AR!M6</f>
        <v>GC</v>
      </c>
      <c r="P7" s="746" t="str">
        <v>NO</v>
      </c>
    </row>
    <row r="8" spans="1:23" s="385" customFormat="1" ht="27" hidden="1" customHeight="1">
      <c r="A8" s="399">
        <v>4</v>
      </c>
      <c r="B8" s="607" t="s">
        <v>19</v>
      </c>
      <c r="C8" s="454" t="s">
        <v>93</v>
      </c>
      <c r="D8" s="456" t="str">
        <f>_xlfn.XLOOKUP(C8,AR!$E$4:$E$56,AR!$D$4:$D$56)</f>
        <v>Level 3 - Overall Base Plan</v>
      </c>
      <c r="E8" s="454">
        <f>IF(VLOOKUP(C8,AR!$E$4:$AC$512,5,0)="","",VLOOKUP(C8,AR!$E$4:$AC$1011,5,0))</f>
        <v>0</v>
      </c>
      <c r="F8" s="457">
        <v>46034</v>
      </c>
      <c r="G8" s="458">
        <f>IF(VLOOKUP(C8,AR!$E$4:$AC$512,3,0)="","",VLOOKUP(C8,AR!$E$4:$AC$512,3,0))</f>
        <v>46042</v>
      </c>
      <c r="H8" s="459">
        <f>IF(ISNA(MATCH($C8,AR!$E$4:$E$1019,0)),"",
IF($E8=0,IF(INDEX(AR!$P$4:$P$1019,MATCH($C8,AR!$E$4:$E$1019,0))="","",INDEX(AR!$P$4:$P$1019,MATCH($C8,AR!$E$4:$E$1019,0))),
IF($E8=1,IF(INDEX(AR!$U$4:$U$1019,MATCH($C8,AR!$E$4:$E$1019,0))="","",INDEX(AR!$U$4:$U$1019,MATCH($C8,AR!$E$4:$E$1019,0))),
IF($E8=2,IF(INDEX(AR!$Z$4:$Z$1019,MATCH($C8,AR!$E$4:$E$1019,0))="","",INDEX(AR!$Z$4:$Z$1019,MATCH($C8,AR!$E$4:$E$1019,0))),
IF($E8=3,IF(INDEX(AR!$AE$4:$AE$1019,MATCH($C8,AR!$E$4:$E$1019,0))="","",INDEX(AR!$AE$4:$AE$1019,MATCH($C8,AR!$E$4:$E$1019,0))),
IF($E8=4,IF(INDEX(AR!$AJ$4:$AJ$1019,MATCH($C8,AR!$E$4:$E$1019,0))="","",INDEX(AR!$AJ$4:$AJ$1019,MATCH($C8,AR!$E$4:$E$1019,0))),
IF($E8=5,IF(INDEX(AR!$AO$4:$AO$1019,MATCH($C8,AR!$E$4:$E$1019,0))="","",INDEX(AR!$AO$4:$AO$1019,MATCH($C8,AR!$E$4:$E$1019,0))),"")))))))</f>
        <v>46044</v>
      </c>
      <c r="I8" s="459">
        <f>IF(ISNA(MATCH($C8,AR!$E$4:$E$1019,0)),"",
IF($E8=0,IF(INDEX(AR!$Q$4:$Q$1019,MATCH($C8,AR!$E$4:$E$1019,0))="","",INDEX(AR!$Q$4:$Q$1019,MATCH($C8,AR!$E$4:$E$1019,0))),
IF($E8=1,IF(INDEX(AR!$V$4:$V$1019,MATCH($C8,AR!$E$4:$E$1019,0))="","",INDEX(AR!$V$4:$V$1019,MATCH($C8,AR!$E$4:$E$1019,0))),
IF($E8=2,IF(INDEX(AR!$AA$4:$AA$1019,MATCH($C8,AR!$E$4:$E$1019,0))="","",INDEX(AR!$AA$4:$AA$1019,MATCH($C8,AR!$E$4:$E$1019,0))),
IF($E8=3,IF(INDEX(AR!$AF$4:$AF$1019,MATCH($C8,AR!$E$4:$E$1019,0))="","",INDEX(AR!$AF$4:$AF$1019,MATCH($C8,AR!$E$4:$E$1019,0))),
IF($E8=4,IF(INDEX(AR!$AK$4:$AK$1019,MATCH($C8,AR!$E$4:$E$1019,0))="","",INDEX(AR!$AK$4:$AK$1019,MATCH($C8,AR!$E$4:$E$1019,0))),
IF($E8=5,IF(INDEX(AR!$AP$4:$AP$1019,MATCH($C8,AR!$E$4:$E$1019,0))="","",INDEX(AR!$AP$4:$AP$1019,MATCH($C8,AR!$E$4:$E$1019,0))),"")))))))</f>
        <v>46050</v>
      </c>
      <c r="J8" s="459">
        <f>IF(ISNA(MATCH($C8,AR!$E$4:$E$1019,0)),"",
IF($E8=0,IF(INDEX(AR!$R$4:$R$1019,MATCH($C8,AR!$E$4:$E$1019,0))="","",INDEX(AR!$R$4:$R$1019,MATCH($C8,AR!$E$4:$E$1019,0))),
IF($E8=1,IF(INDEX(AR!$W$4:$W$1019,MATCH($C8,AR!$E$4:$E$1019,0))="","",INDEX(AR!$W$4:$W$1019,MATCH($C8,AR!$E$4:$E$1019,0))),
IF($E8=2,IF(INDEX(AR!$AB$4:$AB$1019,MATCH($C8,AR!$E$4:$E$1019,0))="","",INDEX(AR!$AB$4:$AB$1019,MATCH($C8,AR!$E$4:$E$1019,0))),
IF($E8=3,IF(INDEX(AR!$AG$4:$AG$1019,MATCH($C8,AR!$E$4:$E$1019,0))="","",INDEX(AR!$AG$4:$AG$1019,MATCH($C8,AR!$E$4:$E$1019,0))),
IF($E8=4,IF(INDEX(AR!$AL$4:$AL$1019,MATCH($C8,AR!$E$4:$E$1019,0))="","",INDEX(AR!$AL$4:$AL$1019,MATCH($C8,AR!$E$4:$E$1019,0))),
IF($E8=5,IF(INDEX(AR!$AQ$4:$AQ$1019,MATCH($C8,AR!$E$4:$E$1019,0))="","",INDEX(AR!$AQ$4:$AQ$1019,MATCH($C8,AR!$E$4:$E$1019,0))),"")))))))</f>
        <v>46055</v>
      </c>
      <c r="K8" s="459" t="str">
        <f>AR!J7</f>
        <v>Closed</v>
      </c>
      <c r="L8" s="460" t="str" cm="1">
        <f t="array" aca="1" ref="L8" ca="1">_xlfn.IFS(AND($E8&lt;&gt;"",$M8="Pending",$K8="CTA"),TODAY()-$G8,AND($E8&lt;&gt;"",$M8="Pending",$K8="AUR"),TODAY()-$H8,AND($E8&lt;&gt;"",$M8="Pending",$K8="STT"),TODAY()-$I8,OR(K8="Closed",K8=""),"")</f>
        <v/>
      </c>
      <c r="M8" s="461" t="str">
        <f>VLOOKUP(C8,AR!$E$4:$AC$512,7,0)</f>
        <v>B</v>
      </c>
      <c r="N8" s="651" t="str">
        <f t="shared" si="1"/>
        <v/>
      </c>
      <c r="O8" s="739" t="str">
        <f>AR!M7</f>
        <v>GC</v>
      </c>
      <c r="P8" s="746" t="str">
        <v>NO</v>
      </c>
    </row>
    <row r="9" spans="1:23" s="385" customFormat="1" ht="27" hidden="1" customHeight="1">
      <c r="A9" s="399">
        <v>5</v>
      </c>
      <c r="B9" s="455" t="s">
        <v>19</v>
      </c>
      <c r="C9" s="454" t="s">
        <v>96</v>
      </c>
      <c r="D9" s="456" t="str">
        <f>_xlfn.XLOOKUP(C9,AR!$E$4:$E$56,AR!$D$4:$D$56)</f>
        <v>Level 4 - Overall Base Plan</v>
      </c>
      <c r="E9" s="454">
        <f>IF(VLOOKUP(C9,AR!$E$4:$AC$512,5,0)="","",VLOOKUP(C9,AR!$E$4:$AC$1011,5,0))</f>
        <v>0</v>
      </c>
      <c r="F9" s="466">
        <v>46034</v>
      </c>
      <c r="G9" s="458">
        <f>IF(VLOOKUP(C9,AR!$E$4:$AC$512,3,0)="","",VLOOKUP(C9,AR!$E$4:$AC$512,3,0))</f>
        <v>46049</v>
      </c>
      <c r="H9" s="459">
        <f>IF(ISNA(MATCH($C9,AR!$E$4:$E$1019,0)),"",
IF($E9=0,IF(INDEX(AR!$P$4:$P$1019,MATCH($C9,AR!$E$4:$E$1019,0))="","",INDEX(AR!$P$4:$P$1019,MATCH($C9,AR!$E$4:$E$1019,0))),
IF($E9=1,IF(INDEX(AR!$U$4:$U$1019,MATCH($C9,AR!$E$4:$E$1019,0))="","",INDEX(AR!$U$4:$U$1019,MATCH($C9,AR!$E$4:$E$1019,0))),
IF($E9=2,IF(INDEX(AR!$Z$4:$Z$1019,MATCH($C9,AR!$E$4:$E$1019,0))="","",INDEX(AR!$Z$4:$Z$1019,MATCH($C9,AR!$E$4:$E$1019,0))),
IF($E9=3,IF(INDEX(AR!$AE$4:$AE$1019,MATCH($C9,AR!$E$4:$E$1019,0))="","",INDEX(AR!$AE$4:$AE$1019,MATCH($C9,AR!$E$4:$E$1019,0))),
IF($E9=4,IF(INDEX(AR!$AJ$4:$AJ$1019,MATCH($C9,AR!$E$4:$E$1019,0))="","",INDEX(AR!$AJ$4:$AJ$1019,MATCH($C9,AR!$E$4:$E$1019,0))),
IF($E9=5,IF(INDEX(AR!$AO$4:$AO$1019,MATCH($C9,AR!$E$4:$E$1019,0))="","",INDEX(AR!$AO$4:$AO$1019,MATCH($C9,AR!$E$4:$E$1019,0))),"")))))))</f>
        <v>46050</v>
      </c>
      <c r="I9" s="459">
        <f>IF(ISNA(MATCH($C9,AR!$E$4:$E$1019,0)),"",
IF($E9=0,IF(INDEX(AR!$Q$4:$Q$1019,MATCH($C9,AR!$E$4:$E$1019,0))="","",INDEX(AR!$Q$4:$Q$1019,MATCH($C9,AR!$E$4:$E$1019,0))),
IF($E9=1,IF(INDEX(AR!$V$4:$V$1019,MATCH($C9,AR!$E$4:$E$1019,0))="","",INDEX(AR!$V$4:$V$1019,MATCH($C9,AR!$E$4:$E$1019,0))),
IF($E9=2,IF(INDEX(AR!$AA$4:$AA$1019,MATCH($C9,AR!$E$4:$E$1019,0))="","",INDEX(AR!$AA$4:$AA$1019,MATCH($C9,AR!$E$4:$E$1019,0))),
IF($E9=3,IF(INDEX(AR!$AF$4:$AF$1019,MATCH($C9,AR!$E$4:$E$1019,0))="","",INDEX(AR!$AF$4:$AF$1019,MATCH($C9,AR!$E$4:$E$1019,0))),
IF($E9=4,IF(INDEX(AR!$AK$4:$AK$1019,MATCH($C9,AR!$E$4:$E$1019,0))="","",INDEX(AR!$AK$4:$AK$1019,MATCH($C9,AR!$E$4:$E$1019,0))),
IF($E9=5,IF(INDEX(AR!$AP$4:$AP$1019,MATCH($C9,AR!$E$4:$E$1019,0))="","",INDEX(AR!$AP$4:$AP$1019,MATCH($C9,AR!$E$4:$E$1019,0))),"")))))))</f>
        <v>46052</v>
      </c>
      <c r="J9" s="459">
        <f>IF(ISNA(MATCH($C9,AR!$E$4:$E$1019,0)),"",
IF($E9=0,IF(INDEX(AR!$R$4:$R$1019,MATCH($C9,AR!$E$4:$E$1019,0))="","",INDEX(AR!$R$4:$R$1019,MATCH($C9,AR!$E$4:$E$1019,0))),
IF($E9=1,IF(INDEX(AR!$W$4:$W$1019,MATCH($C9,AR!$E$4:$E$1019,0))="","",INDEX(AR!$W$4:$W$1019,MATCH($C9,AR!$E$4:$E$1019,0))),
IF($E9=2,IF(INDEX(AR!$AB$4:$AB$1019,MATCH($C9,AR!$E$4:$E$1019,0))="","",INDEX(AR!$AB$4:$AB$1019,MATCH($C9,AR!$E$4:$E$1019,0))),
IF($E9=3,IF(INDEX(AR!$AG$4:$AG$1019,MATCH($C9,AR!$E$4:$E$1019,0))="","",INDEX(AR!$AG$4:$AG$1019,MATCH($C9,AR!$E$4:$E$1019,0))),
IF($E9=4,IF(INDEX(AR!$AL$4:$AL$1019,MATCH($C9,AR!$E$4:$E$1019,0))="","",INDEX(AR!$AL$4:$AL$1019,MATCH($C9,AR!$E$4:$E$1019,0))),
IF($E9=5,IF(INDEX(AR!$AQ$4:$AQ$1019,MATCH($C9,AR!$E$4:$E$1019,0))="","",INDEX(AR!$AQ$4:$AQ$1019,MATCH($C9,AR!$E$4:$E$1019,0))),"")))))))</f>
        <v>46059</v>
      </c>
      <c r="K9" s="459" t="str">
        <f>AR!J8</f>
        <v>Closed</v>
      </c>
      <c r="L9" s="460" t="str" cm="1">
        <f t="array" aca="1" ref="L9" ca="1">_xlfn.IFS(AND($E9&lt;&gt;"",$M9="Pending",$K9="CTA"),TODAY()-$G9,AND($E9&lt;&gt;"",$M9="Pending",$K9="AUR"),TODAY()-$H9,AND($E9&lt;&gt;"",$M9="Pending",$K9="STT"),TODAY()-$I9,OR(K9="Closed",K9=""),"")</f>
        <v/>
      </c>
      <c r="M9" s="461" t="str">
        <f>VLOOKUP(C9,AR!$E$4:$AC$512,7,0)</f>
        <v>B</v>
      </c>
      <c r="N9" s="651" t="str">
        <f t="shared" si="1"/>
        <v/>
      </c>
      <c r="O9" s="739" t="str">
        <f>AR!M8</f>
        <v>GC</v>
      </c>
      <c r="P9" s="746" t="str">
        <v>NO</v>
      </c>
    </row>
    <row r="10" spans="1:23" s="385" customFormat="1" ht="27" customHeight="1">
      <c r="A10" s="399">
        <v>6</v>
      </c>
      <c r="B10" s="455" t="s">
        <v>19</v>
      </c>
      <c r="C10" s="454" t="s">
        <v>99</v>
      </c>
      <c r="D10" s="456" t="str">
        <f>_xlfn.XLOOKUP(C10,AR!$E$4:$E$56,AR!$D$4:$D$56)</f>
        <v>Level 5 - Overall Base Plan</v>
      </c>
      <c r="E10" s="454">
        <f>IF(VLOOKUP(C10,AR!$E$4:$AC$512,5,0)="","",VLOOKUP(C10,AR!$E$4:$AC$1011,5,0))</f>
        <v>0</v>
      </c>
      <c r="F10" s="466">
        <v>46034</v>
      </c>
      <c r="G10" s="458">
        <f>IF(VLOOKUP(C10,AR!$E$4:$AC$512,3,0)="","",VLOOKUP(C10,AR!$E$4:$AC$512,3,0))</f>
        <v>46050</v>
      </c>
      <c r="H10" s="459">
        <f>IF(ISNA(MATCH($C10,AR!$E$4:$E$1019,0)),"",
IF($E10=0,IF(INDEX(AR!$P$4:$P$1019,MATCH($C10,AR!$E$4:$E$1019,0))="","",INDEX(AR!$P$4:$P$1019,MATCH($C10,AR!$E$4:$E$1019,0))),
IF($E10=1,IF(INDEX(AR!$U$4:$U$1019,MATCH($C10,AR!$E$4:$E$1019,0))="","",INDEX(AR!$U$4:$U$1019,MATCH($C10,AR!$E$4:$E$1019,0))),
IF($E10=2,IF(INDEX(AR!$Z$4:$Z$1019,MATCH($C10,AR!$E$4:$E$1019,0))="","",INDEX(AR!$Z$4:$Z$1019,MATCH($C10,AR!$E$4:$E$1019,0))),
IF($E10=3,IF(INDEX(AR!$AE$4:$AE$1019,MATCH($C10,AR!$E$4:$E$1019,0))="","",INDEX(AR!$AE$4:$AE$1019,MATCH($C10,AR!$E$4:$E$1019,0))),
IF($E10=4,IF(INDEX(AR!$AJ$4:$AJ$1019,MATCH($C10,AR!$E$4:$E$1019,0))="","",INDEX(AR!$AJ$4:$AJ$1019,MATCH($C10,AR!$E$4:$E$1019,0))),
IF($E10=5,IF(INDEX(AR!$AO$4:$AO$1019,MATCH($C10,AR!$E$4:$E$1019,0))="","",INDEX(AR!$AO$4:$AO$1019,MATCH($C10,AR!$E$4:$E$1019,0))),"")))))))</f>
        <v>46053</v>
      </c>
      <c r="I10" s="459">
        <f>IF(ISNA(MATCH($C10,AR!$E$4:$E$1019,0)),"",
IF($E10=0,IF(INDEX(AR!$Q$4:$Q$1019,MATCH($C10,AR!$E$4:$E$1019,0))="","",INDEX(AR!$Q$4:$Q$1019,MATCH($C10,AR!$E$4:$E$1019,0))),
IF($E10=1,IF(INDEX(AR!$V$4:$V$1019,MATCH($C10,AR!$E$4:$E$1019,0))="","",INDEX(AR!$V$4:$V$1019,MATCH($C10,AR!$E$4:$E$1019,0))),
IF($E10=2,IF(INDEX(AR!$AA$4:$AA$1019,MATCH($C10,AR!$E$4:$E$1019,0))="","",INDEX(AR!$AA$4:$AA$1019,MATCH($C10,AR!$E$4:$E$1019,0))),
IF($E10=3,IF(INDEX(AR!$AF$4:$AF$1019,MATCH($C10,AR!$E$4:$E$1019,0))="","",INDEX(AR!$AF$4:$AF$1019,MATCH($C10,AR!$E$4:$E$1019,0))),
IF($E10=4,IF(INDEX(AR!$AK$4:$AK$1019,MATCH($C10,AR!$E$4:$E$1019,0))="","",INDEX(AR!$AK$4:$AK$1019,MATCH($C10,AR!$E$4:$E$1019,0))),
IF($E10=5,IF(INDEX(AR!$AP$4:$AP$1019,MATCH($C10,AR!$E$4:$E$1019,0))="","",INDEX(AR!$AP$4:$AP$1019,MATCH($C10,AR!$E$4:$E$1019,0))),"")))))))</f>
        <v>46057</v>
      </c>
      <c r="J10" s="459" t="str">
        <f>IF(ISNA(MATCH($C10,AR!$E$4:$E$1019,0)),"",
IF($E10=0,IF(INDEX(AR!$R$4:$R$1019,MATCH($C10,AR!$E$4:$E$1019,0))="","",INDEX(AR!$R$4:$R$1019,MATCH($C10,AR!$E$4:$E$1019,0))),
IF($E10=1,IF(INDEX(AR!$W$4:$W$1019,MATCH($C10,AR!$E$4:$E$1019,0))="","",INDEX(AR!$W$4:$W$1019,MATCH($C10,AR!$E$4:$E$1019,0))),
IF($E10=2,IF(INDEX(AR!$AB$4:$AB$1019,MATCH($C10,AR!$E$4:$E$1019,0))="","",INDEX(AR!$AB$4:$AB$1019,MATCH($C10,AR!$E$4:$E$1019,0))),
IF($E10=3,IF(INDEX(AR!$AG$4:$AG$1019,MATCH($C10,AR!$E$4:$E$1019,0))="","",INDEX(AR!$AG$4:$AG$1019,MATCH($C10,AR!$E$4:$E$1019,0))),
IF($E10=4,IF(INDEX(AR!$AL$4:$AL$1019,MATCH($C10,AR!$E$4:$E$1019,0))="","",INDEX(AR!$AL$4:$AL$1019,MATCH($C10,AR!$E$4:$E$1019,0))),
IF($E10=5,IF(INDEX(AR!$AQ$4:$AQ$1019,MATCH($C10,AR!$E$4:$E$1019,0))="","",INDEX(AR!$AQ$4:$AQ$1019,MATCH($C10,AR!$E$4:$E$1019,0))),"")))))))</f>
        <v/>
      </c>
      <c r="K10" s="459" t="str">
        <f>AR!J9</f>
        <v>STT</v>
      </c>
      <c r="L10" s="460" cm="1">
        <f t="array" aca="1" ref="L10" ca="1">_xlfn.IFS(AND($E10&lt;&gt;"",$M10="Pending",$K10="CTA"),TODAY()-$G10,AND($E10&lt;&gt;"",$M10="Pending",$K10="AUR"),TODAY()-$H10,AND($E10&lt;&gt;"",$M10="Pending",$K10="STT"),TODAY()-$I10,OR(K10="Closed",K10=""),"")</f>
        <v>9</v>
      </c>
      <c r="M10" s="461" t="str">
        <f>VLOOKUP(C10,AR!$E$4:$AC$512,7,0)</f>
        <v>Pending</v>
      </c>
      <c r="N10" s="651" t="str">
        <f t="shared" ca="1" si="1"/>
        <v>Overdue</v>
      </c>
      <c r="O10" s="739" t="str">
        <f>AR!M9</f>
        <v>GC</v>
      </c>
      <c r="P10" s="746" t="str">
        <v>NO</v>
      </c>
    </row>
    <row r="11" spans="1:23" s="385" customFormat="1" ht="27" hidden="1" customHeight="1">
      <c r="A11" s="399">
        <v>7</v>
      </c>
      <c r="B11" s="607" t="s">
        <v>19</v>
      </c>
      <c r="C11" s="454" t="s">
        <v>102</v>
      </c>
      <c r="D11" s="456" t="str">
        <f>_xlfn.XLOOKUP(C11,AR!$E$4:$E$56,AR!$D$4:$D$56)</f>
        <v>Level 6 - Overall Base Plan</v>
      </c>
      <c r="E11" s="454">
        <f>IF(VLOOKUP(C11,AR!$E$4:$AC$512,5,0)="","",VLOOKUP(C11,AR!$E$4:$AC$1011,5,0))</f>
        <v>0</v>
      </c>
      <c r="F11" s="467">
        <v>46034</v>
      </c>
      <c r="G11" s="458">
        <f>IF(VLOOKUP(C11,AR!$E$4:$AC$512,3,0)="","",VLOOKUP(C11,AR!$E$4:$AC$512,3,0))</f>
        <v>46044</v>
      </c>
      <c r="H11" s="459">
        <f>IF(ISNA(MATCH($C11,AR!$E$4:$E$1019,0)),"",
IF($E11=0,IF(INDEX(AR!$P$4:$P$1019,MATCH($C11,AR!$E$4:$E$1019,0))="","",INDEX(AR!$P$4:$P$1019,MATCH($C11,AR!$E$4:$E$1019,0))),
IF($E11=1,IF(INDEX(AR!$U$4:$U$1019,MATCH($C11,AR!$E$4:$E$1019,0))="","",INDEX(AR!$U$4:$U$1019,MATCH($C11,AR!$E$4:$E$1019,0))),
IF($E11=2,IF(INDEX(AR!$Z$4:$Z$1019,MATCH($C11,AR!$E$4:$E$1019,0))="","",INDEX(AR!$Z$4:$Z$1019,MATCH($C11,AR!$E$4:$E$1019,0))),
IF($E11=3,IF(INDEX(AR!$AE$4:$AE$1019,MATCH($C11,AR!$E$4:$E$1019,0))="","",INDEX(AR!$AE$4:$AE$1019,MATCH($C11,AR!$E$4:$E$1019,0))),
IF($E11=4,IF(INDEX(AR!$AJ$4:$AJ$1019,MATCH($C11,AR!$E$4:$E$1019,0))="","",INDEX(AR!$AJ$4:$AJ$1019,MATCH($C11,AR!$E$4:$E$1019,0))),
IF($E11=5,IF(INDEX(AR!$AO$4:$AO$1019,MATCH($C11,AR!$E$4:$E$1019,0))="","",INDEX(AR!$AO$4:$AO$1019,MATCH($C11,AR!$E$4:$E$1019,0))),"")))))))</f>
        <v>46049</v>
      </c>
      <c r="I11" s="459">
        <f>IF(ISNA(MATCH($C11,AR!$E$4:$E$1019,0)),"",
IF($E11=0,IF(INDEX(AR!$Q$4:$Q$1019,MATCH($C11,AR!$E$4:$E$1019,0))="","",INDEX(AR!$Q$4:$Q$1019,MATCH($C11,AR!$E$4:$E$1019,0))),
IF($E11=1,IF(INDEX(AR!$V$4:$V$1019,MATCH($C11,AR!$E$4:$E$1019,0))="","",INDEX(AR!$V$4:$V$1019,MATCH($C11,AR!$E$4:$E$1019,0))),
IF($E11=2,IF(INDEX(AR!$AA$4:$AA$1019,MATCH($C11,AR!$E$4:$E$1019,0))="","",INDEX(AR!$AA$4:$AA$1019,MATCH($C11,AR!$E$4:$E$1019,0))),
IF($E11=3,IF(INDEX(AR!$AF$4:$AF$1019,MATCH($C11,AR!$E$4:$E$1019,0))="","",INDEX(AR!$AF$4:$AF$1019,MATCH($C11,AR!$E$4:$E$1019,0))),
IF($E11=4,IF(INDEX(AR!$AK$4:$AK$1019,MATCH($C11,AR!$E$4:$E$1019,0))="","",INDEX(AR!$AK$4:$AK$1019,MATCH($C11,AR!$E$4:$E$1019,0))),
IF($E11=5,IF(INDEX(AR!$AP$4:$AP$1019,MATCH($C11,AR!$E$4:$E$1019,0))="","",INDEX(AR!$AP$4:$AP$1019,MATCH($C11,AR!$E$4:$E$1019,0))),"")))))))</f>
        <v>46052</v>
      </c>
      <c r="J11" s="459">
        <f>IF(ISNA(MATCH($C11,AR!$E$4:$E$1019,0)),"",
IF($E11=0,IF(INDEX(AR!$R$4:$R$1019,MATCH($C11,AR!$E$4:$E$1019,0))="","",INDEX(AR!$R$4:$R$1019,MATCH($C11,AR!$E$4:$E$1019,0))),
IF($E11=1,IF(INDEX(AR!$W$4:$W$1019,MATCH($C11,AR!$E$4:$E$1019,0))="","",INDEX(AR!$W$4:$W$1019,MATCH($C11,AR!$E$4:$E$1019,0))),
IF($E11=2,IF(INDEX(AR!$AB$4:$AB$1019,MATCH($C11,AR!$E$4:$E$1019,0))="","",INDEX(AR!$AB$4:$AB$1019,MATCH($C11,AR!$E$4:$E$1019,0))),
IF($E11=3,IF(INDEX(AR!$AG$4:$AG$1019,MATCH($C11,AR!$E$4:$E$1019,0))="","",INDEX(AR!$AG$4:$AG$1019,MATCH($C11,AR!$E$4:$E$1019,0))),
IF($E11=4,IF(INDEX(AR!$AL$4:$AL$1019,MATCH($C11,AR!$E$4:$E$1019,0))="","",INDEX(AR!$AL$4:$AL$1019,MATCH($C11,AR!$E$4:$E$1019,0))),
IF($E11=5,IF(INDEX(AR!$AQ$4:$AQ$1019,MATCH($C11,AR!$E$4:$E$1019,0))="","",INDEX(AR!$AQ$4:$AQ$1019,MATCH($C11,AR!$E$4:$E$1019,0))),"")))))))</f>
        <v>46059</v>
      </c>
      <c r="K11" s="459" t="str">
        <f>AR!J10</f>
        <v>Closed</v>
      </c>
      <c r="L11" s="460" t="str" cm="1">
        <f t="array" aca="1" ref="L11" ca="1">_xlfn.IFS(AND($E11&lt;&gt;"",$M11="Pending",$K11="CTA"),TODAY()-$G11,AND($E11&lt;&gt;"",$M11="Pending",$K11="AUR"),TODAY()-$H11,AND($E11&lt;&gt;"",$M11="Pending",$K11="STT"),TODAY()-$I11,OR(K11="Closed",K11=""),"")</f>
        <v/>
      </c>
      <c r="M11" s="461" t="str">
        <f>VLOOKUP(C11,AR!$E$4:$AC$512,7,0)</f>
        <v>B</v>
      </c>
      <c r="N11" s="651" t="str">
        <f t="shared" si="1"/>
        <v/>
      </c>
      <c r="O11" s="739" t="str">
        <f>AR!M10</f>
        <v>GC</v>
      </c>
      <c r="P11" s="746" t="str">
        <v>NO</v>
      </c>
    </row>
    <row r="12" spans="1:23" s="385" customFormat="1" ht="27" customHeight="1">
      <c r="A12" s="399">
        <v>8</v>
      </c>
      <c r="B12" s="455" t="s">
        <v>19</v>
      </c>
      <c r="C12" s="454" t="s">
        <v>105</v>
      </c>
      <c r="D12" s="456" t="str">
        <f>_xlfn.XLOOKUP(C12,AR!$E$4:$E$56,AR!$D$4:$D$56)</f>
        <v>Roof Deck - Overall Base Plan</v>
      </c>
      <c r="E12" s="454">
        <f>IF(VLOOKUP(C12,AR!$E$4:$AC$512,5,0)="","",VLOOKUP(C12,AR!$E$4:$AC$1011,5,0))</f>
        <v>0</v>
      </c>
      <c r="F12" s="457"/>
      <c r="G12" s="458">
        <f>IF(VLOOKUP(C12,AR!$E$4:$AC$512,3,0)="","",VLOOKUP(C12,AR!$E$4:$AC$512,3,0))</f>
        <v>46062</v>
      </c>
      <c r="H12" s="459">
        <f>IF(ISNA(MATCH($C12,AR!$E$4:$E$1019,0)),"",
IF($E12=0,IF(INDEX(AR!$P$4:$P$1019,MATCH($C12,AR!$E$4:$E$1019,0))="","",INDEX(AR!$P$4:$P$1019,MATCH($C12,AR!$E$4:$E$1019,0))),
IF($E12=1,IF(INDEX(AR!$U$4:$U$1019,MATCH($C12,AR!$E$4:$E$1019,0))="","",INDEX(AR!$U$4:$U$1019,MATCH($C12,AR!$E$4:$E$1019,0))),
IF($E12=2,IF(INDEX(AR!$Z$4:$Z$1019,MATCH($C12,AR!$E$4:$E$1019,0))="","",INDEX(AR!$Z$4:$Z$1019,MATCH($C12,AR!$E$4:$E$1019,0))),
IF($E12=3,IF(INDEX(AR!$AE$4:$AE$1019,MATCH($C12,AR!$E$4:$E$1019,0))="","",INDEX(AR!$AE$4:$AE$1019,MATCH($C12,AR!$E$4:$E$1019,0))),
IF($E12=4,IF(INDEX(AR!$AJ$4:$AJ$1019,MATCH($C12,AR!$E$4:$E$1019,0))="","",INDEX(AR!$AJ$4:$AJ$1019,MATCH($C12,AR!$E$4:$E$1019,0))),
IF($E12=5,IF(INDEX(AR!$AO$4:$AO$1019,MATCH($C12,AR!$E$4:$E$1019,0))="","",INDEX(AR!$AO$4:$AO$1019,MATCH($C12,AR!$E$4:$E$1019,0))),"")))))))</f>
        <v>46064</v>
      </c>
      <c r="I12" s="459" t="str">
        <f>IF(ISNA(MATCH($C12,AR!$E$4:$E$1019,0)),"",
IF($E12=0,IF(INDEX(AR!$Q$4:$Q$1019,MATCH($C12,AR!$E$4:$E$1019,0))="","",INDEX(AR!$Q$4:$Q$1019,MATCH($C12,AR!$E$4:$E$1019,0))),
IF($E12=1,IF(INDEX(AR!$V$4:$V$1019,MATCH($C12,AR!$E$4:$E$1019,0))="","",INDEX(AR!$V$4:$V$1019,MATCH($C12,AR!$E$4:$E$1019,0))),
IF($E12=2,IF(INDEX(AR!$AA$4:$AA$1019,MATCH($C12,AR!$E$4:$E$1019,0))="","",INDEX(AR!$AA$4:$AA$1019,MATCH($C12,AR!$E$4:$E$1019,0))),
IF($E12=3,IF(INDEX(AR!$AF$4:$AF$1019,MATCH($C12,AR!$E$4:$E$1019,0))="","",INDEX(AR!$AF$4:$AF$1019,MATCH($C12,AR!$E$4:$E$1019,0))),
IF($E12=4,IF(INDEX(AR!$AK$4:$AK$1019,MATCH($C12,AR!$E$4:$E$1019,0))="","",INDEX(AR!$AK$4:$AK$1019,MATCH($C12,AR!$E$4:$E$1019,0))),
IF($E12=5,IF(INDEX(AR!$AP$4:$AP$1019,MATCH($C12,AR!$E$4:$E$1019,0))="","",INDEX(AR!$AP$4:$AP$1019,MATCH($C12,AR!$E$4:$E$1019,0))),"")))))))</f>
        <v/>
      </c>
      <c r="J12" s="459" t="str">
        <f>IF(ISNA(MATCH($C12,AR!$E$4:$E$1019,0)),"",
IF($E12=0,IF(INDEX(AR!$R$4:$R$1019,MATCH($C12,AR!$E$4:$E$1019,0))="","",INDEX(AR!$R$4:$R$1019,MATCH($C12,AR!$E$4:$E$1019,0))),
IF($E12=1,IF(INDEX(AR!$W$4:$W$1019,MATCH($C12,AR!$E$4:$E$1019,0))="","",INDEX(AR!$W$4:$W$1019,MATCH($C12,AR!$E$4:$E$1019,0))),
IF($E12=2,IF(INDEX(AR!$AB$4:$AB$1019,MATCH($C12,AR!$E$4:$E$1019,0))="","",INDEX(AR!$AB$4:$AB$1019,MATCH($C12,AR!$E$4:$E$1019,0))),
IF($E12=3,IF(INDEX(AR!$AG$4:$AG$1019,MATCH($C12,AR!$E$4:$E$1019,0))="","",INDEX(AR!$AG$4:$AG$1019,MATCH($C12,AR!$E$4:$E$1019,0))),
IF($E12=4,IF(INDEX(AR!$AL$4:$AL$1019,MATCH($C12,AR!$E$4:$E$1019,0))="","",INDEX(AR!$AL$4:$AL$1019,MATCH($C12,AR!$E$4:$E$1019,0))),
IF($E12=5,IF(INDEX(AR!$AQ$4:$AQ$1019,MATCH($C12,AR!$E$4:$E$1019,0))="","",INDEX(AR!$AQ$4:$AQ$1019,MATCH($C12,AR!$E$4:$E$1019,0))),"")))))))</f>
        <v/>
      </c>
      <c r="K12" s="459" t="str">
        <f>AR!J11</f>
        <v>AUR</v>
      </c>
      <c r="L12" s="460" cm="1">
        <f t="array" aca="1" ref="L12" ca="1">_xlfn.IFS(AND($E12&lt;&gt;"",$M12="Pending",$K12="CTA"),TODAY()-$G12,AND($E12&lt;&gt;"",$M12="Pending",$K12="AUR"),TODAY()-$H12,AND($E12&lt;&gt;"",$M12="Pending",$K12="STT"),TODAY()-$I12,OR(K12="Closed",K12=""),"")</f>
        <v>2</v>
      </c>
      <c r="M12" s="461" t="str">
        <f>VLOOKUP(C12,AR!$E$4:$AC$512,7,0)</f>
        <v>Pending</v>
      </c>
      <c r="N12" s="651" t="str">
        <f t="shared" ca="1" si="1"/>
        <v/>
      </c>
      <c r="O12" s="739" t="str">
        <f>AR!M11</f>
        <v>GC</v>
      </c>
      <c r="P12" s="746" t="str">
        <v>NO</v>
      </c>
    </row>
    <row r="13" spans="1:23" s="385" customFormat="1" ht="27" hidden="1" customHeight="1">
      <c r="A13" s="399">
        <v>9</v>
      </c>
      <c r="B13" s="455" t="s">
        <v>19</v>
      </c>
      <c r="C13" s="454" t="s">
        <v>108</v>
      </c>
      <c r="D13" s="456" t="str">
        <f>_xlfn.XLOOKUP(C13,AR!$E$4:$E$56,AR!$D$4:$D$56)</f>
        <v>Level 1 - Floor Finishes &amp; Details</v>
      </c>
      <c r="E13" s="454">
        <f>IF(VLOOKUP(C13,AR!$E$4:$AC$512,5,0)="","",VLOOKUP(C13,AR!$E$4:$AC$1011,5,0))</f>
        <v>0</v>
      </c>
      <c r="F13" s="457"/>
      <c r="G13" s="458">
        <f>IF(VLOOKUP(C13,AR!$E$4:$AC$512,3,0)="","",VLOOKUP(C13,AR!$E$4:$AC$512,3,0))</f>
        <v>46055</v>
      </c>
      <c r="H13" s="459">
        <f>IF(ISNA(MATCH($C13,AR!$E$4:$E$1019,0)),"",
IF($E13=0,IF(INDEX(AR!$P$4:$P$1019,MATCH($C13,AR!$E$4:$E$1019,0))="","",INDEX(AR!$P$4:$P$1019,MATCH($C13,AR!$E$4:$E$1019,0))),
IF($E13=1,IF(INDEX(AR!$U$4:$U$1019,MATCH($C13,AR!$E$4:$E$1019,0))="","",INDEX(AR!$U$4:$U$1019,MATCH($C13,AR!$E$4:$E$1019,0))),
IF($E13=2,IF(INDEX(AR!$Z$4:$Z$1019,MATCH($C13,AR!$E$4:$E$1019,0))="","",INDEX(AR!$Z$4:$Z$1019,MATCH($C13,AR!$E$4:$E$1019,0))),
IF($E13=3,IF(INDEX(AR!$AE$4:$AE$1019,MATCH($C13,AR!$E$4:$E$1019,0))="","",INDEX(AR!$AE$4:$AE$1019,MATCH($C13,AR!$E$4:$E$1019,0))),
IF($E13=4,IF(INDEX(AR!$AJ$4:$AJ$1019,MATCH($C13,AR!$E$4:$E$1019,0))="","",INDEX(AR!$AJ$4:$AJ$1019,MATCH($C13,AR!$E$4:$E$1019,0))),
IF($E13=5,IF(INDEX(AR!$AO$4:$AO$1019,MATCH($C13,AR!$E$4:$E$1019,0))="","",INDEX(AR!$AO$4:$AO$1019,MATCH($C13,AR!$E$4:$E$1019,0))),"")))))))</f>
        <v>46057</v>
      </c>
      <c r="I13" s="459">
        <f>IF(ISNA(MATCH($C13,AR!$E$4:$E$1019,0)),"",
IF($E13=0,IF(INDEX(AR!$Q$4:$Q$1019,MATCH($C13,AR!$E$4:$E$1019,0))="","",INDEX(AR!$Q$4:$Q$1019,MATCH($C13,AR!$E$4:$E$1019,0))),
IF($E13=1,IF(INDEX(AR!$V$4:$V$1019,MATCH($C13,AR!$E$4:$E$1019,0))="","",INDEX(AR!$V$4:$V$1019,MATCH($C13,AR!$E$4:$E$1019,0))),
IF($E13=2,IF(INDEX(AR!$AA$4:$AA$1019,MATCH($C13,AR!$E$4:$E$1019,0))="","",INDEX(AR!$AA$4:$AA$1019,MATCH($C13,AR!$E$4:$E$1019,0))),
IF($E13=3,IF(INDEX(AR!$AF$4:$AF$1019,MATCH($C13,AR!$E$4:$E$1019,0))="","",INDEX(AR!$AF$4:$AF$1019,MATCH($C13,AR!$E$4:$E$1019,0))),
IF($E13=4,IF(INDEX(AR!$AK$4:$AK$1019,MATCH($C13,AR!$E$4:$E$1019,0))="","",INDEX(AR!$AK$4:$AK$1019,MATCH($C13,AR!$E$4:$E$1019,0))),
IF($E13=5,IF(INDEX(AR!$AP$4:$AP$1019,MATCH($C13,AR!$E$4:$E$1019,0))="","",INDEX(AR!$AP$4:$AP$1019,MATCH($C13,AR!$E$4:$E$1019,0))),"")))))))</f>
        <v>46059</v>
      </c>
      <c r="J13" s="459">
        <f>IF(ISNA(MATCH($C13,AR!$E$4:$E$1019,0)),"",
IF($E13=0,IF(INDEX(AR!$R$4:$R$1019,MATCH($C13,AR!$E$4:$E$1019,0))="","",INDEX(AR!$R$4:$R$1019,MATCH($C13,AR!$E$4:$E$1019,0))),
IF($E13=1,IF(INDEX(AR!$W$4:$W$1019,MATCH($C13,AR!$E$4:$E$1019,0))="","",INDEX(AR!$W$4:$W$1019,MATCH($C13,AR!$E$4:$E$1019,0))),
IF($E13=2,IF(INDEX(AR!$AB$4:$AB$1019,MATCH($C13,AR!$E$4:$E$1019,0))="","",INDEX(AR!$AB$4:$AB$1019,MATCH($C13,AR!$E$4:$E$1019,0))),
IF($E13=3,IF(INDEX(AR!$AG$4:$AG$1019,MATCH($C13,AR!$E$4:$E$1019,0))="","",INDEX(AR!$AG$4:$AG$1019,MATCH($C13,AR!$E$4:$E$1019,0))),
IF($E13=4,IF(INDEX(AR!$AL$4:$AL$1019,MATCH($C13,AR!$E$4:$E$1019,0))="","",INDEX(AR!$AL$4:$AL$1019,MATCH($C13,AR!$E$4:$E$1019,0))),
IF($E13=5,IF(INDEX(AR!$AQ$4:$AQ$1019,MATCH($C13,AR!$E$4:$E$1019,0))="","",INDEX(AR!$AQ$4:$AQ$1019,MATCH($C13,AR!$E$4:$E$1019,0))),"")))))))</f>
        <v>46059</v>
      </c>
      <c r="K13" s="459" t="str">
        <f>AR!J12</f>
        <v>Closed</v>
      </c>
      <c r="L13" s="460" t="str" cm="1">
        <f t="array" aca="1" ref="L13" ca="1">_xlfn.IFS(AND($E13&lt;&gt;"",$M13="Pending",$K13="CTA"),TODAY()-$G13,AND($E13&lt;&gt;"",$M13="Pending",$K13="AUR"),TODAY()-$H13,AND($E13&lt;&gt;"",$M13="Pending",$K13="STT"),TODAY()-$I13,OR(K13="Closed",K13=""),"")</f>
        <v/>
      </c>
      <c r="M13" s="461" t="str">
        <f>VLOOKUP(C13,AR!$E$4:$AC$512,7,0)</f>
        <v>B</v>
      </c>
      <c r="N13" s="651" t="str">
        <f t="shared" si="1"/>
        <v/>
      </c>
      <c r="O13" s="739" t="str">
        <f>AR!M12</f>
        <v>GC</v>
      </c>
      <c r="P13" s="746" t="str">
        <v>NO</v>
      </c>
    </row>
    <row r="14" spans="1:23" s="385" customFormat="1" ht="27" hidden="1" customHeight="1">
      <c r="A14" s="399">
        <v>10</v>
      </c>
      <c r="B14" s="607" t="s">
        <v>19</v>
      </c>
      <c r="C14" s="454" t="s">
        <v>111</v>
      </c>
      <c r="D14" s="456" t="str">
        <f>_xlfn.XLOOKUP(C14,AR!$E$4:$E$56,AR!$D$4:$D$56)</f>
        <v>Level 2 - Floor Finishes &amp; Details</v>
      </c>
      <c r="E14" s="454">
        <f>IF(VLOOKUP(C14,AR!$E$4:$AC$512,5,0)="","",VLOOKUP(C14,AR!$E$4:$AC$1011,5,0))</f>
        <v>0</v>
      </c>
      <c r="F14" s="457"/>
      <c r="G14" s="458">
        <f>IF(VLOOKUP(C14,AR!$E$4:$AC$512,3,0)="","",VLOOKUP(C14,AR!$E$4:$AC$512,3,0))</f>
        <v>46045</v>
      </c>
      <c r="H14" s="459">
        <f>IF(ISNA(MATCH($C14,AR!$E$4:$E$1019,0)),"",
IF($E14=0,IF(INDEX(AR!$P$4:$P$1019,MATCH($C14,AR!$E$4:$E$1019,0))="","",INDEX(AR!$P$4:$P$1019,MATCH($C14,AR!$E$4:$E$1019,0))),
IF($E14=1,IF(INDEX(AR!$U$4:$U$1019,MATCH($C14,AR!$E$4:$E$1019,0))="","",INDEX(AR!$U$4:$U$1019,MATCH($C14,AR!$E$4:$E$1019,0))),
IF($E14=2,IF(INDEX(AR!$Z$4:$Z$1019,MATCH($C14,AR!$E$4:$E$1019,0))="","",INDEX(AR!$Z$4:$Z$1019,MATCH($C14,AR!$E$4:$E$1019,0))),
IF($E14=3,IF(INDEX(AR!$AE$4:$AE$1019,MATCH($C14,AR!$E$4:$E$1019,0))="","",INDEX(AR!$AE$4:$AE$1019,MATCH($C14,AR!$E$4:$E$1019,0))),
IF($E14=4,IF(INDEX(AR!$AJ$4:$AJ$1019,MATCH($C14,AR!$E$4:$E$1019,0))="","",INDEX(AR!$AJ$4:$AJ$1019,MATCH($C14,AR!$E$4:$E$1019,0))),
IF($E14=5,IF(INDEX(AR!$AO$4:$AO$1019,MATCH($C14,AR!$E$4:$E$1019,0))="","",INDEX(AR!$AO$4:$AO$1019,MATCH($C14,AR!$E$4:$E$1019,0))),"")))))))</f>
        <v>46049</v>
      </c>
      <c r="I14" s="459">
        <f>IF(ISNA(MATCH($C14,AR!$E$4:$E$1019,0)),"",
IF($E14=0,IF(INDEX(AR!$Q$4:$Q$1019,MATCH($C14,AR!$E$4:$E$1019,0))="","",INDEX(AR!$Q$4:$Q$1019,MATCH($C14,AR!$E$4:$E$1019,0))),
IF($E14=1,IF(INDEX(AR!$V$4:$V$1019,MATCH($C14,AR!$E$4:$E$1019,0))="","",INDEX(AR!$V$4:$V$1019,MATCH($C14,AR!$E$4:$E$1019,0))),
IF($E14=2,IF(INDEX(AR!$AA$4:$AA$1019,MATCH($C14,AR!$E$4:$E$1019,0))="","",INDEX(AR!$AA$4:$AA$1019,MATCH($C14,AR!$E$4:$E$1019,0))),
IF($E14=3,IF(INDEX(AR!$AF$4:$AF$1019,MATCH($C14,AR!$E$4:$E$1019,0))="","",INDEX(AR!$AF$4:$AF$1019,MATCH($C14,AR!$E$4:$E$1019,0))),
IF($E14=4,IF(INDEX(AR!$AK$4:$AK$1019,MATCH($C14,AR!$E$4:$E$1019,0))="","",INDEX(AR!$AK$4:$AK$1019,MATCH($C14,AR!$E$4:$E$1019,0))),
IF($E14=5,IF(INDEX(AR!$AP$4:$AP$1019,MATCH($C14,AR!$E$4:$E$1019,0))="","",INDEX(AR!$AP$4:$AP$1019,MATCH($C14,AR!$E$4:$E$1019,0))),"")))))))</f>
        <v>46052</v>
      </c>
      <c r="J14" s="459">
        <f>IF(ISNA(MATCH($C14,AR!$E$4:$E$1019,0)),"",
IF($E14=0,IF(INDEX(AR!$R$4:$R$1019,MATCH($C14,AR!$E$4:$E$1019,0))="","",INDEX(AR!$R$4:$R$1019,MATCH($C14,AR!$E$4:$E$1019,0))),
IF($E14=1,IF(INDEX(AR!$W$4:$W$1019,MATCH($C14,AR!$E$4:$E$1019,0))="","",INDEX(AR!$W$4:$W$1019,MATCH($C14,AR!$E$4:$E$1019,0))),
IF($E14=2,IF(INDEX(AR!$AB$4:$AB$1019,MATCH($C14,AR!$E$4:$E$1019,0))="","",INDEX(AR!$AB$4:$AB$1019,MATCH($C14,AR!$E$4:$E$1019,0))),
IF($E14=3,IF(INDEX(AR!$AG$4:$AG$1019,MATCH($C14,AR!$E$4:$E$1019,0))="","",INDEX(AR!$AG$4:$AG$1019,MATCH($C14,AR!$E$4:$E$1019,0))),
IF($E14=4,IF(INDEX(AR!$AL$4:$AL$1019,MATCH($C14,AR!$E$4:$E$1019,0))="","",INDEX(AR!$AL$4:$AL$1019,MATCH($C14,AR!$E$4:$E$1019,0))),
IF($E14=5,IF(INDEX(AR!$AQ$4:$AQ$1019,MATCH($C14,AR!$E$4:$E$1019,0))="","",INDEX(AR!$AQ$4:$AQ$1019,MATCH($C14,AR!$E$4:$E$1019,0))),"")))))))</f>
        <v>46059</v>
      </c>
      <c r="K14" s="459" t="str">
        <f>AR!J13</f>
        <v>Closed</v>
      </c>
      <c r="L14" s="460" t="str" cm="1">
        <f t="array" aca="1" ref="L14" ca="1">_xlfn.IFS(AND($E14&lt;&gt;"",$M14="Pending",$K14="CTA"),TODAY()-$G14,AND($E14&lt;&gt;"",$M14="Pending",$K14="AUR"),TODAY()-$H14,AND($E14&lt;&gt;"",$M14="Pending",$K14="STT"),TODAY()-$I14,OR(K14="Closed",K14=""),"")</f>
        <v/>
      </c>
      <c r="M14" s="461" t="str">
        <f>VLOOKUP(C14,AR!$E$4:$AC$512,7,0)</f>
        <v>B</v>
      </c>
      <c r="N14" s="651" t="str">
        <f t="shared" si="1"/>
        <v/>
      </c>
      <c r="O14" s="739" t="str">
        <f>AR!M13</f>
        <v>GC</v>
      </c>
      <c r="P14" s="746" t="str">
        <v>NO</v>
      </c>
    </row>
    <row r="15" spans="1:23" s="385" customFormat="1" ht="27" customHeight="1">
      <c r="A15" s="399">
        <v>11</v>
      </c>
      <c r="B15" s="455" t="s">
        <v>19</v>
      </c>
      <c r="C15" s="454" t="s">
        <v>114</v>
      </c>
      <c r="D15" s="456" t="str">
        <f>_xlfn.XLOOKUP(C15,AR!$E$4:$E$56,AR!$D$4:$D$56)</f>
        <v>Level 3 - Floor Finishes &amp; Details</v>
      </c>
      <c r="E15" s="454">
        <f>IF(VLOOKUP(C15,AR!$E$4:$AC$512,5,0)="","",VLOOKUP(C15,AR!$E$4:$AC$1011,5,0))</f>
        <v>0</v>
      </c>
      <c r="F15" s="457"/>
      <c r="G15" s="458">
        <f>IF(VLOOKUP(C15,AR!$E$4:$AC$512,3,0)="","",VLOOKUP(C15,AR!$E$4:$AC$512,3,0))</f>
        <v>46057</v>
      </c>
      <c r="H15" s="459">
        <f>IF(ISNA(MATCH($C15,AR!$E$4:$E$1019,0)),"",
IF($E15=0,IF(INDEX(AR!$P$4:$P$1019,MATCH($C15,AR!$E$4:$E$1019,0))="","",INDEX(AR!$P$4:$P$1019,MATCH($C15,AR!$E$4:$E$1019,0))),
IF($E15=1,IF(INDEX(AR!$U$4:$U$1019,MATCH($C15,AR!$E$4:$E$1019,0))="","",INDEX(AR!$U$4:$U$1019,MATCH($C15,AR!$E$4:$E$1019,0))),
IF($E15=2,IF(INDEX(AR!$Z$4:$Z$1019,MATCH($C15,AR!$E$4:$E$1019,0))="","",INDEX(AR!$Z$4:$Z$1019,MATCH($C15,AR!$E$4:$E$1019,0))),
IF($E15=3,IF(INDEX(AR!$AE$4:$AE$1019,MATCH($C15,AR!$E$4:$E$1019,0))="","",INDEX(AR!$AE$4:$AE$1019,MATCH($C15,AR!$E$4:$E$1019,0))),
IF($E15=4,IF(INDEX(AR!$AJ$4:$AJ$1019,MATCH($C15,AR!$E$4:$E$1019,0))="","",INDEX(AR!$AJ$4:$AJ$1019,MATCH($C15,AR!$E$4:$E$1019,0))),
IF($E15=5,IF(INDEX(AR!$AO$4:$AO$1019,MATCH($C15,AR!$E$4:$E$1019,0))="","",INDEX(AR!$AO$4:$AO$1019,MATCH($C15,AR!$E$4:$E$1019,0))),"")))))))</f>
        <v>46059</v>
      </c>
      <c r="I15" s="459">
        <f>IF(ISNA(MATCH($C15,AR!$E$4:$E$1019,0)),"",
IF($E15=0,IF(INDEX(AR!$Q$4:$Q$1019,MATCH($C15,AR!$E$4:$E$1019,0))="","",INDEX(AR!$Q$4:$Q$1019,MATCH($C15,AR!$E$4:$E$1019,0))),
IF($E15=1,IF(INDEX(AR!$V$4:$V$1019,MATCH($C15,AR!$E$4:$E$1019,0))="","",INDEX(AR!$V$4:$V$1019,MATCH($C15,AR!$E$4:$E$1019,0))),
IF($E15=2,IF(INDEX(AR!$AA$4:$AA$1019,MATCH($C15,AR!$E$4:$E$1019,0))="","",INDEX(AR!$AA$4:$AA$1019,MATCH($C15,AR!$E$4:$E$1019,0))),
IF($E15=3,IF(INDEX(AR!$AF$4:$AF$1019,MATCH($C15,AR!$E$4:$E$1019,0))="","",INDEX(AR!$AF$4:$AF$1019,MATCH($C15,AR!$E$4:$E$1019,0))),
IF($E15=4,IF(INDEX(AR!$AK$4:$AK$1019,MATCH($C15,AR!$E$4:$E$1019,0))="","",INDEX(AR!$AK$4:$AK$1019,MATCH($C15,AR!$E$4:$E$1019,0))),
IF($E15=5,IF(INDEX(AR!$AP$4:$AP$1019,MATCH($C15,AR!$E$4:$E$1019,0))="","",INDEX(AR!$AP$4:$AP$1019,MATCH($C15,AR!$E$4:$E$1019,0))),"")))))))</f>
        <v>46062</v>
      </c>
      <c r="J15" s="459" t="str">
        <f>IF(ISNA(MATCH($C15,AR!$E$4:$E$1019,0)),"",
IF($E15=0,IF(INDEX(AR!$R$4:$R$1019,MATCH($C15,AR!$E$4:$E$1019,0))="","",INDEX(AR!$R$4:$R$1019,MATCH($C15,AR!$E$4:$E$1019,0))),
IF($E15=1,IF(INDEX(AR!$W$4:$W$1019,MATCH($C15,AR!$E$4:$E$1019,0))="","",INDEX(AR!$W$4:$W$1019,MATCH($C15,AR!$E$4:$E$1019,0))),
IF($E15=2,IF(INDEX(AR!$AB$4:$AB$1019,MATCH($C15,AR!$E$4:$E$1019,0))="","",INDEX(AR!$AB$4:$AB$1019,MATCH($C15,AR!$E$4:$E$1019,0))),
IF($E15=3,IF(INDEX(AR!$AG$4:$AG$1019,MATCH($C15,AR!$E$4:$E$1019,0))="","",INDEX(AR!$AG$4:$AG$1019,MATCH($C15,AR!$E$4:$E$1019,0))),
IF($E15=4,IF(INDEX(AR!$AL$4:$AL$1019,MATCH($C15,AR!$E$4:$E$1019,0))="","",INDEX(AR!$AL$4:$AL$1019,MATCH($C15,AR!$E$4:$E$1019,0))),
IF($E15=5,IF(INDEX(AR!$AQ$4:$AQ$1019,MATCH($C15,AR!$E$4:$E$1019,0))="","",INDEX(AR!$AQ$4:$AQ$1019,MATCH($C15,AR!$E$4:$E$1019,0))),"")))))))</f>
        <v/>
      </c>
      <c r="K15" s="459" t="str">
        <f>AR!J14</f>
        <v>STT</v>
      </c>
      <c r="L15" s="460" cm="1">
        <f t="array" aca="1" ref="L15" ca="1">_xlfn.IFS(AND($E15&lt;&gt;"",$M15="Pending",$K15="CTA"),TODAY()-$G15,AND($E15&lt;&gt;"",$M15="Pending",$K15="AUR"),TODAY()-$H15,AND($E15&lt;&gt;"",$M15="Pending",$K15="STT"),TODAY()-$I15,OR(K15="Closed",K15=""),"")</f>
        <v>4</v>
      </c>
      <c r="M15" s="461" t="str">
        <f>VLOOKUP(C15,AR!$E$4:$AC$512,7,0)</f>
        <v>Pending</v>
      </c>
      <c r="N15" s="651" t="str">
        <f t="shared" ca="1" si="1"/>
        <v>High</v>
      </c>
      <c r="O15" s="739" t="str">
        <f>AR!M14</f>
        <v>GC</v>
      </c>
      <c r="P15" s="746" t="str">
        <v>NO</v>
      </c>
    </row>
    <row r="16" spans="1:23" s="385" customFormat="1" ht="27" customHeight="1">
      <c r="A16" s="399">
        <v>12</v>
      </c>
      <c r="B16" s="455" t="s">
        <v>19</v>
      </c>
      <c r="C16" s="454" t="s">
        <v>117</v>
      </c>
      <c r="D16" s="456" t="str">
        <f>_xlfn.XLOOKUP(C16,AR!$E$4:$E$56,AR!$D$4:$D$56)</f>
        <v>Level 6 - Floor Finishes &amp; Details</v>
      </c>
      <c r="E16" s="454">
        <f>IF(VLOOKUP(C16,AR!$E$4:$AC$512,5,0)="","",VLOOKUP(C16,AR!$E$4:$AC$1011,5,0))</f>
        <v>0</v>
      </c>
      <c r="F16" s="457"/>
      <c r="G16" s="458">
        <f>IF(VLOOKUP(C16,AR!$E$4:$AC$512,3,0)="","",VLOOKUP(C16,AR!$E$4:$AC$512,3,0))</f>
        <v>46056</v>
      </c>
      <c r="H16" s="459">
        <f>IF(ISNA(MATCH($C16,AR!$E$4:$E$1019,0)),"",
IF($E16=0,IF(INDEX(AR!$P$4:$P$1019,MATCH($C16,AR!$E$4:$E$1019,0))="","",INDEX(AR!$P$4:$P$1019,MATCH($C16,AR!$E$4:$E$1019,0))),
IF($E16=1,IF(INDEX(AR!$U$4:$U$1019,MATCH($C16,AR!$E$4:$E$1019,0))="","",INDEX(AR!$U$4:$U$1019,MATCH($C16,AR!$E$4:$E$1019,0))),
IF($E16=2,IF(INDEX(AR!$Z$4:$Z$1019,MATCH($C16,AR!$E$4:$E$1019,0))="","",INDEX(AR!$Z$4:$Z$1019,MATCH($C16,AR!$E$4:$E$1019,0))),
IF($E16=3,IF(INDEX(AR!$AE$4:$AE$1019,MATCH($C16,AR!$E$4:$E$1019,0))="","",INDEX(AR!$AE$4:$AE$1019,MATCH($C16,AR!$E$4:$E$1019,0))),
IF($E16=4,IF(INDEX(AR!$AJ$4:$AJ$1019,MATCH($C16,AR!$E$4:$E$1019,0))="","",INDEX(AR!$AJ$4:$AJ$1019,MATCH($C16,AR!$E$4:$E$1019,0))),
IF($E16=5,IF(INDEX(AR!$AO$4:$AO$1019,MATCH($C16,AR!$E$4:$E$1019,0))="","",INDEX(AR!$AO$4:$AO$1019,MATCH($C16,AR!$E$4:$E$1019,0))),"")))))))</f>
        <v>46059</v>
      </c>
      <c r="I16" s="459">
        <f>IF(ISNA(MATCH($C16,AR!$E$4:$E$1019,0)),"",
IF($E16=0,IF(INDEX(AR!$Q$4:$Q$1019,MATCH($C16,AR!$E$4:$E$1019,0))="","",INDEX(AR!$Q$4:$Q$1019,MATCH($C16,AR!$E$4:$E$1019,0))),
IF($E16=1,IF(INDEX(AR!$V$4:$V$1019,MATCH($C16,AR!$E$4:$E$1019,0))="","",INDEX(AR!$V$4:$V$1019,MATCH($C16,AR!$E$4:$E$1019,0))),
IF($E16=2,IF(INDEX(AR!$AA$4:$AA$1019,MATCH($C16,AR!$E$4:$E$1019,0))="","",INDEX(AR!$AA$4:$AA$1019,MATCH($C16,AR!$E$4:$E$1019,0))),
IF($E16=3,IF(INDEX(AR!$AF$4:$AF$1019,MATCH($C16,AR!$E$4:$E$1019,0))="","",INDEX(AR!$AF$4:$AF$1019,MATCH($C16,AR!$E$4:$E$1019,0))),
IF($E16=4,IF(INDEX(AR!$AK$4:$AK$1019,MATCH($C16,AR!$E$4:$E$1019,0))="","",INDEX(AR!$AK$4:$AK$1019,MATCH($C16,AR!$E$4:$E$1019,0))),
IF($E16=5,IF(INDEX(AR!$AP$4:$AP$1019,MATCH($C16,AR!$E$4:$E$1019,0))="","",INDEX(AR!$AP$4:$AP$1019,MATCH($C16,AR!$E$4:$E$1019,0))),"")))))))</f>
        <v>46062</v>
      </c>
      <c r="J16" s="459" t="str">
        <f>IF(ISNA(MATCH($C16,AR!$E$4:$E$1019,0)),"",
IF($E16=0,IF(INDEX(AR!$R$4:$R$1019,MATCH($C16,AR!$E$4:$E$1019,0))="","",INDEX(AR!$R$4:$R$1019,MATCH($C16,AR!$E$4:$E$1019,0))),
IF($E16=1,IF(INDEX(AR!$W$4:$W$1019,MATCH($C16,AR!$E$4:$E$1019,0))="","",INDEX(AR!$W$4:$W$1019,MATCH($C16,AR!$E$4:$E$1019,0))),
IF($E16=2,IF(INDEX(AR!$AB$4:$AB$1019,MATCH($C16,AR!$E$4:$E$1019,0))="","",INDEX(AR!$AB$4:$AB$1019,MATCH($C16,AR!$E$4:$E$1019,0))),
IF($E16=3,IF(INDEX(AR!$AG$4:$AG$1019,MATCH($C16,AR!$E$4:$E$1019,0))="","",INDEX(AR!$AG$4:$AG$1019,MATCH($C16,AR!$E$4:$E$1019,0))),
IF($E16=4,IF(INDEX(AR!$AL$4:$AL$1019,MATCH($C16,AR!$E$4:$E$1019,0))="","",INDEX(AR!$AL$4:$AL$1019,MATCH($C16,AR!$E$4:$E$1019,0))),
IF($E16=5,IF(INDEX(AR!$AQ$4:$AQ$1019,MATCH($C16,AR!$E$4:$E$1019,0))="","",INDEX(AR!$AQ$4:$AQ$1019,MATCH($C16,AR!$E$4:$E$1019,0))),"")))))))</f>
        <v/>
      </c>
      <c r="K16" s="459" t="str">
        <f>AR!J15</f>
        <v>STT</v>
      </c>
      <c r="L16" s="460" cm="1">
        <f t="array" aca="1" ref="L16" ca="1">_xlfn.IFS(AND($E16&lt;&gt;"",$M16="Pending",$K16="CTA"),TODAY()-$G16,AND($E16&lt;&gt;"",$M16="Pending",$K16="AUR"),TODAY()-$H16,AND($E16&lt;&gt;"",$M16="Pending",$K16="STT"),TODAY()-$I16,OR(K16="Closed",K16=""),"")</f>
        <v>4</v>
      </c>
      <c r="M16" s="461" t="str">
        <f>VLOOKUP(C16,AR!$E$4:$AC$512,7,0)</f>
        <v>Pending</v>
      </c>
      <c r="N16" s="651" t="str">
        <f t="shared" ca="1" si="1"/>
        <v>High</v>
      </c>
      <c r="O16" s="739" t="str">
        <f>AR!M15</f>
        <v>GC</v>
      </c>
      <c r="P16" s="746" t="str">
        <v>NO</v>
      </c>
    </row>
    <row r="17" spans="1:16" s="385" customFormat="1" ht="27" hidden="1" customHeight="1">
      <c r="A17" s="399">
        <v>13</v>
      </c>
      <c r="B17" s="455" t="s">
        <v>19</v>
      </c>
      <c r="C17" s="454" t="s">
        <v>120</v>
      </c>
      <c r="D17" s="456" t="str">
        <f>_xlfn.XLOOKUP(C17,AR!$E$4:$E$56,AR!$D$4:$D$56)</f>
        <v>Level 1 - Bund Wall Setting-out &amp; Details</v>
      </c>
      <c r="E17" s="454" t="str">
        <f>IF(VLOOKUP(C17,AR!$E$4:$AC$512,5,0)="","",VLOOKUP(C17,AR!$E$4:$AC$1011,5,0))</f>
        <v/>
      </c>
      <c r="F17" s="457"/>
      <c r="G17" s="458" t="str">
        <f>IF(VLOOKUP(C17,AR!$E$4:$AC$512,3,0)="","",VLOOKUP(C17,AR!$E$4:$AC$512,3,0))</f>
        <v/>
      </c>
      <c r="H17" s="459" t="str">
        <f>IF(ISNA(MATCH($C17,AR!$E$4:$E$1019,0)),"",
IF($E17=0,IF(INDEX(AR!$P$4:$P$1019,MATCH($C17,AR!$E$4:$E$1019,0))="","",INDEX(AR!$P$4:$P$1019,MATCH($C17,AR!$E$4:$E$1019,0))),
IF($E17=1,IF(INDEX(AR!$U$4:$U$1019,MATCH($C17,AR!$E$4:$E$1019,0))="","",INDEX(AR!$U$4:$U$1019,MATCH($C17,AR!$E$4:$E$1019,0))),
IF($E17=2,IF(INDEX(AR!$Z$4:$Z$1019,MATCH($C17,AR!$E$4:$E$1019,0))="","",INDEX(AR!$Z$4:$Z$1019,MATCH($C17,AR!$E$4:$E$1019,0))),
IF($E17=3,IF(INDEX(AR!$AE$4:$AE$1019,MATCH($C17,AR!$E$4:$E$1019,0))="","",INDEX(AR!$AE$4:$AE$1019,MATCH($C17,AR!$E$4:$E$1019,0))),
IF($E17=4,IF(INDEX(AR!$AJ$4:$AJ$1019,MATCH($C17,AR!$E$4:$E$1019,0))="","",INDEX(AR!$AJ$4:$AJ$1019,MATCH($C17,AR!$E$4:$E$1019,0))),
IF($E17=5,IF(INDEX(AR!$AO$4:$AO$1019,MATCH($C17,AR!$E$4:$E$1019,0))="","",INDEX(AR!$AO$4:$AO$1019,MATCH($C17,AR!$E$4:$E$1019,0))),"")))))))</f>
        <v/>
      </c>
      <c r="I17" s="459" t="str">
        <f>IF(ISNA(MATCH($C17,AR!$E$4:$E$1019,0)),"",
IF($E17=0,IF(INDEX(AR!$Q$4:$Q$1019,MATCH($C17,AR!$E$4:$E$1019,0))="","",INDEX(AR!$Q$4:$Q$1019,MATCH($C17,AR!$E$4:$E$1019,0))),
IF($E17=1,IF(INDEX(AR!$V$4:$V$1019,MATCH($C17,AR!$E$4:$E$1019,0))="","",INDEX(AR!$V$4:$V$1019,MATCH($C17,AR!$E$4:$E$1019,0))),
IF($E17=2,IF(INDEX(AR!$AA$4:$AA$1019,MATCH($C17,AR!$E$4:$E$1019,0))="","",INDEX(AR!$AA$4:$AA$1019,MATCH($C17,AR!$E$4:$E$1019,0))),
IF($E17=3,IF(INDEX(AR!$AF$4:$AF$1019,MATCH($C17,AR!$E$4:$E$1019,0))="","",INDEX(AR!$AF$4:$AF$1019,MATCH($C17,AR!$E$4:$E$1019,0))),
IF($E17=4,IF(INDEX(AR!$AK$4:$AK$1019,MATCH($C17,AR!$E$4:$E$1019,0))="","",INDEX(AR!$AK$4:$AK$1019,MATCH($C17,AR!$E$4:$E$1019,0))),
IF($E17=5,IF(INDEX(AR!$AP$4:$AP$1019,MATCH($C17,AR!$E$4:$E$1019,0))="","",INDEX(AR!$AP$4:$AP$1019,MATCH($C17,AR!$E$4:$E$1019,0))),"")))))))</f>
        <v/>
      </c>
      <c r="J17" s="459" t="str">
        <f>IF(ISNA(MATCH($C17,AR!$E$4:$E$1019,0)),"",
IF($E17=0,IF(INDEX(AR!$R$4:$R$1019,MATCH($C17,AR!$E$4:$E$1019,0))="","",INDEX(AR!$R$4:$R$1019,MATCH($C17,AR!$E$4:$E$1019,0))),
IF($E17=1,IF(INDEX(AR!$W$4:$W$1019,MATCH($C17,AR!$E$4:$E$1019,0))="","",INDEX(AR!$W$4:$W$1019,MATCH($C17,AR!$E$4:$E$1019,0))),
IF($E17=2,IF(INDEX(AR!$AB$4:$AB$1019,MATCH($C17,AR!$E$4:$E$1019,0))="","",INDEX(AR!$AB$4:$AB$1019,MATCH($C17,AR!$E$4:$E$1019,0))),
IF($E17=3,IF(INDEX(AR!$AG$4:$AG$1019,MATCH($C17,AR!$E$4:$E$1019,0))="","",INDEX(AR!$AG$4:$AG$1019,MATCH($C17,AR!$E$4:$E$1019,0))),
IF($E17=4,IF(INDEX(AR!$AL$4:$AL$1019,MATCH($C17,AR!$E$4:$E$1019,0))="","",INDEX(AR!$AL$4:$AL$1019,MATCH($C17,AR!$E$4:$E$1019,0))),
IF($E17=5,IF(INDEX(AR!$AQ$4:$AQ$1019,MATCH($C17,AR!$E$4:$E$1019,0))="","",INDEX(AR!$AQ$4:$AQ$1019,MATCH($C17,AR!$E$4:$E$1019,0))),"")))))))</f>
        <v/>
      </c>
      <c r="K17" s="459">
        <f>AR!J16</f>
        <v>0</v>
      </c>
      <c r="L17" s="460" t="e" cm="1">
        <f t="array" aca="1" ref="L17" ca="1">_xlfn.IFS(AND($E17&lt;&gt;"",$M17="Pending",$K17="CTA"),TODAY()-$G17,AND($E17&lt;&gt;"",$M17="Pending",$K17="AUR"),TODAY()-$H17,AND($E17&lt;&gt;"",$M17="Pending",$K17="STT"),TODAY()-$I17,OR(K17="Closed",K17=""),"")</f>
        <v>#N/A</v>
      </c>
      <c r="M17" s="461">
        <f>VLOOKUP(C17,AR!$E$4:$AC$512,7,0)</f>
        <v>0</v>
      </c>
      <c r="N17" s="651" t="str">
        <f t="shared" si="1"/>
        <v/>
      </c>
      <c r="O17" s="739" t="str">
        <f>AR!M16</f>
        <v>GC</v>
      </c>
      <c r="P17" s="746" t="str">
        <v>NO</v>
      </c>
    </row>
    <row r="18" spans="1:16" s="385" customFormat="1" ht="27" hidden="1" customHeight="1">
      <c r="A18" s="399">
        <v>14</v>
      </c>
      <c r="B18" s="455" t="s">
        <v>19</v>
      </c>
      <c r="C18" s="454" t="s">
        <v>123</v>
      </c>
      <c r="D18" s="456" t="str">
        <f>_xlfn.XLOOKUP(C18,AR!$E$4:$E$56,AR!$D$4:$D$56)</f>
        <v>Level 1 - Wall Finishes &amp; Details</v>
      </c>
      <c r="E18" s="454" t="str">
        <f>IF(VLOOKUP(C18,AR!$E$4:$AC$512,5,0)="","",VLOOKUP(C18,AR!$E$4:$AC$1011,5,0))</f>
        <v/>
      </c>
      <c r="F18" s="457"/>
      <c r="G18" s="458" t="str">
        <f>IF(VLOOKUP(C18,AR!$E$4:$AC$512,3,0)="","",VLOOKUP(C18,AR!$E$4:$AC$512,3,0))</f>
        <v/>
      </c>
      <c r="H18" s="459" t="str">
        <f>IF(ISNA(MATCH($C18,AR!$E$4:$E$1019,0)),"",
IF($E18=0,IF(INDEX(AR!$P$4:$P$1019,MATCH($C18,AR!$E$4:$E$1019,0))="","",INDEX(AR!$P$4:$P$1019,MATCH($C18,AR!$E$4:$E$1019,0))),
IF($E18=1,IF(INDEX(AR!$U$4:$U$1019,MATCH($C18,AR!$E$4:$E$1019,0))="","",INDEX(AR!$U$4:$U$1019,MATCH($C18,AR!$E$4:$E$1019,0))),
IF($E18=2,IF(INDEX(AR!$Z$4:$Z$1019,MATCH($C18,AR!$E$4:$E$1019,0))="","",INDEX(AR!$Z$4:$Z$1019,MATCH($C18,AR!$E$4:$E$1019,0))),
IF($E18=3,IF(INDEX(AR!$AE$4:$AE$1019,MATCH($C18,AR!$E$4:$E$1019,0))="","",INDEX(AR!$AE$4:$AE$1019,MATCH($C18,AR!$E$4:$E$1019,0))),
IF($E18=4,IF(INDEX(AR!$AJ$4:$AJ$1019,MATCH($C18,AR!$E$4:$E$1019,0))="","",INDEX(AR!$AJ$4:$AJ$1019,MATCH($C18,AR!$E$4:$E$1019,0))),
IF($E18=5,IF(INDEX(AR!$AO$4:$AO$1019,MATCH($C18,AR!$E$4:$E$1019,0))="","",INDEX(AR!$AO$4:$AO$1019,MATCH($C18,AR!$E$4:$E$1019,0))),"")))))))</f>
        <v/>
      </c>
      <c r="I18" s="459" t="str">
        <f>IF(ISNA(MATCH($C18,AR!$E$4:$E$1019,0)),"",
IF($E18=0,IF(INDEX(AR!$Q$4:$Q$1019,MATCH($C18,AR!$E$4:$E$1019,0))="","",INDEX(AR!$Q$4:$Q$1019,MATCH($C18,AR!$E$4:$E$1019,0))),
IF($E18=1,IF(INDEX(AR!$V$4:$V$1019,MATCH($C18,AR!$E$4:$E$1019,0))="","",INDEX(AR!$V$4:$V$1019,MATCH($C18,AR!$E$4:$E$1019,0))),
IF($E18=2,IF(INDEX(AR!$AA$4:$AA$1019,MATCH($C18,AR!$E$4:$E$1019,0))="","",INDEX(AR!$AA$4:$AA$1019,MATCH($C18,AR!$E$4:$E$1019,0))),
IF($E18=3,IF(INDEX(AR!$AF$4:$AF$1019,MATCH($C18,AR!$E$4:$E$1019,0))="","",INDEX(AR!$AF$4:$AF$1019,MATCH($C18,AR!$E$4:$E$1019,0))),
IF($E18=4,IF(INDEX(AR!$AK$4:$AK$1019,MATCH($C18,AR!$E$4:$E$1019,0))="","",INDEX(AR!$AK$4:$AK$1019,MATCH($C18,AR!$E$4:$E$1019,0))),
IF($E18=5,IF(INDEX(AR!$AP$4:$AP$1019,MATCH($C18,AR!$E$4:$E$1019,0))="","",INDEX(AR!$AP$4:$AP$1019,MATCH($C18,AR!$E$4:$E$1019,0))),"")))))))</f>
        <v/>
      </c>
      <c r="J18" s="459" t="str">
        <f>IF(ISNA(MATCH($C18,AR!$E$4:$E$1019,0)),"",
IF($E18=0,IF(INDEX(AR!$R$4:$R$1019,MATCH($C18,AR!$E$4:$E$1019,0))="","",INDEX(AR!$R$4:$R$1019,MATCH($C18,AR!$E$4:$E$1019,0))),
IF($E18=1,IF(INDEX(AR!$W$4:$W$1019,MATCH($C18,AR!$E$4:$E$1019,0))="","",INDEX(AR!$W$4:$W$1019,MATCH($C18,AR!$E$4:$E$1019,0))),
IF($E18=2,IF(INDEX(AR!$AB$4:$AB$1019,MATCH($C18,AR!$E$4:$E$1019,0))="","",INDEX(AR!$AB$4:$AB$1019,MATCH($C18,AR!$E$4:$E$1019,0))),
IF($E18=3,IF(INDEX(AR!$AG$4:$AG$1019,MATCH($C18,AR!$E$4:$E$1019,0))="","",INDEX(AR!$AG$4:$AG$1019,MATCH($C18,AR!$E$4:$E$1019,0))),
IF($E18=4,IF(INDEX(AR!$AL$4:$AL$1019,MATCH($C18,AR!$E$4:$E$1019,0))="","",INDEX(AR!$AL$4:$AL$1019,MATCH($C18,AR!$E$4:$E$1019,0))),
IF($E18=5,IF(INDEX(AR!$AQ$4:$AQ$1019,MATCH($C18,AR!$E$4:$E$1019,0))="","",INDEX(AR!$AQ$4:$AQ$1019,MATCH($C18,AR!$E$4:$E$1019,0))),"")))))))</f>
        <v/>
      </c>
      <c r="K18" s="459">
        <f>AR!J17</f>
        <v>0</v>
      </c>
      <c r="L18" s="460" t="e" cm="1">
        <f t="array" aca="1" ref="L18" ca="1">_xlfn.IFS(AND($E18&lt;&gt;"",$M18="Pending",$K18="CTA"),TODAY()-$G18,AND($E18&lt;&gt;"",$M18="Pending",$K18="AUR"),TODAY()-$H18,AND($E18&lt;&gt;"",$M18="Pending",$K18="STT"),TODAY()-$I18,OR(K18="Closed",K18=""),"")</f>
        <v>#N/A</v>
      </c>
      <c r="M18" s="461">
        <f>VLOOKUP(C18,AR!$E$4:$AC$512,7,0)</f>
        <v>0</v>
      </c>
      <c r="N18" s="651" t="str">
        <f t="shared" si="1"/>
        <v/>
      </c>
      <c r="O18" s="739" t="str">
        <f>AR!M17</f>
        <v>GC</v>
      </c>
      <c r="P18" s="746" t="str">
        <v>NO</v>
      </c>
    </row>
    <row r="19" spans="1:16" s="385" customFormat="1" ht="27" hidden="1" customHeight="1">
      <c r="A19" s="399">
        <v>15</v>
      </c>
      <c r="B19" s="455" t="s">
        <v>19</v>
      </c>
      <c r="C19" s="454" t="s">
        <v>126</v>
      </c>
      <c r="D19" s="456" t="str">
        <f>_xlfn.XLOOKUP(C19,AR!$E$4:$E$56,AR!$D$4:$D$56)</f>
        <v>Level 1 - Block Wall Layout &amp; Details</v>
      </c>
      <c r="E19" s="454" t="str">
        <f>IF(VLOOKUP(C19,AR!$E$4:$AC$512,5,0)="","",VLOOKUP(C19,AR!$E$4:$AC$1011,5,0))</f>
        <v/>
      </c>
      <c r="F19" s="457"/>
      <c r="G19" s="458" t="str">
        <f>IF(VLOOKUP(C19,AR!$E$4:$AC$512,3,0)="","",VLOOKUP(C19,AR!$E$4:$AC$512,3,0))</f>
        <v/>
      </c>
      <c r="H19" s="459" t="str">
        <f>IF(ISNA(MATCH($C19,AR!$E$4:$E$1019,0)),"",
IF($E19=0,IF(INDEX(AR!$P$4:$P$1019,MATCH($C19,AR!$E$4:$E$1019,0))="","",INDEX(AR!$P$4:$P$1019,MATCH($C19,AR!$E$4:$E$1019,0))),
IF($E19=1,IF(INDEX(AR!$U$4:$U$1019,MATCH($C19,AR!$E$4:$E$1019,0))="","",INDEX(AR!$U$4:$U$1019,MATCH($C19,AR!$E$4:$E$1019,0))),
IF($E19=2,IF(INDEX(AR!$Z$4:$Z$1019,MATCH($C19,AR!$E$4:$E$1019,0))="","",INDEX(AR!$Z$4:$Z$1019,MATCH($C19,AR!$E$4:$E$1019,0))),
IF($E19=3,IF(INDEX(AR!$AE$4:$AE$1019,MATCH($C19,AR!$E$4:$E$1019,0))="","",INDEX(AR!$AE$4:$AE$1019,MATCH($C19,AR!$E$4:$E$1019,0))),
IF($E19=4,IF(INDEX(AR!$AJ$4:$AJ$1019,MATCH($C19,AR!$E$4:$E$1019,0))="","",INDEX(AR!$AJ$4:$AJ$1019,MATCH($C19,AR!$E$4:$E$1019,0))),
IF($E19=5,IF(INDEX(AR!$AO$4:$AO$1019,MATCH($C19,AR!$E$4:$E$1019,0))="","",INDEX(AR!$AO$4:$AO$1019,MATCH($C19,AR!$E$4:$E$1019,0))),"")))))))</f>
        <v/>
      </c>
      <c r="I19" s="459" t="str">
        <f>IF(ISNA(MATCH($C19,AR!$E$4:$E$1019,0)),"",
IF($E19=0,IF(INDEX(AR!$Q$4:$Q$1019,MATCH($C19,AR!$E$4:$E$1019,0))="","",INDEX(AR!$Q$4:$Q$1019,MATCH($C19,AR!$E$4:$E$1019,0))),
IF($E19=1,IF(INDEX(AR!$V$4:$V$1019,MATCH($C19,AR!$E$4:$E$1019,0))="","",INDEX(AR!$V$4:$V$1019,MATCH($C19,AR!$E$4:$E$1019,0))),
IF($E19=2,IF(INDEX(AR!$AA$4:$AA$1019,MATCH($C19,AR!$E$4:$E$1019,0))="","",INDEX(AR!$AA$4:$AA$1019,MATCH($C19,AR!$E$4:$E$1019,0))),
IF($E19=3,IF(INDEX(AR!$AF$4:$AF$1019,MATCH($C19,AR!$E$4:$E$1019,0))="","",INDEX(AR!$AF$4:$AF$1019,MATCH($C19,AR!$E$4:$E$1019,0))),
IF($E19=4,IF(INDEX(AR!$AK$4:$AK$1019,MATCH($C19,AR!$E$4:$E$1019,0))="","",INDEX(AR!$AK$4:$AK$1019,MATCH($C19,AR!$E$4:$E$1019,0))),
IF($E19=5,IF(INDEX(AR!$AP$4:$AP$1019,MATCH($C19,AR!$E$4:$E$1019,0))="","",INDEX(AR!$AP$4:$AP$1019,MATCH($C19,AR!$E$4:$E$1019,0))),"")))))))</f>
        <v/>
      </c>
      <c r="J19" s="459" t="str">
        <f>IF(ISNA(MATCH($C19,AR!$E$4:$E$1019,0)),"",
IF($E19=0,IF(INDEX(AR!$R$4:$R$1019,MATCH($C19,AR!$E$4:$E$1019,0))="","",INDEX(AR!$R$4:$R$1019,MATCH($C19,AR!$E$4:$E$1019,0))),
IF($E19=1,IF(INDEX(AR!$W$4:$W$1019,MATCH($C19,AR!$E$4:$E$1019,0))="","",INDEX(AR!$W$4:$W$1019,MATCH($C19,AR!$E$4:$E$1019,0))),
IF($E19=2,IF(INDEX(AR!$AB$4:$AB$1019,MATCH($C19,AR!$E$4:$E$1019,0))="","",INDEX(AR!$AB$4:$AB$1019,MATCH($C19,AR!$E$4:$E$1019,0))),
IF($E19=3,IF(INDEX(AR!$AG$4:$AG$1019,MATCH($C19,AR!$E$4:$E$1019,0))="","",INDEX(AR!$AG$4:$AG$1019,MATCH($C19,AR!$E$4:$E$1019,0))),
IF($E19=4,IF(INDEX(AR!$AL$4:$AL$1019,MATCH($C19,AR!$E$4:$E$1019,0))="","",INDEX(AR!$AL$4:$AL$1019,MATCH($C19,AR!$E$4:$E$1019,0))),
IF($E19=5,IF(INDEX(AR!$AQ$4:$AQ$1019,MATCH($C19,AR!$E$4:$E$1019,0))="","",INDEX(AR!$AQ$4:$AQ$1019,MATCH($C19,AR!$E$4:$E$1019,0))),"")))))))</f>
        <v/>
      </c>
      <c r="K19" s="459">
        <f>AR!J18</f>
        <v>0</v>
      </c>
      <c r="L19" s="460" t="e" cm="1">
        <f t="array" aca="1" ref="L19" ca="1">_xlfn.IFS(AND($E19&lt;&gt;"",$M19="Pending",$K19="CTA"),TODAY()-$G19,AND($E19&lt;&gt;"",$M19="Pending",$K19="AUR"),TODAY()-$H19,AND($E19&lt;&gt;"",$M19="Pending",$K19="STT"),TODAY()-$I19,OR(K19="Closed",K19=""),"")</f>
        <v>#N/A</v>
      </c>
      <c r="M19" s="461">
        <f>VLOOKUP(C19,AR!$E$4:$AC$512,7,0)</f>
        <v>0</v>
      </c>
      <c r="N19" s="651" t="str">
        <f t="shared" si="1"/>
        <v/>
      </c>
      <c r="O19" s="739" t="str">
        <f>AR!M18</f>
        <v>GC</v>
      </c>
      <c r="P19" s="746" t="str">
        <v>NO</v>
      </c>
    </row>
    <row r="20" spans="1:16" s="385" customFormat="1" ht="27" hidden="1" customHeight="1">
      <c r="A20" s="399">
        <v>16</v>
      </c>
      <c r="B20" s="607" t="s">
        <v>19</v>
      </c>
      <c r="C20" s="454" t="s">
        <v>129</v>
      </c>
      <c r="D20" s="456" t="str">
        <f>_xlfn.XLOOKUP(C20,AR!$E$4:$E$56,AR!$D$4:$D$56)</f>
        <v>Level 2 - Bund Wall Setting-out &amp; Details</v>
      </c>
      <c r="E20" s="454">
        <f>IF(VLOOKUP(C20,AR!$E$4:$AC$512,5,0)="","",VLOOKUP(C20,AR!$E$4:$AC$1011,5,0))</f>
        <v>0</v>
      </c>
      <c r="F20" s="457"/>
      <c r="G20" s="458">
        <f>IF(VLOOKUP(C20,AR!$E$4:$AC$512,3,0)="","",VLOOKUP(C20,AR!$E$4:$AC$512,3,0))</f>
        <v>46045</v>
      </c>
      <c r="H20" s="459">
        <f>IF(ISNA(MATCH($C20,AR!$E$4:$E$1019,0)),"",
IF($E20=0,IF(INDEX(AR!$P$4:$P$1019,MATCH($C20,AR!$E$4:$E$1019,0))="","",INDEX(AR!$P$4:$P$1019,MATCH($C20,AR!$E$4:$E$1019,0))),
IF($E20=1,IF(INDEX(AR!$U$4:$U$1019,MATCH($C20,AR!$E$4:$E$1019,0))="","",INDEX(AR!$U$4:$U$1019,MATCH($C20,AR!$E$4:$E$1019,0))),
IF($E20=2,IF(INDEX(AR!$Z$4:$Z$1019,MATCH($C20,AR!$E$4:$E$1019,0))="","",INDEX(AR!$Z$4:$Z$1019,MATCH($C20,AR!$E$4:$E$1019,0))),
IF($E20=3,IF(INDEX(AR!$AE$4:$AE$1019,MATCH($C20,AR!$E$4:$E$1019,0))="","",INDEX(AR!$AE$4:$AE$1019,MATCH($C20,AR!$E$4:$E$1019,0))),
IF($E20=4,IF(INDEX(AR!$AJ$4:$AJ$1019,MATCH($C20,AR!$E$4:$E$1019,0))="","",INDEX(AR!$AJ$4:$AJ$1019,MATCH($C20,AR!$E$4:$E$1019,0))),
IF($E20=5,IF(INDEX(AR!$AO$4:$AO$1019,MATCH($C20,AR!$E$4:$E$1019,0))="","",INDEX(AR!$AO$4:$AO$1019,MATCH($C20,AR!$E$4:$E$1019,0))),"")))))))</f>
        <v>46048</v>
      </c>
      <c r="I20" s="459">
        <f>IF(ISNA(MATCH($C20,AR!$E$4:$E$1019,0)),"",
IF($E20=0,IF(INDEX(AR!$Q$4:$Q$1019,MATCH($C20,AR!$E$4:$E$1019,0))="","",INDEX(AR!$Q$4:$Q$1019,MATCH($C20,AR!$E$4:$E$1019,0))),
IF($E20=1,IF(INDEX(AR!$V$4:$V$1019,MATCH($C20,AR!$E$4:$E$1019,0))="","",INDEX(AR!$V$4:$V$1019,MATCH($C20,AR!$E$4:$E$1019,0))),
IF($E20=2,IF(INDEX(AR!$AA$4:$AA$1019,MATCH($C20,AR!$E$4:$E$1019,0))="","",INDEX(AR!$AA$4:$AA$1019,MATCH($C20,AR!$E$4:$E$1019,0))),
IF($E20=3,IF(INDEX(AR!$AF$4:$AF$1019,MATCH($C20,AR!$E$4:$E$1019,0))="","",INDEX(AR!$AF$4:$AF$1019,MATCH($C20,AR!$E$4:$E$1019,0))),
IF($E20=4,IF(INDEX(AR!$AK$4:$AK$1019,MATCH($C20,AR!$E$4:$E$1019,0))="","",INDEX(AR!$AK$4:$AK$1019,MATCH($C20,AR!$E$4:$E$1019,0))),
IF($E20=5,IF(INDEX(AR!$AP$4:$AP$1019,MATCH($C20,AR!$E$4:$E$1019,0))="","",INDEX(AR!$AP$4:$AP$1019,MATCH($C20,AR!$E$4:$E$1019,0))),"")))))))</f>
        <v>46059</v>
      </c>
      <c r="J20" s="459">
        <f>IF(ISNA(MATCH($C20,AR!$E$4:$E$1019,0)),"",
IF($E20=0,IF(INDEX(AR!$R$4:$R$1019,MATCH($C20,AR!$E$4:$E$1019,0))="","",INDEX(AR!$R$4:$R$1019,MATCH($C20,AR!$E$4:$E$1019,0))),
IF($E20=1,IF(INDEX(AR!$W$4:$W$1019,MATCH($C20,AR!$E$4:$E$1019,0))="","",INDEX(AR!$W$4:$W$1019,MATCH($C20,AR!$E$4:$E$1019,0))),
IF($E20=2,IF(INDEX(AR!$AB$4:$AB$1019,MATCH($C20,AR!$E$4:$E$1019,0))="","",INDEX(AR!$AB$4:$AB$1019,MATCH($C20,AR!$E$4:$E$1019,0))),
IF($E20=3,IF(INDEX(AR!$AG$4:$AG$1019,MATCH($C20,AR!$E$4:$E$1019,0))="","",INDEX(AR!$AG$4:$AG$1019,MATCH($C20,AR!$E$4:$E$1019,0))),
IF($E20=4,IF(INDEX(AR!$AL$4:$AL$1019,MATCH($C20,AR!$E$4:$E$1019,0))="","",INDEX(AR!$AL$4:$AL$1019,MATCH($C20,AR!$E$4:$E$1019,0))),
IF($E20=5,IF(INDEX(AR!$AQ$4:$AQ$1019,MATCH($C20,AR!$E$4:$E$1019,0))="","",INDEX(AR!$AQ$4:$AQ$1019,MATCH($C20,AR!$E$4:$E$1019,0))),"")))))))</f>
        <v>46059</v>
      </c>
      <c r="K20" s="459" t="str">
        <f>AR!J19</f>
        <v>Closed</v>
      </c>
      <c r="L20" s="460" t="str" cm="1">
        <f t="array" aca="1" ref="L20" ca="1">_xlfn.IFS(AND($E20&lt;&gt;"",$M20="Pending",$K20="CTA"),TODAY()-$G20,AND($E20&lt;&gt;"",$M20="Pending",$K20="AUR"),TODAY()-$H20,AND($E20&lt;&gt;"",$M20="Pending",$K20="STT"),TODAY()-$I20,OR(K20="Closed",K20=""),"")</f>
        <v/>
      </c>
      <c r="M20" s="461" t="str">
        <f>VLOOKUP(C20,AR!$E$4:$AC$512,7,0)</f>
        <v>B</v>
      </c>
      <c r="N20" s="651" t="str">
        <f t="shared" si="1"/>
        <v/>
      </c>
      <c r="O20" s="739" t="str">
        <f>AR!M19</f>
        <v>GC</v>
      </c>
      <c r="P20" s="746" t="str">
        <v>NO</v>
      </c>
    </row>
    <row r="21" spans="1:16" s="385" customFormat="1" ht="27" hidden="1" customHeight="1">
      <c r="A21" s="399">
        <v>17</v>
      </c>
      <c r="B21" s="607" t="s">
        <v>19</v>
      </c>
      <c r="C21" s="454" t="s">
        <v>132</v>
      </c>
      <c r="D21" s="456" t="str">
        <f>_xlfn.XLOOKUP(C21,AR!$E$4:$E$56,AR!$D$4:$D$56)</f>
        <v>Level 2 - Wall Finishes &amp; Details</v>
      </c>
      <c r="E21" s="454">
        <f>IF(VLOOKUP(C21,AR!$E$4:$AC$512,5,0)="","",VLOOKUP(C21,AR!$E$4:$AC$1011,5,0))</f>
        <v>0</v>
      </c>
      <c r="F21" s="457"/>
      <c r="G21" s="458">
        <f>IF(VLOOKUP(C21,AR!$E$4:$AC$512,3,0)="","",VLOOKUP(C21,AR!$E$4:$AC$512,3,0))</f>
        <v>46045</v>
      </c>
      <c r="H21" s="459">
        <f>IF(ISNA(MATCH($C21,AR!$E$4:$E$1019,0)),"",
IF($E21=0,IF(INDEX(AR!$P$4:$P$1019,MATCH($C21,AR!$E$4:$E$1019,0))="","",INDEX(AR!$P$4:$P$1019,MATCH($C21,AR!$E$4:$E$1019,0))),
IF($E21=1,IF(INDEX(AR!$U$4:$U$1019,MATCH($C21,AR!$E$4:$E$1019,0))="","",INDEX(AR!$U$4:$U$1019,MATCH($C21,AR!$E$4:$E$1019,0))),
IF($E21=2,IF(INDEX(AR!$Z$4:$Z$1019,MATCH($C21,AR!$E$4:$E$1019,0))="","",INDEX(AR!$Z$4:$Z$1019,MATCH($C21,AR!$E$4:$E$1019,0))),
IF($E21=3,IF(INDEX(AR!$AE$4:$AE$1019,MATCH($C21,AR!$E$4:$E$1019,0))="","",INDEX(AR!$AE$4:$AE$1019,MATCH($C21,AR!$E$4:$E$1019,0))),
IF($E21=4,IF(INDEX(AR!$AJ$4:$AJ$1019,MATCH($C21,AR!$E$4:$E$1019,0))="","",INDEX(AR!$AJ$4:$AJ$1019,MATCH($C21,AR!$E$4:$E$1019,0))),
IF($E21=5,IF(INDEX(AR!$AO$4:$AO$1019,MATCH($C21,AR!$E$4:$E$1019,0))="","",INDEX(AR!$AO$4:$AO$1019,MATCH($C21,AR!$E$4:$E$1019,0))),"")))))))</f>
        <v>46048</v>
      </c>
      <c r="I21" s="459">
        <f>IF(ISNA(MATCH($C21,AR!$E$4:$E$1019,0)),"",
IF($E21=0,IF(INDEX(AR!$Q$4:$Q$1019,MATCH($C21,AR!$E$4:$E$1019,0))="","",INDEX(AR!$Q$4:$Q$1019,MATCH($C21,AR!$E$4:$E$1019,0))),
IF($E21=1,IF(INDEX(AR!$V$4:$V$1019,MATCH($C21,AR!$E$4:$E$1019,0))="","",INDEX(AR!$V$4:$V$1019,MATCH($C21,AR!$E$4:$E$1019,0))),
IF($E21=2,IF(INDEX(AR!$AA$4:$AA$1019,MATCH($C21,AR!$E$4:$E$1019,0))="","",INDEX(AR!$AA$4:$AA$1019,MATCH($C21,AR!$E$4:$E$1019,0))),
IF($E21=3,IF(INDEX(AR!$AF$4:$AF$1019,MATCH($C21,AR!$E$4:$E$1019,0))="","",INDEX(AR!$AF$4:$AF$1019,MATCH($C21,AR!$E$4:$E$1019,0))),
IF($E21=4,IF(INDEX(AR!$AK$4:$AK$1019,MATCH($C21,AR!$E$4:$E$1019,0))="","",INDEX(AR!$AK$4:$AK$1019,MATCH($C21,AR!$E$4:$E$1019,0))),
IF($E21=5,IF(INDEX(AR!$AP$4:$AP$1019,MATCH($C21,AR!$E$4:$E$1019,0))="","",INDEX(AR!$AP$4:$AP$1019,MATCH($C21,AR!$E$4:$E$1019,0))),"")))))))</f>
        <v>46059</v>
      </c>
      <c r="J21" s="459">
        <f>IF(ISNA(MATCH($C21,AR!$E$4:$E$1019,0)),"",
IF($E21=0,IF(INDEX(AR!$R$4:$R$1019,MATCH($C21,AR!$E$4:$E$1019,0))="","",INDEX(AR!$R$4:$R$1019,MATCH($C21,AR!$E$4:$E$1019,0))),
IF($E21=1,IF(INDEX(AR!$W$4:$W$1019,MATCH($C21,AR!$E$4:$E$1019,0))="","",INDEX(AR!$W$4:$W$1019,MATCH($C21,AR!$E$4:$E$1019,0))),
IF($E21=2,IF(INDEX(AR!$AB$4:$AB$1019,MATCH($C21,AR!$E$4:$E$1019,0))="","",INDEX(AR!$AB$4:$AB$1019,MATCH($C21,AR!$E$4:$E$1019,0))),
IF($E21=3,IF(INDEX(AR!$AG$4:$AG$1019,MATCH($C21,AR!$E$4:$E$1019,0))="","",INDEX(AR!$AG$4:$AG$1019,MATCH($C21,AR!$E$4:$E$1019,0))),
IF($E21=4,IF(INDEX(AR!$AL$4:$AL$1019,MATCH($C21,AR!$E$4:$E$1019,0))="","",INDEX(AR!$AL$4:$AL$1019,MATCH($C21,AR!$E$4:$E$1019,0))),
IF($E21=5,IF(INDEX(AR!$AQ$4:$AQ$1019,MATCH($C21,AR!$E$4:$E$1019,0))="","",INDEX(AR!$AQ$4:$AQ$1019,MATCH($C21,AR!$E$4:$E$1019,0))),"")))))))</f>
        <v>46059</v>
      </c>
      <c r="K21" s="459" t="str">
        <f>AR!J20</f>
        <v>Closed</v>
      </c>
      <c r="L21" s="460" t="str" cm="1">
        <f t="array" aca="1" ref="L21" ca="1">_xlfn.IFS(AND($E21&lt;&gt;"",$M21="Pending",$K21="CTA"),TODAY()-$G21,AND($E21&lt;&gt;"",$M21="Pending",$K21="AUR"),TODAY()-$H21,AND($E21&lt;&gt;"",$M21="Pending",$K21="STT"),TODAY()-$I21,OR(K21="Closed",K21=""),"")</f>
        <v/>
      </c>
      <c r="M21" s="461" t="str">
        <f>VLOOKUP(C21,AR!$E$4:$AC$512,7,0)</f>
        <v>B</v>
      </c>
      <c r="N21" s="651" t="str">
        <f t="shared" si="1"/>
        <v/>
      </c>
      <c r="O21" s="739" t="str">
        <f>AR!M20</f>
        <v>GC</v>
      </c>
      <c r="P21" s="746" t="str">
        <v>NO</v>
      </c>
    </row>
    <row r="22" spans="1:16" s="385" customFormat="1" ht="27" hidden="1" customHeight="1">
      <c r="A22" s="399">
        <v>18</v>
      </c>
      <c r="B22" s="607" t="s">
        <v>19</v>
      </c>
      <c r="C22" s="454" t="s">
        <v>135</v>
      </c>
      <c r="D22" s="456" t="str">
        <f>_xlfn.XLOOKUP(C22,AR!$E$4:$E$56,AR!$D$4:$D$56)</f>
        <v>Level 2 - Wall Setting-out</v>
      </c>
      <c r="E22" s="454">
        <f>IF(VLOOKUP(C22,AR!$E$4:$AC$512,5,0)="","",VLOOKUP(C22,AR!$E$4:$AC$1011,5,0))</f>
        <v>0</v>
      </c>
      <c r="F22" s="457"/>
      <c r="G22" s="458">
        <f>IF(VLOOKUP(C22,AR!$E$4:$AC$512,3,0)="","",VLOOKUP(C22,AR!$E$4:$AC$512,3,0))</f>
        <v>46045</v>
      </c>
      <c r="H22" s="459">
        <f>IF(ISNA(MATCH($C22,AR!$E$4:$E$1019,0)),"",
IF($E22=0,IF(INDEX(AR!$P$4:$P$1019,MATCH($C22,AR!$E$4:$E$1019,0))="","",INDEX(AR!$P$4:$P$1019,MATCH($C22,AR!$E$4:$E$1019,0))),
IF($E22=1,IF(INDEX(AR!$U$4:$U$1019,MATCH($C22,AR!$E$4:$E$1019,0))="","",INDEX(AR!$U$4:$U$1019,MATCH($C22,AR!$E$4:$E$1019,0))),
IF($E22=2,IF(INDEX(AR!$Z$4:$Z$1019,MATCH($C22,AR!$E$4:$E$1019,0))="","",INDEX(AR!$Z$4:$Z$1019,MATCH($C22,AR!$E$4:$E$1019,0))),
IF($E22=3,IF(INDEX(AR!$AE$4:$AE$1019,MATCH($C22,AR!$E$4:$E$1019,0))="","",INDEX(AR!$AE$4:$AE$1019,MATCH($C22,AR!$E$4:$E$1019,0))),
IF($E22=4,IF(INDEX(AR!$AJ$4:$AJ$1019,MATCH($C22,AR!$E$4:$E$1019,0))="","",INDEX(AR!$AJ$4:$AJ$1019,MATCH($C22,AR!$E$4:$E$1019,0))),
IF($E22=5,IF(INDEX(AR!$AO$4:$AO$1019,MATCH($C22,AR!$E$4:$E$1019,0))="","",INDEX(AR!$AO$4:$AO$1019,MATCH($C22,AR!$E$4:$E$1019,0))),"")))))))</f>
        <v>46048</v>
      </c>
      <c r="I22" s="459">
        <f>IF(ISNA(MATCH($C22,AR!$E$4:$E$1019,0)),"",
IF($E22=0,IF(INDEX(AR!$Q$4:$Q$1019,MATCH($C22,AR!$E$4:$E$1019,0))="","",INDEX(AR!$Q$4:$Q$1019,MATCH($C22,AR!$E$4:$E$1019,0))),
IF($E22=1,IF(INDEX(AR!$V$4:$V$1019,MATCH($C22,AR!$E$4:$E$1019,0))="","",INDEX(AR!$V$4:$V$1019,MATCH($C22,AR!$E$4:$E$1019,0))),
IF($E22=2,IF(INDEX(AR!$AA$4:$AA$1019,MATCH($C22,AR!$E$4:$E$1019,0))="","",INDEX(AR!$AA$4:$AA$1019,MATCH($C22,AR!$E$4:$E$1019,0))),
IF($E22=3,IF(INDEX(AR!$AF$4:$AF$1019,MATCH($C22,AR!$E$4:$E$1019,0))="","",INDEX(AR!$AF$4:$AF$1019,MATCH($C22,AR!$E$4:$E$1019,0))),
IF($E22=4,IF(INDEX(AR!$AK$4:$AK$1019,MATCH($C22,AR!$E$4:$E$1019,0))="","",INDEX(AR!$AK$4:$AK$1019,MATCH($C22,AR!$E$4:$E$1019,0))),
IF($E22=5,IF(INDEX(AR!$AP$4:$AP$1019,MATCH($C22,AR!$E$4:$E$1019,0))="","",INDEX(AR!$AP$4:$AP$1019,MATCH($C22,AR!$E$4:$E$1019,0))),"")))))))</f>
        <v>46059</v>
      </c>
      <c r="J22" s="459">
        <f>IF(ISNA(MATCH($C22,AR!$E$4:$E$1019,0)),"",
IF($E22=0,IF(INDEX(AR!$R$4:$R$1019,MATCH($C22,AR!$E$4:$E$1019,0))="","",INDEX(AR!$R$4:$R$1019,MATCH($C22,AR!$E$4:$E$1019,0))),
IF($E22=1,IF(INDEX(AR!$W$4:$W$1019,MATCH($C22,AR!$E$4:$E$1019,0))="","",INDEX(AR!$W$4:$W$1019,MATCH($C22,AR!$E$4:$E$1019,0))),
IF($E22=2,IF(INDEX(AR!$AB$4:$AB$1019,MATCH($C22,AR!$E$4:$E$1019,0))="","",INDEX(AR!$AB$4:$AB$1019,MATCH($C22,AR!$E$4:$E$1019,0))),
IF($E22=3,IF(INDEX(AR!$AG$4:$AG$1019,MATCH($C22,AR!$E$4:$E$1019,0))="","",INDEX(AR!$AG$4:$AG$1019,MATCH($C22,AR!$E$4:$E$1019,0))),
IF($E22=4,IF(INDEX(AR!$AL$4:$AL$1019,MATCH($C22,AR!$E$4:$E$1019,0))="","",INDEX(AR!$AL$4:$AL$1019,MATCH($C22,AR!$E$4:$E$1019,0))),
IF($E22=5,IF(INDEX(AR!$AQ$4:$AQ$1019,MATCH($C22,AR!$E$4:$E$1019,0))="","",INDEX(AR!$AQ$4:$AQ$1019,MATCH($C22,AR!$E$4:$E$1019,0))),"")))))))</f>
        <v>46059</v>
      </c>
      <c r="K22" s="459" t="str">
        <f>AR!J21</f>
        <v>Closed</v>
      </c>
      <c r="L22" s="460" t="str" cm="1">
        <f t="array" aca="1" ref="L22" ca="1">_xlfn.IFS(AND($E22&lt;&gt;"",$M22="Pending",$K22="CTA"),TODAY()-$G22,AND($E22&lt;&gt;"",$M22="Pending",$K22="AUR"),TODAY()-$H22,AND($E22&lt;&gt;"",$M22="Pending",$K22="STT"),TODAY()-$I22,OR(K22="Closed",K22=""),"")</f>
        <v/>
      </c>
      <c r="M22" s="461" t="str">
        <f>VLOOKUP(C22,AR!$E$4:$AC$512,7,0)</f>
        <v>B</v>
      </c>
      <c r="N22" s="651" t="str">
        <f t="shared" si="1"/>
        <v/>
      </c>
      <c r="O22" s="739" t="str">
        <f>AR!M21</f>
        <v>GC</v>
      </c>
      <c r="P22" s="746" t="str">
        <v>NO</v>
      </c>
    </row>
    <row r="23" spans="1:16" s="385" customFormat="1" ht="27" customHeight="1">
      <c r="A23" s="399">
        <v>19</v>
      </c>
      <c r="B23" s="455" t="s">
        <v>19</v>
      </c>
      <c r="C23" s="454" t="s">
        <v>138</v>
      </c>
      <c r="D23" s="456" t="str">
        <f>_xlfn.XLOOKUP(C23,AR!$E$4:$E$56,AR!$D$4:$D$56)</f>
        <v>Level 2 - Block Wall Layout &amp; Details</v>
      </c>
      <c r="E23" s="454">
        <f>IF(VLOOKUP(C23,AR!$E$4:$AC$512,5,0)="","",VLOOKUP(C23,AR!$E$4:$AC$1011,5,0))</f>
        <v>0</v>
      </c>
      <c r="F23" s="457"/>
      <c r="G23" s="458">
        <f>IF(VLOOKUP(C23,AR!$E$4:$AC$512,3,0)="","",VLOOKUP(C23,AR!$E$4:$AC$512,3,0))</f>
        <v>46059</v>
      </c>
      <c r="H23" s="459">
        <f>IF(ISNA(MATCH($C23,AR!$E$4:$E$1019,0)),"",
IF($E23=0,IF(INDEX(AR!$P$4:$P$1019,MATCH($C23,AR!$E$4:$E$1019,0))="","",INDEX(AR!$P$4:$P$1019,MATCH($C23,AR!$E$4:$E$1019,0))),
IF($E23=1,IF(INDEX(AR!$U$4:$U$1019,MATCH($C23,AR!$E$4:$E$1019,0))="","",INDEX(AR!$U$4:$U$1019,MATCH($C23,AR!$E$4:$E$1019,0))),
IF($E23=2,IF(INDEX(AR!$Z$4:$Z$1019,MATCH($C23,AR!$E$4:$E$1019,0))="","",INDEX(AR!$Z$4:$Z$1019,MATCH($C23,AR!$E$4:$E$1019,0))),
IF($E23=3,IF(INDEX(AR!$AE$4:$AE$1019,MATCH($C23,AR!$E$4:$E$1019,0))="","",INDEX(AR!$AE$4:$AE$1019,MATCH($C23,AR!$E$4:$E$1019,0))),
IF($E23=4,IF(INDEX(AR!$AJ$4:$AJ$1019,MATCH($C23,AR!$E$4:$E$1019,0))="","",INDEX(AR!$AJ$4:$AJ$1019,MATCH($C23,AR!$E$4:$E$1019,0))),
IF($E23=5,IF(INDEX(AR!$AO$4:$AO$1019,MATCH($C23,AR!$E$4:$E$1019,0))="","",INDEX(AR!$AO$4:$AO$1019,MATCH($C23,AR!$E$4:$E$1019,0))),"")))))))</f>
        <v>46062</v>
      </c>
      <c r="I23" s="459">
        <f>IF(ISNA(MATCH($C23,AR!$E$4:$E$1019,0)),"",
IF($E23=0,IF(INDEX(AR!$Q$4:$Q$1019,MATCH($C23,AR!$E$4:$E$1019,0))="","",INDEX(AR!$Q$4:$Q$1019,MATCH($C23,AR!$E$4:$E$1019,0))),
IF($E23=1,IF(INDEX(AR!$V$4:$V$1019,MATCH($C23,AR!$E$4:$E$1019,0))="","",INDEX(AR!$V$4:$V$1019,MATCH($C23,AR!$E$4:$E$1019,0))),
IF($E23=2,IF(INDEX(AR!$AA$4:$AA$1019,MATCH($C23,AR!$E$4:$E$1019,0))="","",INDEX(AR!$AA$4:$AA$1019,MATCH($C23,AR!$E$4:$E$1019,0))),
IF($E23=3,IF(INDEX(AR!$AF$4:$AF$1019,MATCH($C23,AR!$E$4:$E$1019,0))="","",INDEX(AR!$AF$4:$AF$1019,MATCH($C23,AR!$E$4:$E$1019,0))),
IF($E23=4,IF(INDEX(AR!$AK$4:$AK$1019,MATCH($C23,AR!$E$4:$E$1019,0))="","",INDEX(AR!$AK$4:$AK$1019,MATCH($C23,AR!$E$4:$E$1019,0))),
IF($E23=5,IF(INDEX(AR!$AP$4:$AP$1019,MATCH($C23,AR!$E$4:$E$1019,0))="","",INDEX(AR!$AP$4:$AP$1019,MATCH($C23,AR!$E$4:$E$1019,0))),"")))))))</f>
        <v>46065</v>
      </c>
      <c r="J23" s="459" t="str">
        <f>IF(ISNA(MATCH($C23,AR!$E$4:$E$1019,0)),"",
IF($E23=0,IF(INDEX(AR!$R$4:$R$1019,MATCH($C23,AR!$E$4:$E$1019,0))="","",INDEX(AR!$R$4:$R$1019,MATCH($C23,AR!$E$4:$E$1019,0))),
IF($E23=1,IF(INDEX(AR!$W$4:$W$1019,MATCH($C23,AR!$E$4:$E$1019,0))="","",INDEX(AR!$W$4:$W$1019,MATCH($C23,AR!$E$4:$E$1019,0))),
IF($E23=2,IF(INDEX(AR!$AB$4:$AB$1019,MATCH($C23,AR!$E$4:$E$1019,0))="","",INDEX(AR!$AB$4:$AB$1019,MATCH($C23,AR!$E$4:$E$1019,0))),
IF($E23=3,IF(INDEX(AR!$AG$4:$AG$1019,MATCH($C23,AR!$E$4:$E$1019,0))="","",INDEX(AR!$AG$4:$AG$1019,MATCH($C23,AR!$E$4:$E$1019,0))),
IF($E23=4,IF(INDEX(AR!$AL$4:$AL$1019,MATCH($C23,AR!$E$4:$E$1019,0))="","",INDEX(AR!$AL$4:$AL$1019,MATCH($C23,AR!$E$4:$E$1019,0))),
IF($E23=5,IF(INDEX(AR!$AQ$4:$AQ$1019,MATCH($C23,AR!$E$4:$E$1019,0))="","",INDEX(AR!$AQ$4:$AQ$1019,MATCH($C23,AR!$E$4:$E$1019,0))),"")))))))</f>
        <v/>
      </c>
      <c r="K23" s="459" t="str">
        <f>AR!J22</f>
        <v>STT</v>
      </c>
      <c r="L23" s="460" cm="1">
        <f t="array" aca="1" ref="L23" ca="1">_xlfn.IFS(AND($E23&lt;&gt;"",$M23="Pending",$K23="CTA"),TODAY()-$G23,AND($E23&lt;&gt;"",$M23="Pending",$K23="AUR"),TODAY()-$H23,AND($E23&lt;&gt;"",$M23="Pending",$K23="STT"),TODAY()-$I23,OR(K23="Closed",K23=""),"")</f>
        <v>1</v>
      </c>
      <c r="M23" s="461" t="str">
        <f>VLOOKUP(C23,AR!$E$4:$AC$512,7,0)</f>
        <v>Pending</v>
      </c>
      <c r="N23" s="651" t="str">
        <f t="shared" ca="1" si="1"/>
        <v/>
      </c>
      <c r="O23" s="739" t="str">
        <f>AR!M22</f>
        <v>GC</v>
      </c>
      <c r="P23" s="746" t="str">
        <v>NO</v>
      </c>
    </row>
    <row r="24" spans="1:16" s="385" customFormat="1" ht="27" customHeight="1">
      <c r="A24" s="399">
        <v>20</v>
      </c>
      <c r="B24" s="455" t="s">
        <v>19</v>
      </c>
      <c r="C24" s="454" t="s">
        <v>141</v>
      </c>
      <c r="D24" s="456" t="str">
        <f>_xlfn.XLOOKUP(C24,AR!$E$4:$E$56,AR!$D$4:$D$56)</f>
        <v>Level 2 - Partition Wall Support Layout &amp; Details</v>
      </c>
      <c r="E24" s="454">
        <f>IF(VLOOKUP(C24,AR!$E$4:$AC$512,5,0)="","",VLOOKUP(C24,AR!$E$4:$AC$1011,5,0))</f>
        <v>1</v>
      </c>
      <c r="F24" s="462"/>
      <c r="G24" s="458">
        <f>IF(VLOOKUP(C24,AR!$E$4:$AC$512,3,0)="","",VLOOKUP(C24,AR!$E$4:$AC$512,3,0))</f>
        <v>46059</v>
      </c>
      <c r="H24" s="459">
        <f>IF(ISNA(MATCH($C24,AR!$E$4:$E$1019,0)),"",
IF($E24=0,IF(INDEX(AR!$P$4:$P$1019,MATCH($C24,AR!$E$4:$E$1019,0))="","",INDEX(AR!$P$4:$P$1019,MATCH($C24,AR!$E$4:$E$1019,0))),
IF($E24=1,IF(INDEX(AR!$U$4:$U$1019,MATCH($C24,AR!$E$4:$E$1019,0))="","",INDEX(AR!$U$4:$U$1019,MATCH($C24,AR!$E$4:$E$1019,0))),
IF($E24=2,IF(INDEX(AR!$Z$4:$Z$1019,MATCH($C24,AR!$E$4:$E$1019,0))="","",INDEX(AR!$Z$4:$Z$1019,MATCH($C24,AR!$E$4:$E$1019,0))),
IF($E24=3,IF(INDEX(AR!$AE$4:$AE$1019,MATCH($C24,AR!$E$4:$E$1019,0))="","",INDEX(AR!$AE$4:$AE$1019,MATCH($C24,AR!$E$4:$E$1019,0))),
IF($E24=4,IF(INDEX(AR!$AJ$4:$AJ$1019,MATCH($C24,AR!$E$4:$E$1019,0))="","",INDEX(AR!$AJ$4:$AJ$1019,MATCH($C24,AR!$E$4:$E$1019,0))),
IF($E24=5,IF(INDEX(AR!$AO$4:$AO$1019,MATCH($C24,AR!$E$4:$E$1019,0))="","",INDEX(AR!$AO$4:$AO$1019,MATCH($C24,AR!$E$4:$E$1019,0))),"")))))))</f>
        <v>46062</v>
      </c>
      <c r="I24" s="459">
        <f>IF(ISNA(MATCH($C24,AR!$E$4:$E$1019,0)),"",
IF($E24=0,IF(INDEX(AR!$Q$4:$Q$1019,MATCH($C24,AR!$E$4:$E$1019,0))="","",INDEX(AR!$Q$4:$Q$1019,MATCH($C24,AR!$E$4:$E$1019,0))),
IF($E24=1,IF(INDEX(AR!$V$4:$V$1019,MATCH($C24,AR!$E$4:$E$1019,0))="","",INDEX(AR!$V$4:$V$1019,MATCH($C24,AR!$E$4:$E$1019,0))),
IF($E24=2,IF(INDEX(AR!$AA$4:$AA$1019,MATCH($C24,AR!$E$4:$E$1019,0))="","",INDEX(AR!$AA$4:$AA$1019,MATCH($C24,AR!$E$4:$E$1019,0))),
IF($E24=3,IF(INDEX(AR!$AF$4:$AF$1019,MATCH($C24,AR!$E$4:$E$1019,0))="","",INDEX(AR!$AF$4:$AF$1019,MATCH($C24,AR!$E$4:$E$1019,0))),
IF($E24=4,IF(INDEX(AR!$AK$4:$AK$1019,MATCH($C24,AR!$E$4:$E$1019,0))="","",INDEX(AR!$AK$4:$AK$1019,MATCH($C24,AR!$E$4:$E$1019,0))),
IF($E24=5,IF(INDEX(AR!$AP$4:$AP$1019,MATCH($C24,AR!$E$4:$E$1019,0))="","",INDEX(AR!$AP$4:$AP$1019,MATCH($C24,AR!$E$4:$E$1019,0))),"")))))))</f>
        <v>46065</v>
      </c>
      <c r="J24" s="459" t="str">
        <f>IF(ISNA(MATCH($C24,AR!$E$4:$E$1019,0)),"",
IF($E24=0,IF(INDEX(AR!$R$4:$R$1019,MATCH($C24,AR!$E$4:$E$1019,0))="","",INDEX(AR!$R$4:$R$1019,MATCH($C24,AR!$E$4:$E$1019,0))),
IF($E24=1,IF(INDEX(AR!$W$4:$W$1019,MATCH($C24,AR!$E$4:$E$1019,0))="","",INDEX(AR!$W$4:$W$1019,MATCH($C24,AR!$E$4:$E$1019,0))),
IF($E24=2,IF(INDEX(AR!$AB$4:$AB$1019,MATCH($C24,AR!$E$4:$E$1019,0))="","",INDEX(AR!$AB$4:$AB$1019,MATCH($C24,AR!$E$4:$E$1019,0))),
IF($E24=3,IF(INDEX(AR!$AG$4:$AG$1019,MATCH($C24,AR!$E$4:$E$1019,0))="","",INDEX(AR!$AG$4:$AG$1019,MATCH($C24,AR!$E$4:$E$1019,0))),
IF($E24=4,IF(INDEX(AR!$AL$4:$AL$1019,MATCH($C24,AR!$E$4:$E$1019,0))="","",INDEX(AR!$AL$4:$AL$1019,MATCH($C24,AR!$E$4:$E$1019,0))),
IF($E24=5,IF(INDEX(AR!$AQ$4:$AQ$1019,MATCH($C24,AR!$E$4:$E$1019,0))="","",INDEX(AR!$AQ$4:$AQ$1019,MATCH($C24,AR!$E$4:$E$1019,0))),"")))))))</f>
        <v/>
      </c>
      <c r="K24" s="459" t="str">
        <f>AR!J23</f>
        <v>STT</v>
      </c>
      <c r="L24" s="460" cm="1">
        <f t="array" aca="1" ref="L24" ca="1">_xlfn.IFS(AND($E24&lt;&gt;"",$M24="Pending",$K24="CTA"),TODAY()-$G24,AND($E24&lt;&gt;"",$M24="Pending",$K24="AUR"),TODAY()-$H24,AND($E24&lt;&gt;"",$M24="Pending",$K24="STT"),TODAY()-$I24,OR(K24="Closed",K24=""),"")</f>
        <v>1</v>
      </c>
      <c r="M24" s="461" t="str">
        <f>VLOOKUP(C24,AR!$E$4:$AC$512,7,0)</f>
        <v>Pending</v>
      </c>
      <c r="N24" s="651" t="str">
        <f t="shared" ca="1" si="1"/>
        <v/>
      </c>
      <c r="O24" s="739" t="str">
        <f>AR!M23</f>
        <v>GC</v>
      </c>
      <c r="P24" s="746" t="str">
        <v>NO</v>
      </c>
    </row>
    <row r="25" spans="1:16" s="385" customFormat="1" ht="27" hidden="1" customHeight="1">
      <c r="A25" s="399">
        <v>21</v>
      </c>
      <c r="B25" s="455" t="s">
        <v>19</v>
      </c>
      <c r="C25" s="454" t="s">
        <v>144</v>
      </c>
      <c r="D25" s="456" t="str">
        <f>_xlfn.XLOOKUP(C25,AR!$E$4:$E$56,AR!$D$4:$D$56)</f>
        <v>Level 2 - Wire Mesh Layout &amp; Details</v>
      </c>
      <c r="E25" s="454" t="str">
        <f>IF(VLOOKUP(C25,AR!$E$4:$AC$512,5,0)="","",VLOOKUP(C25,AR!$E$4:$AC$1011,5,0))</f>
        <v/>
      </c>
      <c r="F25" s="462"/>
      <c r="G25" s="458" t="str">
        <f>IF(VLOOKUP(C25,AR!$E$4:$AC$512,3,0)="","",VLOOKUP(C25,AR!$E$4:$AC$512,3,0))</f>
        <v/>
      </c>
      <c r="H25" s="459" t="str">
        <f>IF(ISNA(MATCH($C25,AR!$E$4:$E$1019,0)),"",
IF($E25=0,IF(INDEX(AR!$P$4:$P$1019,MATCH($C25,AR!$E$4:$E$1019,0))="","",INDEX(AR!$P$4:$P$1019,MATCH($C25,AR!$E$4:$E$1019,0))),
IF($E25=1,IF(INDEX(AR!$U$4:$U$1019,MATCH($C25,AR!$E$4:$E$1019,0))="","",INDEX(AR!$U$4:$U$1019,MATCH($C25,AR!$E$4:$E$1019,0))),
IF($E25=2,IF(INDEX(AR!$Z$4:$Z$1019,MATCH($C25,AR!$E$4:$E$1019,0))="","",INDEX(AR!$Z$4:$Z$1019,MATCH($C25,AR!$E$4:$E$1019,0))),
IF($E25=3,IF(INDEX(AR!$AE$4:$AE$1019,MATCH($C25,AR!$E$4:$E$1019,0))="","",INDEX(AR!$AE$4:$AE$1019,MATCH($C25,AR!$E$4:$E$1019,0))),
IF($E25=4,IF(INDEX(AR!$AJ$4:$AJ$1019,MATCH($C25,AR!$E$4:$E$1019,0))="","",INDEX(AR!$AJ$4:$AJ$1019,MATCH($C25,AR!$E$4:$E$1019,0))),
IF($E25=5,IF(INDEX(AR!$AO$4:$AO$1019,MATCH($C25,AR!$E$4:$E$1019,0))="","",INDEX(AR!$AO$4:$AO$1019,MATCH($C25,AR!$E$4:$E$1019,0))),"")))))))</f>
        <v/>
      </c>
      <c r="I25" s="459" t="str">
        <f>IF(ISNA(MATCH($C25,AR!$E$4:$E$1019,0)),"",
IF($E25=0,IF(INDEX(AR!$Q$4:$Q$1019,MATCH($C25,AR!$E$4:$E$1019,0))="","",INDEX(AR!$Q$4:$Q$1019,MATCH($C25,AR!$E$4:$E$1019,0))),
IF($E25=1,IF(INDEX(AR!$V$4:$V$1019,MATCH($C25,AR!$E$4:$E$1019,0))="","",INDEX(AR!$V$4:$V$1019,MATCH($C25,AR!$E$4:$E$1019,0))),
IF($E25=2,IF(INDEX(AR!$AA$4:$AA$1019,MATCH($C25,AR!$E$4:$E$1019,0))="","",INDEX(AR!$AA$4:$AA$1019,MATCH($C25,AR!$E$4:$E$1019,0))),
IF($E25=3,IF(INDEX(AR!$AF$4:$AF$1019,MATCH($C25,AR!$E$4:$E$1019,0))="","",INDEX(AR!$AF$4:$AF$1019,MATCH($C25,AR!$E$4:$E$1019,0))),
IF($E25=4,IF(INDEX(AR!$AK$4:$AK$1019,MATCH($C25,AR!$E$4:$E$1019,0))="","",INDEX(AR!$AK$4:$AK$1019,MATCH($C25,AR!$E$4:$E$1019,0))),
IF($E25=5,IF(INDEX(AR!$AP$4:$AP$1019,MATCH($C25,AR!$E$4:$E$1019,0))="","",INDEX(AR!$AP$4:$AP$1019,MATCH($C25,AR!$E$4:$E$1019,0))),"")))))))</f>
        <v/>
      </c>
      <c r="J25" s="459" t="str">
        <f>IF(ISNA(MATCH($C25,AR!$E$4:$E$1019,0)),"",
IF($E25=0,IF(INDEX(AR!$R$4:$R$1019,MATCH($C25,AR!$E$4:$E$1019,0))="","",INDEX(AR!$R$4:$R$1019,MATCH($C25,AR!$E$4:$E$1019,0))),
IF($E25=1,IF(INDEX(AR!$W$4:$W$1019,MATCH($C25,AR!$E$4:$E$1019,0))="","",INDEX(AR!$W$4:$W$1019,MATCH($C25,AR!$E$4:$E$1019,0))),
IF($E25=2,IF(INDEX(AR!$AB$4:$AB$1019,MATCH($C25,AR!$E$4:$E$1019,0))="","",INDEX(AR!$AB$4:$AB$1019,MATCH($C25,AR!$E$4:$E$1019,0))),
IF($E25=3,IF(INDEX(AR!$AG$4:$AG$1019,MATCH($C25,AR!$E$4:$E$1019,0))="","",INDEX(AR!$AG$4:$AG$1019,MATCH($C25,AR!$E$4:$E$1019,0))),
IF($E25=4,IF(INDEX(AR!$AL$4:$AL$1019,MATCH($C25,AR!$E$4:$E$1019,0))="","",INDEX(AR!$AL$4:$AL$1019,MATCH($C25,AR!$E$4:$E$1019,0))),
IF($E25=5,IF(INDEX(AR!$AQ$4:$AQ$1019,MATCH($C25,AR!$E$4:$E$1019,0))="","",INDEX(AR!$AQ$4:$AQ$1019,MATCH($C25,AR!$E$4:$E$1019,0))),"")))))))</f>
        <v/>
      </c>
      <c r="K25" s="459">
        <f>AR!J24</f>
        <v>0</v>
      </c>
      <c r="L25" s="460" t="e" cm="1">
        <f t="array" aca="1" ref="L25" ca="1">_xlfn.IFS(AND($E25&lt;&gt;"",$M25="Pending",$K25="CTA"),TODAY()-$G25,AND($E25&lt;&gt;"",$M25="Pending",$K25="AUR"),TODAY()-$H25,AND($E25&lt;&gt;"",$M25="Pending",$K25="STT"),TODAY()-$I25,OR(K25="Closed",K25=""),"")</f>
        <v>#N/A</v>
      </c>
      <c r="M25" s="461">
        <f>VLOOKUP(C25,AR!$E$4:$AC$512,7,0)</f>
        <v>0</v>
      </c>
      <c r="N25" s="651" t="str">
        <f t="shared" si="1"/>
        <v/>
      </c>
      <c r="O25" s="739" t="str">
        <f>AR!M24</f>
        <v>GC</v>
      </c>
      <c r="P25" s="746" t="str">
        <v>NO</v>
      </c>
    </row>
    <row r="26" spans="1:16" s="385" customFormat="1" ht="27" hidden="1" customHeight="1">
      <c r="A26" s="399">
        <v>22</v>
      </c>
      <c r="B26" s="455" t="s">
        <v>19</v>
      </c>
      <c r="C26" s="454" t="s">
        <v>147</v>
      </c>
      <c r="D26" s="456" t="str">
        <f>_xlfn.XLOOKUP(C26,AR!$E$4:$E$56,AR!$D$4:$D$56)</f>
        <v>Level 3 - Bund Wall Setting-out &amp; Details</v>
      </c>
      <c r="E26" s="454">
        <f>IF(VLOOKUP(C26,AR!$E$4:$AC$512,5,0)="","",VLOOKUP(C26,AR!$E$4:$AC$1011,5,0))</f>
        <v>0</v>
      </c>
      <c r="F26" s="457"/>
      <c r="G26" s="458">
        <f>IF(VLOOKUP(C26,AR!$E$4:$AC$512,3,0)="","",VLOOKUP(C26,AR!$E$4:$AC$512,3,0))</f>
        <v>46048</v>
      </c>
      <c r="H26" s="459">
        <f>IF(ISNA(MATCH($C26,AR!$E$4:$E$1019,0)),"",
IF($E26=0,IF(INDEX(AR!$P$4:$P$1019,MATCH($C26,AR!$E$4:$E$1019,0))="","",INDEX(AR!$P$4:$P$1019,MATCH($C26,AR!$E$4:$E$1019,0))),
IF($E26=1,IF(INDEX(AR!$U$4:$U$1019,MATCH($C26,AR!$E$4:$E$1019,0))="","",INDEX(AR!$U$4:$U$1019,MATCH($C26,AR!$E$4:$E$1019,0))),
IF($E26=2,IF(INDEX(AR!$Z$4:$Z$1019,MATCH($C26,AR!$E$4:$E$1019,0))="","",INDEX(AR!$Z$4:$Z$1019,MATCH($C26,AR!$E$4:$E$1019,0))),
IF($E26=3,IF(INDEX(AR!$AE$4:$AE$1019,MATCH($C26,AR!$E$4:$E$1019,0))="","",INDEX(AR!$AE$4:$AE$1019,MATCH($C26,AR!$E$4:$E$1019,0))),
IF($E26=4,IF(INDEX(AR!$AJ$4:$AJ$1019,MATCH($C26,AR!$E$4:$E$1019,0))="","",INDEX(AR!$AJ$4:$AJ$1019,MATCH($C26,AR!$E$4:$E$1019,0))),
IF($E26=5,IF(INDEX(AR!$AO$4:$AO$1019,MATCH($C26,AR!$E$4:$E$1019,0))="","",INDEX(AR!$AO$4:$AO$1019,MATCH($C26,AR!$E$4:$E$1019,0))),"")))))))</f>
        <v>46049</v>
      </c>
      <c r="I26" s="459">
        <f>IF(ISNA(MATCH($C26,AR!$E$4:$E$1019,0)),"",
IF($E26=0,IF(INDEX(AR!$Q$4:$Q$1019,MATCH($C26,AR!$E$4:$E$1019,0))="","",INDEX(AR!$Q$4:$Q$1019,MATCH($C26,AR!$E$4:$E$1019,0))),
IF($E26=1,IF(INDEX(AR!$V$4:$V$1019,MATCH($C26,AR!$E$4:$E$1019,0))="","",INDEX(AR!$V$4:$V$1019,MATCH($C26,AR!$E$4:$E$1019,0))),
IF($E26=2,IF(INDEX(AR!$AA$4:$AA$1019,MATCH($C26,AR!$E$4:$E$1019,0))="","",INDEX(AR!$AA$4:$AA$1019,MATCH($C26,AR!$E$4:$E$1019,0))),
IF($E26=3,IF(INDEX(AR!$AF$4:$AF$1019,MATCH($C26,AR!$E$4:$E$1019,0))="","",INDEX(AR!$AF$4:$AF$1019,MATCH($C26,AR!$E$4:$E$1019,0))),
IF($E26=4,IF(INDEX(AR!$AK$4:$AK$1019,MATCH($C26,AR!$E$4:$E$1019,0))="","",INDEX(AR!$AK$4:$AK$1019,MATCH($C26,AR!$E$4:$E$1019,0))),
IF($E26=5,IF(INDEX(AR!$AP$4:$AP$1019,MATCH($C26,AR!$E$4:$E$1019,0))="","",INDEX(AR!$AP$4:$AP$1019,MATCH($C26,AR!$E$4:$E$1019,0))),"")))))))</f>
        <v>46052</v>
      </c>
      <c r="J26" s="459">
        <f>IF(ISNA(MATCH($C26,AR!$E$4:$E$1019,0)),"",
IF($E26=0,IF(INDEX(AR!$R$4:$R$1019,MATCH($C26,AR!$E$4:$E$1019,0))="","",INDEX(AR!$R$4:$R$1019,MATCH($C26,AR!$E$4:$E$1019,0))),
IF($E26=1,IF(INDEX(AR!$W$4:$W$1019,MATCH($C26,AR!$E$4:$E$1019,0))="","",INDEX(AR!$W$4:$W$1019,MATCH($C26,AR!$E$4:$E$1019,0))),
IF($E26=2,IF(INDEX(AR!$AB$4:$AB$1019,MATCH($C26,AR!$E$4:$E$1019,0))="","",INDEX(AR!$AB$4:$AB$1019,MATCH($C26,AR!$E$4:$E$1019,0))),
IF($E26=3,IF(INDEX(AR!$AG$4:$AG$1019,MATCH($C26,AR!$E$4:$E$1019,0))="","",INDEX(AR!$AG$4:$AG$1019,MATCH($C26,AR!$E$4:$E$1019,0))),
IF($E26=4,IF(INDEX(AR!$AL$4:$AL$1019,MATCH($C26,AR!$E$4:$E$1019,0))="","",INDEX(AR!$AL$4:$AL$1019,MATCH($C26,AR!$E$4:$E$1019,0))),
IF($E26=5,IF(INDEX(AR!$AQ$4:$AQ$1019,MATCH($C26,AR!$E$4:$E$1019,0))="","",INDEX(AR!$AQ$4:$AQ$1019,MATCH($C26,AR!$E$4:$E$1019,0))),"")))))))</f>
        <v>46059</v>
      </c>
      <c r="K26" s="459" t="str">
        <f>AR!J25</f>
        <v>Closed</v>
      </c>
      <c r="L26" s="460" t="str" cm="1">
        <f t="array" aca="1" ref="L26" ca="1">_xlfn.IFS(AND($E26&lt;&gt;"",$M26="Pending",$K26="CTA"),TODAY()-$G26,AND($E26&lt;&gt;"",$M26="Pending",$K26="AUR"),TODAY()-$H26,AND($E26&lt;&gt;"",$M26="Pending",$K26="STT"),TODAY()-$I26,OR(K26="Closed",K26=""),"")</f>
        <v/>
      </c>
      <c r="M26" s="461" t="str">
        <f>VLOOKUP(C26,AR!$E$4:$AC$512,7,0)</f>
        <v>B</v>
      </c>
      <c r="N26" s="651" t="str">
        <f t="shared" si="1"/>
        <v/>
      </c>
      <c r="O26" s="739" t="str">
        <f>AR!M25</f>
        <v>GC</v>
      </c>
      <c r="P26" s="746" t="str">
        <v>NO</v>
      </c>
    </row>
    <row r="27" spans="1:16" s="385" customFormat="1" ht="27" hidden="1" customHeight="1">
      <c r="A27" s="399">
        <v>23</v>
      </c>
      <c r="B27" s="455" t="s">
        <v>19</v>
      </c>
      <c r="C27" s="454" t="s">
        <v>150</v>
      </c>
      <c r="D27" s="456" t="str">
        <f>_xlfn.XLOOKUP(C27,AR!$E$4:$E$56,AR!$D$4:$D$56)</f>
        <v>Level 3 - Partition Wall Support Layout &amp; Details</v>
      </c>
      <c r="E27" s="454" t="str">
        <f>IF(VLOOKUP(C27,AR!$E$4:$AC$512,5,0)="","",VLOOKUP(C27,AR!$E$4:$AC$1011,5,0))</f>
        <v/>
      </c>
      <c r="F27" s="457"/>
      <c r="G27" s="458" t="str">
        <f>IF(VLOOKUP(C27,AR!$E$4:$AC$512,3,0)="","",VLOOKUP(C27,AR!$E$4:$AC$512,3,0))</f>
        <v/>
      </c>
      <c r="H27" s="459" t="str">
        <f>IF(ISNA(MATCH($C27,AR!$E$4:$E$1019,0)),"",
IF($E27=0,IF(INDEX(AR!$P$4:$P$1019,MATCH($C27,AR!$E$4:$E$1019,0))="","",INDEX(AR!$P$4:$P$1019,MATCH($C27,AR!$E$4:$E$1019,0))),
IF($E27=1,IF(INDEX(AR!$U$4:$U$1019,MATCH($C27,AR!$E$4:$E$1019,0))="","",INDEX(AR!$U$4:$U$1019,MATCH($C27,AR!$E$4:$E$1019,0))),
IF($E27=2,IF(INDEX(AR!$Z$4:$Z$1019,MATCH($C27,AR!$E$4:$E$1019,0))="","",INDEX(AR!$Z$4:$Z$1019,MATCH($C27,AR!$E$4:$E$1019,0))),
IF($E27=3,IF(INDEX(AR!$AE$4:$AE$1019,MATCH($C27,AR!$E$4:$E$1019,0))="","",INDEX(AR!$AE$4:$AE$1019,MATCH($C27,AR!$E$4:$E$1019,0))),
IF($E27=4,IF(INDEX(AR!$AJ$4:$AJ$1019,MATCH($C27,AR!$E$4:$E$1019,0))="","",INDEX(AR!$AJ$4:$AJ$1019,MATCH($C27,AR!$E$4:$E$1019,0))),
IF($E27=5,IF(INDEX(AR!$AO$4:$AO$1019,MATCH($C27,AR!$E$4:$E$1019,0))="","",INDEX(AR!$AO$4:$AO$1019,MATCH($C27,AR!$E$4:$E$1019,0))),"")))))))</f>
        <v/>
      </c>
      <c r="I27" s="459" t="str">
        <f>IF(ISNA(MATCH($C27,AR!$E$4:$E$1019,0)),"",
IF($E27=0,IF(INDEX(AR!$Q$4:$Q$1019,MATCH($C27,AR!$E$4:$E$1019,0))="","",INDEX(AR!$Q$4:$Q$1019,MATCH($C27,AR!$E$4:$E$1019,0))),
IF($E27=1,IF(INDEX(AR!$V$4:$V$1019,MATCH($C27,AR!$E$4:$E$1019,0))="","",INDEX(AR!$V$4:$V$1019,MATCH($C27,AR!$E$4:$E$1019,0))),
IF($E27=2,IF(INDEX(AR!$AA$4:$AA$1019,MATCH($C27,AR!$E$4:$E$1019,0))="","",INDEX(AR!$AA$4:$AA$1019,MATCH($C27,AR!$E$4:$E$1019,0))),
IF($E27=3,IF(INDEX(AR!$AF$4:$AF$1019,MATCH($C27,AR!$E$4:$E$1019,0))="","",INDEX(AR!$AF$4:$AF$1019,MATCH($C27,AR!$E$4:$E$1019,0))),
IF($E27=4,IF(INDEX(AR!$AK$4:$AK$1019,MATCH($C27,AR!$E$4:$E$1019,0))="","",INDEX(AR!$AK$4:$AK$1019,MATCH($C27,AR!$E$4:$E$1019,0))),
IF($E27=5,IF(INDEX(AR!$AP$4:$AP$1019,MATCH($C27,AR!$E$4:$E$1019,0))="","",INDEX(AR!$AP$4:$AP$1019,MATCH($C27,AR!$E$4:$E$1019,0))),"")))))))</f>
        <v/>
      </c>
      <c r="J27" s="459" t="str">
        <f>IF(ISNA(MATCH($C27,AR!$E$4:$E$1019,0)),"",
IF($E27=0,IF(INDEX(AR!$R$4:$R$1019,MATCH($C27,AR!$E$4:$E$1019,0))="","",INDEX(AR!$R$4:$R$1019,MATCH($C27,AR!$E$4:$E$1019,0))),
IF($E27=1,IF(INDEX(AR!$W$4:$W$1019,MATCH($C27,AR!$E$4:$E$1019,0))="","",INDEX(AR!$W$4:$W$1019,MATCH($C27,AR!$E$4:$E$1019,0))),
IF($E27=2,IF(INDEX(AR!$AB$4:$AB$1019,MATCH($C27,AR!$E$4:$E$1019,0))="","",INDEX(AR!$AB$4:$AB$1019,MATCH($C27,AR!$E$4:$E$1019,0))),
IF($E27=3,IF(INDEX(AR!$AG$4:$AG$1019,MATCH($C27,AR!$E$4:$E$1019,0))="","",INDEX(AR!$AG$4:$AG$1019,MATCH($C27,AR!$E$4:$E$1019,0))),
IF($E27=4,IF(INDEX(AR!$AL$4:$AL$1019,MATCH($C27,AR!$E$4:$E$1019,0))="","",INDEX(AR!$AL$4:$AL$1019,MATCH($C27,AR!$E$4:$E$1019,0))),
IF($E27=5,IF(INDEX(AR!$AQ$4:$AQ$1019,MATCH($C27,AR!$E$4:$E$1019,0))="","",INDEX(AR!$AQ$4:$AQ$1019,MATCH($C27,AR!$E$4:$E$1019,0))),"")))))))</f>
        <v/>
      </c>
      <c r="K27" s="459">
        <f>AR!J26</f>
        <v>0</v>
      </c>
      <c r="L27" s="460" t="e" cm="1">
        <f t="array" aca="1" ref="L27" ca="1">_xlfn.IFS(AND($E27&lt;&gt;"",$M27="Pending",$K27="CTA"),TODAY()-$G27,AND($E27&lt;&gt;"",$M27="Pending",$K27="AUR"),TODAY()-$H27,AND($E27&lt;&gt;"",$M27="Pending",$K27="STT"),TODAY()-$I27,OR(K27="Closed",K27=""),"")</f>
        <v>#N/A</v>
      </c>
      <c r="M27" s="461">
        <f>VLOOKUP(C27,AR!$E$4:$AC$512,7,0)</f>
        <v>0</v>
      </c>
      <c r="N27" s="651" t="str">
        <f t="shared" si="1"/>
        <v/>
      </c>
      <c r="O27" s="739" t="str">
        <f>AR!M26</f>
        <v>GC</v>
      </c>
      <c r="P27" s="746" t="str">
        <v>NO</v>
      </c>
    </row>
    <row r="28" spans="1:16" s="385" customFormat="1" ht="27" hidden="1" customHeight="1">
      <c r="A28" s="399">
        <v>24</v>
      </c>
      <c r="B28" s="455" t="s">
        <v>19</v>
      </c>
      <c r="C28" s="454" t="s">
        <v>153</v>
      </c>
      <c r="D28" s="456" t="str">
        <f>_xlfn.XLOOKUP(C28,AR!$E$4:$E$56,AR!$D$4:$D$56)</f>
        <v>Level 3 - Block Wall Layout &amp; Details</v>
      </c>
      <c r="E28" s="454" t="str">
        <f>IF(VLOOKUP(C28,AR!$E$4:$AC$512,5,0)="","",VLOOKUP(C28,AR!$E$4:$AC$1011,5,0))</f>
        <v/>
      </c>
      <c r="F28" s="457"/>
      <c r="G28" s="458" t="str">
        <f>IF(VLOOKUP(C28,AR!$E$4:$AC$512,3,0)="","",VLOOKUP(C28,AR!$E$4:$AC$512,3,0))</f>
        <v/>
      </c>
      <c r="H28" s="459" t="str">
        <f>IF(ISNA(MATCH($C28,AR!$E$4:$E$1019,0)),"",
IF($E28=0,IF(INDEX(AR!$P$4:$P$1019,MATCH($C28,AR!$E$4:$E$1019,0))="","",INDEX(AR!$P$4:$P$1019,MATCH($C28,AR!$E$4:$E$1019,0))),
IF($E28=1,IF(INDEX(AR!$U$4:$U$1019,MATCH($C28,AR!$E$4:$E$1019,0))="","",INDEX(AR!$U$4:$U$1019,MATCH($C28,AR!$E$4:$E$1019,0))),
IF($E28=2,IF(INDEX(AR!$Z$4:$Z$1019,MATCH($C28,AR!$E$4:$E$1019,0))="","",INDEX(AR!$Z$4:$Z$1019,MATCH($C28,AR!$E$4:$E$1019,0))),
IF($E28=3,IF(INDEX(AR!$AE$4:$AE$1019,MATCH($C28,AR!$E$4:$E$1019,0))="","",INDEX(AR!$AE$4:$AE$1019,MATCH($C28,AR!$E$4:$E$1019,0))),
IF($E28=4,IF(INDEX(AR!$AJ$4:$AJ$1019,MATCH($C28,AR!$E$4:$E$1019,0))="","",INDEX(AR!$AJ$4:$AJ$1019,MATCH($C28,AR!$E$4:$E$1019,0))),
IF($E28=5,IF(INDEX(AR!$AO$4:$AO$1019,MATCH($C28,AR!$E$4:$E$1019,0))="","",INDEX(AR!$AO$4:$AO$1019,MATCH($C28,AR!$E$4:$E$1019,0))),"")))))))</f>
        <v/>
      </c>
      <c r="I28" s="459" t="str">
        <f>IF(ISNA(MATCH($C28,AR!$E$4:$E$1019,0)),"",
IF($E28=0,IF(INDEX(AR!$Q$4:$Q$1019,MATCH($C28,AR!$E$4:$E$1019,0))="","",INDEX(AR!$Q$4:$Q$1019,MATCH($C28,AR!$E$4:$E$1019,0))),
IF($E28=1,IF(INDEX(AR!$V$4:$V$1019,MATCH($C28,AR!$E$4:$E$1019,0))="","",INDEX(AR!$V$4:$V$1019,MATCH($C28,AR!$E$4:$E$1019,0))),
IF($E28=2,IF(INDEX(AR!$AA$4:$AA$1019,MATCH($C28,AR!$E$4:$E$1019,0))="","",INDEX(AR!$AA$4:$AA$1019,MATCH($C28,AR!$E$4:$E$1019,0))),
IF($E28=3,IF(INDEX(AR!$AF$4:$AF$1019,MATCH($C28,AR!$E$4:$E$1019,0))="","",INDEX(AR!$AF$4:$AF$1019,MATCH($C28,AR!$E$4:$E$1019,0))),
IF($E28=4,IF(INDEX(AR!$AK$4:$AK$1019,MATCH($C28,AR!$E$4:$E$1019,0))="","",INDEX(AR!$AK$4:$AK$1019,MATCH($C28,AR!$E$4:$E$1019,0))),
IF($E28=5,IF(INDEX(AR!$AP$4:$AP$1019,MATCH($C28,AR!$E$4:$E$1019,0))="","",INDEX(AR!$AP$4:$AP$1019,MATCH($C28,AR!$E$4:$E$1019,0))),"")))))))</f>
        <v/>
      </c>
      <c r="J28" s="459" t="str">
        <f>IF(ISNA(MATCH($C28,AR!$E$4:$E$1019,0)),"",
IF($E28=0,IF(INDEX(AR!$R$4:$R$1019,MATCH($C28,AR!$E$4:$E$1019,0))="","",INDEX(AR!$R$4:$R$1019,MATCH($C28,AR!$E$4:$E$1019,0))),
IF($E28=1,IF(INDEX(AR!$W$4:$W$1019,MATCH($C28,AR!$E$4:$E$1019,0))="","",INDEX(AR!$W$4:$W$1019,MATCH($C28,AR!$E$4:$E$1019,0))),
IF($E28=2,IF(INDEX(AR!$AB$4:$AB$1019,MATCH($C28,AR!$E$4:$E$1019,0))="","",INDEX(AR!$AB$4:$AB$1019,MATCH($C28,AR!$E$4:$E$1019,0))),
IF($E28=3,IF(INDEX(AR!$AG$4:$AG$1019,MATCH($C28,AR!$E$4:$E$1019,0))="","",INDEX(AR!$AG$4:$AG$1019,MATCH($C28,AR!$E$4:$E$1019,0))),
IF($E28=4,IF(INDEX(AR!$AL$4:$AL$1019,MATCH($C28,AR!$E$4:$E$1019,0))="","",INDEX(AR!$AL$4:$AL$1019,MATCH($C28,AR!$E$4:$E$1019,0))),
IF($E28=5,IF(INDEX(AR!$AQ$4:$AQ$1019,MATCH($C28,AR!$E$4:$E$1019,0))="","",INDEX(AR!$AQ$4:$AQ$1019,MATCH($C28,AR!$E$4:$E$1019,0))),"")))))))</f>
        <v/>
      </c>
      <c r="K28" s="459">
        <f>AR!J27</f>
        <v>0</v>
      </c>
      <c r="L28" s="460" t="e" cm="1">
        <f t="array" aca="1" ref="L28" ca="1">_xlfn.IFS(AND($E28&lt;&gt;"",$M28="Pending",$K28="CTA"),TODAY()-$G28,AND($E28&lt;&gt;"",$M28="Pending",$K28="AUR"),TODAY()-$H28,AND($E28&lt;&gt;"",$M28="Pending",$K28="STT"),TODAY()-$I28,OR(K28="Closed",K28=""),"")</f>
        <v>#N/A</v>
      </c>
      <c r="M28" s="461">
        <f>VLOOKUP(C28,AR!$E$4:$AC$512,7,0)</f>
        <v>0</v>
      </c>
      <c r="N28" s="651" t="str">
        <f t="shared" si="1"/>
        <v/>
      </c>
      <c r="O28" s="739" t="str">
        <f>AR!M27</f>
        <v>GC</v>
      </c>
      <c r="P28" s="746" t="str">
        <v>NO</v>
      </c>
    </row>
    <row r="29" spans="1:16" s="385" customFormat="1" ht="27" customHeight="1">
      <c r="A29" s="399">
        <v>25</v>
      </c>
      <c r="B29" s="455" t="s">
        <v>19</v>
      </c>
      <c r="C29" s="454" t="s">
        <v>156</v>
      </c>
      <c r="D29" s="456" t="str">
        <f>_xlfn.XLOOKUP(C29,AR!$E$4:$E$56,AR!$D$4:$D$56)</f>
        <v>Level 3 - Wall Finishes &amp; Details</v>
      </c>
      <c r="E29" s="454">
        <f>IF(VLOOKUP(C29,AR!$E$4:$AC$512,5,0)="","",VLOOKUP(C29,AR!$E$4:$AC$1011,5,0))</f>
        <v>0</v>
      </c>
      <c r="F29" s="457"/>
      <c r="G29" s="458">
        <f>IF(VLOOKUP(C29,AR!$E$4:$AC$512,3,0)="","",VLOOKUP(C29,AR!$E$4:$AC$512,3,0))</f>
        <v>46056</v>
      </c>
      <c r="H29" s="459">
        <f>IF(ISNA(MATCH($C29,AR!$E$4:$E$1019,0)),"",
IF($E29=0,IF(INDEX(AR!$P$4:$P$1019,MATCH($C29,AR!$E$4:$E$1019,0))="","",INDEX(AR!$P$4:$P$1019,MATCH($C29,AR!$E$4:$E$1019,0))),
IF($E29=1,IF(INDEX(AR!$U$4:$U$1019,MATCH($C29,AR!$E$4:$E$1019,0))="","",INDEX(AR!$U$4:$U$1019,MATCH($C29,AR!$E$4:$E$1019,0))),
IF($E29=2,IF(INDEX(AR!$Z$4:$Z$1019,MATCH($C29,AR!$E$4:$E$1019,0))="","",INDEX(AR!$Z$4:$Z$1019,MATCH($C29,AR!$E$4:$E$1019,0))),
IF($E29=3,IF(INDEX(AR!$AE$4:$AE$1019,MATCH($C29,AR!$E$4:$E$1019,0))="","",INDEX(AR!$AE$4:$AE$1019,MATCH($C29,AR!$E$4:$E$1019,0))),
IF($E29=4,IF(INDEX(AR!$AJ$4:$AJ$1019,MATCH($C29,AR!$E$4:$E$1019,0))="","",INDEX(AR!$AJ$4:$AJ$1019,MATCH($C29,AR!$E$4:$E$1019,0))),
IF($E29=5,IF(INDEX(AR!$AO$4:$AO$1019,MATCH($C29,AR!$E$4:$E$1019,0))="","",INDEX(AR!$AO$4:$AO$1019,MATCH($C29,AR!$E$4:$E$1019,0))),"")))))))</f>
        <v>46059</v>
      </c>
      <c r="I29" s="459">
        <f>IF(ISNA(MATCH($C29,AR!$E$4:$E$1019,0)),"",
IF($E29=0,IF(INDEX(AR!$Q$4:$Q$1019,MATCH($C29,AR!$E$4:$E$1019,0))="","",INDEX(AR!$Q$4:$Q$1019,MATCH($C29,AR!$E$4:$E$1019,0))),
IF($E29=1,IF(INDEX(AR!$V$4:$V$1019,MATCH($C29,AR!$E$4:$E$1019,0))="","",INDEX(AR!$V$4:$V$1019,MATCH($C29,AR!$E$4:$E$1019,0))),
IF($E29=2,IF(INDEX(AR!$AA$4:$AA$1019,MATCH($C29,AR!$E$4:$E$1019,0))="","",INDEX(AR!$AA$4:$AA$1019,MATCH($C29,AR!$E$4:$E$1019,0))),
IF($E29=3,IF(INDEX(AR!$AF$4:$AF$1019,MATCH($C29,AR!$E$4:$E$1019,0))="","",INDEX(AR!$AF$4:$AF$1019,MATCH($C29,AR!$E$4:$E$1019,0))),
IF($E29=4,IF(INDEX(AR!$AK$4:$AK$1019,MATCH($C29,AR!$E$4:$E$1019,0))="","",INDEX(AR!$AK$4:$AK$1019,MATCH($C29,AR!$E$4:$E$1019,0))),
IF($E29=5,IF(INDEX(AR!$AP$4:$AP$1019,MATCH($C29,AR!$E$4:$E$1019,0))="","",INDEX(AR!$AP$4:$AP$1019,MATCH($C29,AR!$E$4:$E$1019,0))),"")))))))</f>
        <v>46062</v>
      </c>
      <c r="J29" s="459" t="str">
        <f>IF(ISNA(MATCH($C29,AR!$E$4:$E$1019,0)),"",
IF($E29=0,IF(INDEX(AR!$R$4:$R$1019,MATCH($C29,AR!$E$4:$E$1019,0))="","",INDEX(AR!$R$4:$R$1019,MATCH($C29,AR!$E$4:$E$1019,0))),
IF($E29=1,IF(INDEX(AR!$W$4:$W$1019,MATCH($C29,AR!$E$4:$E$1019,0))="","",INDEX(AR!$W$4:$W$1019,MATCH($C29,AR!$E$4:$E$1019,0))),
IF($E29=2,IF(INDEX(AR!$AB$4:$AB$1019,MATCH($C29,AR!$E$4:$E$1019,0))="","",INDEX(AR!$AB$4:$AB$1019,MATCH($C29,AR!$E$4:$E$1019,0))),
IF($E29=3,IF(INDEX(AR!$AG$4:$AG$1019,MATCH($C29,AR!$E$4:$E$1019,0))="","",INDEX(AR!$AG$4:$AG$1019,MATCH($C29,AR!$E$4:$E$1019,0))),
IF($E29=4,IF(INDEX(AR!$AL$4:$AL$1019,MATCH($C29,AR!$E$4:$E$1019,0))="","",INDEX(AR!$AL$4:$AL$1019,MATCH($C29,AR!$E$4:$E$1019,0))),
IF($E29=5,IF(INDEX(AR!$AQ$4:$AQ$1019,MATCH($C29,AR!$E$4:$E$1019,0))="","",INDEX(AR!$AQ$4:$AQ$1019,MATCH($C29,AR!$E$4:$E$1019,0))),"")))))))</f>
        <v/>
      </c>
      <c r="K29" s="459" t="str">
        <f>AR!J28</f>
        <v>STT</v>
      </c>
      <c r="L29" s="460" cm="1">
        <f t="array" aca="1" ref="L29" ca="1">_xlfn.IFS(AND($E29&lt;&gt;"",$M29="Pending",$K29="CTA"),TODAY()-$G29,AND($E29&lt;&gt;"",$M29="Pending",$K29="AUR"),TODAY()-$H29,AND($E29&lt;&gt;"",$M29="Pending",$K29="STT"),TODAY()-$I29,OR(K29="Closed",K29=""),"")</f>
        <v>4</v>
      </c>
      <c r="M29" s="461" t="str">
        <f>VLOOKUP(C29,AR!$E$4:$AC$512,7,0)</f>
        <v>Pending</v>
      </c>
      <c r="N29" s="651" t="str">
        <f t="shared" ca="1" si="1"/>
        <v>High</v>
      </c>
      <c r="O29" s="739" t="str">
        <f>AR!M28</f>
        <v>GC</v>
      </c>
      <c r="P29" s="746" t="str">
        <v>NO</v>
      </c>
    </row>
    <row r="30" spans="1:16" s="385" customFormat="1" ht="27" customHeight="1">
      <c r="A30" s="399">
        <v>26</v>
      </c>
      <c r="B30" s="455" t="s">
        <v>19</v>
      </c>
      <c r="C30" s="454" t="s">
        <v>159</v>
      </c>
      <c r="D30" s="456" t="str">
        <f>_xlfn.XLOOKUP(C30,AR!$E$4:$E$56,AR!$D$4:$D$56)</f>
        <v>Level 3 - Wall Setting-out</v>
      </c>
      <c r="E30" s="454">
        <f>IF(VLOOKUP(C30,AR!$E$4:$AC$512,5,0)="","",VLOOKUP(C30,AR!$E$4:$AC$1011,5,0))</f>
        <v>0</v>
      </c>
      <c r="F30" s="457"/>
      <c r="G30" s="458">
        <f>IF(VLOOKUP(C30,AR!$E$4:$AC$512,3,0)="","",VLOOKUP(C30,AR!$E$4:$AC$512,3,0))</f>
        <v>46050</v>
      </c>
      <c r="H30" s="459">
        <f>IF(ISNA(MATCH($C30,AR!$E$4:$E$1019,0)),"",
IF($E30=0,IF(INDEX(AR!$P$4:$P$1019,MATCH($C30,AR!$E$4:$E$1019,0))="","",INDEX(AR!$P$4:$P$1019,MATCH($C30,AR!$E$4:$E$1019,0))),
IF($E30=1,IF(INDEX(AR!$U$4:$U$1019,MATCH($C30,AR!$E$4:$E$1019,0))="","",INDEX(AR!$U$4:$U$1019,MATCH($C30,AR!$E$4:$E$1019,0))),
IF($E30=2,IF(INDEX(AR!$Z$4:$Z$1019,MATCH($C30,AR!$E$4:$E$1019,0))="","",INDEX(AR!$Z$4:$Z$1019,MATCH($C30,AR!$E$4:$E$1019,0))),
IF($E30=3,IF(INDEX(AR!$AE$4:$AE$1019,MATCH($C30,AR!$E$4:$E$1019,0))="","",INDEX(AR!$AE$4:$AE$1019,MATCH($C30,AR!$E$4:$E$1019,0))),
IF($E30=4,IF(INDEX(AR!$AJ$4:$AJ$1019,MATCH($C30,AR!$E$4:$E$1019,0))="","",INDEX(AR!$AJ$4:$AJ$1019,MATCH($C30,AR!$E$4:$E$1019,0))),
IF($E30=5,IF(INDEX(AR!$AO$4:$AO$1019,MATCH($C30,AR!$E$4:$E$1019,0))="","",INDEX(AR!$AO$4:$AO$1019,MATCH($C30,AR!$E$4:$E$1019,0))),"")))))))</f>
        <v>46053</v>
      </c>
      <c r="I30" s="459">
        <f>IF(ISNA(MATCH($C30,AR!$E$4:$E$1019,0)),"",
IF($E30=0,IF(INDEX(AR!$Q$4:$Q$1019,MATCH($C30,AR!$E$4:$E$1019,0))="","",INDEX(AR!$Q$4:$Q$1019,MATCH($C30,AR!$E$4:$E$1019,0))),
IF($E30=1,IF(INDEX(AR!$V$4:$V$1019,MATCH($C30,AR!$E$4:$E$1019,0))="","",INDEX(AR!$V$4:$V$1019,MATCH($C30,AR!$E$4:$E$1019,0))),
IF($E30=2,IF(INDEX(AR!$AA$4:$AA$1019,MATCH($C30,AR!$E$4:$E$1019,0))="","",INDEX(AR!$AA$4:$AA$1019,MATCH($C30,AR!$E$4:$E$1019,0))),
IF($E30=3,IF(INDEX(AR!$AF$4:$AF$1019,MATCH($C30,AR!$E$4:$E$1019,0))="","",INDEX(AR!$AF$4:$AF$1019,MATCH($C30,AR!$E$4:$E$1019,0))),
IF($E30=4,IF(INDEX(AR!$AK$4:$AK$1019,MATCH($C30,AR!$E$4:$E$1019,0))="","",INDEX(AR!$AK$4:$AK$1019,MATCH($C30,AR!$E$4:$E$1019,0))),
IF($E30=5,IF(INDEX(AR!$AP$4:$AP$1019,MATCH($C30,AR!$E$4:$E$1019,0))="","",INDEX(AR!$AP$4:$AP$1019,MATCH($C30,AR!$E$4:$E$1019,0))),"")))))))</f>
        <v>46057</v>
      </c>
      <c r="J30" s="459" t="str">
        <f>IF(ISNA(MATCH($C30,AR!$E$4:$E$1019,0)),"",
IF($E30=0,IF(INDEX(AR!$R$4:$R$1019,MATCH($C30,AR!$E$4:$E$1019,0))="","",INDEX(AR!$R$4:$R$1019,MATCH($C30,AR!$E$4:$E$1019,0))),
IF($E30=1,IF(INDEX(AR!$W$4:$W$1019,MATCH($C30,AR!$E$4:$E$1019,0))="","",INDEX(AR!$W$4:$W$1019,MATCH($C30,AR!$E$4:$E$1019,0))),
IF($E30=2,IF(INDEX(AR!$AB$4:$AB$1019,MATCH($C30,AR!$E$4:$E$1019,0))="","",INDEX(AR!$AB$4:$AB$1019,MATCH($C30,AR!$E$4:$E$1019,0))),
IF($E30=3,IF(INDEX(AR!$AG$4:$AG$1019,MATCH($C30,AR!$E$4:$E$1019,0))="","",INDEX(AR!$AG$4:$AG$1019,MATCH($C30,AR!$E$4:$E$1019,0))),
IF($E30=4,IF(INDEX(AR!$AL$4:$AL$1019,MATCH($C30,AR!$E$4:$E$1019,0))="","",INDEX(AR!$AL$4:$AL$1019,MATCH($C30,AR!$E$4:$E$1019,0))),
IF($E30=5,IF(INDEX(AR!$AQ$4:$AQ$1019,MATCH($C30,AR!$E$4:$E$1019,0))="","",INDEX(AR!$AQ$4:$AQ$1019,MATCH($C30,AR!$E$4:$E$1019,0))),"")))))))</f>
        <v/>
      </c>
      <c r="K30" s="459" t="str">
        <f>AR!J29</f>
        <v>STT</v>
      </c>
      <c r="L30" s="460" cm="1">
        <f t="array" aca="1" ref="L30" ca="1">_xlfn.IFS(AND($E30&lt;&gt;"",$M30="Pending",$K30="CTA"),TODAY()-$G30,AND($E30&lt;&gt;"",$M30="Pending",$K30="AUR"),TODAY()-$H30,AND($E30&lt;&gt;"",$M30="Pending",$K30="STT"),TODAY()-$I30,OR(K30="Closed",K30=""),"")</f>
        <v>9</v>
      </c>
      <c r="M30" s="461" t="str">
        <f>VLOOKUP(C30,AR!$E$4:$AC$512,7,0)</f>
        <v>Pending</v>
      </c>
      <c r="N30" s="651" t="str">
        <f t="shared" ca="1" si="1"/>
        <v>Overdue</v>
      </c>
      <c r="O30" s="739" t="str">
        <f>AR!M29</f>
        <v>GC</v>
      </c>
      <c r="P30" s="746" t="str">
        <v>NO</v>
      </c>
    </row>
    <row r="31" spans="1:16" s="385" customFormat="1" ht="27" hidden="1" customHeight="1">
      <c r="A31" s="399">
        <v>27</v>
      </c>
      <c r="B31" s="455" t="s">
        <v>19</v>
      </c>
      <c r="C31" s="454" t="s">
        <v>162</v>
      </c>
      <c r="D31" s="456" t="str">
        <f>_xlfn.XLOOKUP(C31,AR!$E$4:$E$56,AR!$D$4:$D$56)</f>
        <v>Level 4 - Bund Wall Setting-out &amp; Details</v>
      </c>
      <c r="E31" s="454" t="str">
        <f>IF(VLOOKUP(C31,AR!$E$4:$AC$512,5,0)="","",VLOOKUP(C31,AR!$E$4:$AC$1011,5,0))</f>
        <v/>
      </c>
      <c r="F31" s="457"/>
      <c r="G31" s="458" t="str">
        <f>IF(VLOOKUP(C31,AR!$E$4:$AC$512,3,0)="","",VLOOKUP(C31,AR!$E$4:$AC$512,3,0))</f>
        <v/>
      </c>
      <c r="H31" s="459" t="str">
        <f>IF(ISNA(MATCH($C31,AR!$E$4:$E$1019,0)),"",
IF($E31=0,IF(INDEX(AR!$P$4:$P$1019,MATCH($C31,AR!$E$4:$E$1019,0))="","",INDEX(AR!$P$4:$P$1019,MATCH($C31,AR!$E$4:$E$1019,0))),
IF($E31=1,IF(INDEX(AR!$U$4:$U$1019,MATCH($C31,AR!$E$4:$E$1019,0))="","",INDEX(AR!$U$4:$U$1019,MATCH($C31,AR!$E$4:$E$1019,0))),
IF($E31=2,IF(INDEX(AR!$Z$4:$Z$1019,MATCH($C31,AR!$E$4:$E$1019,0))="","",INDEX(AR!$Z$4:$Z$1019,MATCH($C31,AR!$E$4:$E$1019,0))),
IF($E31=3,IF(INDEX(AR!$AE$4:$AE$1019,MATCH($C31,AR!$E$4:$E$1019,0))="","",INDEX(AR!$AE$4:$AE$1019,MATCH($C31,AR!$E$4:$E$1019,0))),
IF($E31=4,IF(INDEX(AR!$AJ$4:$AJ$1019,MATCH($C31,AR!$E$4:$E$1019,0))="","",INDEX(AR!$AJ$4:$AJ$1019,MATCH($C31,AR!$E$4:$E$1019,0))),
IF($E31=5,IF(INDEX(AR!$AO$4:$AO$1019,MATCH($C31,AR!$E$4:$E$1019,0))="","",INDEX(AR!$AO$4:$AO$1019,MATCH($C31,AR!$E$4:$E$1019,0))),"")))))))</f>
        <v/>
      </c>
      <c r="I31" s="459" t="str">
        <f>IF(ISNA(MATCH($C31,AR!$E$4:$E$1019,0)),"",
IF($E31=0,IF(INDEX(AR!$Q$4:$Q$1019,MATCH($C31,AR!$E$4:$E$1019,0))="","",INDEX(AR!$Q$4:$Q$1019,MATCH($C31,AR!$E$4:$E$1019,0))),
IF($E31=1,IF(INDEX(AR!$V$4:$V$1019,MATCH($C31,AR!$E$4:$E$1019,0))="","",INDEX(AR!$V$4:$V$1019,MATCH($C31,AR!$E$4:$E$1019,0))),
IF($E31=2,IF(INDEX(AR!$AA$4:$AA$1019,MATCH($C31,AR!$E$4:$E$1019,0))="","",INDEX(AR!$AA$4:$AA$1019,MATCH($C31,AR!$E$4:$E$1019,0))),
IF($E31=3,IF(INDEX(AR!$AF$4:$AF$1019,MATCH($C31,AR!$E$4:$E$1019,0))="","",INDEX(AR!$AF$4:$AF$1019,MATCH($C31,AR!$E$4:$E$1019,0))),
IF($E31=4,IF(INDEX(AR!$AK$4:$AK$1019,MATCH($C31,AR!$E$4:$E$1019,0))="","",INDEX(AR!$AK$4:$AK$1019,MATCH($C31,AR!$E$4:$E$1019,0))),
IF($E31=5,IF(INDEX(AR!$AP$4:$AP$1019,MATCH($C31,AR!$E$4:$E$1019,0))="","",INDEX(AR!$AP$4:$AP$1019,MATCH($C31,AR!$E$4:$E$1019,0))),"")))))))</f>
        <v/>
      </c>
      <c r="J31" s="459" t="str">
        <f>IF(ISNA(MATCH($C31,AR!$E$4:$E$1019,0)),"",
IF($E31=0,IF(INDEX(AR!$R$4:$R$1019,MATCH($C31,AR!$E$4:$E$1019,0))="","",INDEX(AR!$R$4:$R$1019,MATCH($C31,AR!$E$4:$E$1019,0))),
IF($E31=1,IF(INDEX(AR!$W$4:$W$1019,MATCH($C31,AR!$E$4:$E$1019,0))="","",INDEX(AR!$W$4:$W$1019,MATCH($C31,AR!$E$4:$E$1019,0))),
IF($E31=2,IF(INDEX(AR!$AB$4:$AB$1019,MATCH($C31,AR!$E$4:$E$1019,0))="","",INDEX(AR!$AB$4:$AB$1019,MATCH($C31,AR!$E$4:$E$1019,0))),
IF($E31=3,IF(INDEX(AR!$AG$4:$AG$1019,MATCH($C31,AR!$E$4:$E$1019,0))="","",INDEX(AR!$AG$4:$AG$1019,MATCH($C31,AR!$E$4:$E$1019,0))),
IF($E31=4,IF(INDEX(AR!$AL$4:$AL$1019,MATCH($C31,AR!$E$4:$E$1019,0))="","",INDEX(AR!$AL$4:$AL$1019,MATCH($C31,AR!$E$4:$E$1019,0))),
IF($E31=5,IF(INDEX(AR!$AQ$4:$AQ$1019,MATCH($C31,AR!$E$4:$E$1019,0))="","",INDEX(AR!$AQ$4:$AQ$1019,MATCH($C31,AR!$E$4:$E$1019,0))),"")))))))</f>
        <v/>
      </c>
      <c r="K31" s="459">
        <f>AR!J30</f>
        <v>0</v>
      </c>
      <c r="L31" s="460" t="e" cm="1">
        <f t="array" aca="1" ref="L31" ca="1">_xlfn.IFS(AND($E31&lt;&gt;"",$M31="Pending",$K31="CTA"),TODAY()-$G31,AND($E31&lt;&gt;"",$M31="Pending",$K31="AUR"),TODAY()-$H31,AND($E31&lt;&gt;"",$M31="Pending",$K31="STT"),TODAY()-$I31,OR(K31="Closed",K31=""),"")</f>
        <v>#N/A</v>
      </c>
      <c r="M31" s="461">
        <f>VLOOKUP(C31,AR!$E$4:$AC$512,7,0)</f>
        <v>0</v>
      </c>
      <c r="N31" s="651" t="str">
        <f t="shared" si="1"/>
        <v/>
      </c>
      <c r="O31" s="739" t="str">
        <f>AR!M30</f>
        <v>GC</v>
      </c>
      <c r="P31" s="746" t="str">
        <v>NO</v>
      </c>
    </row>
    <row r="32" spans="1:16" s="385" customFormat="1" ht="27" hidden="1" customHeight="1">
      <c r="A32" s="399">
        <v>28</v>
      </c>
      <c r="B32" s="455" t="s">
        <v>19</v>
      </c>
      <c r="C32" s="454" t="s">
        <v>165</v>
      </c>
      <c r="D32" s="456" t="str">
        <f>_xlfn.XLOOKUP(C32,AR!$E$4:$E$56,AR!$D$4:$D$56)</f>
        <v>Level 4 - Wall Finishes &amp; Details</v>
      </c>
      <c r="E32" s="454" t="str">
        <f>IF(VLOOKUP(C32,AR!$E$4:$AC$512,5,0)="","",VLOOKUP(C32,AR!$E$4:$AC$1011,5,0))</f>
        <v/>
      </c>
      <c r="F32" s="457"/>
      <c r="G32" s="458" t="str">
        <f>IF(VLOOKUP(C32,AR!$E$4:$AC$512,3,0)="","",VLOOKUP(C32,AR!$E$4:$AC$512,3,0))</f>
        <v/>
      </c>
      <c r="H32" s="459" t="str">
        <f>IF(ISNA(MATCH($C32,AR!$E$4:$E$1019,0)),"",
IF($E32=0,IF(INDEX(AR!$P$4:$P$1019,MATCH($C32,AR!$E$4:$E$1019,0))="","",INDEX(AR!$P$4:$P$1019,MATCH($C32,AR!$E$4:$E$1019,0))),
IF($E32=1,IF(INDEX(AR!$U$4:$U$1019,MATCH($C32,AR!$E$4:$E$1019,0))="","",INDEX(AR!$U$4:$U$1019,MATCH($C32,AR!$E$4:$E$1019,0))),
IF($E32=2,IF(INDEX(AR!$Z$4:$Z$1019,MATCH($C32,AR!$E$4:$E$1019,0))="","",INDEX(AR!$Z$4:$Z$1019,MATCH($C32,AR!$E$4:$E$1019,0))),
IF($E32=3,IF(INDEX(AR!$AE$4:$AE$1019,MATCH($C32,AR!$E$4:$E$1019,0))="","",INDEX(AR!$AE$4:$AE$1019,MATCH($C32,AR!$E$4:$E$1019,0))),
IF($E32=4,IF(INDEX(AR!$AJ$4:$AJ$1019,MATCH($C32,AR!$E$4:$E$1019,0))="","",INDEX(AR!$AJ$4:$AJ$1019,MATCH($C32,AR!$E$4:$E$1019,0))),
IF($E32=5,IF(INDEX(AR!$AO$4:$AO$1019,MATCH($C32,AR!$E$4:$E$1019,0))="","",INDEX(AR!$AO$4:$AO$1019,MATCH($C32,AR!$E$4:$E$1019,0))),"")))))))</f>
        <v/>
      </c>
      <c r="I32" s="459" t="str">
        <f>IF(ISNA(MATCH($C32,AR!$E$4:$E$1019,0)),"",
IF($E32=0,IF(INDEX(AR!$Q$4:$Q$1019,MATCH($C32,AR!$E$4:$E$1019,0))="","",INDEX(AR!$Q$4:$Q$1019,MATCH($C32,AR!$E$4:$E$1019,0))),
IF($E32=1,IF(INDEX(AR!$V$4:$V$1019,MATCH($C32,AR!$E$4:$E$1019,0))="","",INDEX(AR!$V$4:$V$1019,MATCH($C32,AR!$E$4:$E$1019,0))),
IF($E32=2,IF(INDEX(AR!$AA$4:$AA$1019,MATCH($C32,AR!$E$4:$E$1019,0))="","",INDEX(AR!$AA$4:$AA$1019,MATCH($C32,AR!$E$4:$E$1019,0))),
IF($E32=3,IF(INDEX(AR!$AF$4:$AF$1019,MATCH($C32,AR!$E$4:$E$1019,0))="","",INDEX(AR!$AF$4:$AF$1019,MATCH($C32,AR!$E$4:$E$1019,0))),
IF($E32=4,IF(INDEX(AR!$AK$4:$AK$1019,MATCH($C32,AR!$E$4:$E$1019,0))="","",INDEX(AR!$AK$4:$AK$1019,MATCH($C32,AR!$E$4:$E$1019,0))),
IF($E32=5,IF(INDEX(AR!$AP$4:$AP$1019,MATCH($C32,AR!$E$4:$E$1019,0))="","",INDEX(AR!$AP$4:$AP$1019,MATCH($C32,AR!$E$4:$E$1019,0))),"")))))))</f>
        <v/>
      </c>
      <c r="J32" s="459" t="str">
        <f>IF(ISNA(MATCH($C32,AR!$E$4:$E$1019,0)),"",
IF($E32=0,IF(INDEX(AR!$R$4:$R$1019,MATCH($C32,AR!$E$4:$E$1019,0))="","",INDEX(AR!$R$4:$R$1019,MATCH($C32,AR!$E$4:$E$1019,0))),
IF($E32=1,IF(INDEX(AR!$W$4:$W$1019,MATCH($C32,AR!$E$4:$E$1019,0))="","",INDEX(AR!$W$4:$W$1019,MATCH($C32,AR!$E$4:$E$1019,0))),
IF($E32=2,IF(INDEX(AR!$AB$4:$AB$1019,MATCH($C32,AR!$E$4:$E$1019,0))="","",INDEX(AR!$AB$4:$AB$1019,MATCH($C32,AR!$E$4:$E$1019,0))),
IF($E32=3,IF(INDEX(AR!$AG$4:$AG$1019,MATCH($C32,AR!$E$4:$E$1019,0))="","",INDEX(AR!$AG$4:$AG$1019,MATCH($C32,AR!$E$4:$E$1019,0))),
IF($E32=4,IF(INDEX(AR!$AL$4:$AL$1019,MATCH($C32,AR!$E$4:$E$1019,0))="","",INDEX(AR!$AL$4:$AL$1019,MATCH($C32,AR!$E$4:$E$1019,0))),
IF($E32=5,IF(INDEX(AR!$AQ$4:$AQ$1019,MATCH($C32,AR!$E$4:$E$1019,0))="","",INDEX(AR!$AQ$4:$AQ$1019,MATCH($C32,AR!$E$4:$E$1019,0))),"")))))))</f>
        <v/>
      </c>
      <c r="K32" s="459">
        <f>AR!J31</f>
        <v>0</v>
      </c>
      <c r="L32" s="460" t="e" cm="1">
        <f t="array" aca="1" ref="L32" ca="1">_xlfn.IFS(AND($E32&lt;&gt;"",$M32="Pending",$K32="CTA"),TODAY()-$G32,AND($E32&lt;&gt;"",$M32="Pending",$K32="AUR"),TODAY()-$H32,AND($E32&lt;&gt;"",$M32="Pending",$K32="STT"),TODAY()-$I32,OR(K32="Closed",K32=""),"")</f>
        <v>#N/A</v>
      </c>
      <c r="M32" s="461">
        <f>VLOOKUP(C32,AR!$E$4:$AC$512,7,0)</f>
        <v>0</v>
      </c>
      <c r="N32" s="651" t="str">
        <f t="shared" si="1"/>
        <v/>
      </c>
      <c r="O32" s="739" t="str">
        <f>AR!M31</f>
        <v>GC</v>
      </c>
      <c r="P32" s="746" t="str">
        <v>NO</v>
      </c>
    </row>
    <row r="33" spans="1:16" s="385" customFormat="1" ht="27" hidden="1" customHeight="1">
      <c r="A33" s="399">
        <v>29</v>
      </c>
      <c r="B33" s="455" t="s">
        <v>19</v>
      </c>
      <c r="C33" s="454" t="s">
        <v>168</v>
      </c>
      <c r="D33" s="456" t="str">
        <f>_xlfn.XLOOKUP(C33,AR!$E$4:$E$56,AR!$D$4:$D$56)</f>
        <v>Level 4 - Wall Setting-out</v>
      </c>
      <c r="E33" s="454" t="str">
        <f>IF(VLOOKUP(C33,AR!$E$4:$AC$512,5,0)="","",VLOOKUP(C33,AR!$E$4:$AC$1011,5,0))</f>
        <v/>
      </c>
      <c r="F33" s="457"/>
      <c r="G33" s="458" t="str">
        <f>IF(VLOOKUP(C33,AR!$E$4:$AC$512,3,0)="","",VLOOKUP(C33,AR!$E$4:$AC$512,3,0))</f>
        <v/>
      </c>
      <c r="H33" s="459" t="str">
        <f>IF(ISNA(MATCH($C33,AR!$E$4:$E$1019,0)),"",
IF($E33=0,IF(INDEX(AR!$P$4:$P$1019,MATCH($C33,AR!$E$4:$E$1019,0))="","",INDEX(AR!$P$4:$P$1019,MATCH($C33,AR!$E$4:$E$1019,0))),
IF($E33=1,IF(INDEX(AR!$U$4:$U$1019,MATCH($C33,AR!$E$4:$E$1019,0))="","",INDEX(AR!$U$4:$U$1019,MATCH($C33,AR!$E$4:$E$1019,0))),
IF($E33=2,IF(INDEX(AR!$Z$4:$Z$1019,MATCH($C33,AR!$E$4:$E$1019,0))="","",INDEX(AR!$Z$4:$Z$1019,MATCH($C33,AR!$E$4:$E$1019,0))),
IF($E33=3,IF(INDEX(AR!$AE$4:$AE$1019,MATCH($C33,AR!$E$4:$E$1019,0))="","",INDEX(AR!$AE$4:$AE$1019,MATCH($C33,AR!$E$4:$E$1019,0))),
IF($E33=4,IF(INDEX(AR!$AJ$4:$AJ$1019,MATCH($C33,AR!$E$4:$E$1019,0))="","",INDEX(AR!$AJ$4:$AJ$1019,MATCH($C33,AR!$E$4:$E$1019,0))),
IF($E33=5,IF(INDEX(AR!$AO$4:$AO$1019,MATCH($C33,AR!$E$4:$E$1019,0))="","",INDEX(AR!$AO$4:$AO$1019,MATCH($C33,AR!$E$4:$E$1019,0))),"")))))))</f>
        <v/>
      </c>
      <c r="I33" s="459" t="str">
        <f>IF(ISNA(MATCH($C33,AR!$E$4:$E$1019,0)),"",
IF($E33=0,IF(INDEX(AR!$Q$4:$Q$1019,MATCH($C33,AR!$E$4:$E$1019,0))="","",INDEX(AR!$Q$4:$Q$1019,MATCH($C33,AR!$E$4:$E$1019,0))),
IF($E33=1,IF(INDEX(AR!$V$4:$V$1019,MATCH($C33,AR!$E$4:$E$1019,0))="","",INDEX(AR!$V$4:$V$1019,MATCH($C33,AR!$E$4:$E$1019,0))),
IF($E33=2,IF(INDEX(AR!$AA$4:$AA$1019,MATCH($C33,AR!$E$4:$E$1019,0))="","",INDEX(AR!$AA$4:$AA$1019,MATCH($C33,AR!$E$4:$E$1019,0))),
IF($E33=3,IF(INDEX(AR!$AF$4:$AF$1019,MATCH($C33,AR!$E$4:$E$1019,0))="","",INDEX(AR!$AF$4:$AF$1019,MATCH($C33,AR!$E$4:$E$1019,0))),
IF($E33=4,IF(INDEX(AR!$AK$4:$AK$1019,MATCH($C33,AR!$E$4:$E$1019,0))="","",INDEX(AR!$AK$4:$AK$1019,MATCH($C33,AR!$E$4:$E$1019,0))),
IF($E33=5,IF(INDEX(AR!$AP$4:$AP$1019,MATCH($C33,AR!$E$4:$E$1019,0))="","",INDEX(AR!$AP$4:$AP$1019,MATCH($C33,AR!$E$4:$E$1019,0))),"")))))))</f>
        <v/>
      </c>
      <c r="J33" s="459" t="str">
        <f>IF(ISNA(MATCH($C33,AR!$E$4:$E$1019,0)),"",
IF($E33=0,IF(INDEX(AR!$R$4:$R$1019,MATCH($C33,AR!$E$4:$E$1019,0))="","",INDEX(AR!$R$4:$R$1019,MATCH($C33,AR!$E$4:$E$1019,0))),
IF($E33=1,IF(INDEX(AR!$W$4:$W$1019,MATCH($C33,AR!$E$4:$E$1019,0))="","",INDEX(AR!$W$4:$W$1019,MATCH($C33,AR!$E$4:$E$1019,0))),
IF($E33=2,IF(INDEX(AR!$AB$4:$AB$1019,MATCH($C33,AR!$E$4:$E$1019,0))="","",INDEX(AR!$AB$4:$AB$1019,MATCH($C33,AR!$E$4:$E$1019,0))),
IF($E33=3,IF(INDEX(AR!$AG$4:$AG$1019,MATCH($C33,AR!$E$4:$E$1019,0))="","",INDEX(AR!$AG$4:$AG$1019,MATCH($C33,AR!$E$4:$E$1019,0))),
IF($E33=4,IF(INDEX(AR!$AL$4:$AL$1019,MATCH($C33,AR!$E$4:$E$1019,0))="","",INDEX(AR!$AL$4:$AL$1019,MATCH($C33,AR!$E$4:$E$1019,0))),
IF($E33=5,IF(INDEX(AR!$AQ$4:$AQ$1019,MATCH($C33,AR!$E$4:$E$1019,0))="","",INDEX(AR!$AQ$4:$AQ$1019,MATCH($C33,AR!$E$4:$E$1019,0))),"")))))))</f>
        <v/>
      </c>
      <c r="K33" s="459">
        <f>AR!J32</f>
        <v>0</v>
      </c>
      <c r="L33" s="460" t="e" cm="1">
        <f t="array" aca="1" ref="L33" ca="1">_xlfn.IFS(AND($E33&lt;&gt;"",$M33="Pending",$K33="CTA"),TODAY()-$G33,AND($E33&lt;&gt;"",$M33="Pending",$K33="AUR"),TODAY()-$H33,AND($E33&lt;&gt;"",$M33="Pending",$K33="STT"),TODAY()-$I33,OR(K33="Closed",K33=""),"")</f>
        <v>#N/A</v>
      </c>
      <c r="M33" s="461">
        <f>VLOOKUP(C33,AR!$E$4:$AC$512,7,0)</f>
        <v>0</v>
      </c>
      <c r="N33" s="651" t="str">
        <f t="shared" si="1"/>
        <v/>
      </c>
      <c r="O33" s="739" t="str">
        <f>AR!M32</f>
        <v>GC</v>
      </c>
      <c r="P33" s="746" t="str">
        <v>NO</v>
      </c>
    </row>
    <row r="34" spans="1:16" s="385" customFormat="1" ht="27" hidden="1" customHeight="1">
      <c r="A34" s="399">
        <v>30</v>
      </c>
      <c r="B34" s="455" t="s">
        <v>19</v>
      </c>
      <c r="C34" s="454" t="s">
        <v>171</v>
      </c>
      <c r="D34" s="456" t="str">
        <f>_xlfn.XLOOKUP(C34,AR!$E$4:$E$56,AR!$D$4:$D$56)</f>
        <v>Level 4 - Block Wall Layout &amp; Details</v>
      </c>
      <c r="E34" s="454" t="str">
        <f>IF(VLOOKUP(C34,AR!$E$4:$AC$512,5,0)="","",VLOOKUP(C34,AR!$E$4:$AC$1011,5,0))</f>
        <v/>
      </c>
      <c r="F34" s="457"/>
      <c r="G34" s="458" t="str">
        <f>IF(VLOOKUP(C34,AR!$E$4:$AC$512,3,0)="","",VLOOKUP(C34,AR!$E$4:$AC$512,3,0))</f>
        <v/>
      </c>
      <c r="H34" s="459" t="str">
        <f>IF(ISNA(MATCH($C34,AR!$E$4:$E$1019,0)),"",
IF($E34=0,IF(INDEX(AR!$P$4:$P$1019,MATCH($C34,AR!$E$4:$E$1019,0))="","",INDEX(AR!$P$4:$P$1019,MATCH($C34,AR!$E$4:$E$1019,0))),
IF($E34=1,IF(INDEX(AR!$U$4:$U$1019,MATCH($C34,AR!$E$4:$E$1019,0))="","",INDEX(AR!$U$4:$U$1019,MATCH($C34,AR!$E$4:$E$1019,0))),
IF($E34=2,IF(INDEX(AR!$Z$4:$Z$1019,MATCH($C34,AR!$E$4:$E$1019,0))="","",INDEX(AR!$Z$4:$Z$1019,MATCH($C34,AR!$E$4:$E$1019,0))),
IF($E34=3,IF(INDEX(AR!$AE$4:$AE$1019,MATCH($C34,AR!$E$4:$E$1019,0))="","",INDEX(AR!$AE$4:$AE$1019,MATCH($C34,AR!$E$4:$E$1019,0))),
IF($E34=4,IF(INDEX(AR!$AJ$4:$AJ$1019,MATCH($C34,AR!$E$4:$E$1019,0))="","",INDEX(AR!$AJ$4:$AJ$1019,MATCH($C34,AR!$E$4:$E$1019,0))),
IF($E34=5,IF(INDEX(AR!$AO$4:$AO$1019,MATCH($C34,AR!$E$4:$E$1019,0))="","",INDEX(AR!$AO$4:$AO$1019,MATCH($C34,AR!$E$4:$E$1019,0))),"")))))))</f>
        <v/>
      </c>
      <c r="I34" s="459" t="str">
        <f>IF(ISNA(MATCH($C34,AR!$E$4:$E$1019,0)),"",
IF($E34=0,IF(INDEX(AR!$Q$4:$Q$1019,MATCH($C34,AR!$E$4:$E$1019,0))="","",INDEX(AR!$Q$4:$Q$1019,MATCH($C34,AR!$E$4:$E$1019,0))),
IF($E34=1,IF(INDEX(AR!$V$4:$V$1019,MATCH($C34,AR!$E$4:$E$1019,0))="","",INDEX(AR!$V$4:$V$1019,MATCH($C34,AR!$E$4:$E$1019,0))),
IF($E34=2,IF(INDEX(AR!$AA$4:$AA$1019,MATCH($C34,AR!$E$4:$E$1019,0))="","",INDEX(AR!$AA$4:$AA$1019,MATCH($C34,AR!$E$4:$E$1019,0))),
IF($E34=3,IF(INDEX(AR!$AF$4:$AF$1019,MATCH($C34,AR!$E$4:$E$1019,0))="","",INDEX(AR!$AF$4:$AF$1019,MATCH($C34,AR!$E$4:$E$1019,0))),
IF($E34=4,IF(INDEX(AR!$AK$4:$AK$1019,MATCH($C34,AR!$E$4:$E$1019,0))="","",INDEX(AR!$AK$4:$AK$1019,MATCH($C34,AR!$E$4:$E$1019,0))),
IF($E34=5,IF(INDEX(AR!$AP$4:$AP$1019,MATCH($C34,AR!$E$4:$E$1019,0))="","",INDEX(AR!$AP$4:$AP$1019,MATCH($C34,AR!$E$4:$E$1019,0))),"")))))))</f>
        <v/>
      </c>
      <c r="J34" s="459" t="str">
        <f>IF(ISNA(MATCH($C34,AR!$E$4:$E$1019,0)),"",
IF($E34=0,IF(INDEX(AR!$R$4:$R$1019,MATCH($C34,AR!$E$4:$E$1019,0))="","",INDEX(AR!$R$4:$R$1019,MATCH($C34,AR!$E$4:$E$1019,0))),
IF($E34=1,IF(INDEX(AR!$W$4:$W$1019,MATCH($C34,AR!$E$4:$E$1019,0))="","",INDEX(AR!$W$4:$W$1019,MATCH($C34,AR!$E$4:$E$1019,0))),
IF($E34=2,IF(INDEX(AR!$AB$4:$AB$1019,MATCH($C34,AR!$E$4:$E$1019,0))="","",INDEX(AR!$AB$4:$AB$1019,MATCH($C34,AR!$E$4:$E$1019,0))),
IF($E34=3,IF(INDEX(AR!$AG$4:$AG$1019,MATCH($C34,AR!$E$4:$E$1019,0))="","",INDEX(AR!$AG$4:$AG$1019,MATCH($C34,AR!$E$4:$E$1019,0))),
IF($E34=4,IF(INDEX(AR!$AL$4:$AL$1019,MATCH($C34,AR!$E$4:$E$1019,0))="","",INDEX(AR!$AL$4:$AL$1019,MATCH($C34,AR!$E$4:$E$1019,0))),
IF($E34=5,IF(INDEX(AR!$AQ$4:$AQ$1019,MATCH($C34,AR!$E$4:$E$1019,0))="","",INDEX(AR!$AQ$4:$AQ$1019,MATCH($C34,AR!$E$4:$E$1019,0))),"")))))))</f>
        <v/>
      </c>
      <c r="K34" s="459">
        <f>AR!J33</f>
        <v>0</v>
      </c>
      <c r="L34" s="460" t="e" cm="1">
        <f t="array" aca="1" ref="L34" ca="1">_xlfn.IFS(AND($E34&lt;&gt;"",$M34="Pending",$K34="CTA"),TODAY()-$G34,AND($E34&lt;&gt;"",$M34="Pending",$K34="AUR"),TODAY()-$H34,AND($E34&lt;&gt;"",$M34="Pending",$K34="STT"),TODAY()-$I34,OR(K34="Closed",K34=""),"")</f>
        <v>#N/A</v>
      </c>
      <c r="M34" s="461">
        <f>VLOOKUP(C34,AR!$E$4:$AC$512,7,0)</f>
        <v>0</v>
      </c>
      <c r="N34" s="651" t="str">
        <f t="shared" si="1"/>
        <v/>
      </c>
      <c r="O34" s="739" t="str">
        <f>AR!M33</f>
        <v>GC</v>
      </c>
      <c r="P34" s="746" t="str">
        <v>NO</v>
      </c>
    </row>
    <row r="35" spans="1:16" s="385" customFormat="1" ht="27" hidden="1" customHeight="1">
      <c r="A35" s="399">
        <v>31</v>
      </c>
      <c r="B35" s="455" t="s">
        <v>19</v>
      </c>
      <c r="C35" s="454" t="s">
        <v>174</v>
      </c>
      <c r="D35" s="456" t="str">
        <f>_xlfn.XLOOKUP(C35,AR!$E$4:$E$56,AR!$D$4:$D$56)</f>
        <v>Level 5 - Bund Wall Setting-out &amp; Details</v>
      </c>
      <c r="E35" s="454" t="str">
        <f>IF(VLOOKUP(C35,AR!$E$4:$AC$512,5,0)="","",VLOOKUP(C35,AR!$E$4:$AC$1011,5,0))</f>
        <v/>
      </c>
      <c r="F35" s="457"/>
      <c r="G35" s="458" t="str">
        <f>IF(VLOOKUP(C35,AR!$E$4:$AC$512,3,0)="","",VLOOKUP(C35,AR!$E$4:$AC$512,3,0))</f>
        <v/>
      </c>
      <c r="H35" s="459" t="str">
        <f>IF(ISNA(MATCH($C35,AR!$E$4:$E$1019,0)),"",
IF($E35=0,IF(INDEX(AR!$P$4:$P$1019,MATCH($C35,AR!$E$4:$E$1019,0))="","",INDEX(AR!$P$4:$P$1019,MATCH($C35,AR!$E$4:$E$1019,0))),
IF($E35=1,IF(INDEX(AR!$U$4:$U$1019,MATCH($C35,AR!$E$4:$E$1019,0))="","",INDEX(AR!$U$4:$U$1019,MATCH($C35,AR!$E$4:$E$1019,0))),
IF($E35=2,IF(INDEX(AR!$Z$4:$Z$1019,MATCH($C35,AR!$E$4:$E$1019,0))="","",INDEX(AR!$Z$4:$Z$1019,MATCH($C35,AR!$E$4:$E$1019,0))),
IF($E35=3,IF(INDEX(AR!$AE$4:$AE$1019,MATCH($C35,AR!$E$4:$E$1019,0))="","",INDEX(AR!$AE$4:$AE$1019,MATCH($C35,AR!$E$4:$E$1019,0))),
IF($E35=4,IF(INDEX(AR!$AJ$4:$AJ$1019,MATCH($C35,AR!$E$4:$E$1019,0))="","",INDEX(AR!$AJ$4:$AJ$1019,MATCH($C35,AR!$E$4:$E$1019,0))),
IF($E35=5,IF(INDEX(AR!$AO$4:$AO$1019,MATCH($C35,AR!$E$4:$E$1019,0))="","",INDEX(AR!$AO$4:$AO$1019,MATCH($C35,AR!$E$4:$E$1019,0))),"")))))))</f>
        <v/>
      </c>
      <c r="I35" s="459" t="str">
        <f>IF(ISNA(MATCH($C35,AR!$E$4:$E$1019,0)),"",
IF($E35=0,IF(INDEX(AR!$Q$4:$Q$1019,MATCH($C35,AR!$E$4:$E$1019,0))="","",INDEX(AR!$Q$4:$Q$1019,MATCH($C35,AR!$E$4:$E$1019,0))),
IF($E35=1,IF(INDEX(AR!$V$4:$V$1019,MATCH($C35,AR!$E$4:$E$1019,0))="","",INDEX(AR!$V$4:$V$1019,MATCH($C35,AR!$E$4:$E$1019,0))),
IF($E35=2,IF(INDEX(AR!$AA$4:$AA$1019,MATCH($C35,AR!$E$4:$E$1019,0))="","",INDEX(AR!$AA$4:$AA$1019,MATCH($C35,AR!$E$4:$E$1019,0))),
IF($E35=3,IF(INDEX(AR!$AF$4:$AF$1019,MATCH($C35,AR!$E$4:$E$1019,0))="","",INDEX(AR!$AF$4:$AF$1019,MATCH($C35,AR!$E$4:$E$1019,0))),
IF($E35=4,IF(INDEX(AR!$AK$4:$AK$1019,MATCH($C35,AR!$E$4:$E$1019,0))="","",INDEX(AR!$AK$4:$AK$1019,MATCH($C35,AR!$E$4:$E$1019,0))),
IF($E35=5,IF(INDEX(AR!$AP$4:$AP$1019,MATCH($C35,AR!$E$4:$E$1019,0))="","",INDEX(AR!$AP$4:$AP$1019,MATCH($C35,AR!$E$4:$E$1019,0))),"")))))))</f>
        <v/>
      </c>
      <c r="J35" s="459" t="str">
        <f>IF(ISNA(MATCH($C35,AR!$E$4:$E$1019,0)),"",
IF($E35=0,IF(INDEX(AR!$R$4:$R$1019,MATCH($C35,AR!$E$4:$E$1019,0))="","",INDEX(AR!$R$4:$R$1019,MATCH($C35,AR!$E$4:$E$1019,0))),
IF($E35=1,IF(INDEX(AR!$W$4:$W$1019,MATCH($C35,AR!$E$4:$E$1019,0))="","",INDEX(AR!$W$4:$W$1019,MATCH($C35,AR!$E$4:$E$1019,0))),
IF($E35=2,IF(INDEX(AR!$AB$4:$AB$1019,MATCH($C35,AR!$E$4:$E$1019,0))="","",INDEX(AR!$AB$4:$AB$1019,MATCH($C35,AR!$E$4:$E$1019,0))),
IF($E35=3,IF(INDEX(AR!$AG$4:$AG$1019,MATCH($C35,AR!$E$4:$E$1019,0))="","",INDEX(AR!$AG$4:$AG$1019,MATCH($C35,AR!$E$4:$E$1019,0))),
IF($E35=4,IF(INDEX(AR!$AL$4:$AL$1019,MATCH($C35,AR!$E$4:$E$1019,0))="","",INDEX(AR!$AL$4:$AL$1019,MATCH($C35,AR!$E$4:$E$1019,0))),
IF($E35=5,IF(INDEX(AR!$AQ$4:$AQ$1019,MATCH($C35,AR!$E$4:$E$1019,0))="","",INDEX(AR!$AQ$4:$AQ$1019,MATCH($C35,AR!$E$4:$E$1019,0))),"")))))))</f>
        <v/>
      </c>
      <c r="K35" s="459">
        <f>AR!J34</f>
        <v>0</v>
      </c>
      <c r="L35" s="460" t="e" cm="1">
        <f t="array" aca="1" ref="L35" ca="1">_xlfn.IFS(AND($E35&lt;&gt;"",$M35="Pending",$K35="CTA"),TODAY()-$G35,AND($E35&lt;&gt;"",$M35="Pending",$K35="AUR"),TODAY()-$H35,AND($E35&lt;&gt;"",$M35="Pending",$K35="STT"),TODAY()-$I35,OR(K35="Closed",K35=""),"")</f>
        <v>#N/A</v>
      </c>
      <c r="M35" s="461">
        <f>VLOOKUP(C35,AR!$E$4:$AC$512,7,0)</f>
        <v>0</v>
      </c>
      <c r="N35" s="651" t="str">
        <f t="shared" si="1"/>
        <v/>
      </c>
      <c r="O35" s="739" t="str">
        <f>AR!M34</f>
        <v>GC</v>
      </c>
      <c r="P35" s="746" t="str">
        <v>NO</v>
      </c>
    </row>
    <row r="36" spans="1:16" s="385" customFormat="1" ht="27" hidden="1" customHeight="1">
      <c r="A36" s="399">
        <v>32</v>
      </c>
      <c r="B36" s="455" t="s">
        <v>19</v>
      </c>
      <c r="C36" s="454" t="s">
        <v>177</v>
      </c>
      <c r="D36" s="456" t="str">
        <f>_xlfn.XLOOKUP(C36,AR!$E$4:$E$56,AR!$D$4:$D$56)</f>
        <v>Level 5 - Wall Finishes &amp; Details</v>
      </c>
      <c r="E36" s="454" t="str">
        <f>IF(VLOOKUP(C36,AR!$E$4:$AC$512,5,0)="","",VLOOKUP(C36,AR!$E$4:$AC$1011,5,0))</f>
        <v/>
      </c>
      <c r="F36" s="457"/>
      <c r="G36" s="458" t="str">
        <f>IF(VLOOKUP(C36,AR!$E$4:$AC$512,3,0)="","",VLOOKUP(C36,AR!$E$4:$AC$512,3,0))</f>
        <v/>
      </c>
      <c r="H36" s="459" t="str">
        <f>IF(ISNA(MATCH($C36,AR!$E$4:$E$1019,0)),"",
IF($E36=0,IF(INDEX(AR!$P$4:$P$1019,MATCH($C36,AR!$E$4:$E$1019,0))="","",INDEX(AR!$P$4:$P$1019,MATCH($C36,AR!$E$4:$E$1019,0))),
IF($E36=1,IF(INDEX(AR!$U$4:$U$1019,MATCH($C36,AR!$E$4:$E$1019,0))="","",INDEX(AR!$U$4:$U$1019,MATCH($C36,AR!$E$4:$E$1019,0))),
IF($E36=2,IF(INDEX(AR!$Z$4:$Z$1019,MATCH($C36,AR!$E$4:$E$1019,0))="","",INDEX(AR!$Z$4:$Z$1019,MATCH($C36,AR!$E$4:$E$1019,0))),
IF($E36=3,IF(INDEX(AR!$AE$4:$AE$1019,MATCH($C36,AR!$E$4:$E$1019,0))="","",INDEX(AR!$AE$4:$AE$1019,MATCH($C36,AR!$E$4:$E$1019,0))),
IF($E36=4,IF(INDEX(AR!$AJ$4:$AJ$1019,MATCH($C36,AR!$E$4:$E$1019,0))="","",INDEX(AR!$AJ$4:$AJ$1019,MATCH($C36,AR!$E$4:$E$1019,0))),
IF($E36=5,IF(INDEX(AR!$AO$4:$AO$1019,MATCH($C36,AR!$E$4:$E$1019,0))="","",INDEX(AR!$AO$4:$AO$1019,MATCH($C36,AR!$E$4:$E$1019,0))),"")))))))</f>
        <v/>
      </c>
      <c r="I36" s="459" t="str">
        <f>IF(ISNA(MATCH($C36,AR!$E$4:$E$1019,0)),"",
IF($E36=0,IF(INDEX(AR!$Q$4:$Q$1019,MATCH($C36,AR!$E$4:$E$1019,0))="","",INDEX(AR!$Q$4:$Q$1019,MATCH($C36,AR!$E$4:$E$1019,0))),
IF($E36=1,IF(INDEX(AR!$V$4:$V$1019,MATCH($C36,AR!$E$4:$E$1019,0))="","",INDEX(AR!$V$4:$V$1019,MATCH($C36,AR!$E$4:$E$1019,0))),
IF($E36=2,IF(INDEX(AR!$AA$4:$AA$1019,MATCH($C36,AR!$E$4:$E$1019,0))="","",INDEX(AR!$AA$4:$AA$1019,MATCH($C36,AR!$E$4:$E$1019,0))),
IF($E36=3,IF(INDEX(AR!$AF$4:$AF$1019,MATCH($C36,AR!$E$4:$E$1019,0))="","",INDEX(AR!$AF$4:$AF$1019,MATCH($C36,AR!$E$4:$E$1019,0))),
IF($E36=4,IF(INDEX(AR!$AK$4:$AK$1019,MATCH($C36,AR!$E$4:$E$1019,0))="","",INDEX(AR!$AK$4:$AK$1019,MATCH($C36,AR!$E$4:$E$1019,0))),
IF($E36=5,IF(INDEX(AR!$AP$4:$AP$1019,MATCH($C36,AR!$E$4:$E$1019,0))="","",INDEX(AR!$AP$4:$AP$1019,MATCH($C36,AR!$E$4:$E$1019,0))),"")))))))</f>
        <v/>
      </c>
      <c r="J36" s="459" t="str">
        <f>IF(ISNA(MATCH($C36,AR!$E$4:$E$1019,0)),"",
IF($E36=0,IF(INDEX(AR!$R$4:$R$1019,MATCH($C36,AR!$E$4:$E$1019,0))="","",INDEX(AR!$R$4:$R$1019,MATCH($C36,AR!$E$4:$E$1019,0))),
IF($E36=1,IF(INDEX(AR!$W$4:$W$1019,MATCH($C36,AR!$E$4:$E$1019,0))="","",INDEX(AR!$W$4:$W$1019,MATCH($C36,AR!$E$4:$E$1019,0))),
IF($E36=2,IF(INDEX(AR!$AB$4:$AB$1019,MATCH($C36,AR!$E$4:$E$1019,0))="","",INDEX(AR!$AB$4:$AB$1019,MATCH($C36,AR!$E$4:$E$1019,0))),
IF($E36=3,IF(INDEX(AR!$AG$4:$AG$1019,MATCH($C36,AR!$E$4:$E$1019,0))="","",INDEX(AR!$AG$4:$AG$1019,MATCH($C36,AR!$E$4:$E$1019,0))),
IF($E36=4,IF(INDEX(AR!$AL$4:$AL$1019,MATCH($C36,AR!$E$4:$E$1019,0))="","",INDEX(AR!$AL$4:$AL$1019,MATCH($C36,AR!$E$4:$E$1019,0))),
IF($E36=5,IF(INDEX(AR!$AQ$4:$AQ$1019,MATCH($C36,AR!$E$4:$E$1019,0))="","",INDEX(AR!$AQ$4:$AQ$1019,MATCH($C36,AR!$E$4:$E$1019,0))),"")))))))</f>
        <v/>
      </c>
      <c r="K36" s="459">
        <f>AR!J35</f>
        <v>0</v>
      </c>
      <c r="L36" s="460" t="e" cm="1">
        <f t="array" aca="1" ref="L36" ca="1">_xlfn.IFS(AND($E36&lt;&gt;"",$M36="Pending",$K36="CTA"),TODAY()-$G36,AND($E36&lt;&gt;"",$M36="Pending",$K36="AUR"),TODAY()-$H36,AND($E36&lt;&gt;"",$M36="Pending",$K36="STT"),TODAY()-$I36,OR(K36="Closed",K36=""),"")</f>
        <v>#N/A</v>
      </c>
      <c r="M36" s="461">
        <f>VLOOKUP(C36,AR!$E$4:$AC$512,7,0)</f>
        <v>0</v>
      </c>
      <c r="N36" s="651" t="str">
        <f t="shared" si="1"/>
        <v/>
      </c>
      <c r="O36" s="739" t="str">
        <f>AR!M35</f>
        <v>GC</v>
      </c>
      <c r="P36" s="746" t="str">
        <v>NO</v>
      </c>
    </row>
    <row r="37" spans="1:16" s="385" customFormat="1" ht="27" hidden="1" customHeight="1">
      <c r="A37" s="399">
        <v>33</v>
      </c>
      <c r="B37" s="455" t="s">
        <v>19</v>
      </c>
      <c r="C37" s="454" t="s">
        <v>180</v>
      </c>
      <c r="D37" s="456" t="str">
        <f>_xlfn.XLOOKUP(C37,AR!$E$4:$E$56,AR!$D$4:$D$56)</f>
        <v>Level 5 - Wall Setting-out</v>
      </c>
      <c r="E37" s="454" t="str">
        <f>IF(VLOOKUP(C37,AR!$E$4:$AC$512,5,0)="","",VLOOKUP(C37,AR!$E$4:$AC$1011,5,0))</f>
        <v/>
      </c>
      <c r="F37" s="457"/>
      <c r="G37" s="458" t="str">
        <f>IF(VLOOKUP(C37,AR!$E$4:$AC$512,3,0)="","",VLOOKUP(C37,AR!$E$4:$AC$512,3,0))</f>
        <v/>
      </c>
      <c r="H37" s="459" t="str">
        <f>IF(ISNA(MATCH($C37,AR!$E$4:$E$1019,0)),"",
IF($E37=0,IF(INDEX(AR!$P$4:$P$1019,MATCH($C37,AR!$E$4:$E$1019,0))="","",INDEX(AR!$P$4:$P$1019,MATCH($C37,AR!$E$4:$E$1019,0))),
IF($E37=1,IF(INDEX(AR!$U$4:$U$1019,MATCH($C37,AR!$E$4:$E$1019,0))="","",INDEX(AR!$U$4:$U$1019,MATCH($C37,AR!$E$4:$E$1019,0))),
IF($E37=2,IF(INDEX(AR!$Z$4:$Z$1019,MATCH($C37,AR!$E$4:$E$1019,0))="","",INDEX(AR!$Z$4:$Z$1019,MATCH($C37,AR!$E$4:$E$1019,0))),
IF($E37=3,IF(INDEX(AR!$AE$4:$AE$1019,MATCH($C37,AR!$E$4:$E$1019,0))="","",INDEX(AR!$AE$4:$AE$1019,MATCH($C37,AR!$E$4:$E$1019,0))),
IF($E37=4,IF(INDEX(AR!$AJ$4:$AJ$1019,MATCH($C37,AR!$E$4:$E$1019,0))="","",INDEX(AR!$AJ$4:$AJ$1019,MATCH($C37,AR!$E$4:$E$1019,0))),
IF($E37=5,IF(INDEX(AR!$AO$4:$AO$1019,MATCH($C37,AR!$E$4:$E$1019,0))="","",INDEX(AR!$AO$4:$AO$1019,MATCH($C37,AR!$E$4:$E$1019,0))),"")))))))</f>
        <v/>
      </c>
      <c r="I37" s="459" t="str">
        <f>IF(ISNA(MATCH($C37,AR!$E$4:$E$1019,0)),"",
IF($E37=0,IF(INDEX(AR!$Q$4:$Q$1019,MATCH($C37,AR!$E$4:$E$1019,0))="","",INDEX(AR!$Q$4:$Q$1019,MATCH($C37,AR!$E$4:$E$1019,0))),
IF($E37=1,IF(INDEX(AR!$V$4:$V$1019,MATCH($C37,AR!$E$4:$E$1019,0))="","",INDEX(AR!$V$4:$V$1019,MATCH($C37,AR!$E$4:$E$1019,0))),
IF($E37=2,IF(INDEX(AR!$AA$4:$AA$1019,MATCH($C37,AR!$E$4:$E$1019,0))="","",INDEX(AR!$AA$4:$AA$1019,MATCH($C37,AR!$E$4:$E$1019,0))),
IF($E37=3,IF(INDEX(AR!$AF$4:$AF$1019,MATCH($C37,AR!$E$4:$E$1019,0))="","",INDEX(AR!$AF$4:$AF$1019,MATCH($C37,AR!$E$4:$E$1019,0))),
IF($E37=4,IF(INDEX(AR!$AK$4:$AK$1019,MATCH($C37,AR!$E$4:$E$1019,0))="","",INDEX(AR!$AK$4:$AK$1019,MATCH($C37,AR!$E$4:$E$1019,0))),
IF($E37=5,IF(INDEX(AR!$AP$4:$AP$1019,MATCH($C37,AR!$E$4:$E$1019,0))="","",INDEX(AR!$AP$4:$AP$1019,MATCH($C37,AR!$E$4:$E$1019,0))),"")))))))</f>
        <v/>
      </c>
      <c r="J37" s="459" t="str">
        <f>IF(ISNA(MATCH($C37,AR!$E$4:$E$1019,0)),"",
IF($E37=0,IF(INDEX(AR!$R$4:$R$1019,MATCH($C37,AR!$E$4:$E$1019,0))="","",INDEX(AR!$R$4:$R$1019,MATCH($C37,AR!$E$4:$E$1019,0))),
IF($E37=1,IF(INDEX(AR!$W$4:$W$1019,MATCH($C37,AR!$E$4:$E$1019,0))="","",INDEX(AR!$W$4:$W$1019,MATCH($C37,AR!$E$4:$E$1019,0))),
IF($E37=2,IF(INDEX(AR!$AB$4:$AB$1019,MATCH($C37,AR!$E$4:$E$1019,0))="","",INDEX(AR!$AB$4:$AB$1019,MATCH($C37,AR!$E$4:$E$1019,0))),
IF($E37=3,IF(INDEX(AR!$AG$4:$AG$1019,MATCH($C37,AR!$E$4:$E$1019,0))="","",INDEX(AR!$AG$4:$AG$1019,MATCH($C37,AR!$E$4:$E$1019,0))),
IF($E37=4,IF(INDEX(AR!$AL$4:$AL$1019,MATCH($C37,AR!$E$4:$E$1019,0))="","",INDEX(AR!$AL$4:$AL$1019,MATCH($C37,AR!$E$4:$E$1019,0))),
IF($E37=5,IF(INDEX(AR!$AQ$4:$AQ$1019,MATCH($C37,AR!$E$4:$E$1019,0))="","",INDEX(AR!$AQ$4:$AQ$1019,MATCH($C37,AR!$E$4:$E$1019,0))),"")))))))</f>
        <v/>
      </c>
      <c r="K37" s="459">
        <f>AR!J36</f>
        <v>0</v>
      </c>
      <c r="L37" s="460" t="e" cm="1">
        <f t="array" aca="1" ref="L37" ca="1">_xlfn.IFS(AND($E37&lt;&gt;"",$M37="Pending",$K37="CTA"),TODAY()-$G37,AND($E37&lt;&gt;"",$M37="Pending",$K37="AUR"),TODAY()-$H37,AND($E37&lt;&gt;"",$M37="Pending",$K37="STT"),TODAY()-$I37,OR(K37="Closed",K37=""),"")</f>
        <v>#N/A</v>
      </c>
      <c r="M37" s="461">
        <f>VLOOKUP(C37,AR!$E$4:$AC$512,7,0)</f>
        <v>0</v>
      </c>
      <c r="N37" s="651" t="str">
        <f t="shared" si="1"/>
        <v/>
      </c>
      <c r="O37" s="739" t="str">
        <f>AR!M36</f>
        <v>GC</v>
      </c>
      <c r="P37" s="746" t="str">
        <v>NO</v>
      </c>
    </row>
    <row r="38" spans="1:16" s="385" customFormat="1" ht="27" hidden="1" customHeight="1">
      <c r="A38" s="399">
        <v>34</v>
      </c>
      <c r="B38" s="455" t="s">
        <v>19</v>
      </c>
      <c r="C38" s="454" t="s">
        <v>183</v>
      </c>
      <c r="D38" s="456" t="str">
        <f>_xlfn.XLOOKUP(C38,AR!$E$4:$E$56,AR!$D$4:$D$56)</f>
        <v>Level 5 - Block Wall Layout &amp; Details</v>
      </c>
      <c r="E38" s="454" t="str">
        <f>IF(VLOOKUP(C38,AR!$E$4:$AC$512,5,0)="","",VLOOKUP(C38,AR!$E$4:$AC$1011,5,0))</f>
        <v/>
      </c>
      <c r="F38" s="457"/>
      <c r="G38" s="458" t="str">
        <f>IF(VLOOKUP(C38,AR!$E$4:$AC$512,3,0)="","",VLOOKUP(C38,AR!$E$4:$AC$512,3,0))</f>
        <v/>
      </c>
      <c r="H38" s="459" t="str">
        <f>IF(ISNA(MATCH($C38,AR!$E$4:$E$1019,0)),"",
IF($E38=0,IF(INDEX(AR!$P$4:$P$1019,MATCH($C38,AR!$E$4:$E$1019,0))="","",INDEX(AR!$P$4:$P$1019,MATCH($C38,AR!$E$4:$E$1019,0))),
IF($E38=1,IF(INDEX(AR!$U$4:$U$1019,MATCH($C38,AR!$E$4:$E$1019,0))="","",INDEX(AR!$U$4:$U$1019,MATCH($C38,AR!$E$4:$E$1019,0))),
IF($E38=2,IF(INDEX(AR!$Z$4:$Z$1019,MATCH($C38,AR!$E$4:$E$1019,0))="","",INDEX(AR!$Z$4:$Z$1019,MATCH($C38,AR!$E$4:$E$1019,0))),
IF($E38=3,IF(INDEX(AR!$AE$4:$AE$1019,MATCH($C38,AR!$E$4:$E$1019,0))="","",INDEX(AR!$AE$4:$AE$1019,MATCH($C38,AR!$E$4:$E$1019,0))),
IF($E38=4,IF(INDEX(AR!$AJ$4:$AJ$1019,MATCH($C38,AR!$E$4:$E$1019,0))="","",INDEX(AR!$AJ$4:$AJ$1019,MATCH($C38,AR!$E$4:$E$1019,0))),
IF($E38=5,IF(INDEX(AR!$AO$4:$AO$1019,MATCH($C38,AR!$E$4:$E$1019,0))="","",INDEX(AR!$AO$4:$AO$1019,MATCH($C38,AR!$E$4:$E$1019,0))),"")))))))</f>
        <v/>
      </c>
      <c r="I38" s="459" t="str">
        <f>IF(ISNA(MATCH($C38,AR!$E$4:$E$1019,0)),"",
IF($E38=0,IF(INDEX(AR!$Q$4:$Q$1019,MATCH($C38,AR!$E$4:$E$1019,0))="","",INDEX(AR!$Q$4:$Q$1019,MATCH($C38,AR!$E$4:$E$1019,0))),
IF($E38=1,IF(INDEX(AR!$V$4:$V$1019,MATCH($C38,AR!$E$4:$E$1019,0))="","",INDEX(AR!$V$4:$V$1019,MATCH($C38,AR!$E$4:$E$1019,0))),
IF($E38=2,IF(INDEX(AR!$AA$4:$AA$1019,MATCH($C38,AR!$E$4:$E$1019,0))="","",INDEX(AR!$AA$4:$AA$1019,MATCH($C38,AR!$E$4:$E$1019,0))),
IF($E38=3,IF(INDEX(AR!$AF$4:$AF$1019,MATCH($C38,AR!$E$4:$E$1019,0))="","",INDEX(AR!$AF$4:$AF$1019,MATCH($C38,AR!$E$4:$E$1019,0))),
IF($E38=4,IF(INDEX(AR!$AK$4:$AK$1019,MATCH($C38,AR!$E$4:$E$1019,0))="","",INDEX(AR!$AK$4:$AK$1019,MATCH($C38,AR!$E$4:$E$1019,0))),
IF($E38=5,IF(INDEX(AR!$AP$4:$AP$1019,MATCH($C38,AR!$E$4:$E$1019,0))="","",INDEX(AR!$AP$4:$AP$1019,MATCH($C38,AR!$E$4:$E$1019,0))),"")))))))</f>
        <v/>
      </c>
      <c r="J38" s="459" t="str">
        <f>IF(ISNA(MATCH($C38,AR!$E$4:$E$1019,0)),"",
IF($E38=0,IF(INDEX(AR!$R$4:$R$1019,MATCH($C38,AR!$E$4:$E$1019,0))="","",INDEX(AR!$R$4:$R$1019,MATCH($C38,AR!$E$4:$E$1019,0))),
IF($E38=1,IF(INDEX(AR!$W$4:$W$1019,MATCH($C38,AR!$E$4:$E$1019,0))="","",INDEX(AR!$W$4:$W$1019,MATCH($C38,AR!$E$4:$E$1019,0))),
IF($E38=2,IF(INDEX(AR!$AB$4:$AB$1019,MATCH($C38,AR!$E$4:$E$1019,0))="","",INDEX(AR!$AB$4:$AB$1019,MATCH($C38,AR!$E$4:$E$1019,0))),
IF($E38=3,IF(INDEX(AR!$AG$4:$AG$1019,MATCH($C38,AR!$E$4:$E$1019,0))="","",INDEX(AR!$AG$4:$AG$1019,MATCH($C38,AR!$E$4:$E$1019,0))),
IF($E38=4,IF(INDEX(AR!$AL$4:$AL$1019,MATCH($C38,AR!$E$4:$E$1019,0))="","",INDEX(AR!$AL$4:$AL$1019,MATCH($C38,AR!$E$4:$E$1019,0))),
IF($E38=5,IF(INDEX(AR!$AQ$4:$AQ$1019,MATCH($C38,AR!$E$4:$E$1019,0))="","",INDEX(AR!$AQ$4:$AQ$1019,MATCH($C38,AR!$E$4:$E$1019,0))),"")))))))</f>
        <v/>
      </c>
      <c r="K38" s="459">
        <f>AR!J37</f>
        <v>0</v>
      </c>
      <c r="L38" s="460" t="e" cm="1">
        <f t="array" aca="1" ref="L38" ca="1">_xlfn.IFS(AND($E38&lt;&gt;"",$M38="Pending",$K38="CTA"),TODAY()-$G38,AND($E38&lt;&gt;"",$M38="Pending",$K38="AUR"),TODAY()-$H38,AND($E38&lt;&gt;"",$M38="Pending",$K38="STT"),TODAY()-$I38,OR(K38="Closed",K38=""),"")</f>
        <v>#N/A</v>
      </c>
      <c r="M38" s="461">
        <f>VLOOKUP(C38,AR!$E$4:$AC$512,7,0)</f>
        <v>0</v>
      </c>
      <c r="N38" s="651" t="str">
        <f t="shared" si="1"/>
        <v/>
      </c>
      <c r="O38" s="739" t="str">
        <f>AR!M37</f>
        <v>GC</v>
      </c>
      <c r="P38" s="746" t="str">
        <v>NO</v>
      </c>
    </row>
    <row r="39" spans="1:16" s="385" customFormat="1" ht="27" hidden="1" customHeight="1">
      <c r="A39" s="399">
        <v>35</v>
      </c>
      <c r="B39" s="455" t="s">
        <v>19</v>
      </c>
      <c r="C39" s="454" t="s">
        <v>186</v>
      </c>
      <c r="D39" s="456" t="str">
        <f>_xlfn.XLOOKUP(C39,AR!$E$4:$E$56,AR!$D$4:$D$56)</f>
        <v>Level 6 - Bund Wall Setting-out &amp; Details</v>
      </c>
      <c r="E39" s="454">
        <f>IF(VLOOKUP(C39,AR!$E$4:$AC$512,5,0)="","",VLOOKUP(C39,AR!$E$4:$AC$1011,5,0))</f>
        <v>0</v>
      </c>
      <c r="F39" s="457"/>
      <c r="G39" s="458">
        <f>IF(VLOOKUP(C39,AR!$E$4:$AC$512,3,0)="","",VLOOKUP(C39,AR!$E$4:$AC$512,3,0))</f>
        <v>46048</v>
      </c>
      <c r="H39" s="459">
        <f>IF(ISNA(MATCH($C39,AR!$E$4:$E$1019,0)),"",
IF($E39=0,IF(INDEX(AR!$P$4:$P$1019,MATCH($C39,AR!$E$4:$E$1019,0))="","",INDEX(AR!$P$4:$P$1019,MATCH($C39,AR!$E$4:$E$1019,0))),
IF($E39=1,IF(INDEX(AR!$U$4:$U$1019,MATCH($C39,AR!$E$4:$E$1019,0))="","",INDEX(AR!$U$4:$U$1019,MATCH($C39,AR!$E$4:$E$1019,0))),
IF($E39=2,IF(INDEX(AR!$Z$4:$Z$1019,MATCH($C39,AR!$E$4:$E$1019,0))="","",INDEX(AR!$Z$4:$Z$1019,MATCH($C39,AR!$E$4:$E$1019,0))),
IF($E39=3,IF(INDEX(AR!$AE$4:$AE$1019,MATCH($C39,AR!$E$4:$E$1019,0))="","",INDEX(AR!$AE$4:$AE$1019,MATCH($C39,AR!$E$4:$E$1019,0))),
IF($E39=4,IF(INDEX(AR!$AJ$4:$AJ$1019,MATCH($C39,AR!$E$4:$E$1019,0))="","",INDEX(AR!$AJ$4:$AJ$1019,MATCH($C39,AR!$E$4:$E$1019,0))),
IF($E39=5,IF(INDEX(AR!$AO$4:$AO$1019,MATCH($C39,AR!$E$4:$E$1019,0))="","",INDEX(AR!$AO$4:$AO$1019,MATCH($C39,AR!$E$4:$E$1019,0))),"")))))))</f>
        <v>46049</v>
      </c>
      <c r="I39" s="459">
        <f>IF(ISNA(MATCH($C39,AR!$E$4:$E$1019,0)),"",
IF($E39=0,IF(INDEX(AR!$Q$4:$Q$1019,MATCH($C39,AR!$E$4:$E$1019,0))="","",INDEX(AR!$Q$4:$Q$1019,MATCH($C39,AR!$E$4:$E$1019,0))),
IF($E39=1,IF(INDEX(AR!$V$4:$V$1019,MATCH($C39,AR!$E$4:$E$1019,0))="","",INDEX(AR!$V$4:$V$1019,MATCH($C39,AR!$E$4:$E$1019,0))),
IF($E39=2,IF(INDEX(AR!$AA$4:$AA$1019,MATCH($C39,AR!$E$4:$E$1019,0))="","",INDEX(AR!$AA$4:$AA$1019,MATCH($C39,AR!$E$4:$E$1019,0))),
IF($E39=3,IF(INDEX(AR!$AF$4:$AF$1019,MATCH($C39,AR!$E$4:$E$1019,0))="","",INDEX(AR!$AF$4:$AF$1019,MATCH($C39,AR!$E$4:$E$1019,0))),
IF($E39=4,IF(INDEX(AR!$AK$4:$AK$1019,MATCH($C39,AR!$E$4:$E$1019,0))="","",INDEX(AR!$AK$4:$AK$1019,MATCH($C39,AR!$E$4:$E$1019,0))),
IF($E39=5,IF(INDEX(AR!$AP$4:$AP$1019,MATCH($C39,AR!$E$4:$E$1019,0))="","",INDEX(AR!$AP$4:$AP$1019,MATCH($C39,AR!$E$4:$E$1019,0))),"")))))))</f>
        <v>46052</v>
      </c>
      <c r="J39" s="459">
        <f>IF(ISNA(MATCH($C39,AR!$E$4:$E$1019,0)),"",
IF($E39=0,IF(INDEX(AR!$R$4:$R$1019,MATCH($C39,AR!$E$4:$E$1019,0))="","",INDEX(AR!$R$4:$R$1019,MATCH($C39,AR!$E$4:$E$1019,0))),
IF($E39=1,IF(INDEX(AR!$W$4:$W$1019,MATCH($C39,AR!$E$4:$E$1019,0))="","",INDEX(AR!$W$4:$W$1019,MATCH($C39,AR!$E$4:$E$1019,0))),
IF($E39=2,IF(INDEX(AR!$AB$4:$AB$1019,MATCH($C39,AR!$E$4:$E$1019,0))="","",INDEX(AR!$AB$4:$AB$1019,MATCH($C39,AR!$E$4:$E$1019,0))),
IF($E39=3,IF(INDEX(AR!$AG$4:$AG$1019,MATCH($C39,AR!$E$4:$E$1019,0))="","",INDEX(AR!$AG$4:$AG$1019,MATCH($C39,AR!$E$4:$E$1019,0))),
IF($E39=4,IF(INDEX(AR!$AL$4:$AL$1019,MATCH($C39,AR!$E$4:$E$1019,0))="","",INDEX(AR!$AL$4:$AL$1019,MATCH($C39,AR!$E$4:$E$1019,0))),
IF($E39=5,IF(INDEX(AR!$AQ$4:$AQ$1019,MATCH($C39,AR!$E$4:$E$1019,0))="","",INDEX(AR!$AQ$4:$AQ$1019,MATCH($C39,AR!$E$4:$E$1019,0))),"")))))))</f>
        <v>46059</v>
      </c>
      <c r="K39" s="459" t="str">
        <f>AR!J38</f>
        <v>Closed</v>
      </c>
      <c r="L39" s="460" t="str" cm="1">
        <f t="array" aca="1" ref="L39" ca="1">_xlfn.IFS(AND($E39&lt;&gt;"",$M39="Pending",$K39="CTA"),TODAY()-$G39,AND($E39&lt;&gt;"",$M39="Pending",$K39="AUR"),TODAY()-$H39,AND($E39&lt;&gt;"",$M39="Pending",$K39="STT"),TODAY()-$I39,OR(K39="Closed",K39=""),"")</f>
        <v/>
      </c>
      <c r="M39" s="461" t="str">
        <f>VLOOKUP(C39,AR!$E$4:$AC$512,7,0)</f>
        <v>B</v>
      </c>
      <c r="N39" s="651" t="str">
        <f t="shared" si="1"/>
        <v/>
      </c>
      <c r="O39" s="739" t="str">
        <f>AR!M38</f>
        <v>GC</v>
      </c>
      <c r="P39" s="746" t="str">
        <v>NO</v>
      </c>
    </row>
    <row r="40" spans="1:16" s="385" customFormat="1" ht="27" customHeight="1">
      <c r="A40" s="399">
        <v>36</v>
      </c>
      <c r="B40" s="455" t="s">
        <v>19</v>
      </c>
      <c r="C40" s="454" t="s">
        <v>189</v>
      </c>
      <c r="D40" s="456" t="str">
        <f>_xlfn.XLOOKUP(C40,AR!$E$4:$E$56,AR!$D$4:$D$56)</f>
        <v>Level 6 - Wall Finishes &amp; Details</v>
      </c>
      <c r="E40" s="454">
        <f>IF(VLOOKUP(C40,AR!$E$4:$AC$512,5,0)="","",VLOOKUP(C40,AR!$E$4:$AC$1011,5,0))</f>
        <v>0</v>
      </c>
      <c r="F40" s="457"/>
      <c r="G40" s="458">
        <f>IF(VLOOKUP(C40,AR!$E$4:$AC$512,3,0)="","",VLOOKUP(C40,AR!$E$4:$AC$512,3,0))</f>
        <v>46056</v>
      </c>
      <c r="H40" s="459">
        <f>IF(ISNA(MATCH($C40,AR!$E$4:$E$1019,0)),"",
IF($E40=0,IF(INDEX(AR!$P$4:$P$1019,MATCH($C40,AR!$E$4:$E$1019,0))="","",INDEX(AR!$P$4:$P$1019,MATCH($C40,AR!$E$4:$E$1019,0))),
IF($E40=1,IF(INDEX(AR!$U$4:$U$1019,MATCH($C40,AR!$E$4:$E$1019,0))="","",INDEX(AR!$U$4:$U$1019,MATCH($C40,AR!$E$4:$E$1019,0))),
IF($E40=2,IF(INDEX(AR!$Z$4:$Z$1019,MATCH($C40,AR!$E$4:$E$1019,0))="","",INDEX(AR!$Z$4:$Z$1019,MATCH($C40,AR!$E$4:$E$1019,0))),
IF($E40=3,IF(INDEX(AR!$AE$4:$AE$1019,MATCH($C40,AR!$E$4:$E$1019,0))="","",INDEX(AR!$AE$4:$AE$1019,MATCH($C40,AR!$E$4:$E$1019,0))),
IF($E40=4,IF(INDEX(AR!$AJ$4:$AJ$1019,MATCH($C40,AR!$E$4:$E$1019,0))="","",INDEX(AR!$AJ$4:$AJ$1019,MATCH($C40,AR!$E$4:$E$1019,0))),
IF($E40=5,IF(INDEX(AR!$AO$4:$AO$1019,MATCH($C40,AR!$E$4:$E$1019,0))="","",INDEX(AR!$AO$4:$AO$1019,MATCH($C40,AR!$E$4:$E$1019,0))),"")))))))</f>
        <v>46059</v>
      </c>
      <c r="I40" s="459">
        <f>IF(ISNA(MATCH($C40,AR!$E$4:$E$1019,0)),"",
IF($E40=0,IF(INDEX(AR!$Q$4:$Q$1019,MATCH($C40,AR!$E$4:$E$1019,0))="","",INDEX(AR!$Q$4:$Q$1019,MATCH($C40,AR!$E$4:$E$1019,0))),
IF($E40=1,IF(INDEX(AR!$V$4:$V$1019,MATCH($C40,AR!$E$4:$E$1019,0))="","",INDEX(AR!$V$4:$V$1019,MATCH($C40,AR!$E$4:$E$1019,0))),
IF($E40=2,IF(INDEX(AR!$AA$4:$AA$1019,MATCH($C40,AR!$E$4:$E$1019,0))="","",INDEX(AR!$AA$4:$AA$1019,MATCH($C40,AR!$E$4:$E$1019,0))),
IF($E40=3,IF(INDEX(AR!$AF$4:$AF$1019,MATCH($C40,AR!$E$4:$E$1019,0))="","",INDEX(AR!$AF$4:$AF$1019,MATCH($C40,AR!$E$4:$E$1019,0))),
IF($E40=4,IF(INDEX(AR!$AK$4:$AK$1019,MATCH($C40,AR!$E$4:$E$1019,0))="","",INDEX(AR!$AK$4:$AK$1019,MATCH($C40,AR!$E$4:$E$1019,0))),
IF($E40=5,IF(INDEX(AR!$AP$4:$AP$1019,MATCH($C40,AR!$E$4:$E$1019,0))="","",INDEX(AR!$AP$4:$AP$1019,MATCH($C40,AR!$E$4:$E$1019,0))),"")))))))</f>
        <v>46062</v>
      </c>
      <c r="J40" s="459" t="str">
        <f>IF(ISNA(MATCH($C40,AR!$E$4:$E$1019,0)),"",
IF($E40=0,IF(INDEX(AR!$R$4:$R$1019,MATCH($C40,AR!$E$4:$E$1019,0))="","",INDEX(AR!$R$4:$R$1019,MATCH($C40,AR!$E$4:$E$1019,0))),
IF($E40=1,IF(INDEX(AR!$W$4:$W$1019,MATCH($C40,AR!$E$4:$E$1019,0))="","",INDEX(AR!$W$4:$W$1019,MATCH($C40,AR!$E$4:$E$1019,0))),
IF($E40=2,IF(INDEX(AR!$AB$4:$AB$1019,MATCH($C40,AR!$E$4:$E$1019,0))="","",INDEX(AR!$AB$4:$AB$1019,MATCH($C40,AR!$E$4:$E$1019,0))),
IF($E40=3,IF(INDEX(AR!$AG$4:$AG$1019,MATCH($C40,AR!$E$4:$E$1019,0))="","",INDEX(AR!$AG$4:$AG$1019,MATCH($C40,AR!$E$4:$E$1019,0))),
IF($E40=4,IF(INDEX(AR!$AL$4:$AL$1019,MATCH($C40,AR!$E$4:$E$1019,0))="","",INDEX(AR!$AL$4:$AL$1019,MATCH($C40,AR!$E$4:$E$1019,0))),
IF($E40=5,IF(INDEX(AR!$AQ$4:$AQ$1019,MATCH($C40,AR!$E$4:$E$1019,0))="","",INDEX(AR!$AQ$4:$AQ$1019,MATCH($C40,AR!$E$4:$E$1019,0))),"")))))))</f>
        <v/>
      </c>
      <c r="K40" s="459" t="str">
        <f>AR!J39</f>
        <v>STT</v>
      </c>
      <c r="L40" s="460" cm="1">
        <f t="array" aca="1" ref="L40" ca="1">_xlfn.IFS(AND($E40&lt;&gt;"",$M40="Pending",$K40="CTA"),TODAY()-$G40,AND($E40&lt;&gt;"",$M40="Pending",$K40="AUR"),TODAY()-$H40,AND($E40&lt;&gt;"",$M40="Pending",$K40="STT"),TODAY()-$I40,OR(K40="Closed",K40=""),"")</f>
        <v>4</v>
      </c>
      <c r="M40" s="461" t="str">
        <f>VLOOKUP(C40,AR!$E$4:$AC$512,7,0)</f>
        <v>Pending</v>
      </c>
      <c r="N40" s="651" t="str">
        <f t="shared" ca="1" si="1"/>
        <v>High</v>
      </c>
      <c r="O40" s="739" t="str">
        <f>AR!M39</f>
        <v>GC</v>
      </c>
      <c r="P40" s="746" t="str">
        <v>NO</v>
      </c>
    </row>
    <row r="41" spans="1:16" s="385" customFormat="1" ht="27" customHeight="1">
      <c r="A41" s="399">
        <v>37</v>
      </c>
      <c r="B41" s="455" t="s">
        <v>19</v>
      </c>
      <c r="C41" s="454" t="s">
        <v>192</v>
      </c>
      <c r="D41" s="456" t="str">
        <f>_xlfn.XLOOKUP(C41,AR!$E$4:$E$56,AR!$D$4:$D$56)</f>
        <v>Level 6 - Wall Setting-out</v>
      </c>
      <c r="E41" s="454">
        <f>IF(VLOOKUP(C41,AR!$E$4:$AC$512,5,0)="","",VLOOKUP(C41,AR!$E$4:$AC$1011,5,0))</f>
        <v>0</v>
      </c>
      <c r="F41" s="457"/>
      <c r="G41" s="458">
        <f>IF(VLOOKUP(C41,AR!$E$4:$AC$512,3,0)="","",VLOOKUP(C41,AR!$E$4:$AC$512,3,0))</f>
        <v>46050</v>
      </c>
      <c r="H41" s="459">
        <f>IF(ISNA(MATCH($C41,AR!$E$4:$E$1019,0)),"",
IF($E41=0,IF(INDEX(AR!$P$4:$P$1019,MATCH($C41,AR!$E$4:$E$1019,0))="","",INDEX(AR!$P$4:$P$1019,MATCH($C41,AR!$E$4:$E$1019,0))),
IF($E41=1,IF(INDEX(AR!$U$4:$U$1019,MATCH($C41,AR!$E$4:$E$1019,0))="","",INDEX(AR!$U$4:$U$1019,MATCH($C41,AR!$E$4:$E$1019,0))),
IF($E41=2,IF(INDEX(AR!$Z$4:$Z$1019,MATCH($C41,AR!$E$4:$E$1019,0))="","",INDEX(AR!$Z$4:$Z$1019,MATCH($C41,AR!$E$4:$E$1019,0))),
IF($E41=3,IF(INDEX(AR!$AE$4:$AE$1019,MATCH($C41,AR!$E$4:$E$1019,0))="","",INDEX(AR!$AE$4:$AE$1019,MATCH($C41,AR!$E$4:$E$1019,0))),
IF($E41=4,IF(INDEX(AR!$AJ$4:$AJ$1019,MATCH($C41,AR!$E$4:$E$1019,0))="","",INDEX(AR!$AJ$4:$AJ$1019,MATCH($C41,AR!$E$4:$E$1019,0))),
IF($E41=5,IF(INDEX(AR!$AO$4:$AO$1019,MATCH($C41,AR!$E$4:$E$1019,0))="","",INDEX(AR!$AO$4:$AO$1019,MATCH($C41,AR!$E$4:$E$1019,0))),"")))))))</f>
        <v>46053</v>
      </c>
      <c r="I41" s="459">
        <f>IF(ISNA(MATCH($C41,AR!$E$4:$E$1019,0)),"",
IF($E41=0,IF(INDEX(AR!$Q$4:$Q$1019,MATCH($C41,AR!$E$4:$E$1019,0))="","",INDEX(AR!$Q$4:$Q$1019,MATCH($C41,AR!$E$4:$E$1019,0))),
IF($E41=1,IF(INDEX(AR!$V$4:$V$1019,MATCH($C41,AR!$E$4:$E$1019,0))="","",INDEX(AR!$V$4:$V$1019,MATCH($C41,AR!$E$4:$E$1019,0))),
IF($E41=2,IF(INDEX(AR!$AA$4:$AA$1019,MATCH($C41,AR!$E$4:$E$1019,0))="","",INDEX(AR!$AA$4:$AA$1019,MATCH($C41,AR!$E$4:$E$1019,0))),
IF($E41=3,IF(INDEX(AR!$AF$4:$AF$1019,MATCH($C41,AR!$E$4:$E$1019,0))="","",INDEX(AR!$AF$4:$AF$1019,MATCH($C41,AR!$E$4:$E$1019,0))),
IF($E41=4,IF(INDEX(AR!$AK$4:$AK$1019,MATCH($C41,AR!$E$4:$E$1019,0))="","",INDEX(AR!$AK$4:$AK$1019,MATCH($C41,AR!$E$4:$E$1019,0))),
IF($E41=5,IF(INDEX(AR!$AP$4:$AP$1019,MATCH($C41,AR!$E$4:$E$1019,0))="","",INDEX(AR!$AP$4:$AP$1019,MATCH($C41,AR!$E$4:$E$1019,0))),"")))))))</f>
        <v>46057</v>
      </c>
      <c r="J41" s="459" t="str">
        <f>IF(ISNA(MATCH($C41,AR!$E$4:$E$1019,0)),"",
IF($E41=0,IF(INDEX(AR!$R$4:$R$1019,MATCH($C41,AR!$E$4:$E$1019,0))="","",INDEX(AR!$R$4:$R$1019,MATCH($C41,AR!$E$4:$E$1019,0))),
IF($E41=1,IF(INDEX(AR!$W$4:$W$1019,MATCH($C41,AR!$E$4:$E$1019,0))="","",INDEX(AR!$W$4:$W$1019,MATCH($C41,AR!$E$4:$E$1019,0))),
IF($E41=2,IF(INDEX(AR!$AB$4:$AB$1019,MATCH($C41,AR!$E$4:$E$1019,0))="","",INDEX(AR!$AB$4:$AB$1019,MATCH($C41,AR!$E$4:$E$1019,0))),
IF($E41=3,IF(INDEX(AR!$AG$4:$AG$1019,MATCH($C41,AR!$E$4:$E$1019,0))="","",INDEX(AR!$AG$4:$AG$1019,MATCH($C41,AR!$E$4:$E$1019,0))),
IF($E41=4,IF(INDEX(AR!$AL$4:$AL$1019,MATCH($C41,AR!$E$4:$E$1019,0))="","",INDEX(AR!$AL$4:$AL$1019,MATCH($C41,AR!$E$4:$E$1019,0))),
IF($E41=5,IF(INDEX(AR!$AQ$4:$AQ$1019,MATCH($C41,AR!$E$4:$E$1019,0))="","",INDEX(AR!$AQ$4:$AQ$1019,MATCH($C41,AR!$E$4:$E$1019,0))),"")))))))</f>
        <v/>
      </c>
      <c r="K41" s="459" t="str">
        <f>AR!J40</f>
        <v>STT</v>
      </c>
      <c r="L41" s="460" cm="1">
        <f t="array" aca="1" ref="L41" ca="1">_xlfn.IFS(AND($E41&lt;&gt;"",$M41="Pending",$K41="CTA"),TODAY()-$G41,AND($E41&lt;&gt;"",$M41="Pending",$K41="AUR"),TODAY()-$H41,AND($E41&lt;&gt;"",$M41="Pending",$K41="STT"),TODAY()-$I41,OR(K41="Closed",K41=""),"")</f>
        <v>9</v>
      </c>
      <c r="M41" s="461" t="str">
        <f>VLOOKUP(C41,AR!$E$4:$AC$512,7,0)</f>
        <v>Pending</v>
      </c>
      <c r="N41" s="651" t="str">
        <f t="shared" ca="1" si="1"/>
        <v>Overdue</v>
      </c>
      <c r="O41" s="739" t="str">
        <f>AR!M40</f>
        <v>GC</v>
      </c>
      <c r="P41" s="746" t="str">
        <v>NO</v>
      </c>
    </row>
    <row r="42" spans="1:16" s="385" customFormat="1" ht="27" hidden="1" customHeight="1">
      <c r="A42" s="399">
        <v>38</v>
      </c>
      <c r="B42" s="455" t="s">
        <v>19</v>
      </c>
      <c r="C42" s="454" t="s">
        <v>195</v>
      </c>
      <c r="D42" s="456" t="str">
        <f>_xlfn.XLOOKUP(C42,AR!$E$4:$E$56,AR!$D$4:$D$56)</f>
        <v>Level 6 - Block Wall Layout &amp; Details</v>
      </c>
      <c r="E42" s="454" t="str">
        <f>IF(VLOOKUP(C42,AR!$E$4:$AC$512,5,0)="","",VLOOKUP(C42,AR!$E$4:$AC$1011,5,0))</f>
        <v/>
      </c>
      <c r="F42" s="457"/>
      <c r="G42" s="458" t="str">
        <f>IF(VLOOKUP(C42,AR!$E$4:$AC$512,3,0)="","",VLOOKUP(C42,AR!$E$4:$AC$512,3,0))</f>
        <v/>
      </c>
      <c r="H42" s="459" t="str">
        <f>IF(ISNA(MATCH($C42,AR!$E$4:$E$1019,0)),"",
IF($E42=0,IF(INDEX(AR!$P$4:$P$1019,MATCH($C42,AR!$E$4:$E$1019,0))="","",INDEX(AR!$P$4:$P$1019,MATCH($C42,AR!$E$4:$E$1019,0))),
IF($E42=1,IF(INDEX(AR!$U$4:$U$1019,MATCH($C42,AR!$E$4:$E$1019,0))="","",INDEX(AR!$U$4:$U$1019,MATCH($C42,AR!$E$4:$E$1019,0))),
IF($E42=2,IF(INDEX(AR!$Z$4:$Z$1019,MATCH($C42,AR!$E$4:$E$1019,0))="","",INDEX(AR!$Z$4:$Z$1019,MATCH($C42,AR!$E$4:$E$1019,0))),
IF($E42=3,IF(INDEX(AR!$AE$4:$AE$1019,MATCH($C42,AR!$E$4:$E$1019,0))="","",INDEX(AR!$AE$4:$AE$1019,MATCH($C42,AR!$E$4:$E$1019,0))),
IF($E42=4,IF(INDEX(AR!$AJ$4:$AJ$1019,MATCH($C42,AR!$E$4:$E$1019,0))="","",INDEX(AR!$AJ$4:$AJ$1019,MATCH($C42,AR!$E$4:$E$1019,0))),
IF($E42=5,IF(INDEX(AR!$AO$4:$AO$1019,MATCH($C42,AR!$E$4:$E$1019,0))="","",INDEX(AR!$AO$4:$AO$1019,MATCH($C42,AR!$E$4:$E$1019,0))),"")))))))</f>
        <v/>
      </c>
      <c r="I42" s="459" t="str">
        <f>IF(ISNA(MATCH($C42,AR!$E$4:$E$1019,0)),"",
IF($E42=0,IF(INDEX(AR!$Q$4:$Q$1019,MATCH($C42,AR!$E$4:$E$1019,0))="","",INDEX(AR!$Q$4:$Q$1019,MATCH($C42,AR!$E$4:$E$1019,0))),
IF($E42=1,IF(INDEX(AR!$V$4:$V$1019,MATCH($C42,AR!$E$4:$E$1019,0))="","",INDEX(AR!$V$4:$V$1019,MATCH($C42,AR!$E$4:$E$1019,0))),
IF($E42=2,IF(INDEX(AR!$AA$4:$AA$1019,MATCH($C42,AR!$E$4:$E$1019,0))="","",INDEX(AR!$AA$4:$AA$1019,MATCH($C42,AR!$E$4:$E$1019,0))),
IF($E42=3,IF(INDEX(AR!$AF$4:$AF$1019,MATCH($C42,AR!$E$4:$E$1019,0))="","",INDEX(AR!$AF$4:$AF$1019,MATCH($C42,AR!$E$4:$E$1019,0))),
IF($E42=4,IF(INDEX(AR!$AK$4:$AK$1019,MATCH($C42,AR!$E$4:$E$1019,0))="","",INDEX(AR!$AK$4:$AK$1019,MATCH($C42,AR!$E$4:$E$1019,0))),
IF($E42=5,IF(INDEX(AR!$AP$4:$AP$1019,MATCH($C42,AR!$E$4:$E$1019,0))="","",INDEX(AR!$AP$4:$AP$1019,MATCH($C42,AR!$E$4:$E$1019,0))),"")))))))</f>
        <v/>
      </c>
      <c r="J42" s="459" t="str">
        <f>IF(ISNA(MATCH($C42,AR!$E$4:$E$1019,0)),"",
IF($E42=0,IF(INDEX(AR!$R$4:$R$1019,MATCH($C42,AR!$E$4:$E$1019,0))="","",INDEX(AR!$R$4:$R$1019,MATCH($C42,AR!$E$4:$E$1019,0))),
IF($E42=1,IF(INDEX(AR!$W$4:$W$1019,MATCH($C42,AR!$E$4:$E$1019,0))="","",INDEX(AR!$W$4:$W$1019,MATCH($C42,AR!$E$4:$E$1019,0))),
IF($E42=2,IF(INDEX(AR!$AB$4:$AB$1019,MATCH($C42,AR!$E$4:$E$1019,0))="","",INDEX(AR!$AB$4:$AB$1019,MATCH($C42,AR!$E$4:$E$1019,0))),
IF($E42=3,IF(INDEX(AR!$AG$4:$AG$1019,MATCH($C42,AR!$E$4:$E$1019,0))="","",INDEX(AR!$AG$4:$AG$1019,MATCH($C42,AR!$E$4:$E$1019,0))),
IF($E42=4,IF(INDEX(AR!$AL$4:$AL$1019,MATCH($C42,AR!$E$4:$E$1019,0))="","",INDEX(AR!$AL$4:$AL$1019,MATCH($C42,AR!$E$4:$E$1019,0))),
IF($E42=5,IF(INDEX(AR!$AQ$4:$AQ$1019,MATCH($C42,AR!$E$4:$E$1019,0))="","",INDEX(AR!$AQ$4:$AQ$1019,MATCH($C42,AR!$E$4:$E$1019,0))),"")))))))</f>
        <v/>
      </c>
      <c r="K42" s="459">
        <f>AR!J41</f>
        <v>0</v>
      </c>
      <c r="L42" s="460" t="e" cm="1">
        <f t="array" aca="1" ref="L42" ca="1">_xlfn.IFS(AND($E42&lt;&gt;"",$M42="Pending",$K42="CTA"),TODAY()-$G42,AND($E42&lt;&gt;"",$M42="Pending",$K42="AUR"),TODAY()-$H42,AND($E42&lt;&gt;"",$M42="Pending",$K42="STT"),TODAY()-$I42,OR(K42="Closed",K42=""),"")</f>
        <v>#N/A</v>
      </c>
      <c r="M42" s="461">
        <f>VLOOKUP(C42,AR!$E$4:$AC$512,7,0)</f>
        <v>0</v>
      </c>
      <c r="N42" s="651" t="str">
        <f t="shared" si="1"/>
        <v/>
      </c>
      <c r="O42" s="739" t="str">
        <f>AR!M41</f>
        <v>GC</v>
      </c>
      <c r="P42" s="746" t="str">
        <v>NO</v>
      </c>
    </row>
    <row r="43" spans="1:16" s="385" customFormat="1" ht="27" hidden="1" customHeight="1">
      <c r="A43" s="399">
        <v>39</v>
      </c>
      <c r="B43" s="455" t="s">
        <v>19</v>
      </c>
      <c r="C43" s="454" t="s">
        <v>198</v>
      </c>
      <c r="D43" s="456" t="str">
        <f>_xlfn.XLOOKUP(C43,AR!$E$4:$E$56,AR!$D$4:$D$56)</f>
        <v>Level 6 - Partition Wall Support Layout &amp; Details</v>
      </c>
      <c r="E43" s="454" t="str">
        <f>IF(VLOOKUP(C43,AR!$E$4:$AC$512,5,0)="","",VLOOKUP(C43,AR!$E$4:$AC$1011,5,0))</f>
        <v/>
      </c>
      <c r="F43" s="457"/>
      <c r="G43" s="458" t="str">
        <f>IF(VLOOKUP(C43,AR!$E$4:$AC$512,3,0)="","",VLOOKUP(C43,AR!$E$4:$AC$512,3,0))</f>
        <v/>
      </c>
      <c r="H43" s="459" t="str">
        <f>IF(ISNA(MATCH($C43,AR!$E$4:$E$1019,0)),"",
IF($E43=0,IF(INDEX(AR!$P$4:$P$1019,MATCH($C43,AR!$E$4:$E$1019,0))="","",INDEX(AR!$P$4:$P$1019,MATCH($C43,AR!$E$4:$E$1019,0))),
IF($E43=1,IF(INDEX(AR!$U$4:$U$1019,MATCH($C43,AR!$E$4:$E$1019,0))="","",INDEX(AR!$U$4:$U$1019,MATCH($C43,AR!$E$4:$E$1019,0))),
IF($E43=2,IF(INDEX(AR!$Z$4:$Z$1019,MATCH($C43,AR!$E$4:$E$1019,0))="","",INDEX(AR!$Z$4:$Z$1019,MATCH($C43,AR!$E$4:$E$1019,0))),
IF($E43=3,IF(INDEX(AR!$AE$4:$AE$1019,MATCH($C43,AR!$E$4:$E$1019,0))="","",INDEX(AR!$AE$4:$AE$1019,MATCH($C43,AR!$E$4:$E$1019,0))),
IF($E43=4,IF(INDEX(AR!$AJ$4:$AJ$1019,MATCH($C43,AR!$E$4:$E$1019,0))="","",INDEX(AR!$AJ$4:$AJ$1019,MATCH($C43,AR!$E$4:$E$1019,0))),
IF($E43=5,IF(INDEX(AR!$AO$4:$AO$1019,MATCH($C43,AR!$E$4:$E$1019,0))="","",INDEX(AR!$AO$4:$AO$1019,MATCH($C43,AR!$E$4:$E$1019,0))),"")))))))</f>
        <v/>
      </c>
      <c r="I43" s="459" t="str">
        <f>IF(ISNA(MATCH($C43,AR!$E$4:$E$1019,0)),"",
IF($E43=0,IF(INDEX(AR!$Q$4:$Q$1019,MATCH($C43,AR!$E$4:$E$1019,0))="","",INDEX(AR!$Q$4:$Q$1019,MATCH($C43,AR!$E$4:$E$1019,0))),
IF($E43=1,IF(INDEX(AR!$V$4:$V$1019,MATCH($C43,AR!$E$4:$E$1019,0))="","",INDEX(AR!$V$4:$V$1019,MATCH($C43,AR!$E$4:$E$1019,0))),
IF($E43=2,IF(INDEX(AR!$AA$4:$AA$1019,MATCH($C43,AR!$E$4:$E$1019,0))="","",INDEX(AR!$AA$4:$AA$1019,MATCH($C43,AR!$E$4:$E$1019,0))),
IF($E43=3,IF(INDEX(AR!$AF$4:$AF$1019,MATCH($C43,AR!$E$4:$E$1019,0))="","",INDEX(AR!$AF$4:$AF$1019,MATCH($C43,AR!$E$4:$E$1019,0))),
IF($E43=4,IF(INDEX(AR!$AK$4:$AK$1019,MATCH($C43,AR!$E$4:$E$1019,0))="","",INDEX(AR!$AK$4:$AK$1019,MATCH($C43,AR!$E$4:$E$1019,0))),
IF($E43=5,IF(INDEX(AR!$AP$4:$AP$1019,MATCH($C43,AR!$E$4:$E$1019,0))="","",INDEX(AR!$AP$4:$AP$1019,MATCH($C43,AR!$E$4:$E$1019,0))),"")))))))</f>
        <v/>
      </c>
      <c r="J43" s="459" t="str">
        <f>IF(ISNA(MATCH($C43,AR!$E$4:$E$1019,0)),"",
IF($E43=0,IF(INDEX(AR!$R$4:$R$1019,MATCH($C43,AR!$E$4:$E$1019,0))="","",INDEX(AR!$R$4:$R$1019,MATCH($C43,AR!$E$4:$E$1019,0))),
IF($E43=1,IF(INDEX(AR!$W$4:$W$1019,MATCH($C43,AR!$E$4:$E$1019,0))="","",INDEX(AR!$W$4:$W$1019,MATCH($C43,AR!$E$4:$E$1019,0))),
IF($E43=2,IF(INDEX(AR!$AB$4:$AB$1019,MATCH($C43,AR!$E$4:$E$1019,0))="","",INDEX(AR!$AB$4:$AB$1019,MATCH($C43,AR!$E$4:$E$1019,0))),
IF($E43=3,IF(INDEX(AR!$AG$4:$AG$1019,MATCH($C43,AR!$E$4:$E$1019,0))="","",INDEX(AR!$AG$4:$AG$1019,MATCH($C43,AR!$E$4:$E$1019,0))),
IF($E43=4,IF(INDEX(AR!$AL$4:$AL$1019,MATCH($C43,AR!$E$4:$E$1019,0))="","",INDEX(AR!$AL$4:$AL$1019,MATCH($C43,AR!$E$4:$E$1019,0))),
IF($E43=5,IF(INDEX(AR!$AQ$4:$AQ$1019,MATCH($C43,AR!$E$4:$E$1019,0))="","",INDEX(AR!$AQ$4:$AQ$1019,MATCH($C43,AR!$E$4:$E$1019,0))),"")))))))</f>
        <v/>
      </c>
      <c r="K43" s="459">
        <f>AR!J42</f>
        <v>0</v>
      </c>
      <c r="L43" s="460" t="e" cm="1">
        <f t="array" aca="1" ref="L43" ca="1">_xlfn.IFS(AND($E43&lt;&gt;"",$M43="Pending",$K43="CTA"),TODAY()-$G43,AND($E43&lt;&gt;"",$M43="Pending",$K43="AUR"),TODAY()-$H43,AND($E43&lt;&gt;"",$M43="Pending",$K43="STT"),TODAY()-$I43,OR(K43="Closed",K43=""),"")</f>
        <v>#N/A</v>
      </c>
      <c r="M43" s="461">
        <f>VLOOKUP(C43,AR!$E$4:$AC$512,7,0)</f>
        <v>0</v>
      </c>
      <c r="N43" s="651" t="str">
        <f t="shared" si="1"/>
        <v/>
      </c>
      <c r="O43" s="739" t="str">
        <f>AR!M42</f>
        <v>GC</v>
      </c>
      <c r="P43" s="746" t="str">
        <v>NO</v>
      </c>
    </row>
    <row r="44" spans="1:16" s="385" customFormat="1" ht="27" hidden="1" customHeight="1">
      <c r="A44" s="399">
        <v>40</v>
      </c>
      <c r="B44" s="455" t="s">
        <v>19</v>
      </c>
      <c r="C44" s="454" t="s">
        <v>201</v>
      </c>
      <c r="D44" s="456" t="str">
        <f>_xlfn.XLOOKUP(C44,AR!$E$4:$E$56,AR!$D$4:$D$56)</f>
        <v>Level 1 - Crash Rail &amp; Skirting Layout &amp; Details</v>
      </c>
      <c r="E44" s="454" t="str">
        <f>IF(VLOOKUP(C44,AR!$E$4:$AC$512,5,0)="","",VLOOKUP(C44,AR!$E$4:$AC$1011,5,0))</f>
        <v/>
      </c>
      <c r="F44" s="457"/>
      <c r="G44" s="458" t="str">
        <f>IF(VLOOKUP(C44,AR!$E$4:$AC$512,3,0)="","",VLOOKUP(C44,AR!$E$4:$AC$512,3,0))</f>
        <v/>
      </c>
      <c r="H44" s="459" t="str">
        <f>IF(ISNA(MATCH($C44,AR!$E$4:$E$1019,0)),"",
IF($E44=0,IF(INDEX(AR!$P$4:$P$1019,MATCH($C44,AR!$E$4:$E$1019,0))="","",INDEX(AR!$P$4:$P$1019,MATCH($C44,AR!$E$4:$E$1019,0))),
IF($E44=1,IF(INDEX(AR!$U$4:$U$1019,MATCH($C44,AR!$E$4:$E$1019,0))="","",INDEX(AR!$U$4:$U$1019,MATCH($C44,AR!$E$4:$E$1019,0))),
IF($E44=2,IF(INDEX(AR!$Z$4:$Z$1019,MATCH($C44,AR!$E$4:$E$1019,0))="","",INDEX(AR!$Z$4:$Z$1019,MATCH($C44,AR!$E$4:$E$1019,0))),
IF($E44=3,IF(INDEX(AR!$AE$4:$AE$1019,MATCH($C44,AR!$E$4:$E$1019,0))="","",INDEX(AR!$AE$4:$AE$1019,MATCH($C44,AR!$E$4:$E$1019,0))),
IF($E44=4,IF(INDEX(AR!$AJ$4:$AJ$1019,MATCH($C44,AR!$E$4:$E$1019,0))="","",INDEX(AR!$AJ$4:$AJ$1019,MATCH($C44,AR!$E$4:$E$1019,0))),
IF($E44=5,IF(INDEX(AR!$AO$4:$AO$1019,MATCH($C44,AR!$E$4:$E$1019,0))="","",INDEX(AR!$AO$4:$AO$1019,MATCH($C44,AR!$E$4:$E$1019,0))),"")))))))</f>
        <v/>
      </c>
      <c r="I44" s="459" t="str">
        <f>IF(ISNA(MATCH($C44,AR!$E$4:$E$1019,0)),"",
IF($E44=0,IF(INDEX(AR!$Q$4:$Q$1019,MATCH($C44,AR!$E$4:$E$1019,0))="","",INDEX(AR!$Q$4:$Q$1019,MATCH($C44,AR!$E$4:$E$1019,0))),
IF($E44=1,IF(INDEX(AR!$V$4:$V$1019,MATCH($C44,AR!$E$4:$E$1019,0))="","",INDEX(AR!$V$4:$V$1019,MATCH($C44,AR!$E$4:$E$1019,0))),
IF($E44=2,IF(INDEX(AR!$AA$4:$AA$1019,MATCH($C44,AR!$E$4:$E$1019,0))="","",INDEX(AR!$AA$4:$AA$1019,MATCH($C44,AR!$E$4:$E$1019,0))),
IF($E44=3,IF(INDEX(AR!$AF$4:$AF$1019,MATCH($C44,AR!$E$4:$E$1019,0))="","",INDEX(AR!$AF$4:$AF$1019,MATCH($C44,AR!$E$4:$E$1019,0))),
IF($E44=4,IF(INDEX(AR!$AK$4:$AK$1019,MATCH($C44,AR!$E$4:$E$1019,0))="","",INDEX(AR!$AK$4:$AK$1019,MATCH($C44,AR!$E$4:$E$1019,0))),
IF($E44=5,IF(INDEX(AR!$AP$4:$AP$1019,MATCH($C44,AR!$E$4:$E$1019,0))="","",INDEX(AR!$AP$4:$AP$1019,MATCH($C44,AR!$E$4:$E$1019,0))),"")))))))</f>
        <v/>
      </c>
      <c r="J44" s="459" t="str">
        <f>IF(ISNA(MATCH($C44,AR!$E$4:$E$1019,0)),"",
IF($E44=0,IF(INDEX(AR!$R$4:$R$1019,MATCH($C44,AR!$E$4:$E$1019,0))="","",INDEX(AR!$R$4:$R$1019,MATCH($C44,AR!$E$4:$E$1019,0))),
IF($E44=1,IF(INDEX(AR!$W$4:$W$1019,MATCH($C44,AR!$E$4:$E$1019,0))="","",INDEX(AR!$W$4:$W$1019,MATCH($C44,AR!$E$4:$E$1019,0))),
IF($E44=2,IF(INDEX(AR!$AB$4:$AB$1019,MATCH($C44,AR!$E$4:$E$1019,0))="","",INDEX(AR!$AB$4:$AB$1019,MATCH($C44,AR!$E$4:$E$1019,0))),
IF($E44=3,IF(INDEX(AR!$AG$4:$AG$1019,MATCH($C44,AR!$E$4:$E$1019,0))="","",INDEX(AR!$AG$4:$AG$1019,MATCH($C44,AR!$E$4:$E$1019,0))),
IF($E44=4,IF(INDEX(AR!$AL$4:$AL$1019,MATCH($C44,AR!$E$4:$E$1019,0))="","",INDEX(AR!$AL$4:$AL$1019,MATCH($C44,AR!$E$4:$E$1019,0))),
IF($E44=5,IF(INDEX(AR!$AQ$4:$AQ$1019,MATCH($C44,AR!$E$4:$E$1019,0))="","",INDEX(AR!$AQ$4:$AQ$1019,MATCH($C44,AR!$E$4:$E$1019,0))),"")))))))</f>
        <v/>
      </c>
      <c r="K44" s="459">
        <f>AR!J43</f>
        <v>0</v>
      </c>
      <c r="L44" s="460" t="e" cm="1">
        <f t="array" aca="1" ref="L44" ca="1">_xlfn.IFS(AND($E44&lt;&gt;"",$M44="Pending",$K44="CTA"),TODAY()-$G44,AND($E44&lt;&gt;"",$M44="Pending",$K44="AUR"),TODAY()-$H44,AND($E44&lt;&gt;"",$M44="Pending",$K44="STT"),TODAY()-$I44,OR(K44="Closed",K44=""),"")</f>
        <v>#N/A</v>
      </c>
      <c r="M44" s="461">
        <f>VLOOKUP(C44,AR!$E$4:$AC$512,7,0)</f>
        <v>0</v>
      </c>
      <c r="N44" s="651" t="str">
        <f t="shared" si="1"/>
        <v/>
      </c>
      <c r="O44" s="739" t="str">
        <f>AR!M43</f>
        <v>GC</v>
      </c>
      <c r="P44" s="746" t="str">
        <v>NO</v>
      </c>
    </row>
    <row r="45" spans="1:16" s="385" customFormat="1" ht="27" hidden="1" customHeight="1">
      <c r="A45" s="399">
        <v>41</v>
      </c>
      <c r="B45" s="455" t="s">
        <v>19</v>
      </c>
      <c r="C45" s="454" t="s">
        <v>204</v>
      </c>
      <c r="D45" s="456" t="str">
        <f>_xlfn.XLOOKUP(C45,AR!$E$4:$E$56,AR!$D$4:$D$56)</f>
        <v>Level 2 - Crash Rail &amp; Skirting Layout &amp; Details</v>
      </c>
      <c r="E45" s="454" t="str">
        <f>IF(VLOOKUP(C45,AR!$E$4:$AC$512,5,0)="","",VLOOKUP(C45,AR!$E$4:$AC$1011,5,0))</f>
        <v/>
      </c>
      <c r="F45" s="457"/>
      <c r="G45" s="458" t="str">
        <f>IF(VLOOKUP(C45,AR!$E$4:$AC$512,3,0)="","",VLOOKUP(C45,AR!$E$4:$AC$512,3,0))</f>
        <v/>
      </c>
      <c r="H45" s="459" t="str">
        <f>IF(ISNA(MATCH($C45,AR!$E$4:$E$1019,0)),"",
IF($E45=0,IF(INDEX(AR!$P$4:$P$1019,MATCH($C45,AR!$E$4:$E$1019,0))="","",INDEX(AR!$P$4:$P$1019,MATCH($C45,AR!$E$4:$E$1019,0))),
IF($E45=1,IF(INDEX(AR!$U$4:$U$1019,MATCH($C45,AR!$E$4:$E$1019,0))="","",INDEX(AR!$U$4:$U$1019,MATCH($C45,AR!$E$4:$E$1019,0))),
IF($E45=2,IF(INDEX(AR!$Z$4:$Z$1019,MATCH($C45,AR!$E$4:$E$1019,0))="","",INDEX(AR!$Z$4:$Z$1019,MATCH($C45,AR!$E$4:$E$1019,0))),
IF($E45=3,IF(INDEX(AR!$AE$4:$AE$1019,MATCH($C45,AR!$E$4:$E$1019,0))="","",INDEX(AR!$AE$4:$AE$1019,MATCH($C45,AR!$E$4:$E$1019,0))),
IF($E45=4,IF(INDEX(AR!$AJ$4:$AJ$1019,MATCH($C45,AR!$E$4:$E$1019,0))="","",INDEX(AR!$AJ$4:$AJ$1019,MATCH($C45,AR!$E$4:$E$1019,0))),
IF($E45=5,IF(INDEX(AR!$AO$4:$AO$1019,MATCH($C45,AR!$E$4:$E$1019,0))="","",INDEX(AR!$AO$4:$AO$1019,MATCH($C45,AR!$E$4:$E$1019,0))),"")))))))</f>
        <v/>
      </c>
      <c r="I45" s="459" t="str">
        <f>IF(ISNA(MATCH($C45,AR!$E$4:$E$1019,0)),"",
IF($E45=0,IF(INDEX(AR!$Q$4:$Q$1019,MATCH($C45,AR!$E$4:$E$1019,0))="","",INDEX(AR!$Q$4:$Q$1019,MATCH($C45,AR!$E$4:$E$1019,0))),
IF($E45=1,IF(INDEX(AR!$V$4:$V$1019,MATCH($C45,AR!$E$4:$E$1019,0))="","",INDEX(AR!$V$4:$V$1019,MATCH($C45,AR!$E$4:$E$1019,0))),
IF($E45=2,IF(INDEX(AR!$AA$4:$AA$1019,MATCH($C45,AR!$E$4:$E$1019,0))="","",INDEX(AR!$AA$4:$AA$1019,MATCH($C45,AR!$E$4:$E$1019,0))),
IF($E45=3,IF(INDEX(AR!$AF$4:$AF$1019,MATCH($C45,AR!$E$4:$E$1019,0))="","",INDEX(AR!$AF$4:$AF$1019,MATCH($C45,AR!$E$4:$E$1019,0))),
IF($E45=4,IF(INDEX(AR!$AK$4:$AK$1019,MATCH($C45,AR!$E$4:$E$1019,0))="","",INDEX(AR!$AK$4:$AK$1019,MATCH($C45,AR!$E$4:$E$1019,0))),
IF($E45=5,IF(INDEX(AR!$AP$4:$AP$1019,MATCH($C45,AR!$E$4:$E$1019,0))="","",INDEX(AR!$AP$4:$AP$1019,MATCH($C45,AR!$E$4:$E$1019,0))),"")))))))</f>
        <v/>
      </c>
      <c r="J45" s="459" t="str">
        <f>IF(ISNA(MATCH($C45,AR!$E$4:$E$1019,0)),"",
IF($E45=0,IF(INDEX(AR!$R$4:$R$1019,MATCH($C45,AR!$E$4:$E$1019,0))="","",INDEX(AR!$R$4:$R$1019,MATCH($C45,AR!$E$4:$E$1019,0))),
IF($E45=1,IF(INDEX(AR!$W$4:$W$1019,MATCH($C45,AR!$E$4:$E$1019,0))="","",INDEX(AR!$W$4:$W$1019,MATCH($C45,AR!$E$4:$E$1019,0))),
IF($E45=2,IF(INDEX(AR!$AB$4:$AB$1019,MATCH($C45,AR!$E$4:$E$1019,0))="","",INDEX(AR!$AB$4:$AB$1019,MATCH($C45,AR!$E$4:$E$1019,0))),
IF($E45=3,IF(INDEX(AR!$AG$4:$AG$1019,MATCH($C45,AR!$E$4:$E$1019,0))="","",INDEX(AR!$AG$4:$AG$1019,MATCH($C45,AR!$E$4:$E$1019,0))),
IF($E45=4,IF(INDEX(AR!$AL$4:$AL$1019,MATCH($C45,AR!$E$4:$E$1019,0))="","",INDEX(AR!$AL$4:$AL$1019,MATCH($C45,AR!$E$4:$E$1019,0))),
IF($E45=5,IF(INDEX(AR!$AQ$4:$AQ$1019,MATCH($C45,AR!$E$4:$E$1019,0))="","",INDEX(AR!$AQ$4:$AQ$1019,MATCH($C45,AR!$E$4:$E$1019,0))),"")))))))</f>
        <v/>
      </c>
      <c r="K45" s="459">
        <f>AR!J44</f>
        <v>0</v>
      </c>
      <c r="L45" s="460" t="e" cm="1">
        <f t="array" aca="1" ref="L45" ca="1">_xlfn.IFS(AND($E45&lt;&gt;"",$M45="Pending",$K45="CTA"),TODAY()-$G45,AND($E45&lt;&gt;"",$M45="Pending",$K45="AUR"),TODAY()-$H45,AND($E45&lt;&gt;"",$M45="Pending",$K45="STT"),TODAY()-$I45,OR(K45="Closed",K45=""),"")</f>
        <v>#N/A</v>
      </c>
      <c r="M45" s="461">
        <f>VLOOKUP(C45,AR!$E$4:$AC$512,7,0)</f>
        <v>0</v>
      </c>
      <c r="N45" s="651" t="str">
        <f t="shared" si="1"/>
        <v/>
      </c>
      <c r="O45" s="739" t="str">
        <f>AR!M44</f>
        <v>GC</v>
      </c>
      <c r="P45" s="746" t="str">
        <v>NO</v>
      </c>
    </row>
    <row r="46" spans="1:16" s="385" customFormat="1" ht="27" hidden="1" customHeight="1">
      <c r="A46" s="399">
        <v>42</v>
      </c>
      <c r="B46" s="455" t="s">
        <v>19</v>
      </c>
      <c r="C46" s="454" t="s">
        <v>207</v>
      </c>
      <c r="D46" s="456" t="str">
        <f>_xlfn.XLOOKUP(C46,AR!$E$4:$E$56,AR!$D$4:$D$56)</f>
        <v>Level 6 - Crash Rail &amp; Skirting Layout &amp; Details</v>
      </c>
      <c r="E46" s="454" t="str">
        <f>IF(VLOOKUP(C46,AR!$E$4:$AC$512,5,0)="","",VLOOKUP(C46,AR!$E$4:$AC$1011,5,0))</f>
        <v/>
      </c>
      <c r="F46" s="457"/>
      <c r="G46" s="458" t="str">
        <f>IF(VLOOKUP(C46,AR!$E$4:$AC$512,3,0)="","",VLOOKUP(C46,AR!$E$4:$AC$512,3,0))</f>
        <v/>
      </c>
      <c r="H46" s="459" t="str">
        <f>IF(ISNA(MATCH($C46,AR!$E$4:$E$1019,0)),"",
IF($E46=0,IF(INDEX(AR!$P$4:$P$1019,MATCH($C46,AR!$E$4:$E$1019,0))="","",INDEX(AR!$P$4:$P$1019,MATCH($C46,AR!$E$4:$E$1019,0))),
IF($E46=1,IF(INDEX(AR!$U$4:$U$1019,MATCH($C46,AR!$E$4:$E$1019,0))="","",INDEX(AR!$U$4:$U$1019,MATCH($C46,AR!$E$4:$E$1019,0))),
IF($E46=2,IF(INDEX(AR!$Z$4:$Z$1019,MATCH($C46,AR!$E$4:$E$1019,0))="","",INDEX(AR!$Z$4:$Z$1019,MATCH($C46,AR!$E$4:$E$1019,0))),
IF($E46=3,IF(INDEX(AR!$AE$4:$AE$1019,MATCH($C46,AR!$E$4:$E$1019,0))="","",INDEX(AR!$AE$4:$AE$1019,MATCH($C46,AR!$E$4:$E$1019,0))),
IF($E46=4,IF(INDEX(AR!$AJ$4:$AJ$1019,MATCH($C46,AR!$E$4:$E$1019,0))="","",INDEX(AR!$AJ$4:$AJ$1019,MATCH($C46,AR!$E$4:$E$1019,0))),
IF($E46=5,IF(INDEX(AR!$AO$4:$AO$1019,MATCH($C46,AR!$E$4:$E$1019,0))="","",INDEX(AR!$AO$4:$AO$1019,MATCH($C46,AR!$E$4:$E$1019,0))),"")))))))</f>
        <v/>
      </c>
      <c r="I46" s="459" t="str">
        <f>IF(ISNA(MATCH($C46,AR!$E$4:$E$1019,0)),"",
IF($E46=0,IF(INDEX(AR!$Q$4:$Q$1019,MATCH($C46,AR!$E$4:$E$1019,0))="","",INDEX(AR!$Q$4:$Q$1019,MATCH($C46,AR!$E$4:$E$1019,0))),
IF($E46=1,IF(INDEX(AR!$V$4:$V$1019,MATCH($C46,AR!$E$4:$E$1019,0))="","",INDEX(AR!$V$4:$V$1019,MATCH($C46,AR!$E$4:$E$1019,0))),
IF($E46=2,IF(INDEX(AR!$AA$4:$AA$1019,MATCH($C46,AR!$E$4:$E$1019,0))="","",INDEX(AR!$AA$4:$AA$1019,MATCH($C46,AR!$E$4:$E$1019,0))),
IF($E46=3,IF(INDEX(AR!$AF$4:$AF$1019,MATCH($C46,AR!$E$4:$E$1019,0))="","",INDEX(AR!$AF$4:$AF$1019,MATCH($C46,AR!$E$4:$E$1019,0))),
IF($E46=4,IF(INDEX(AR!$AK$4:$AK$1019,MATCH($C46,AR!$E$4:$E$1019,0))="","",INDEX(AR!$AK$4:$AK$1019,MATCH($C46,AR!$E$4:$E$1019,0))),
IF($E46=5,IF(INDEX(AR!$AP$4:$AP$1019,MATCH($C46,AR!$E$4:$E$1019,0))="","",INDEX(AR!$AP$4:$AP$1019,MATCH($C46,AR!$E$4:$E$1019,0))),"")))))))</f>
        <v/>
      </c>
      <c r="J46" s="459" t="str">
        <f>IF(ISNA(MATCH($C46,AR!$E$4:$E$1019,0)),"",
IF($E46=0,IF(INDEX(AR!$R$4:$R$1019,MATCH($C46,AR!$E$4:$E$1019,0))="","",INDEX(AR!$R$4:$R$1019,MATCH($C46,AR!$E$4:$E$1019,0))),
IF($E46=1,IF(INDEX(AR!$W$4:$W$1019,MATCH($C46,AR!$E$4:$E$1019,0))="","",INDEX(AR!$W$4:$W$1019,MATCH($C46,AR!$E$4:$E$1019,0))),
IF($E46=2,IF(INDEX(AR!$AB$4:$AB$1019,MATCH($C46,AR!$E$4:$E$1019,0))="","",INDEX(AR!$AB$4:$AB$1019,MATCH($C46,AR!$E$4:$E$1019,0))),
IF($E46=3,IF(INDEX(AR!$AG$4:$AG$1019,MATCH($C46,AR!$E$4:$E$1019,0))="","",INDEX(AR!$AG$4:$AG$1019,MATCH($C46,AR!$E$4:$E$1019,0))),
IF($E46=4,IF(INDEX(AR!$AL$4:$AL$1019,MATCH($C46,AR!$E$4:$E$1019,0))="","",INDEX(AR!$AL$4:$AL$1019,MATCH($C46,AR!$E$4:$E$1019,0))),
IF($E46=5,IF(INDEX(AR!$AQ$4:$AQ$1019,MATCH($C46,AR!$E$4:$E$1019,0))="","",INDEX(AR!$AQ$4:$AQ$1019,MATCH($C46,AR!$E$4:$E$1019,0))),"")))))))</f>
        <v/>
      </c>
      <c r="K46" s="459">
        <f>AR!J45</f>
        <v>0</v>
      </c>
      <c r="L46" s="460" t="e" cm="1">
        <f t="array" aca="1" ref="L46" ca="1">_xlfn.IFS(AND($E46&lt;&gt;"",$M46="Pending",$K46="CTA"),TODAY()-$G46,AND($E46&lt;&gt;"",$M46="Pending",$K46="AUR"),TODAY()-$H46,AND($E46&lt;&gt;"",$M46="Pending",$K46="STT"),TODAY()-$I46,OR(K46="Closed",K46=""),"")</f>
        <v>#N/A</v>
      </c>
      <c r="M46" s="461">
        <f>VLOOKUP(C46,AR!$E$4:$AC$512,7,0)</f>
        <v>0</v>
      </c>
      <c r="N46" s="651" t="str">
        <f t="shared" si="1"/>
        <v/>
      </c>
      <c r="O46" s="739" t="str">
        <f>AR!M45</f>
        <v>GC</v>
      </c>
      <c r="P46" s="746" t="str">
        <v>NO</v>
      </c>
    </row>
    <row r="47" spans="1:16" s="385" customFormat="1" ht="27" hidden="1" customHeight="1">
      <c r="A47" s="399">
        <v>43</v>
      </c>
      <c r="B47" s="455" t="s">
        <v>19</v>
      </c>
      <c r="C47" s="454" t="s">
        <v>210</v>
      </c>
      <c r="D47" s="456" t="str">
        <f>_xlfn.XLOOKUP(C47,AR!$E$4:$E$56,AR!$D$4:$D$56)</f>
        <v>Level 1 - Door Schedule Layout &amp; Details</v>
      </c>
      <c r="E47" s="454" t="str">
        <f>IF(VLOOKUP(C47,AR!$E$4:$AC$512,5,0)="","",VLOOKUP(C47,AR!$E$4:$AC$1011,5,0))</f>
        <v/>
      </c>
      <c r="F47" s="457"/>
      <c r="G47" s="458" t="str">
        <f>IF(VLOOKUP(C47,AR!$E$4:$AC$512,3,0)="","",VLOOKUP(C47,AR!$E$4:$AC$512,3,0))</f>
        <v/>
      </c>
      <c r="H47" s="459" t="str">
        <f>IF(ISNA(MATCH($C47,AR!$E$4:$E$1019,0)),"",
IF($E47=0,IF(INDEX(AR!$P$4:$P$1019,MATCH($C47,AR!$E$4:$E$1019,0))="","",INDEX(AR!$P$4:$P$1019,MATCH($C47,AR!$E$4:$E$1019,0))),
IF($E47=1,IF(INDEX(AR!$U$4:$U$1019,MATCH($C47,AR!$E$4:$E$1019,0))="","",INDEX(AR!$U$4:$U$1019,MATCH($C47,AR!$E$4:$E$1019,0))),
IF($E47=2,IF(INDEX(AR!$Z$4:$Z$1019,MATCH($C47,AR!$E$4:$E$1019,0))="","",INDEX(AR!$Z$4:$Z$1019,MATCH($C47,AR!$E$4:$E$1019,0))),
IF($E47=3,IF(INDEX(AR!$AE$4:$AE$1019,MATCH($C47,AR!$E$4:$E$1019,0))="","",INDEX(AR!$AE$4:$AE$1019,MATCH($C47,AR!$E$4:$E$1019,0))),
IF($E47=4,IF(INDEX(AR!$AJ$4:$AJ$1019,MATCH($C47,AR!$E$4:$E$1019,0))="","",INDEX(AR!$AJ$4:$AJ$1019,MATCH($C47,AR!$E$4:$E$1019,0))),
IF($E47=5,IF(INDEX(AR!$AO$4:$AO$1019,MATCH($C47,AR!$E$4:$E$1019,0))="","",INDEX(AR!$AO$4:$AO$1019,MATCH($C47,AR!$E$4:$E$1019,0))),"")))))))</f>
        <v/>
      </c>
      <c r="I47" s="459" t="str">
        <f>IF(ISNA(MATCH($C47,AR!$E$4:$E$1019,0)),"",
IF($E47=0,IF(INDEX(AR!$Q$4:$Q$1019,MATCH($C47,AR!$E$4:$E$1019,0))="","",INDEX(AR!$Q$4:$Q$1019,MATCH($C47,AR!$E$4:$E$1019,0))),
IF($E47=1,IF(INDEX(AR!$V$4:$V$1019,MATCH($C47,AR!$E$4:$E$1019,0))="","",INDEX(AR!$V$4:$V$1019,MATCH($C47,AR!$E$4:$E$1019,0))),
IF($E47=2,IF(INDEX(AR!$AA$4:$AA$1019,MATCH($C47,AR!$E$4:$E$1019,0))="","",INDEX(AR!$AA$4:$AA$1019,MATCH($C47,AR!$E$4:$E$1019,0))),
IF($E47=3,IF(INDEX(AR!$AF$4:$AF$1019,MATCH($C47,AR!$E$4:$E$1019,0))="","",INDEX(AR!$AF$4:$AF$1019,MATCH($C47,AR!$E$4:$E$1019,0))),
IF($E47=4,IF(INDEX(AR!$AK$4:$AK$1019,MATCH($C47,AR!$E$4:$E$1019,0))="","",INDEX(AR!$AK$4:$AK$1019,MATCH($C47,AR!$E$4:$E$1019,0))),
IF($E47=5,IF(INDEX(AR!$AP$4:$AP$1019,MATCH($C47,AR!$E$4:$E$1019,0))="","",INDEX(AR!$AP$4:$AP$1019,MATCH($C47,AR!$E$4:$E$1019,0))),"")))))))</f>
        <v/>
      </c>
      <c r="J47" s="459" t="str">
        <f>IF(ISNA(MATCH($C47,AR!$E$4:$E$1019,0)),"",
IF($E47=0,IF(INDEX(AR!$R$4:$R$1019,MATCH($C47,AR!$E$4:$E$1019,0))="","",INDEX(AR!$R$4:$R$1019,MATCH($C47,AR!$E$4:$E$1019,0))),
IF($E47=1,IF(INDEX(AR!$W$4:$W$1019,MATCH($C47,AR!$E$4:$E$1019,0))="","",INDEX(AR!$W$4:$W$1019,MATCH($C47,AR!$E$4:$E$1019,0))),
IF($E47=2,IF(INDEX(AR!$AB$4:$AB$1019,MATCH($C47,AR!$E$4:$E$1019,0))="","",INDEX(AR!$AB$4:$AB$1019,MATCH($C47,AR!$E$4:$E$1019,0))),
IF($E47=3,IF(INDEX(AR!$AG$4:$AG$1019,MATCH($C47,AR!$E$4:$E$1019,0))="","",INDEX(AR!$AG$4:$AG$1019,MATCH($C47,AR!$E$4:$E$1019,0))),
IF($E47=4,IF(INDEX(AR!$AL$4:$AL$1019,MATCH($C47,AR!$E$4:$E$1019,0))="","",INDEX(AR!$AL$4:$AL$1019,MATCH($C47,AR!$E$4:$E$1019,0))),
IF($E47=5,IF(INDEX(AR!$AQ$4:$AQ$1019,MATCH($C47,AR!$E$4:$E$1019,0))="","",INDEX(AR!$AQ$4:$AQ$1019,MATCH($C47,AR!$E$4:$E$1019,0))),"")))))))</f>
        <v/>
      </c>
      <c r="K47" s="459">
        <f>AR!J46</f>
        <v>0</v>
      </c>
      <c r="L47" s="460" t="e" cm="1">
        <f t="array" aca="1" ref="L47" ca="1">_xlfn.IFS(AND($E47&lt;&gt;"",$M47="Pending",$K47="CTA"),TODAY()-$G47,AND($E47&lt;&gt;"",$M47="Pending",$K47="AUR"),TODAY()-$H47,AND($E47&lt;&gt;"",$M47="Pending",$K47="STT"),TODAY()-$I47,OR(K47="Closed",K47=""),"")</f>
        <v>#N/A</v>
      </c>
      <c r="M47" s="461">
        <f>VLOOKUP(C47,AR!$E$4:$AC$512,7,0)</f>
        <v>0</v>
      </c>
      <c r="N47" s="651" t="str">
        <f t="shared" si="1"/>
        <v/>
      </c>
      <c r="O47" s="739" t="str">
        <f>AR!M46</f>
        <v>GC</v>
      </c>
      <c r="P47" s="746" t="str">
        <v>NO</v>
      </c>
    </row>
    <row r="48" spans="1:16" s="385" customFormat="1" ht="27" hidden="1" customHeight="1">
      <c r="A48" s="399">
        <v>44</v>
      </c>
      <c r="B48" s="455" t="s">
        <v>19</v>
      </c>
      <c r="C48" s="454" t="s">
        <v>213</v>
      </c>
      <c r="D48" s="456" t="str">
        <f>_xlfn.XLOOKUP(C48,AR!$E$4:$E$56,AR!$D$4:$D$56)</f>
        <v>Level 2 - Door Schedule Layout &amp; Details</v>
      </c>
      <c r="E48" s="454" t="str">
        <f>IF(VLOOKUP(C48,AR!$E$4:$AC$512,5,0)="","",VLOOKUP(C48,AR!$E$4:$AC$1011,5,0))</f>
        <v/>
      </c>
      <c r="F48" s="457"/>
      <c r="G48" s="458" t="str">
        <f>IF(VLOOKUP(C48,AR!$E$4:$AC$512,3,0)="","",VLOOKUP(C48,AR!$E$4:$AC$512,3,0))</f>
        <v/>
      </c>
      <c r="H48" s="459" t="str">
        <f>IF(ISNA(MATCH($C48,AR!$E$4:$E$1019,0)),"",
IF($E48=0,IF(INDEX(AR!$P$4:$P$1019,MATCH($C48,AR!$E$4:$E$1019,0))="","",INDEX(AR!$P$4:$P$1019,MATCH($C48,AR!$E$4:$E$1019,0))),
IF($E48=1,IF(INDEX(AR!$U$4:$U$1019,MATCH($C48,AR!$E$4:$E$1019,0))="","",INDEX(AR!$U$4:$U$1019,MATCH($C48,AR!$E$4:$E$1019,0))),
IF($E48=2,IF(INDEX(AR!$Z$4:$Z$1019,MATCH($C48,AR!$E$4:$E$1019,0))="","",INDEX(AR!$Z$4:$Z$1019,MATCH($C48,AR!$E$4:$E$1019,0))),
IF($E48=3,IF(INDEX(AR!$AE$4:$AE$1019,MATCH($C48,AR!$E$4:$E$1019,0))="","",INDEX(AR!$AE$4:$AE$1019,MATCH($C48,AR!$E$4:$E$1019,0))),
IF($E48=4,IF(INDEX(AR!$AJ$4:$AJ$1019,MATCH($C48,AR!$E$4:$E$1019,0))="","",INDEX(AR!$AJ$4:$AJ$1019,MATCH($C48,AR!$E$4:$E$1019,0))),
IF($E48=5,IF(INDEX(AR!$AO$4:$AO$1019,MATCH($C48,AR!$E$4:$E$1019,0))="","",INDEX(AR!$AO$4:$AO$1019,MATCH($C48,AR!$E$4:$E$1019,0))),"")))))))</f>
        <v/>
      </c>
      <c r="I48" s="459" t="str">
        <f>IF(ISNA(MATCH($C48,AR!$E$4:$E$1019,0)),"",
IF($E48=0,IF(INDEX(AR!$Q$4:$Q$1019,MATCH($C48,AR!$E$4:$E$1019,0))="","",INDEX(AR!$Q$4:$Q$1019,MATCH($C48,AR!$E$4:$E$1019,0))),
IF($E48=1,IF(INDEX(AR!$V$4:$V$1019,MATCH($C48,AR!$E$4:$E$1019,0))="","",INDEX(AR!$V$4:$V$1019,MATCH($C48,AR!$E$4:$E$1019,0))),
IF($E48=2,IF(INDEX(AR!$AA$4:$AA$1019,MATCH($C48,AR!$E$4:$E$1019,0))="","",INDEX(AR!$AA$4:$AA$1019,MATCH($C48,AR!$E$4:$E$1019,0))),
IF($E48=3,IF(INDEX(AR!$AF$4:$AF$1019,MATCH($C48,AR!$E$4:$E$1019,0))="","",INDEX(AR!$AF$4:$AF$1019,MATCH($C48,AR!$E$4:$E$1019,0))),
IF($E48=4,IF(INDEX(AR!$AK$4:$AK$1019,MATCH($C48,AR!$E$4:$E$1019,0))="","",INDEX(AR!$AK$4:$AK$1019,MATCH($C48,AR!$E$4:$E$1019,0))),
IF($E48=5,IF(INDEX(AR!$AP$4:$AP$1019,MATCH($C48,AR!$E$4:$E$1019,0))="","",INDEX(AR!$AP$4:$AP$1019,MATCH($C48,AR!$E$4:$E$1019,0))),"")))))))</f>
        <v/>
      </c>
      <c r="J48" s="459" t="str">
        <f>IF(ISNA(MATCH($C48,AR!$E$4:$E$1019,0)),"",
IF($E48=0,IF(INDEX(AR!$R$4:$R$1019,MATCH($C48,AR!$E$4:$E$1019,0))="","",INDEX(AR!$R$4:$R$1019,MATCH($C48,AR!$E$4:$E$1019,0))),
IF($E48=1,IF(INDEX(AR!$W$4:$W$1019,MATCH($C48,AR!$E$4:$E$1019,0))="","",INDEX(AR!$W$4:$W$1019,MATCH($C48,AR!$E$4:$E$1019,0))),
IF($E48=2,IF(INDEX(AR!$AB$4:$AB$1019,MATCH($C48,AR!$E$4:$E$1019,0))="","",INDEX(AR!$AB$4:$AB$1019,MATCH($C48,AR!$E$4:$E$1019,0))),
IF($E48=3,IF(INDEX(AR!$AG$4:$AG$1019,MATCH($C48,AR!$E$4:$E$1019,0))="","",INDEX(AR!$AG$4:$AG$1019,MATCH($C48,AR!$E$4:$E$1019,0))),
IF($E48=4,IF(INDEX(AR!$AL$4:$AL$1019,MATCH($C48,AR!$E$4:$E$1019,0))="","",INDEX(AR!$AL$4:$AL$1019,MATCH($C48,AR!$E$4:$E$1019,0))),
IF($E48=5,IF(INDEX(AR!$AQ$4:$AQ$1019,MATCH($C48,AR!$E$4:$E$1019,0))="","",INDEX(AR!$AQ$4:$AQ$1019,MATCH($C48,AR!$E$4:$E$1019,0))),"")))))))</f>
        <v/>
      </c>
      <c r="K48" s="459">
        <f>AR!J47</f>
        <v>0</v>
      </c>
      <c r="L48" s="460" t="e" cm="1">
        <f t="array" aca="1" ref="L48" ca="1">_xlfn.IFS(AND($E48&lt;&gt;"",$M48="Pending",$K48="CTA"),TODAY()-$G48,AND($E48&lt;&gt;"",$M48="Pending",$K48="AUR"),TODAY()-$H48,AND($E48&lt;&gt;"",$M48="Pending",$K48="STT"),TODAY()-$I48,OR(K48="Closed",K48=""),"")</f>
        <v>#N/A</v>
      </c>
      <c r="M48" s="461">
        <f>VLOOKUP(C48,AR!$E$4:$AC$512,7,0)</f>
        <v>0</v>
      </c>
      <c r="N48" s="651" t="str">
        <f t="shared" si="1"/>
        <v/>
      </c>
      <c r="O48" s="739" t="str">
        <f>AR!M47</f>
        <v>GC</v>
      </c>
      <c r="P48" s="746" t="str">
        <v>NO</v>
      </c>
    </row>
    <row r="49" spans="1:16" s="385" customFormat="1" ht="27" hidden="1" customHeight="1">
      <c r="A49" s="399">
        <v>45</v>
      </c>
      <c r="B49" s="455" t="s">
        <v>19</v>
      </c>
      <c r="C49" s="454" t="s">
        <v>216</v>
      </c>
      <c r="D49" s="456" t="str">
        <f>_xlfn.XLOOKUP(C49,AR!$E$4:$E$56,AR!$D$4:$D$56)</f>
        <v>Level 3 - Door Schedule Layout &amp; Details</v>
      </c>
      <c r="E49" s="454" t="str">
        <f>IF(VLOOKUP(C49,AR!$E$4:$AC$512,5,0)="","",VLOOKUP(C49,AR!$E$4:$AC$1011,5,0))</f>
        <v/>
      </c>
      <c r="F49" s="457"/>
      <c r="G49" s="458" t="str">
        <f>IF(VLOOKUP(C49,AR!$E$4:$AC$512,3,0)="","",VLOOKUP(C49,AR!$E$4:$AC$512,3,0))</f>
        <v/>
      </c>
      <c r="H49" s="459" t="str">
        <f>IF(ISNA(MATCH($C49,AR!$E$4:$E$1019,0)),"",
IF($E49=0,IF(INDEX(AR!$P$4:$P$1019,MATCH($C49,AR!$E$4:$E$1019,0))="","",INDEX(AR!$P$4:$P$1019,MATCH($C49,AR!$E$4:$E$1019,0))),
IF($E49=1,IF(INDEX(AR!$U$4:$U$1019,MATCH($C49,AR!$E$4:$E$1019,0))="","",INDEX(AR!$U$4:$U$1019,MATCH($C49,AR!$E$4:$E$1019,0))),
IF($E49=2,IF(INDEX(AR!$Z$4:$Z$1019,MATCH($C49,AR!$E$4:$E$1019,0))="","",INDEX(AR!$Z$4:$Z$1019,MATCH($C49,AR!$E$4:$E$1019,0))),
IF($E49=3,IF(INDEX(AR!$AE$4:$AE$1019,MATCH($C49,AR!$E$4:$E$1019,0))="","",INDEX(AR!$AE$4:$AE$1019,MATCH($C49,AR!$E$4:$E$1019,0))),
IF($E49=4,IF(INDEX(AR!$AJ$4:$AJ$1019,MATCH($C49,AR!$E$4:$E$1019,0))="","",INDEX(AR!$AJ$4:$AJ$1019,MATCH($C49,AR!$E$4:$E$1019,0))),
IF($E49=5,IF(INDEX(AR!$AO$4:$AO$1019,MATCH($C49,AR!$E$4:$E$1019,0))="","",INDEX(AR!$AO$4:$AO$1019,MATCH($C49,AR!$E$4:$E$1019,0))),"")))))))</f>
        <v/>
      </c>
      <c r="I49" s="459" t="str">
        <f>IF(ISNA(MATCH($C49,AR!$E$4:$E$1019,0)),"",
IF($E49=0,IF(INDEX(AR!$Q$4:$Q$1019,MATCH($C49,AR!$E$4:$E$1019,0))="","",INDEX(AR!$Q$4:$Q$1019,MATCH($C49,AR!$E$4:$E$1019,0))),
IF($E49=1,IF(INDEX(AR!$V$4:$V$1019,MATCH($C49,AR!$E$4:$E$1019,0))="","",INDEX(AR!$V$4:$V$1019,MATCH($C49,AR!$E$4:$E$1019,0))),
IF($E49=2,IF(INDEX(AR!$AA$4:$AA$1019,MATCH($C49,AR!$E$4:$E$1019,0))="","",INDEX(AR!$AA$4:$AA$1019,MATCH($C49,AR!$E$4:$E$1019,0))),
IF($E49=3,IF(INDEX(AR!$AF$4:$AF$1019,MATCH($C49,AR!$E$4:$E$1019,0))="","",INDEX(AR!$AF$4:$AF$1019,MATCH($C49,AR!$E$4:$E$1019,0))),
IF($E49=4,IF(INDEX(AR!$AK$4:$AK$1019,MATCH($C49,AR!$E$4:$E$1019,0))="","",INDEX(AR!$AK$4:$AK$1019,MATCH($C49,AR!$E$4:$E$1019,0))),
IF($E49=5,IF(INDEX(AR!$AP$4:$AP$1019,MATCH($C49,AR!$E$4:$E$1019,0))="","",INDEX(AR!$AP$4:$AP$1019,MATCH($C49,AR!$E$4:$E$1019,0))),"")))))))</f>
        <v/>
      </c>
      <c r="J49" s="459" t="str">
        <f>IF(ISNA(MATCH($C49,AR!$E$4:$E$1019,0)),"",
IF($E49=0,IF(INDEX(AR!$R$4:$R$1019,MATCH($C49,AR!$E$4:$E$1019,0))="","",INDEX(AR!$R$4:$R$1019,MATCH($C49,AR!$E$4:$E$1019,0))),
IF($E49=1,IF(INDEX(AR!$W$4:$W$1019,MATCH($C49,AR!$E$4:$E$1019,0))="","",INDEX(AR!$W$4:$W$1019,MATCH($C49,AR!$E$4:$E$1019,0))),
IF($E49=2,IF(INDEX(AR!$AB$4:$AB$1019,MATCH($C49,AR!$E$4:$E$1019,0))="","",INDEX(AR!$AB$4:$AB$1019,MATCH($C49,AR!$E$4:$E$1019,0))),
IF($E49=3,IF(INDEX(AR!$AG$4:$AG$1019,MATCH($C49,AR!$E$4:$E$1019,0))="","",INDEX(AR!$AG$4:$AG$1019,MATCH($C49,AR!$E$4:$E$1019,0))),
IF($E49=4,IF(INDEX(AR!$AL$4:$AL$1019,MATCH($C49,AR!$E$4:$E$1019,0))="","",INDEX(AR!$AL$4:$AL$1019,MATCH($C49,AR!$E$4:$E$1019,0))),
IF($E49=5,IF(INDEX(AR!$AQ$4:$AQ$1019,MATCH($C49,AR!$E$4:$E$1019,0))="","",INDEX(AR!$AQ$4:$AQ$1019,MATCH($C49,AR!$E$4:$E$1019,0))),"")))))))</f>
        <v/>
      </c>
      <c r="K49" s="459">
        <f>AR!J48</f>
        <v>0</v>
      </c>
      <c r="L49" s="460" t="e" cm="1">
        <f t="array" aca="1" ref="L49" ca="1">_xlfn.IFS(AND($E49&lt;&gt;"",$M49="Pending",$K49="CTA"),TODAY()-$G49,AND($E49&lt;&gt;"",$M49="Pending",$K49="AUR"),TODAY()-$H49,AND($E49&lt;&gt;"",$M49="Pending",$K49="STT"),TODAY()-$I49,OR(K49="Closed",K49=""),"")</f>
        <v>#N/A</v>
      </c>
      <c r="M49" s="461">
        <f>VLOOKUP(C49,AR!$E$4:$AC$512,7,0)</f>
        <v>0</v>
      </c>
      <c r="N49" s="651" t="str">
        <f t="shared" si="1"/>
        <v/>
      </c>
      <c r="O49" s="739" t="str">
        <f>AR!M48</f>
        <v>GC</v>
      </c>
      <c r="P49" s="746" t="str">
        <v>NO</v>
      </c>
    </row>
    <row r="50" spans="1:16" s="385" customFormat="1" ht="27" hidden="1" customHeight="1">
      <c r="A50" s="399">
        <v>46</v>
      </c>
      <c r="B50" s="455" t="s">
        <v>19</v>
      </c>
      <c r="C50" s="454" t="s">
        <v>219</v>
      </c>
      <c r="D50" s="456" t="str">
        <f>_xlfn.XLOOKUP(C50,AR!$E$4:$E$56,AR!$D$4:$D$56)</f>
        <v>Level 6 - Door Schedule Layout &amp; Details</v>
      </c>
      <c r="E50" s="454" t="str">
        <f>IF(VLOOKUP(C50,AR!$E$4:$AC$512,5,0)="","",VLOOKUP(C50,AR!$E$4:$AC$1011,5,0))</f>
        <v/>
      </c>
      <c r="F50" s="457"/>
      <c r="G50" s="458" t="str">
        <f>IF(VLOOKUP(C50,AR!$E$4:$AC$512,3,0)="","",VLOOKUP(C50,AR!$E$4:$AC$512,3,0))</f>
        <v/>
      </c>
      <c r="H50" s="459" t="str">
        <f>IF(ISNA(MATCH($C50,AR!$E$4:$E$1019,0)),"",
IF($E50=0,IF(INDEX(AR!$P$4:$P$1019,MATCH($C50,AR!$E$4:$E$1019,0))="","",INDEX(AR!$P$4:$P$1019,MATCH($C50,AR!$E$4:$E$1019,0))),
IF($E50=1,IF(INDEX(AR!$U$4:$U$1019,MATCH($C50,AR!$E$4:$E$1019,0))="","",INDEX(AR!$U$4:$U$1019,MATCH($C50,AR!$E$4:$E$1019,0))),
IF($E50=2,IF(INDEX(AR!$Z$4:$Z$1019,MATCH($C50,AR!$E$4:$E$1019,0))="","",INDEX(AR!$Z$4:$Z$1019,MATCH($C50,AR!$E$4:$E$1019,0))),
IF($E50=3,IF(INDEX(AR!$AE$4:$AE$1019,MATCH($C50,AR!$E$4:$E$1019,0))="","",INDEX(AR!$AE$4:$AE$1019,MATCH($C50,AR!$E$4:$E$1019,0))),
IF($E50=4,IF(INDEX(AR!$AJ$4:$AJ$1019,MATCH($C50,AR!$E$4:$E$1019,0))="","",INDEX(AR!$AJ$4:$AJ$1019,MATCH($C50,AR!$E$4:$E$1019,0))),
IF($E50=5,IF(INDEX(AR!$AO$4:$AO$1019,MATCH($C50,AR!$E$4:$E$1019,0))="","",INDEX(AR!$AO$4:$AO$1019,MATCH($C50,AR!$E$4:$E$1019,0))),"")))))))</f>
        <v/>
      </c>
      <c r="I50" s="459" t="str">
        <f>IF(ISNA(MATCH($C50,AR!$E$4:$E$1019,0)),"",
IF($E50=0,IF(INDEX(AR!$Q$4:$Q$1019,MATCH($C50,AR!$E$4:$E$1019,0))="","",INDEX(AR!$Q$4:$Q$1019,MATCH($C50,AR!$E$4:$E$1019,0))),
IF($E50=1,IF(INDEX(AR!$V$4:$V$1019,MATCH($C50,AR!$E$4:$E$1019,0))="","",INDEX(AR!$V$4:$V$1019,MATCH($C50,AR!$E$4:$E$1019,0))),
IF($E50=2,IF(INDEX(AR!$AA$4:$AA$1019,MATCH($C50,AR!$E$4:$E$1019,0))="","",INDEX(AR!$AA$4:$AA$1019,MATCH($C50,AR!$E$4:$E$1019,0))),
IF($E50=3,IF(INDEX(AR!$AF$4:$AF$1019,MATCH($C50,AR!$E$4:$E$1019,0))="","",INDEX(AR!$AF$4:$AF$1019,MATCH($C50,AR!$E$4:$E$1019,0))),
IF($E50=4,IF(INDEX(AR!$AK$4:$AK$1019,MATCH($C50,AR!$E$4:$E$1019,0))="","",INDEX(AR!$AK$4:$AK$1019,MATCH($C50,AR!$E$4:$E$1019,0))),
IF($E50=5,IF(INDEX(AR!$AP$4:$AP$1019,MATCH($C50,AR!$E$4:$E$1019,0))="","",INDEX(AR!$AP$4:$AP$1019,MATCH($C50,AR!$E$4:$E$1019,0))),"")))))))</f>
        <v/>
      </c>
      <c r="J50" s="459" t="str">
        <f>IF(ISNA(MATCH($C50,AR!$E$4:$E$1019,0)),"",
IF($E50=0,IF(INDEX(AR!$R$4:$R$1019,MATCH($C50,AR!$E$4:$E$1019,0))="","",INDEX(AR!$R$4:$R$1019,MATCH($C50,AR!$E$4:$E$1019,0))),
IF($E50=1,IF(INDEX(AR!$W$4:$W$1019,MATCH($C50,AR!$E$4:$E$1019,0))="","",INDEX(AR!$W$4:$W$1019,MATCH($C50,AR!$E$4:$E$1019,0))),
IF($E50=2,IF(INDEX(AR!$AB$4:$AB$1019,MATCH($C50,AR!$E$4:$E$1019,0))="","",INDEX(AR!$AB$4:$AB$1019,MATCH($C50,AR!$E$4:$E$1019,0))),
IF($E50=3,IF(INDEX(AR!$AG$4:$AG$1019,MATCH($C50,AR!$E$4:$E$1019,0))="","",INDEX(AR!$AG$4:$AG$1019,MATCH($C50,AR!$E$4:$E$1019,0))),
IF($E50=4,IF(INDEX(AR!$AL$4:$AL$1019,MATCH($C50,AR!$E$4:$E$1019,0))="","",INDEX(AR!$AL$4:$AL$1019,MATCH($C50,AR!$E$4:$E$1019,0))),
IF($E50=5,IF(INDEX(AR!$AQ$4:$AQ$1019,MATCH($C50,AR!$E$4:$E$1019,0))="","",INDEX(AR!$AQ$4:$AQ$1019,MATCH($C50,AR!$E$4:$E$1019,0))),"")))))))</f>
        <v/>
      </c>
      <c r="K50" s="459">
        <f>AR!J49</f>
        <v>0</v>
      </c>
      <c r="L50" s="460" t="e" cm="1">
        <f t="array" aca="1" ref="L50" ca="1">_xlfn.IFS(AND($E50&lt;&gt;"",$M50="Pending",$K50="CTA"),TODAY()-$G50,AND($E50&lt;&gt;"",$M50="Pending",$K50="AUR"),TODAY()-$H50,AND($E50&lt;&gt;"",$M50="Pending",$K50="STT"),TODAY()-$I50,OR(K50="Closed",K50=""),"")</f>
        <v>#N/A</v>
      </c>
      <c r="M50" s="461">
        <f>VLOOKUP(C50,AR!$E$4:$AC$512,7,0)</f>
        <v>0</v>
      </c>
      <c r="N50" s="651" t="str">
        <f t="shared" si="1"/>
        <v/>
      </c>
      <c r="O50" s="739" t="str">
        <f>AR!M49</f>
        <v>GC</v>
      </c>
      <c r="P50" s="746" t="str">
        <v>NO</v>
      </c>
    </row>
    <row r="51" spans="1:16" s="385" customFormat="1" ht="27" hidden="1" customHeight="1">
      <c r="A51" s="399">
        <v>47</v>
      </c>
      <c r="B51" s="455" t="s">
        <v>19</v>
      </c>
      <c r="C51" s="454" t="s">
        <v>222</v>
      </c>
      <c r="D51" s="456" t="str">
        <f>_xlfn.XLOOKUP(C51,AR!$E$4:$E$56,AR!$D$4:$D$56)</f>
        <v>Level 1 - Soffit Finishes &amp; Details</v>
      </c>
      <c r="E51" s="454" t="str">
        <f>IF(VLOOKUP(C51,AR!$E$4:$AC$512,5,0)="","",VLOOKUP(C51,AR!$E$4:$AC$1011,5,0))</f>
        <v/>
      </c>
      <c r="F51" s="457"/>
      <c r="G51" s="458" t="str">
        <f>IF(VLOOKUP(C51,AR!$E$4:$AC$512,3,0)="","",VLOOKUP(C51,AR!$E$4:$AC$512,3,0))</f>
        <v/>
      </c>
      <c r="H51" s="459" t="str">
        <f>IF(ISNA(MATCH($C51,AR!$E$4:$E$1019,0)),"",
IF($E51=0,IF(INDEX(AR!$P$4:$P$1019,MATCH($C51,AR!$E$4:$E$1019,0))="","",INDEX(AR!$P$4:$P$1019,MATCH($C51,AR!$E$4:$E$1019,0))),
IF($E51=1,IF(INDEX(AR!$U$4:$U$1019,MATCH($C51,AR!$E$4:$E$1019,0))="","",INDEX(AR!$U$4:$U$1019,MATCH($C51,AR!$E$4:$E$1019,0))),
IF($E51=2,IF(INDEX(AR!$Z$4:$Z$1019,MATCH($C51,AR!$E$4:$E$1019,0))="","",INDEX(AR!$Z$4:$Z$1019,MATCH($C51,AR!$E$4:$E$1019,0))),
IF($E51=3,IF(INDEX(AR!$AE$4:$AE$1019,MATCH($C51,AR!$E$4:$E$1019,0))="","",INDEX(AR!$AE$4:$AE$1019,MATCH($C51,AR!$E$4:$E$1019,0))),
IF($E51=4,IF(INDEX(AR!$AJ$4:$AJ$1019,MATCH($C51,AR!$E$4:$E$1019,0))="","",INDEX(AR!$AJ$4:$AJ$1019,MATCH($C51,AR!$E$4:$E$1019,0))),
IF($E51=5,IF(INDEX(AR!$AO$4:$AO$1019,MATCH($C51,AR!$E$4:$E$1019,0))="","",INDEX(AR!$AO$4:$AO$1019,MATCH($C51,AR!$E$4:$E$1019,0))),"")))))))</f>
        <v/>
      </c>
      <c r="I51" s="459" t="str">
        <f>IF(ISNA(MATCH($C51,AR!$E$4:$E$1019,0)),"",
IF($E51=0,IF(INDEX(AR!$Q$4:$Q$1019,MATCH($C51,AR!$E$4:$E$1019,0))="","",INDEX(AR!$Q$4:$Q$1019,MATCH($C51,AR!$E$4:$E$1019,0))),
IF($E51=1,IF(INDEX(AR!$V$4:$V$1019,MATCH($C51,AR!$E$4:$E$1019,0))="","",INDEX(AR!$V$4:$V$1019,MATCH($C51,AR!$E$4:$E$1019,0))),
IF($E51=2,IF(INDEX(AR!$AA$4:$AA$1019,MATCH($C51,AR!$E$4:$E$1019,0))="","",INDEX(AR!$AA$4:$AA$1019,MATCH($C51,AR!$E$4:$E$1019,0))),
IF($E51=3,IF(INDEX(AR!$AF$4:$AF$1019,MATCH($C51,AR!$E$4:$E$1019,0))="","",INDEX(AR!$AF$4:$AF$1019,MATCH($C51,AR!$E$4:$E$1019,0))),
IF($E51=4,IF(INDEX(AR!$AK$4:$AK$1019,MATCH($C51,AR!$E$4:$E$1019,0))="","",INDEX(AR!$AK$4:$AK$1019,MATCH($C51,AR!$E$4:$E$1019,0))),
IF($E51=5,IF(INDEX(AR!$AP$4:$AP$1019,MATCH($C51,AR!$E$4:$E$1019,0))="","",INDEX(AR!$AP$4:$AP$1019,MATCH($C51,AR!$E$4:$E$1019,0))),"")))))))</f>
        <v/>
      </c>
      <c r="J51" s="459" t="str">
        <f>IF(ISNA(MATCH($C51,AR!$E$4:$E$1019,0)),"",
IF($E51=0,IF(INDEX(AR!$R$4:$R$1019,MATCH($C51,AR!$E$4:$E$1019,0))="","",INDEX(AR!$R$4:$R$1019,MATCH($C51,AR!$E$4:$E$1019,0))),
IF($E51=1,IF(INDEX(AR!$W$4:$W$1019,MATCH($C51,AR!$E$4:$E$1019,0))="","",INDEX(AR!$W$4:$W$1019,MATCH($C51,AR!$E$4:$E$1019,0))),
IF($E51=2,IF(INDEX(AR!$AB$4:$AB$1019,MATCH($C51,AR!$E$4:$E$1019,0))="","",INDEX(AR!$AB$4:$AB$1019,MATCH($C51,AR!$E$4:$E$1019,0))),
IF($E51=3,IF(INDEX(AR!$AG$4:$AG$1019,MATCH($C51,AR!$E$4:$E$1019,0))="","",INDEX(AR!$AG$4:$AG$1019,MATCH($C51,AR!$E$4:$E$1019,0))),
IF($E51=4,IF(INDEX(AR!$AL$4:$AL$1019,MATCH($C51,AR!$E$4:$E$1019,0))="","",INDEX(AR!$AL$4:$AL$1019,MATCH($C51,AR!$E$4:$E$1019,0))),
IF($E51=5,IF(INDEX(AR!$AQ$4:$AQ$1019,MATCH($C51,AR!$E$4:$E$1019,0))="","",INDEX(AR!$AQ$4:$AQ$1019,MATCH($C51,AR!$E$4:$E$1019,0))),"")))))))</f>
        <v/>
      </c>
      <c r="K51" s="459">
        <f>AR!J50</f>
        <v>0</v>
      </c>
      <c r="L51" s="460" t="e" cm="1">
        <f t="array" aca="1" ref="L51" ca="1">_xlfn.IFS(AND($E51&lt;&gt;"",$M51="Pending",$K51="CTA"),TODAY()-$G51,AND($E51&lt;&gt;"",$M51="Pending",$K51="AUR"),TODAY()-$H51,AND($E51&lt;&gt;"",$M51="Pending",$K51="STT"),TODAY()-$I51,OR(K51="Closed",K51=""),"")</f>
        <v>#N/A</v>
      </c>
      <c r="M51" s="461">
        <f>VLOOKUP(C51,AR!$E$4:$AC$512,7,0)</f>
        <v>0</v>
      </c>
      <c r="N51" s="651" t="str">
        <f t="shared" si="1"/>
        <v/>
      </c>
      <c r="O51" s="739" t="str">
        <f>AR!M50</f>
        <v>GC</v>
      </c>
      <c r="P51" s="746" t="str">
        <v>NO</v>
      </c>
    </row>
    <row r="52" spans="1:16" s="385" customFormat="1" ht="27" hidden="1" customHeight="1">
      <c r="A52" s="399">
        <v>48</v>
      </c>
      <c r="B52" s="455" t="s">
        <v>19</v>
      </c>
      <c r="C52" s="454" t="s">
        <v>225</v>
      </c>
      <c r="D52" s="456" t="str">
        <f>_xlfn.XLOOKUP(C52,AR!$E$4:$E$56,AR!$D$4:$D$56)</f>
        <v>Level 1 - Ceiling Finishes &amp; Details</v>
      </c>
      <c r="E52" s="454" t="str">
        <f>IF(VLOOKUP(C52,AR!$E$4:$AC$512,5,0)="","",VLOOKUP(C52,AR!$E$4:$AC$1011,5,0))</f>
        <v/>
      </c>
      <c r="F52" s="457"/>
      <c r="G52" s="458" t="str">
        <f>IF(VLOOKUP(C52,AR!$E$4:$AC$512,3,0)="","",VLOOKUP(C52,AR!$E$4:$AC$512,3,0))</f>
        <v/>
      </c>
      <c r="H52" s="459" t="str">
        <f>IF(ISNA(MATCH($C52,AR!$E$4:$E$1019,0)),"",
IF($E52=0,IF(INDEX(AR!$P$4:$P$1019,MATCH($C52,AR!$E$4:$E$1019,0))="","",INDEX(AR!$P$4:$P$1019,MATCH($C52,AR!$E$4:$E$1019,0))),
IF($E52=1,IF(INDEX(AR!$U$4:$U$1019,MATCH($C52,AR!$E$4:$E$1019,0))="","",INDEX(AR!$U$4:$U$1019,MATCH($C52,AR!$E$4:$E$1019,0))),
IF($E52=2,IF(INDEX(AR!$Z$4:$Z$1019,MATCH($C52,AR!$E$4:$E$1019,0))="","",INDEX(AR!$Z$4:$Z$1019,MATCH($C52,AR!$E$4:$E$1019,0))),
IF($E52=3,IF(INDEX(AR!$AE$4:$AE$1019,MATCH($C52,AR!$E$4:$E$1019,0))="","",INDEX(AR!$AE$4:$AE$1019,MATCH($C52,AR!$E$4:$E$1019,0))),
IF($E52=4,IF(INDEX(AR!$AJ$4:$AJ$1019,MATCH($C52,AR!$E$4:$E$1019,0))="","",INDEX(AR!$AJ$4:$AJ$1019,MATCH($C52,AR!$E$4:$E$1019,0))),
IF($E52=5,IF(INDEX(AR!$AO$4:$AO$1019,MATCH($C52,AR!$E$4:$E$1019,0))="","",INDEX(AR!$AO$4:$AO$1019,MATCH($C52,AR!$E$4:$E$1019,0))),"")))))))</f>
        <v/>
      </c>
      <c r="I52" s="459" t="str">
        <f>IF(ISNA(MATCH($C52,AR!$E$4:$E$1019,0)),"",
IF($E52=0,IF(INDEX(AR!$Q$4:$Q$1019,MATCH($C52,AR!$E$4:$E$1019,0))="","",INDEX(AR!$Q$4:$Q$1019,MATCH($C52,AR!$E$4:$E$1019,0))),
IF($E52=1,IF(INDEX(AR!$V$4:$V$1019,MATCH($C52,AR!$E$4:$E$1019,0))="","",INDEX(AR!$V$4:$V$1019,MATCH($C52,AR!$E$4:$E$1019,0))),
IF($E52=2,IF(INDEX(AR!$AA$4:$AA$1019,MATCH($C52,AR!$E$4:$E$1019,0))="","",INDEX(AR!$AA$4:$AA$1019,MATCH($C52,AR!$E$4:$E$1019,0))),
IF($E52=3,IF(INDEX(AR!$AF$4:$AF$1019,MATCH($C52,AR!$E$4:$E$1019,0))="","",INDEX(AR!$AF$4:$AF$1019,MATCH($C52,AR!$E$4:$E$1019,0))),
IF($E52=4,IF(INDEX(AR!$AK$4:$AK$1019,MATCH($C52,AR!$E$4:$E$1019,0))="","",INDEX(AR!$AK$4:$AK$1019,MATCH($C52,AR!$E$4:$E$1019,0))),
IF($E52=5,IF(INDEX(AR!$AP$4:$AP$1019,MATCH($C52,AR!$E$4:$E$1019,0))="","",INDEX(AR!$AP$4:$AP$1019,MATCH($C52,AR!$E$4:$E$1019,0))),"")))))))</f>
        <v/>
      </c>
      <c r="J52" s="459" t="str">
        <f>IF(ISNA(MATCH($C52,AR!$E$4:$E$1019,0)),"",
IF($E52=0,IF(INDEX(AR!$R$4:$R$1019,MATCH($C52,AR!$E$4:$E$1019,0))="","",INDEX(AR!$R$4:$R$1019,MATCH($C52,AR!$E$4:$E$1019,0))),
IF($E52=1,IF(INDEX(AR!$W$4:$W$1019,MATCH($C52,AR!$E$4:$E$1019,0))="","",INDEX(AR!$W$4:$W$1019,MATCH($C52,AR!$E$4:$E$1019,0))),
IF($E52=2,IF(INDEX(AR!$AB$4:$AB$1019,MATCH($C52,AR!$E$4:$E$1019,0))="","",INDEX(AR!$AB$4:$AB$1019,MATCH($C52,AR!$E$4:$E$1019,0))),
IF($E52=3,IF(INDEX(AR!$AG$4:$AG$1019,MATCH($C52,AR!$E$4:$E$1019,0))="","",INDEX(AR!$AG$4:$AG$1019,MATCH($C52,AR!$E$4:$E$1019,0))),
IF($E52=4,IF(INDEX(AR!$AL$4:$AL$1019,MATCH($C52,AR!$E$4:$E$1019,0))="","",INDEX(AR!$AL$4:$AL$1019,MATCH($C52,AR!$E$4:$E$1019,0))),
IF($E52=5,IF(INDEX(AR!$AQ$4:$AQ$1019,MATCH($C52,AR!$E$4:$E$1019,0))="","",INDEX(AR!$AQ$4:$AQ$1019,MATCH($C52,AR!$E$4:$E$1019,0))),"")))))))</f>
        <v/>
      </c>
      <c r="K52" s="459">
        <f>AR!J51</f>
        <v>0</v>
      </c>
      <c r="L52" s="460" t="e" cm="1">
        <f t="array" aca="1" ref="L52" ca="1">_xlfn.IFS(AND($E52&lt;&gt;"",$M52="Pending",$K52="CTA"),TODAY()-$G52,AND($E52&lt;&gt;"",$M52="Pending",$K52="AUR"),TODAY()-$H52,AND($E52&lt;&gt;"",$M52="Pending",$K52="STT"),TODAY()-$I52,OR(K52="Closed",K52=""),"")</f>
        <v>#N/A</v>
      </c>
      <c r="M52" s="461">
        <f>VLOOKUP(C52,AR!$E$4:$AC$512,7,0)</f>
        <v>0</v>
      </c>
      <c r="N52" s="651" t="str">
        <f t="shared" si="1"/>
        <v/>
      </c>
      <c r="O52" s="739" t="str">
        <f>AR!M51</f>
        <v>GC</v>
      </c>
      <c r="P52" s="746" t="str">
        <v>NO</v>
      </c>
    </row>
    <row r="53" spans="1:16" s="385" customFormat="1" ht="27" hidden="1" customHeight="1">
      <c r="A53" s="399">
        <v>49</v>
      </c>
      <c r="B53" s="607" t="s">
        <v>19</v>
      </c>
      <c r="C53" s="454" t="s">
        <v>228</v>
      </c>
      <c r="D53" s="456" t="str">
        <f>_xlfn.XLOOKUP(C53,AR!$E$4:$E$56,AR!$D$4:$D$56)</f>
        <v>Level 2 - Soffit Finishes &amp; Details</v>
      </c>
      <c r="E53" s="454">
        <f>IF(VLOOKUP(C53,AR!$E$4:$AC$512,5,0)="","",VLOOKUP(C53,AR!$E$4:$AC$1011,5,0))</f>
        <v>0</v>
      </c>
      <c r="F53" s="457"/>
      <c r="G53" s="458">
        <f>IF(VLOOKUP(C53,AR!$E$4:$AC$512,3,0)="","",VLOOKUP(C53,AR!$E$4:$AC$512,3,0))</f>
        <v>46045</v>
      </c>
      <c r="H53" s="459">
        <f>IF(ISNA(MATCH($C53,AR!$E$4:$E$1019,0)),"",
IF($E53=0,IF(INDEX(AR!$P$4:$P$1019,MATCH($C53,AR!$E$4:$E$1019,0))="","",INDEX(AR!$P$4:$P$1019,MATCH($C53,AR!$E$4:$E$1019,0))),
IF($E53=1,IF(INDEX(AR!$U$4:$U$1019,MATCH($C53,AR!$E$4:$E$1019,0))="","",INDEX(AR!$U$4:$U$1019,MATCH($C53,AR!$E$4:$E$1019,0))),
IF($E53=2,IF(INDEX(AR!$Z$4:$Z$1019,MATCH($C53,AR!$E$4:$E$1019,0))="","",INDEX(AR!$Z$4:$Z$1019,MATCH($C53,AR!$E$4:$E$1019,0))),
IF($E53=3,IF(INDEX(AR!$AE$4:$AE$1019,MATCH($C53,AR!$E$4:$E$1019,0))="","",INDEX(AR!$AE$4:$AE$1019,MATCH($C53,AR!$E$4:$E$1019,0))),
IF($E53=4,IF(INDEX(AR!$AJ$4:$AJ$1019,MATCH($C53,AR!$E$4:$E$1019,0))="","",INDEX(AR!$AJ$4:$AJ$1019,MATCH($C53,AR!$E$4:$E$1019,0))),
IF($E53=5,IF(INDEX(AR!$AO$4:$AO$1019,MATCH($C53,AR!$E$4:$E$1019,0))="","",INDEX(AR!$AO$4:$AO$1019,MATCH($C53,AR!$E$4:$E$1019,0))),"")))))))</f>
        <v>46049</v>
      </c>
      <c r="I53" s="459">
        <f>IF(ISNA(MATCH($C53,AR!$E$4:$E$1019,0)),"",
IF($E53=0,IF(INDEX(AR!$Q$4:$Q$1019,MATCH($C53,AR!$E$4:$E$1019,0))="","",INDEX(AR!$Q$4:$Q$1019,MATCH($C53,AR!$E$4:$E$1019,0))),
IF($E53=1,IF(INDEX(AR!$V$4:$V$1019,MATCH($C53,AR!$E$4:$E$1019,0))="","",INDEX(AR!$V$4:$V$1019,MATCH($C53,AR!$E$4:$E$1019,0))),
IF($E53=2,IF(INDEX(AR!$AA$4:$AA$1019,MATCH($C53,AR!$E$4:$E$1019,0))="","",INDEX(AR!$AA$4:$AA$1019,MATCH($C53,AR!$E$4:$E$1019,0))),
IF($E53=3,IF(INDEX(AR!$AF$4:$AF$1019,MATCH($C53,AR!$E$4:$E$1019,0))="","",INDEX(AR!$AF$4:$AF$1019,MATCH($C53,AR!$E$4:$E$1019,0))),
IF($E53=4,IF(INDEX(AR!$AK$4:$AK$1019,MATCH($C53,AR!$E$4:$E$1019,0))="","",INDEX(AR!$AK$4:$AK$1019,MATCH($C53,AR!$E$4:$E$1019,0))),
IF($E53=5,IF(INDEX(AR!$AP$4:$AP$1019,MATCH($C53,AR!$E$4:$E$1019,0))="","",INDEX(AR!$AP$4:$AP$1019,MATCH($C53,AR!$E$4:$E$1019,0))),"")))))))</f>
        <v>46052</v>
      </c>
      <c r="J53" s="459">
        <f>IF(ISNA(MATCH($C53,AR!$E$4:$E$1019,0)),"",
IF($E53=0,IF(INDEX(AR!$R$4:$R$1019,MATCH($C53,AR!$E$4:$E$1019,0))="","",INDEX(AR!$R$4:$R$1019,MATCH($C53,AR!$E$4:$E$1019,0))),
IF($E53=1,IF(INDEX(AR!$W$4:$W$1019,MATCH($C53,AR!$E$4:$E$1019,0))="","",INDEX(AR!$W$4:$W$1019,MATCH($C53,AR!$E$4:$E$1019,0))),
IF($E53=2,IF(INDEX(AR!$AB$4:$AB$1019,MATCH($C53,AR!$E$4:$E$1019,0))="","",INDEX(AR!$AB$4:$AB$1019,MATCH($C53,AR!$E$4:$E$1019,0))),
IF($E53=3,IF(INDEX(AR!$AG$4:$AG$1019,MATCH($C53,AR!$E$4:$E$1019,0))="","",INDEX(AR!$AG$4:$AG$1019,MATCH($C53,AR!$E$4:$E$1019,0))),
IF($E53=4,IF(INDEX(AR!$AL$4:$AL$1019,MATCH($C53,AR!$E$4:$E$1019,0))="","",INDEX(AR!$AL$4:$AL$1019,MATCH($C53,AR!$E$4:$E$1019,0))),
IF($E53=5,IF(INDEX(AR!$AQ$4:$AQ$1019,MATCH($C53,AR!$E$4:$E$1019,0))="","",INDEX(AR!$AQ$4:$AQ$1019,MATCH($C53,AR!$E$4:$E$1019,0))),"")))))))</f>
        <v>46059</v>
      </c>
      <c r="K53" s="459" t="str">
        <f>AR!J52</f>
        <v>Closed</v>
      </c>
      <c r="L53" s="460" t="str" cm="1">
        <f t="array" aca="1" ref="L53" ca="1">_xlfn.IFS(AND($E53&lt;&gt;"",$M53="Pending",$K53="CTA"),TODAY()-$G53,AND($E53&lt;&gt;"",$M53="Pending",$K53="AUR"),TODAY()-$H53,AND($E53&lt;&gt;"",$M53="Pending",$K53="STT"),TODAY()-$I53,OR(K53="Closed",K53=""),"")</f>
        <v/>
      </c>
      <c r="M53" s="461" t="str">
        <f>VLOOKUP(C53,AR!$E$4:$AC$512,7,0)</f>
        <v>B</v>
      </c>
      <c r="N53" s="651" t="str">
        <f t="shared" si="1"/>
        <v/>
      </c>
      <c r="O53" s="739" t="str">
        <f>AR!M52</f>
        <v>GC</v>
      </c>
      <c r="P53" s="746" t="str">
        <v>NO</v>
      </c>
    </row>
    <row r="54" spans="1:16" s="385" customFormat="1" ht="27" hidden="1" customHeight="1">
      <c r="A54" s="399">
        <v>50</v>
      </c>
      <c r="B54" s="455" t="s">
        <v>19</v>
      </c>
      <c r="C54" s="454" t="s">
        <v>231</v>
      </c>
      <c r="D54" s="456" t="str">
        <f>_xlfn.XLOOKUP(C54,AR!$E$4:$E$56,AR!$D$4:$D$56)</f>
        <v>Level 2 - Ceiling Finishes &amp; Details</v>
      </c>
      <c r="E54" s="454">
        <f>IF(VLOOKUP(C54,AR!$E$4:$AC$512,5,0)="","",VLOOKUP(C54,AR!$E$4:$AC$1011,5,0))</f>
        <v>0</v>
      </c>
      <c r="F54" s="457"/>
      <c r="G54" s="458">
        <f>IF(VLOOKUP(C54,AR!$E$4:$AC$512,3,0)="","",VLOOKUP(C54,AR!$E$4:$AC$512,3,0))</f>
        <v>46048</v>
      </c>
      <c r="H54" s="459">
        <f>IF(ISNA(MATCH($C54,AR!$E$4:$E$1019,0)),"",
IF($E54=0,IF(INDEX(AR!$P$4:$P$1019,MATCH($C54,AR!$E$4:$E$1019,0))="","",INDEX(AR!$P$4:$P$1019,MATCH($C54,AR!$E$4:$E$1019,0))),
IF($E54=1,IF(INDEX(AR!$U$4:$U$1019,MATCH($C54,AR!$E$4:$E$1019,0))="","",INDEX(AR!$U$4:$U$1019,MATCH($C54,AR!$E$4:$E$1019,0))),
IF($E54=2,IF(INDEX(AR!$Z$4:$Z$1019,MATCH($C54,AR!$E$4:$E$1019,0))="","",INDEX(AR!$Z$4:$Z$1019,MATCH($C54,AR!$E$4:$E$1019,0))),
IF($E54=3,IF(INDEX(AR!$AE$4:$AE$1019,MATCH($C54,AR!$E$4:$E$1019,0))="","",INDEX(AR!$AE$4:$AE$1019,MATCH($C54,AR!$E$4:$E$1019,0))),
IF($E54=4,IF(INDEX(AR!$AJ$4:$AJ$1019,MATCH($C54,AR!$E$4:$E$1019,0))="","",INDEX(AR!$AJ$4:$AJ$1019,MATCH($C54,AR!$E$4:$E$1019,0))),
IF($E54=5,IF(INDEX(AR!$AO$4:$AO$1019,MATCH($C54,AR!$E$4:$E$1019,0))="","",INDEX(AR!$AO$4:$AO$1019,MATCH($C54,AR!$E$4:$E$1019,0))),"")))))))</f>
        <v>46049</v>
      </c>
      <c r="I54" s="459">
        <f>IF(ISNA(MATCH($C54,AR!$E$4:$E$1019,0)),"",
IF($E54=0,IF(INDEX(AR!$Q$4:$Q$1019,MATCH($C54,AR!$E$4:$E$1019,0))="","",INDEX(AR!$Q$4:$Q$1019,MATCH($C54,AR!$E$4:$E$1019,0))),
IF($E54=1,IF(INDEX(AR!$V$4:$V$1019,MATCH($C54,AR!$E$4:$E$1019,0))="","",INDEX(AR!$V$4:$V$1019,MATCH($C54,AR!$E$4:$E$1019,0))),
IF($E54=2,IF(INDEX(AR!$AA$4:$AA$1019,MATCH($C54,AR!$E$4:$E$1019,0))="","",INDEX(AR!$AA$4:$AA$1019,MATCH($C54,AR!$E$4:$E$1019,0))),
IF($E54=3,IF(INDEX(AR!$AF$4:$AF$1019,MATCH($C54,AR!$E$4:$E$1019,0))="","",INDEX(AR!$AF$4:$AF$1019,MATCH($C54,AR!$E$4:$E$1019,0))),
IF($E54=4,IF(INDEX(AR!$AK$4:$AK$1019,MATCH($C54,AR!$E$4:$E$1019,0))="","",INDEX(AR!$AK$4:$AK$1019,MATCH($C54,AR!$E$4:$E$1019,0))),
IF($E54=5,IF(INDEX(AR!$AP$4:$AP$1019,MATCH($C54,AR!$E$4:$E$1019,0))="","",INDEX(AR!$AP$4:$AP$1019,MATCH($C54,AR!$E$4:$E$1019,0))),"")))))))</f>
        <v>46052</v>
      </c>
      <c r="J54" s="459">
        <f>IF(ISNA(MATCH($C54,AR!$E$4:$E$1019,0)),"",
IF($E54=0,IF(INDEX(AR!$R$4:$R$1019,MATCH($C54,AR!$E$4:$E$1019,0))="","",INDEX(AR!$R$4:$R$1019,MATCH($C54,AR!$E$4:$E$1019,0))),
IF($E54=1,IF(INDEX(AR!$W$4:$W$1019,MATCH($C54,AR!$E$4:$E$1019,0))="","",INDEX(AR!$W$4:$W$1019,MATCH($C54,AR!$E$4:$E$1019,0))),
IF($E54=2,IF(INDEX(AR!$AB$4:$AB$1019,MATCH($C54,AR!$E$4:$E$1019,0))="","",INDEX(AR!$AB$4:$AB$1019,MATCH($C54,AR!$E$4:$E$1019,0))),
IF($E54=3,IF(INDEX(AR!$AG$4:$AG$1019,MATCH($C54,AR!$E$4:$E$1019,0))="","",INDEX(AR!$AG$4:$AG$1019,MATCH($C54,AR!$E$4:$E$1019,0))),
IF($E54=4,IF(INDEX(AR!$AL$4:$AL$1019,MATCH($C54,AR!$E$4:$E$1019,0))="","",INDEX(AR!$AL$4:$AL$1019,MATCH($C54,AR!$E$4:$E$1019,0))),
IF($E54=5,IF(INDEX(AR!$AQ$4:$AQ$1019,MATCH($C54,AR!$E$4:$E$1019,0))="","",INDEX(AR!$AQ$4:$AQ$1019,MATCH($C54,AR!$E$4:$E$1019,0))),"")))))))</f>
        <v>46059</v>
      </c>
      <c r="K54" s="459" t="str">
        <f>AR!J53</f>
        <v>Closed</v>
      </c>
      <c r="L54" s="460" t="str" cm="1">
        <f t="array" aca="1" ref="L54" ca="1">_xlfn.IFS(AND($E54&lt;&gt;"",$M54="Pending",$K54="CTA"),TODAY()-$G54,AND($E54&lt;&gt;"",$M54="Pending",$K54="AUR"),TODAY()-$H54,AND($E54&lt;&gt;"",$M54="Pending",$K54="STT"),TODAY()-$I54,OR(K54="Closed",K54=""),"")</f>
        <v/>
      </c>
      <c r="M54" s="461" t="str">
        <f>VLOOKUP(C54,AR!$E$4:$AC$512,7,0)</f>
        <v>B</v>
      </c>
      <c r="N54" s="651" t="str">
        <f t="shared" si="1"/>
        <v/>
      </c>
      <c r="O54" s="739" t="str">
        <f>AR!M53</f>
        <v>GC</v>
      </c>
      <c r="P54" s="746" t="str">
        <v>NO</v>
      </c>
    </row>
    <row r="55" spans="1:16" s="385" customFormat="1" ht="27" hidden="1" customHeight="1">
      <c r="A55" s="399">
        <v>51</v>
      </c>
      <c r="B55" s="455" t="s">
        <v>19</v>
      </c>
      <c r="C55" s="454" t="s">
        <v>234</v>
      </c>
      <c r="D55" s="456" t="str">
        <f>_xlfn.XLOOKUP(C55,AR!$E$4:$E$56,AR!$D$4:$D$56)</f>
        <v>Level 2 - Structured Ceiling Anchor Layout &amp; Details</v>
      </c>
      <c r="E55" s="454">
        <f>IF(VLOOKUP(C55,AR!$E$4:$AC$512,5,0)="","",VLOOKUP(C55,AR!$E$4:$AC$1011,5,0))</f>
        <v>0</v>
      </c>
      <c r="F55" s="457"/>
      <c r="G55" s="458">
        <f>IF(VLOOKUP(C55,AR!$E$4:$AC$512,3,0)="","",VLOOKUP(C55,AR!$E$4:$AC$512,3,0))</f>
        <v>46048</v>
      </c>
      <c r="H55" s="459">
        <f>IF(ISNA(MATCH($C55,AR!$E$4:$E$1019,0)),"",
IF($E55=0,IF(INDEX(AR!$P$4:$P$1019,MATCH($C55,AR!$E$4:$E$1019,0))="","",INDEX(AR!$P$4:$P$1019,MATCH($C55,AR!$E$4:$E$1019,0))),
IF($E55=1,IF(INDEX(AR!$U$4:$U$1019,MATCH($C55,AR!$E$4:$E$1019,0))="","",INDEX(AR!$U$4:$U$1019,MATCH($C55,AR!$E$4:$E$1019,0))),
IF($E55=2,IF(INDEX(AR!$Z$4:$Z$1019,MATCH($C55,AR!$E$4:$E$1019,0))="","",INDEX(AR!$Z$4:$Z$1019,MATCH($C55,AR!$E$4:$E$1019,0))),
IF($E55=3,IF(INDEX(AR!$AE$4:$AE$1019,MATCH($C55,AR!$E$4:$E$1019,0))="","",INDEX(AR!$AE$4:$AE$1019,MATCH($C55,AR!$E$4:$E$1019,0))),
IF($E55=4,IF(INDEX(AR!$AJ$4:$AJ$1019,MATCH($C55,AR!$E$4:$E$1019,0))="","",INDEX(AR!$AJ$4:$AJ$1019,MATCH($C55,AR!$E$4:$E$1019,0))),
IF($E55=5,IF(INDEX(AR!$AO$4:$AO$1019,MATCH($C55,AR!$E$4:$E$1019,0))="","",INDEX(AR!$AO$4:$AO$1019,MATCH($C55,AR!$E$4:$E$1019,0))),"")))))))</f>
        <v>46049</v>
      </c>
      <c r="I55" s="459">
        <f>IF(ISNA(MATCH($C55,AR!$E$4:$E$1019,0)),"",
IF($E55=0,IF(INDEX(AR!$Q$4:$Q$1019,MATCH($C55,AR!$E$4:$E$1019,0))="","",INDEX(AR!$Q$4:$Q$1019,MATCH($C55,AR!$E$4:$E$1019,0))),
IF($E55=1,IF(INDEX(AR!$V$4:$V$1019,MATCH($C55,AR!$E$4:$E$1019,0))="","",INDEX(AR!$V$4:$V$1019,MATCH($C55,AR!$E$4:$E$1019,0))),
IF($E55=2,IF(INDEX(AR!$AA$4:$AA$1019,MATCH($C55,AR!$E$4:$E$1019,0))="","",INDEX(AR!$AA$4:$AA$1019,MATCH($C55,AR!$E$4:$E$1019,0))),
IF($E55=3,IF(INDEX(AR!$AF$4:$AF$1019,MATCH($C55,AR!$E$4:$E$1019,0))="","",INDEX(AR!$AF$4:$AF$1019,MATCH($C55,AR!$E$4:$E$1019,0))),
IF($E55=4,IF(INDEX(AR!$AK$4:$AK$1019,MATCH($C55,AR!$E$4:$E$1019,0))="","",INDEX(AR!$AK$4:$AK$1019,MATCH($C55,AR!$E$4:$E$1019,0))),
IF($E55=5,IF(INDEX(AR!$AP$4:$AP$1019,MATCH($C55,AR!$E$4:$E$1019,0))="","",INDEX(AR!$AP$4:$AP$1019,MATCH($C55,AR!$E$4:$E$1019,0))),"")))))))</f>
        <v>46052</v>
      </c>
      <c r="J55" s="459">
        <f>IF(ISNA(MATCH($C55,AR!$E$4:$E$1019,0)),"",
IF($E55=0,IF(INDEX(AR!$R$4:$R$1019,MATCH($C55,AR!$E$4:$E$1019,0))="","",INDEX(AR!$R$4:$R$1019,MATCH($C55,AR!$E$4:$E$1019,0))),
IF($E55=1,IF(INDEX(AR!$W$4:$W$1019,MATCH($C55,AR!$E$4:$E$1019,0))="","",INDEX(AR!$W$4:$W$1019,MATCH($C55,AR!$E$4:$E$1019,0))),
IF($E55=2,IF(INDEX(AR!$AB$4:$AB$1019,MATCH($C55,AR!$E$4:$E$1019,0))="","",INDEX(AR!$AB$4:$AB$1019,MATCH($C55,AR!$E$4:$E$1019,0))),
IF($E55=3,IF(INDEX(AR!$AG$4:$AG$1019,MATCH($C55,AR!$E$4:$E$1019,0))="","",INDEX(AR!$AG$4:$AG$1019,MATCH($C55,AR!$E$4:$E$1019,0))),
IF($E55=4,IF(INDEX(AR!$AL$4:$AL$1019,MATCH($C55,AR!$E$4:$E$1019,0))="","",INDEX(AR!$AL$4:$AL$1019,MATCH($C55,AR!$E$4:$E$1019,0))),
IF($E55=5,IF(INDEX(AR!$AQ$4:$AQ$1019,MATCH($C55,AR!$E$4:$E$1019,0))="","",INDEX(AR!$AQ$4:$AQ$1019,MATCH($C55,AR!$E$4:$E$1019,0))),"")))))))</f>
        <v>46059</v>
      </c>
      <c r="K55" s="459" t="str">
        <f>AR!J54</f>
        <v>Closed</v>
      </c>
      <c r="L55" s="460" t="str" cm="1">
        <f t="array" aca="1" ref="L55" ca="1">_xlfn.IFS(AND($E55&lt;&gt;"",$M55="Pending",$K55="CTA"),TODAY()-$G55,AND($E55&lt;&gt;"",$M55="Pending",$K55="AUR"),TODAY()-$H55,AND($E55&lt;&gt;"",$M55="Pending",$K55="STT"),TODAY()-$I55,OR(K55="Closed",K55=""),"")</f>
        <v/>
      </c>
      <c r="M55" s="461" t="str">
        <f>VLOOKUP(C55,AR!$E$4:$AC$512,7,0)</f>
        <v>B</v>
      </c>
      <c r="N55" s="651" t="str">
        <f t="shared" si="1"/>
        <v/>
      </c>
      <c r="O55" s="739" t="str">
        <f>AR!M54</f>
        <v>GC</v>
      </c>
      <c r="P55" s="746" t="str">
        <v>NO</v>
      </c>
    </row>
    <row r="56" spans="1:16" s="385" customFormat="1" ht="27" hidden="1" customHeight="1">
      <c r="A56" s="399">
        <v>52</v>
      </c>
      <c r="B56" s="455" t="s">
        <v>19</v>
      </c>
      <c r="C56" s="454" t="s">
        <v>237</v>
      </c>
      <c r="D56" s="456" t="str">
        <f>_xlfn.XLOOKUP(C56,AR!$E$4:$E$84,AR!$D$4:$D$84)</f>
        <v>Level 3 - Soffit Finishes &amp; Details</v>
      </c>
      <c r="E56" s="454" t="str">
        <f>IF(VLOOKUP(C56,AR!$E$4:$AC$512,5,0)="","",VLOOKUP(C56,AR!$E$4:$AC$1011,5,0))</f>
        <v/>
      </c>
      <c r="F56" s="457"/>
      <c r="G56" s="458" t="str">
        <f>IF(VLOOKUP(C56,AR!$E$4:$AC$512,3,0)="","",VLOOKUP(C56,AR!$E$4:$AC$512,3,0))</f>
        <v/>
      </c>
      <c r="H56" s="459" t="str">
        <f>IF(ISNA(MATCH($C56,AR!$E$4:$E$1019,0)),"",
IF($E56=0,IF(INDEX(AR!$P$4:$P$1019,MATCH($C56,AR!$E$4:$E$1019,0))="","",INDEX(AR!$P$4:$P$1019,MATCH($C56,AR!$E$4:$E$1019,0))),
IF($E56=1,IF(INDEX(AR!$U$4:$U$1019,MATCH($C56,AR!$E$4:$E$1019,0))="","",INDEX(AR!$U$4:$U$1019,MATCH($C56,AR!$E$4:$E$1019,0))),
IF($E56=2,IF(INDEX(AR!$Z$4:$Z$1019,MATCH($C56,AR!$E$4:$E$1019,0))="","",INDEX(AR!$Z$4:$Z$1019,MATCH($C56,AR!$E$4:$E$1019,0))),
IF($E56=3,IF(INDEX(AR!$AE$4:$AE$1019,MATCH($C56,AR!$E$4:$E$1019,0))="","",INDEX(AR!$AE$4:$AE$1019,MATCH($C56,AR!$E$4:$E$1019,0))),
IF($E56=4,IF(INDEX(AR!$AJ$4:$AJ$1019,MATCH($C56,AR!$E$4:$E$1019,0))="","",INDEX(AR!$AJ$4:$AJ$1019,MATCH($C56,AR!$E$4:$E$1019,0))),
IF($E56=5,IF(INDEX(AR!$AO$4:$AO$1019,MATCH($C56,AR!$E$4:$E$1019,0))="","",INDEX(AR!$AO$4:$AO$1019,MATCH($C56,AR!$E$4:$E$1019,0))),"")))))))</f>
        <v/>
      </c>
      <c r="I56" s="459" t="str">
        <f>IF(ISNA(MATCH($C56,AR!$E$4:$E$1019,0)),"",
IF($E56=0,IF(INDEX(AR!$Q$4:$Q$1019,MATCH($C56,AR!$E$4:$E$1019,0))="","",INDEX(AR!$Q$4:$Q$1019,MATCH($C56,AR!$E$4:$E$1019,0))),
IF($E56=1,IF(INDEX(AR!$V$4:$V$1019,MATCH($C56,AR!$E$4:$E$1019,0))="","",INDEX(AR!$V$4:$V$1019,MATCH($C56,AR!$E$4:$E$1019,0))),
IF($E56=2,IF(INDEX(AR!$AA$4:$AA$1019,MATCH($C56,AR!$E$4:$E$1019,0))="","",INDEX(AR!$AA$4:$AA$1019,MATCH($C56,AR!$E$4:$E$1019,0))),
IF($E56=3,IF(INDEX(AR!$AF$4:$AF$1019,MATCH($C56,AR!$E$4:$E$1019,0))="","",INDEX(AR!$AF$4:$AF$1019,MATCH($C56,AR!$E$4:$E$1019,0))),
IF($E56=4,IF(INDEX(AR!$AK$4:$AK$1019,MATCH($C56,AR!$E$4:$E$1019,0))="","",INDEX(AR!$AK$4:$AK$1019,MATCH($C56,AR!$E$4:$E$1019,0))),
IF($E56=5,IF(INDEX(AR!$AP$4:$AP$1019,MATCH($C56,AR!$E$4:$E$1019,0))="","",INDEX(AR!$AP$4:$AP$1019,MATCH($C56,AR!$E$4:$E$1019,0))),"")))))))</f>
        <v/>
      </c>
      <c r="J56" s="459" t="str">
        <f>IF(ISNA(MATCH($C56,AR!$E$4:$E$1019,0)),"",
IF($E56=0,IF(INDEX(AR!$R$4:$R$1019,MATCH($C56,AR!$E$4:$E$1019,0))="","",INDEX(AR!$R$4:$R$1019,MATCH($C56,AR!$E$4:$E$1019,0))),
IF($E56=1,IF(INDEX(AR!$W$4:$W$1019,MATCH($C56,AR!$E$4:$E$1019,0))="","",INDEX(AR!$W$4:$W$1019,MATCH($C56,AR!$E$4:$E$1019,0))),
IF($E56=2,IF(INDEX(AR!$AB$4:$AB$1019,MATCH($C56,AR!$E$4:$E$1019,0))="","",INDEX(AR!$AB$4:$AB$1019,MATCH($C56,AR!$E$4:$E$1019,0))),
IF($E56=3,IF(INDEX(AR!$AG$4:$AG$1019,MATCH($C56,AR!$E$4:$E$1019,0))="","",INDEX(AR!$AG$4:$AG$1019,MATCH($C56,AR!$E$4:$E$1019,0))),
IF($E56=4,IF(INDEX(AR!$AL$4:$AL$1019,MATCH($C56,AR!$E$4:$E$1019,0))="","",INDEX(AR!$AL$4:$AL$1019,MATCH($C56,AR!$E$4:$E$1019,0))),
IF($E56=5,IF(INDEX(AR!$AQ$4:$AQ$1019,MATCH($C56,AR!$E$4:$E$1019,0))="","",INDEX(AR!$AQ$4:$AQ$1019,MATCH($C56,AR!$E$4:$E$1019,0))),"")))))))</f>
        <v/>
      </c>
      <c r="K56" s="459">
        <f>AR!J55</f>
        <v>0</v>
      </c>
      <c r="L56" s="460" t="e" cm="1">
        <f t="array" aca="1" ref="L56" ca="1">_xlfn.IFS(AND($E56&lt;&gt;"",$M56="Pending",$K56="CTA"),TODAY()-$G56,AND($E56&lt;&gt;"",$M56="Pending",$K56="AUR"),TODAY()-$H56,AND($E56&lt;&gt;"",$M56="Pending",$K56="STT"),TODAY()-$I56,OR(K56="Closed",K56=""),"")</f>
        <v>#N/A</v>
      </c>
      <c r="M56" s="461">
        <f>VLOOKUP(C56,AR!$E$4:$AC$512,7,0)</f>
        <v>0</v>
      </c>
      <c r="N56" s="651" t="str">
        <f t="shared" si="1"/>
        <v/>
      </c>
      <c r="O56" s="739" t="str">
        <f>AR!M55</f>
        <v>GC</v>
      </c>
      <c r="P56" s="746" t="str">
        <v>NO</v>
      </c>
    </row>
    <row r="57" spans="1:16" s="385" customFormat="1" ht="27" hidden="1" customHeight="1">
      <c r="A57" s="399">
        <v>53</v>
      </c>
      <c r="B57" s="455" t="s">
        <v>19</v>
      </c>
      <c r="C57" s="454" t="s">
        <v>240</v>
      </c>
      <c r="D57" s="456" t="str">
        <f>_xlfn.XLOOKUP(C57,AR!$E$4:$E$84,AR!$D$4:$D$84)</f>
        <v>Level 6 - Soffit Finishes &amp; Details</v>
      </c>
      <c r="E57" s="454" t="str">
        <f>IF(VLOOKUP(C57,AR!$E$4:$AC$512,5,0)="","",VLOOKUP(C57,AR!$E$4:$AC$1011,5,0))</f>
        <v/>
      </c>
      <c r="F57" s="457"/>
      <c r="G57" s="458" t="str">
        <f>IF(VLOOKUP(C57,AR!$E$4:$AC$512,3,0)="","",VLOOKUP(C57,AR!$E$4:$AC$512,3,0))</f>
        <v/>
      </c>
      <c r="H57" s="459" t="str">
        <f>IF(ISNA(MATCH($C57,AR!$E$4:$E$1019,0)),"",
IF($E57=0,IF(INDEX(AR!$P$4:$P$1019,MATCH($C57,AR!$E$4:$E$1019,0))="","",INDEX(AR!$P$4:$P$1019,MATCH($C57,AR!$E$4:$E$1019,0))),
IF($E57=1,IF(INDEX(AR!$U$4:$U$1019,MATCH($C57,AR!$E$4:$E$1019,0))="","",INDEX(AR!$U$4:$U$1019,MATCH($C57,AR!$E$4:$E$1019,0))),
IF($E57=2,IF(INDEX(AR!$Z$4:$Z$1019,MATCH($C57,AR!$E$4:$E$1019,0))="","",INDEX(AR!$Z$4:$Z$1019,MATCH($C57,AR!$E$4:$E$1019,0))),
IF($E57=3,IF(INDEX(AR!$AE$4:$AE$1019,MATCH($C57,AR!$E$4:$E$1019,0))="","",INDEX(AR!$AE$4:$AE$1019,MATCH($C57,AR!$E$4:$E$1019,0))),
IF($E57=4,IF(INDEX(AR!$AJ$4:$AJ$1019,MATCH($C57,AR!$E$4:$E$1019,0))="","",INDEX(AR!$AJ$4:$AJ$1019,MATCH($C57,AR!$E$4:$E$1019,0))),
IF($E57=5,IF(INDEX(AR!$AO$4:$AO$1019,MATCH($C57,AR!$E$4:$E$1019,0))="","",INDEX(AR!$AO$4:$AO$1019,MATCH($C57,AR!$E$4:$E$1019,0))),"")))))))</f>
        <v/>
      </c>
      <c r="I57" s="459" t="str">
        <f>IF(ISNA(MATCH($C57,AR!$E$4:$E$1019,0)),"",
IF($E57=0,IF(INDEX(AR!$Q$4:$Q$1019,MATCH($C57,AR!$E$4:$E$1019,0))="","",INDEX(AR!$Q$4:$Q$1019,MATCH($C57,AR!$E$4:$E$1019,0))),
IF($E57=1,IF(INDEX(AR!$V$4:$V$1019,MATCH($C57,AR!$E$4:$E$1019,0))="","",INDEX(AR!$V$4:$V$1019,MATCH($C57,AR!$E$4:$E$1019,0))),
IF($E57=2,IF(INDEX(AR!$AA$4:$AA$1019,MATCH($C57,AR!$E$4:$E$1019,0))="","",INDEX(AR!$AA$4:$AA$1019,MATCH($C57,AR!$E$4:$E$1019,0))),
IF($E57=3,IF(INDEX(AR!$AF$4:$AF$1019,MATCH($C57,AR!$E$4:$E$1019,0))="","",INDEX(AR!$AF$4:$AF$1019,MATCH($C57,AR!$E$4:$E$1019,0))),
IF($E57=4,IF(INDEX(AR!$AK$4:$AK$1019,MATCH($C57,AR!$E$4:$E$1019,0))="","",INDEX(AR!$AK$4:$AK$1019,MATCH($C57,AR!$E$4:$E$1019,0))),
IF($E57=5,IF(INDEX(AR!$AP$4:$AP$1019,MATCH($C57,AR!$E$4:$E$1019,0))="","",INDEX(AR!$AP$4:$AP$1019,MATCH($C57,AR!$E$4:$E$1019,0))),"")))))))</f>
        <v/>
      </c>
      <c r="J57" s="459" t="str">
        <f>IF(ISNA(MATCH($C57,AR!$E$4:$E$1019,0)),"",
IF($E57=0,IF(INDEX(AR!$R$4:$R$1019,MATCH($C57,AR!$E$4:$E$1019,0))="","",INDEX(AR!$R$4:$R$1019,MATCH($C57,AR!$E$4:$E$1019,0))),
IF($E57=1,IF(INDEX(AR!$W$4:$W$1019,MATCH($C57,AR!$E$4:$E$1019,0))="","",INDEX(AR!$W$4:$W$1019,MATCH($C57,AR!$E$4:$E$1019,0))),
IF($E57=2,IF(INDEX(AR!$AB$4:$AB$1019,MATCH($C57,AR!$E$4:$E$1019,0))="","",INDEX(AR!$AB$4:$AB$1019,MATCH($C57,AR!$E$4:$E$1019,0))),
IF($E57=3,IF(INDEX(AR!$AG$4:$AG$1019,MATCH($C57,AR!$E$4:$E$1019,0))="","",INDEX(AR!$AG$4:$AG$1019,MATCH($C57,AR!$E$4:$E$1019,0))),
IF($E57=4,IF(INDEX(AR!$AL$4:$AL$1019,MATCH($C57,AR!$E$4:$E$1019,0))="","",INDEX(AR!$AL$4:$AL$1019,MATCH($C57,AR!$E$4:$E$1019,0))),
IF($E57=5,IF(INDEX(AR!$AQ$4:$AQ$1019,MATCH($C57,AR!$E$4:$E$1019,0))="","",INDEX(AR!$AQ$4:$AQ$1019,MATCH($C57,AR!$E$4:$E$1019,0))),"")))))))</f>
        <v/>
      </c>
      <c r="K57" s="459">
        <f>AR!J56</f>
        <v>0</v>
      </c>
      <c r="L57" s="460" t="e" cm="1">
        <f t="array" aca="1" ref="L57" ca="1">_xlfn.IFS(AND($E57&lt;&gt;"",$M57="Pending",$K57="CTA"),TODAY()-$G57,AND($E57&lt;&gt;"",$M57="Pending",$K57="AUR"),TODAY()-$H57,AND($E57&lt;&gt;"",$M57="Pending",$K57="STT"),TODAY()-$I57,OR(K57="Closed",K57=""),"")</f>
        <v>#N/A</v>
      </c>
      <c r="M57" s="461">
        <f>VLOOKUP(C57,AR!$E$4:$AC$512,7,0)</f>
        <v>0</v>
      </c>
      <c r="N57" s="651" t="str">
        <f t="shared" si="1"/>
        <v/>
      </c>
      <c r="O57" s="739" t="str">
        <f>AR!M56</f>
        <v>GC</v>
      </c>
      <c r="P57" s="746" t="str">
        <v>NO</v>
      </c>
    </row>
    <row r="58" spans="1:16" s="385" customFormat="1" ht="27" hidden="1" customHeight="1">
      <c r="A58" s="399">
        <v>54</v>
      </c>
      <c r="B58" s="455" t="s">
        <v>19</v>
      </c>
      <c r="C58" s="454" t="s">
        <v>243</v>
      </c>
      <c r="D58" s="456" t="str">
        <f>_xlfn.XLOOKUP(C58,AR!$E$4:$E$84,AR!$D$4:$D$84)</f>
        <v>Roof Deck - Soffit Finishes &amp; Details</v>
      </c>
      <c r="E58" s="454" t="str">
        <f>IF(VLOOKUP(C58,AR!$E$4:$AC$512,5,0)="","",VLOOKUP(C58,AR!$E$4:$AC$1011,5,0))</f>
        <v/>
      </c>
      <c r="F58" s="457"/>
      <c r="G58" s="458" t="str">
        <f>IF(VLOOKUP(C58,AR!$E$4:$AC$512,3,0)="","",VLOOKUP(C58,AR!$E$4:$AC$512,3,0))</f>
        <v/>
      </c>
      <c r="H58" s="459" t="str">
        <f>IF(ISNA(MATCH($C58,AR!$E$4:$E$1019,0)),"",
IF($E58=0,IF(INDEX(AR!$P$4:$P$1019,MATCH($C58,AR!$E$4:$E$1019,0))="","",INDEX(AR!$P$4:$P$1019,MATCH($C58,AR!$E$4:$E$1019,0))),
IF($E58=1,IF(INDEX(AR!$U$4:$U$1019,MATCH($C58,AR!$E$4:$E$1019,0))="","",INDEX(AR!$U$4:$U$1019,MATCH($C58,AR!$E$4:$E$1019,0))),
IF($E58=2,IF(INDEX(AR!$Z$4:$Z$1019,MATCH($C58,AR!$E$4:$E$1019,0))="","",INDEX(AR!$Z$4:$Z$1019,MATCH($C58,AR!$E$4:$E$1019,0))),
IF($E58=3,IF(INDEX(AR!$AE$4:$AE$1019,MATCH($C58,AR!$E$4:$E$1019,0))="","",INDEX(AR!$AE$4:$AE$1019,MATCH($C58,AR!$E$4:$E$1019,0))),
IF($E58=4,IF(INDEX(AR!$AJ$4:$AJ$1019,MATCH($C58,AR!$E$4:$E$1019,0))="","",INDEX(AR!$AJ$4:$AJ$1019,MATCH($C58,AR!$E$4:$E$1019,0))),
IF($E58=5,IF(INDEX(AR!$AO$4:$AO$1019,MATCH($C58,AR!$E$4:$E$1019,0))="","",INDEX(AR!$AO$4:$AO$1019,MATCH($C58,AR!$E$4:$E$1019,0))),"")))))))</f>
        <v/>
      </c>
      <c r="I58" s="459" t="str">
        <f>IF(ISNA(MATCH($C58,AR!$E$4:$E$1019,0)),"",
IF($E58=0,IF(INDEX(AR!$Q$4:$Q$1019,MATCH($C58,AR!$E$4:$E$1019,0))="","",INDEX(AR!$Q$4:$Q$1019,MATCH($C58,AR!$E$4:$E$1019,0))),
IF($E58=1,IF(INDEX(AR!$V$4:$V$1019,MATCH($C58,AR!$E$4:$E$1019,0))="","",INDEX(AR!$V$4:$V$1019,MATCH($C58,AR!$E$4:$E$1019,0))),
IF($E58=2,IF(INDEX(AR!$AA$4:$AA$1019,MATCH($C58,AR!$E$4:$E$1019,0))="","",INDEX(AR!$AA$4:$AA$1019,MATCH($C58,AR!$E$4:$E$1019,0))),
IF($E58=3,IF(INDEX(AR!$AF$4:$AF$1019,MATCH($C58,AR!$E$4:$E$1019,0))="","",INDEX(AR!$AF$4:$AF$1019,MATCH($C58,AR!$E$4:$E$1019,0))),
IF($E58=4,IF(INDEX(AR!$AK$4:$AK$1019,MATCH($C58,AR!$E$4:$E$1019,0))="","",INDEX(AR!$AK$4:$AK$1019,MATCH($C58,AR!$E$4:$E$1019,0))),
IF($E58=5,IF(INDEX(AR!$AP$4:$AP$1019,MATCH($C58,AR!$E$4:$E$1019,0))="","",INDEX(AR!$AP$4:$AP$1019,MATCH($C58,AR!$E$4:$E$1019,0))),"")))))))</f>
        <v/>
      </c>
      <c r="J58" s="459" t="str">
        <f>IF(ISNA(MATCH($C58,AR!$E$4:$E$1019,0)),"",
IF($E58=0,IF(INDEX(AR!$R$4:$R$1019,MATCH($C58,AR!$E$4:$E$1019,0))="","",INDEX(AR!$R$4:$R$1019,MATCH($C58,AR!$E$4:$E$1019,0))),
IF($E58=1,IF(INDEX(AR!$W$4:$W$1019,MATCH($C58,AR!$E$4:$E$1019,0))="","",INDEX(AR!$W$4:$W$1019,MATCH($C58,AR!$E$4:$E$1019,0))),
IF($E58=2,IF(INDEX(AR!$AB$4:$AB$1019,MATCH($C58,AR!$E$4:$E$1019,0))="","",INDEX(AR!$AB$4:$AB$1019,MATCH($C58,AR!$E$4:$E$1019,0))),
IF($E58=3,IF(INDEX(AR!$AG$4:$AG$1019,MATCH($C58,AR!$E$4:$E$1019,0))="","",INDEX(AR!$AG$4:$AG$1019,MATCH($C58,AR!$E$4:$E$1019,0))),
IF($E58=4,IF(INDEX(AR!$AL$4:$AL$1019,MATCH($C58,AR!$E$4:$E$1019,0))="","",INDEX(AR!$AL$4:$AL$1019,MATCH($C58,AR!$E$4:$E$1019,0))),
IF($E58=5,IF(INDEX(AR!$AQ$4:$AQ$1019,MATCH($C58,AR!$E$4:$E$1019,0))="","",INDEX(AR!$AQ$4:$AQ$1019,MATCH($C58,AR!$E$4:$E$1019,0))),"")))))))</f>
        <v/>
      </c>
      <c r="K58" s="459">
        <f>AR!J57</f>
        <v>0</v>
      </c>
      <c r="L58" s="460" t="e" cm="1">
        <f t="array" aca="1" ref="L58" ca="1">_xlfn.IFS(AND($E58&lt;&gt;"",$M58="Pending",$K58="CTA"),TODAY()-$G58,AND($E58&lt;&gt;"",$M58="Pending",$K58="AUR"),TODAY()-$H58,AND($E58&lt;&gt;"",$M58="Pending",$K58="STT"),TODAY()-$I58,OR(K58="Closed",K58=""),"")</f>
        <v>#N/A</v>
      </c>
      <c r="M58" s="461">
        <f>VLOOKUP(C58,AR!$E$4:$AC$512,7,0)</f>
        <v>0</v>
      </c>
      <c r="N58" s="651" t="str">
        <f t="shared" si="1"/>
        <v/>
      </c>
      <c r="O58" s="739" t="str">
        <f>AR!M57</f>
        <v>GC</v>
      </c>
      <c r="P58" s="746" t="str">
        <v>NO</v>
      </c>
    </row>
    <row r="59" spans="1:16" s="385" customFormat="1" ht="27" hidden="1" customHeight="1">
      <c r="A59" s="399">
        <v>55</v>
      </c>
      <c r="B59" s="455" t="s">
        <v>19</v>
      </c>
      <c r="C59" s="454" t="s">
        <v>246</v>
      </c>
      <c r="D59" s="456" t="str">
        <f>_xlfn.XLOOKUP(C59,AR!$E$4:$E$84,AR!$D$4:$D$84)</f>
        <v>Level 1 - Interior Elevation Views, Layout &amp; Details</v>
      </c>
      <c r="E59" s="454" t="str">
        <f>IF(VLOOKUP(C59,AR!$E$4:$AC$512,5,0)="","",VLOOKUP(C59,AR!$E$4:$AC$1011,5,0))</f>
        <v/>
      </c>
      <c r="F59" s="457"/>
      <c r="G59" s="458" t="str">
        <f>IF(VLOOKUP(C59,AR!$E$4:$AC$512,3,0)="","",VLOOKUP(C59,AR!$E$4:$AC$512,3,0))</f>
        <v/>
      </c>
      <c r="H59" s="459" t="str">
        <f>IF(ISNA(MATCH($C59,AR!$E$4:$E$1019,0)),"",
IF($E59=0,IF(INDEX(AR!$P$4:$P$1019,MATCH($C59,AR!$E$4:$E$1019,0))="","",INDEX(AR!$P$4:$P$1019,MATCH($C59,AR!$E$4:$E$1019,0))),
IF($E59=1,IF(INDEX(AR!$U$4:$U$1019,MATCH($C59,AR!$E$4:$E$1019,0))="","",INDEX(AR!$U$4:$U$1019,MATCH($C59,AR!$E$4:$E$1019,0))),
IF($E59=2,IF(INDEX(AR!$Z$4:$Z$1019,MATCH($C59,AR!$E$4:$E$1019,0))="","",INDEX(AR!$Z$4:$Z$1019,MATCH($C59,AR!$E$4:$E$1019,0))),
IF($E59=3,IF(INDEX(AR!$AE$4:$AE$1019,MATCH($C59,AR!$E$4:$E$1019,0))="","",INDEX(AR!$AE$4:$AE$1019,MATCH($C59,AR!$E$4:$E$1019,0))),
IF($E59=4,IF(INDEX(AR!$AJ$4:$AJ$1019,MATCH($C59,AR!$E$4:$E$1019,0))="","",INDEX(AR!$AJ$4:$AJ$1019,MATCH($C59,AR!$E$4:$E$1019,0))),
IF($E59=5,IF(INDEX(AR!$AO$4:$AO$1019,MATCH($C59,AR!$E$4:$E$1019,0))="","",INDEX(AR!$AO$4:$AO$1019,MATCH($C59,AR!$E$4:$E$1019,0))),"")))))))</f>
        <v/>
      </c>
      <c r="I59" s="459" t="str">
        <f>IF(ISNA(MATCH($C59,AR!$E$4:$E$1019,0)),"",
IF($E59=0,IF(INDEX(AR!$Q$4:$Q$1019,MATCH($C59,AR!$E$4:$E$1019,0))="","",INDEX(AR!$Q$4:$Q$1019,MATCH($C59,AR!$E$4:$E$1019,0))),
IF($E59=1,IF(INDEX(AR!$V$4:$V$1019,MATCH($C59,AR!$E$4:$E$1019,0))="","",INDEX(AR!$V$4:$V$1019,MATCH($C59,AR!$E$4:$E$1019,0))),
IF($E59=2,IF(INDEX(AR!$AA$4:$AA$1019,MATCH($C59,AR!$E$4:$E$1019,0))="","",INDEX(AR!$AA$4:$AA$1019,MATCH($C59,AR!$E$4:$E$1019,0))),
IF($E59=3,IF(INDEX(AR!$AF$4:$AF$1019,MATCH($C59,AR!$E$4:$E$1019,0))="","",INDEX(AR!$AF$4:$AF$1019,MATCH($C59,AR!$E$4:$E$1019,0))),
IF($E59=4,IF(INDEX(AR!$AK$4:$AK$1019,MATCH($C59,AR!$E$4:$E$1019,0))="","",INDEX(AR!$AK$4:$AK$1019,MATCH($C59,AR!$E$4:$E$1019,0))),
IF($E59=5,IF(INDEX(AR!$AP$4:$AP$1019,MATCH($C59,AR!$E$4:$E$1019,0))="","",INDEX(AR!$AP$4:$AP$1019,MATCH($C59,AR!$E$4:$E$1019,0))),"")))))))</f>
        <v/>
      </c>
      <c r="J59" s="459" t="str">
        <f>IF(ISNA(MATCH($C59,AR!$E$4:$E$1019,0)),"",
IF($E59=0,IF(INDEX(AR!$R$4:$R$1019,MATCH($C59,AR!$E$4:$E$1019,0))="","",INDEX(AR!$R$4:$R$1019,MATCH($C59,AR!$E$4:$E$1019,0))),
IF($E59=1,IF(INDEX(AR!$W$4:$W$1019,MATCH($C59,AR!$E$4:$E$1019,0))="","",INDEX(AR!$W$4:$W$1019,MATCH($C59,AR!$E$4:$E$1019,0))),
IF($E59=2,IF(INDEX(AR!$AB$4:$AB$1019,MATCH($C59,AR!$E$4:$E$1019,0))="","",INDEX(AR!$AB$4:$AB$1019,MATCH($C59,AR!$E$4:$E$1019,0))),
IF($E59=3,IF(INDEX(AR!$AG$4:$AG$1019,MATCH($C59,AR!$E$4:$E$1019,0))="","",INDEX(AR!$AG$4:$AG$1019,MATCH($C59,AR!$E$4:$E$1019,0))),
IF($E59=4,IF(INDEX(AR!$AL$4:$AL$1019,MATCH($C59,AR!$E$4:$E$1019,0))="","",INDEX(AR!$AL$4:$AL$1019,MATCH($C59,AR!$E$4:$E$1019,0))),
IF($E59=5,IF(INDEX(AR!$AQ$4:$AQ$1019,MATCH($C59,AR!$E$4:$E$1019,0))="","",INDEX(AR!$AQ$4:$AQ$1019,MATCH($C59,AR!$E$4:$E$1019,0))),"")))))))</f>
        <v/>
      </c>
      <c r="K59" s="459">
        <f>AR!J58</f>
        <v>0</v>
      </c>
      <c r="L59" s="460" t="e" cm="1">
        <f t="array" aca="1" ref="L59" ca="1">_xlfn.IFS(AND($E59&lt;&gt;"",$M59="Pending",$K59="CTA"),TODAY()-$G59,AND($E59&lt;&gt;"",$M59="Pending",$K59="AUR"),TODAY()-$H59,AND($E59&lt;&gt;"",$M59="Pending",$K59="STT"),TODAY()-$I59,OR(K59="Closed",K59=""),"")</f>
        <v>#N/A</v>
      </c>
      <c r="M59" s="461">
        <f>VLOOKUP(C59,AR!$E$4:$AC$512,7,0)</f>
        <v>0</v>
      </c>
      <c r="N59" s="651" t="str">
        <f t="shared" si="1"/>
        <v/>
      </c>
      <c r="O59" s="739" t="str">
        <f>AR!M58</f>
        <v>GC</v>
      </c>
      <c r="P59" s="746" t="str">
        <v>NO</v>
      </c>
    </row>
    <row r="60" spans="1:16" s="385" customFormat="1" ht="27" hidden="1" customHeight="1">
      <c r="A60" s="399">
        <v>56</v>
      </c>
      <c r="B60" s="455" t="s">
        <v>19</v>
      </c>
      <c r="C60" s="454" t="s">
        <v>249</v>
      </c>
      <c r="D60" s="456" t="str">
        <f>_xlfn.XLOOKUP(C60,AR!$E$4:$E$84,AR!$D$4:$D$84)</f>
        <v>Level 1 - Reception Hall Layout &amp; Details</v>
      </c>
      <c r="E60" s="454" t="str">
        <f>IF(VLOOKUP(C60,AR!$E$4:$AC$512,5,0)="","",VLOOKUP(C60,AR!$E$4:$AC$1011,5,0))</f>
        <v/>
      </c>
      <c r="F60" s="457"/>
      <c r="G60" s="458" t="str">
        <f>IF(VLOOKUP(C60,AR!$E$4:$AC$512,3,0)="","",VLOOKUP(C60,AR!$E$4:$AC$512,3,0))</f>
        <v/>
      </c>
      <c r="H60" s="459" t="str">
        <f>IF(ISNA(MATCH($C60,AR!$E$4:$E$1019,0)),"",
IF($E60=0,IF(INDEX(AR!$P$4:$P$1019,MATCH($C60,AR!$E$4:$E$1019,0))="","",INDEX(AR!$P$4:$P$1019,MATCH($C60,AR!$E$4:$E$1019,0))),
IF($E60=1,IF(INDEX(AR!$U$4:$U$1019,MATCH($C60,AR!$E$4:$E$1019,0))="","",INDEX(AR!$U$4:$U$1019,MATCH($C60,AR!$E$4:$E$1019,0))),
IF($E60=2,IF(INDEX(AR!$Z$4:$Z$1019,MATCH($C60,AR!$E$4:$E$1019,0))="","",INDEX(AR!$Z$4:$Z$1019,MATCH($C60,AR!$E$4:$E$1019,0))),
IF($E60=3,IF(INDEX(AR!$AE$4:$AE$1019,MATCH($C60,AR!$E$4:$E$1019,0))="","",INDEX(AR!$AE$4:$AE$1019,MATCH($C60,AR!$E$4:$E$1019,0))),
IF($E60=4,IF(INDEX(AR!$AJ$4:$AJ$1019,MATCH($C60,AR!$E$4:$E$1019,0))="","",INDEX(AR!$AJ$4:$AJ$1019,MATCH($C60,AR!$E$4:$E$1019,0))),
IF($E60=5,IF(INDEX(AR!$AO$4:$AO$1019,MATCH($C60,AR!$E$4:$E$1019,0))="","",INDEX(AR!$AO$4:$AO$1019,MATCH($C60,AR!$E$4:$E$1019,0))),"")))))))</f>
        <v/>
      </c>
      <c r="I60" s="459" t="str">
        <f>IF(ISNA(MATCH($C60,AR!$E$4:$E$1019,0)),"",
IF($E60=0,IF(INDEX(AR!$Q$4:$Q$1019,MATCH($C60,AR!$E$4:$E$1019,0))="","",INDEX(AR!$Q$4:$Q$1019,MATCH($C60,AR!$E$4:$E$1019,0))),
IF($E60=1,IF(INDEX(AR!$V$4:$V$1019,MATCH($C60,AR!$E$4:$E$1019,0))="","",INDEX(AR!$V$4:$V$1019,MATCH($C60,AR!$E$4:$E$1019,0))),
IF($E60=2,IF(INDEX(AR!$AA$4:$AA$1019,MATCH($C60,AR!$E$4:$E$1019,0))="","",INDEX(AR!$AA$4:$AA$1019,MATCH($C60,AR!$E$4:$E$1019,0))),
IF($E60=3,IF(INDEX(AR!$AF$4:$AF$1019,MATCH($C60,AR!$E$4:$E$1019,0))="","",INDEX(AR!$AF$4:$AF$1019,MATCH($C60,AR!$E$4:$E$1019,0))),
IF($E60=4,IF(INDEX(AR!$AK$4:$AK$1019,MATCH($C60,AR!$E$4:$E$1019,0))="","",INDEX(AR!$AK$4:$AK$1019,MATCH($C60,AR!$E$4:$E$1019,0))),
IF($E60=5,IF(INDEX(AR!$AP$4:$AP$1019,MATCH($C60,AR!$E$4:$E$1019,0))="","",INDEX(AR!$AP$4:$AP$1019,MATCH($C60,AR!$E$4:$E$1019,0))),"")))))))</f>
        <v/>
      </c>
      <c r="J60" s="459" t="str">
        <f>IF(ISNA(MATCH($C60,AR!$E$4:$E$1019,0)),"",
IF($E60=0,IF(INDEX(AR!$R$4:$R$1019,MATCH($C60,AR!$E$4:$E$1019,0))="","",INDEX(AR!$R$4:$R$1019,MATCH($C60,AR!$E$4:$E$1019,0))),
IF($E60=1,IF(INDEX(AR!$W$4:$W$1019,MATCH($C60,AR!$E$4:$E$1019,0))="","",INDEX(AR!$W$4:$W$1019,MATCH($C60,AR!$E$4:$E$1019,0))),
IF($E60=2,IF(INDEX(AR!$AB$4:$AB$1019,MATCH($C60,AR!$E$4:$E$1019,0))="","",INDEX(AR!$AB$4:$AB$1019,MATCH($C60,AR!$E$4:$E$1019,0))),
IF($E60=3,IF(INDEX(AR!$AG$4:$AG$1019,MATCH($C60,AR!$E$4:$E$1019,0))="","",INDEX(AR!$AG$4:$AG$1019,MATCH($C60,AR!$E$4:$E$1019,0))),
IF($E60=4,IF(INDEX(AR!$AL$4:$AL$1019,MATCH($C60,AR!$E$4:$E$1019,0))="","",INDEX(AR!$AL$4:$AL$1019,MATCH($C60,AR!$E$4:$E$1019,0))),
IF($E60=5,IF(INDEX(AR!$AQ$4:$AQ$1019,MATCH($C60,AR!$E$4:$E$1019,0))="","",INDEX(AR!$AQ$4:$AQ$1019,MATCH($C60,AR!$E$4:$E$1019,0))),"")))))))</f>
        <v/>
      </c>
      <c r="K60" s="459">
        <f>AR!J59</f>
        <v>0</v>
      </c>
      <c r="L60" s="460" t="e" cm="1">
        <f t="array" aca="1" ref="L60" ca="1">_xlfn.IFS(AND($E60&lt;&gt;"",$M60="Pending",$K60="CTA"),TODAY()-$G60,AND($E60&lt;&gt;"",$M60="Pending",$K60="AUR"),TODAY()-$H60,AND($E60&lt;&gt;"",$M60="Pending",$K60="STT"),TODAY()-$I60,OR(K60="Closed",K60=""),"")</f>
        <v>#N/A</v>
      </c>
      <c r="M60" s="461">
        <f>VLOOKUP(C60,AR!$E$4:$AC$512,7,0)</f>
        <v>0</v>
      </c>
      <c r="N60" s="651" t="str">
        <f t="shared" si="1"/>
        <v/>
      </c>
      <c r="O60" s="739" t="str">
        <f>AR!M59</f>
        <v>GC</v>
      </c>
      <c r="P60" s="746" t="str">
        <v>NO</v>
      </c>
    </row>
    <row r="61" spans="1:16" s="385" customFormat="1" ht="33.75" hidden="1" customHeight="1">
      <c r="A61" s="399">
        <v>57</v>
      </c>
      <c r="B61" s="455" t="s">
        <v>19</v>
      </c>
      <c r="C61" s="454" t="s">
        <v>252</v>
      </c>
      <c r="D61" s="456" t="str">
        <f>_xlfn.XLOOKUP(C61,AR!$E$4:$E$84,AR!$D$4:$D$84)</f>
        <v>Level 1 - Security Room 1 Layout &amp; Details</v>
      </c>
      <c r="E61" s="454" t="str">
        <f>IF(VLOOKUP(C61,AR!$E$4:$AC$512,5,0)="","",VLOOKUP(C61,AR!$E$4:$AC$1011,5,0))</f>
        <v/>
      </c>
      <c r="F61" s="457"/>
      <c r="G61" s="458" t="str">
        <f>IF(VLOOKUP(C61,AR!$E$4:$AC$512,3,0)="","",VLOOKUP(C61,AR!$E$4:$AC$512,3,0))</f>
        <v/>
      </c>
      <c r="H61" s="459" t="str">
        <f>IF(ISNA(MATCH($C61,AR!$E$4:$E$1019,0)),"",
IF($E61=0,IF(INDEX(AR!$P$4:$P$1019,MATCH($C61,AR!$E$4:$E$1019,0))="","",INDEX(AR!$P$4:$P$1019,MATCH($C61,AR!$E$4:$E$1019,0))),
IF($E61=1,IF(INDEX(AR!$U$4:$U$1019,MATCH($C61,AR!$E$4:$E$1019,0))="","",INDEX(AR!$U$4:$U$1019,MATCH($C61,AR!$E$4:$E$1019,0))),
IF($E61=2,IF(INDEX(AR!$Z$4:$Z$1019,MATCH($C61,AR!$E$4:$E$1019,0))="","",INDEX(AR!$Z$4:$Z$1019,MATCH($C61,AR!$E$4:$E$1019,0))),
IF($E61=3,IF(INDEX(AR!$AE$4:$AE$1019,MATCH($C61,AR!$E$4:$E$1019,0))="","",INDEX(AR!$AE$4:$AE$1019,MATCH($C61,AR!$E$4:$E$1019,0))),
IF($E61=4,IF(INDEX(AR!$AJ$4:$AJ$1019,MATCH($C61,AR!$E$4:$E$1019,0))="","",INDEX(AR!$AJ$4:$AJ$1019,MATCH($C61,AR!$E$4:$E$1019,0))),
IF($E61=5,IF(INDEX(AR!$AO$4:$AO$1019,MATCH($C61,AR!$E$4:$E$1019,0))="","",INDEX(AR!$AO$4:$AO$1019,MATCH($C61,AR!$E$4:$E$1019,0))),"")))))))</f>
        <v/>
      </c>
      <c r="I61" s="459" t="str">
        <f>IF(ISNA(MATCH($C61,AR!$E$4:$E$1019,0)),"",
IF($E61=0,IF(INDEX(AR!$Q$4:$Q$1019,MATCH($C61,AR!$E$4:$E$1019,0))="","",INDEX(AR!$Q$4:$Q$1019,MATCH($C61,AR!$E$4:$E$1019,0))),
IF($E61=1,IF(INDEX(AR!$V$4:$V$1019,MATCH($C61,AR!$E$4:$E$1019,0))="","",INDEX(AR!$V$4:$V$1019,MATCH($C61,AR!$E$4:$E$1019,0))),
IF($E61=2,IF(INDEX(AR!$AA$4:$AA$1019,MATCH($C61,AR!$E$4:$E$1019,0))="","",INDEX(AR!$AA$4:$AA$1019,MATCH($C61,AR!$E$4:$E$1019,0))),
IF($E61=3,IF(INDEX(AR!$AF$4:$AF$1019,MATCH($C61,AR!$E$4:$E$1019,0))="","",INDEX(AR!$AF$4:$AF$1019,MATCH($C61,AR!$E$4:$E$1019,0))),
IF($E61=4,IF(INDEX(AR!$AK$4:$AK$1019,MATCH($C61,AR!$E$4:$E$1019,0))="","",INDEX(AR!$AK$4:$AK$1019,MATCH($C61,AR!$E$4:$E$1019,0))),
IF($E61=5,IF(INDEX(AR!$AP$4:$AP$1019,MATCH($C61,AR!$E$4:$E$1019,0))="","",INDEX(AR!$AP$4:$AP$1019,MATCH($C61,AR!$E$4:$E$1019,0))),"")))))))</f>
        <v/>
      </c>
      <c r="J61" s="459" t="str">
        <f>IF(ISNA(MATCH($C61,AR!$E$4:$E$1019,0)),"",
IF($E61=0,IF(INDEX(AR!$R$4:$R$1019,MATCH($C61,AR!$E$4:$E$1019,0))="","",INDEX(AR!$R$4:$R$1019,MATCH($C61,AR!$E$4:$E$1019,0))),
IF($E61=1,IF(INDEX(AR!$W$4:$W$1019,MATCH($C61,AR!$E$4:$E$1019,0))="","",INDEX(AR!$W$4:$W$1019,MATCH($C61,AR!$E$4:$E$1019,0))),
IF($E61=2,IF(INDEX(AR!$AB$4:$AB$1019,MATCH($C61,AR!$E$4:$E$1019,0))="","",INDEX(AR!$AB$4:$AB$1019,MATCH($C61,AR!$E$4:$E$1019,0))),
IF($E61=3,IF(INDEX(AR!$AG$4:$AG$1019,MATCH($C61,AR!$E$4:$E$1019,0))="","",INDEX(AR!$AG$4:$AG$1019,MATCH($C61,AR!$E$4:$E$1019,0))),
IF($E61=4,IF(INDEX(AR!$AL$4:$AL$1019,MATCH($C61,AR!$E$4:$E$1019,0))="","",INDEX(AR!$AL$4:$AL$1019,MATCH($C61,AR!$E$4:$E$1019,0))),
IF($E61=5,IF(INDEX(AR!$AQ$4:$AQ$1019,MATCH($C61,AR!$E$4:$E$1019,0))="","",INDEX(AR!$AQ$4:$AQ$1019,MATCH($C61,AR!$E$4:$E$1019,0))),"")))))))</f>
        <v/>
      </c>
      <c r="K61" s="459">
        <f>AR!J60</f>
        <v>0</v>
      </c>
      <c r="L61" s="460" t="e" cm="1">
        <f t="array" aca="1" ref="L61" ca="1">_xlfn.IFS(AND($E61&lt;&gt;"",$M61="Pending",$K61="CTA"),TODAY()-$G61,AND($E61&lt;&gt;"",$M61="Pending",$K61="AUR"),TODAY()-$H61,AND($E61&lt;&gt;"",$M61="Pending",$K61="STT"),TODAY()-$I61,OR(K61="Closed",K61=""),"")</f>
        <v>#N/A</v>
      </c>
      <c r="M61" s="461">
        <f>VLOOKUP(C61,AR!$E$4:$AC$512,7,0)</f>
        <v>0</v>
      </c>
      <c r="N61" s="651" t="str">
        <f t="shared" si="1"/>
        <v/>
      </c>
      <c r="O61" s="739" t="str">
        <f>AR!M60</f>
        <v>GC</v>
      </c>
      <c r="P61" s="746" t="str">
        <v>YES</v>
      </c>
    </row>
    <row r="62" spans="1:16" s="385" customFormat="1" ht="27" hidden="1" customHeight="1">
      <c r="A62" s="399">
        <v>58</v>
      </c>
      <c r="B62" s="455" t="s">
        <v>19</v>
      </c>
      <c r="C62" s="454" t="s">
        <v>256</v>
      </c>
      <c r="D62" s="456" t="str">
        <f>_xlfn.XLOOKUP(C62,AR!$E$4:$E$84,AR!$D$4:$D$84)</f>
        <v>Level 1 - Security Room 2 Layout &amp; Details</v>
      </c>
      <c r="E62" s="454" t="str">
        <f>IF(VLOOKUP(C62,AR!$E$4:$AC$512,5,0)="","",VLOOKUP(C62,AR!$E$4:$AC$1011,5,0))</f>
        <v/>
      </c>
      <c r="F62" s="457"/>
      <c r="G62" s="458" t="str">
        <f>IF(VLOOKUP(C62,AR!$E$4:$AC$512,3,0)="","",VLOOKUP(C62,AR!$E$4:$AC$512,3,0))</f>
        <v/>
      </c>
      <c r="H62" s="459" t="str">
        <f>IF(ISNA(MATCH($C62,AR!$E$4:$E$1019,0)),"",
IF($E62=0,IF(INDEX(AR!$P$4:$P$1019,MATCH($C62,AR!$E$4:$E$1019,0))="","",INDEX(AR!$P$4:$P$1019,MATCH($C62,AR!$E$4:$E$1019,0))),
IF($E62=1,IF(INDEX(AR!$U$4:$U$1019,MATCH($C62,AR!$E$4:$E$1019,0))="","",INDEX(AR!$U$4:$U$1019,MATCH($C62,AR!$E$4:$E$1019,0))),
IF($E62=2,IF(INDEX(AR!$Z$4:$Z$1019,MATCH($C62,AR!$E$4:$E$1019,0))="","",INDEX(AR!$Z$4:$Z$1019,MATCH($C62,AR!$E$4:$E$1019,0))),
IF($E62=3,IF(INDEX(AR!$AE$4:$AE$1019,MATCH($C62,AR!$E$4:$E$1019,0))="","",INDEX(AR!$AE$4:$AE$1019,MATCH($C62,AR!$E$4:$E$1019,0))),
IF($E62=4,IF(INDEX(AR!$AJ$4:$AJ$1019,MATCH($C62,AR!$E$4:$E$1019,0))="","",INDEX(AR!$AJ$4:$AJ$1019,MATCH($C62,AR!$E$4:$E$1019,0))),
IF($E62=5,IF(INDEX(AR!$AO$4:$AO$1019,MATCH($C62,AR!$E$4:$E$1019,0))="","",INDEX(AR!$AO$4:$AO$1019,MATCH($C62,AR!$E$4:$E$1019,0))),"")))))))</f>
        <v/>
      </c>
      <c r="I62" s="459" t="str">
        <f>IF(ISNA(MATCH($C62,AR!$E$4:$E$1019,0)),"",
IF($E62=0,IF(INDEX(AR!$Q$4:$Q$1019,MATCH($C62,AR!$E$4:$E$1019,0))="","",INDEX(AR!$Q$4:$Q$1019,MATCH($C62,AR!$E$4:$E$1019,0))),
IF($E62=1,IF(INDEX(AR!$V$4:$V$1019,MATCH($C62,AR!$E$4:$E$1019,0))="","",INDEX(AR!$V$4:$V$1019,MATCH($C62,AR!$E$4:$E$1019,0))),
IF($E62=2,IF(INDEX(AR!$AA$4:$AA$1019,MATCH($C62,AR!$E$4:$E$1019,0))="","",INDEX(AR!$AA$4:$AA$1019,MATCH($C62,AR!$E$4:$E$1019,0))),
IF($E62=3,IF(INDEX(AR!$AF$4:$AF$1019,MATCH($C62,AR!$E$4:$E$1019,0))="","",INDEX(AR!$AF$4:$AF$1019,MATCH($C62,AR!$E$4:$E$1019,0))),
IF($E62=4,IF(INDEX(AR!$AK$4:$AK$1019,MATCH($C62,AR!$E$4:$E$1019,0))="","",INDEX(AR!$AK$4:$AK$1019,MATCH($C62,AR!$E$4:$E$1019,0))),
IF($E62=5,IF(INDEX(AR!$AP$4:$AP$1019,MATCH($C62,AR!$E$4:$E$1019,0))="","",INDEX(AR!$AP$4:$AP$1019,MATCH($C62,AR!$E$4:$E$1019,0))),"")))))))</f>
        <v/>
      </c>
      <c r="J62" s="459" t="str">
        <f>IF(ISNA(MATCH($C62,AR!$E$4:$E$1019,0)),"",
IF($E62=0,IF(INDEX(AR!$R$4:$R$1019,MATCH($C62,AR!$E$4:$E$1019,0))="","",INDEX(AR!$R$4:$R$1019,MATCH($C62,AR!$E$4:$E$1019,0))),
IF($E62=1,IF(INDEX(AR!$W$4:$W$1019,MATCH($C62,AR!$E$4:$E$1019,0))="","",INDEX(AR!$W$4:$W$1019,MATCH($C62,AR!$E$4:$E$1019,0))),
IF($E62=2,IF(INDEX(AR!$AB$4:$AB$1019,MATCH($C62,AR!$E$4:$E$1019,0))="","",INDEX(AR!$AB$4:$AB$1019,MATCH($C62,AR!$E$4:$E$1019,0))),
IF($E62=3,IF(INDEX(AR!$AG$4:$AG$1019,MATCH($C62,AR!$E$4:$E$1019,0))="","",INDEX(AR!$AG$4:$AG$1019,MATCH($C62,AR!$E$4:$E$1019,0))),
IF($E62=4,IF(INDEX(AR!$AL$4:$AL$1019,MATCH($C62,AR!$E$4:$E$1019,0))="","",INDEX(AR!$AL$4:$AL$1019,MATCH($C62,AR!$E$4:$E$1019,0))),
IF($E62=5,IF(INDEX(AR!$AQ$4:$AQ$1019,MATCH($C62,AR!$E$4:$E$1019,0))="","",INDEX(AR!$AQ$4:$AQ$1019,MATCH($C62,AR!$E$4:$E$1019,0))),"")))))))</f>
        <v/>
      </c>
      <c r="K62" s="459">
        <f>AR!J61</f>
        <v>0</v>
      </c>
      <c r="L62" s="460" t="e" cm="1">
        <f t="array" aca="1" ref="L62" ca="1">_xlfn.IFS(AND($E62&lt;&gt;"",$M62="Pending",$K62="CTA"),TODAY()-$G62,AND($E62&lt;&gt;"",$M62="Pending",$K62="AUR"),TODAY()-$H62,AND($E62&lt;&gt;"",$M62="Pending",$K62="STT"),TODAY()-$I62,OR(K62="Closed",K62=""),"")</f>
        <v>#N/A</v>
      </c>
      <c r="M62" s="461">
        <f>VLOOKUP(C62,AR!$E$4:$AC$512,7,0)</f>
        <v>0</v>
      </c>
      <c r="N62" s="651" t="str">
        <f t="shared" si="1"/>
        <v/>
      </c>
      <c r="O62" s="739" t="str">
        <f>AR!M61</f>
        <v>GC</v>
      </c>
      <c r="P62" s="746" t="str">
        <v>YES</v>
      </c>
    </row>
    <row r="63" spans="1:16" s="385" customFormat="1" ht="27" hidden="1" customHeight="1">
      <c r="A63" s="399">
        <v>59</v>
      </c>
      <c r="B63" s="455" t="s">
        <v>19</v>
      </c>
      <c r="C63" s="454" t="s">
        <v>259</v>
      </c>
      <c r="D63" s="456" t="str">
        <f>_xlfn.XLOOKUP(C63,AR!$E$4:$E$84,AR!$D$4:$D$84)</f>
        <v>Level 1 - Pantry Layout &amp; Details</v>
      </c>
      <c r="E63" s="454" t="str">
        <f>IF(VLOOKUP(C63,AR!$E$4:$AC$512,5,0)="","",VLOOKUP(C63,AR!$E$4:$AC$1011,5,0))</f>
        <v/>
      </c>
      <c r="F63" s="457"/>
      <c r="G63" s="458" t="str">
        <f>IF(VLOOKUP(C63,AR!$E$4:$AC$512,3,0)="","",VLOOKUP(C63,AR!$E$4:$AC$512,3,0))</f>
        <v/>
      </c>
      <c r="H63" s="459" t="str">
        <f>IF(ISNA(MATCH($C63,AR!$E$4:$E$1019,0)),"",
IF($E63=0,IF(INDEX(AR!$P$4:$P$1019,MATCH($C63,AR!$E$4:$E$1019,0))="","",INDEX(AR!$P$4:$P$1019,MATCH($C63,AR!$E$4:$E$1019,0))),
IF($E63=1,IF(INDEX(AR!$U$4:$U$1019,MATCH($C63,AR!$E$4:$E$1019,0))="","",INDEX(AR!$U$4:$U$1019,MATCH($C63,AR!$E$4:$E$1019,0))),
IF($E63=2,IF(INDEX(AR!$Z$4:$Z$1019,MATCH($C63,AR!$E$4:$E$1019,0))="","",INDEX(AR!$Z$4:$Z$1019,MATCH($C63,AR!$E$4:$E$1019,0))),
IF($E63=3,IF(INDEX(AR!$AE$4:$AE$1019,MATCH($C63,AR!$E$4:$E$1019,0))="","",INDEX(AR!$AE$4:$AE$1019,MATCH($C63,AR!$E$4:$E$1019,0))),
IF($E63=4,IF(INDEX(AR!$AJ$4:$AJ$1019,MATCH($C63,AR!$E$4:$E$1019,0))="","",INDEX(AR!$AJ$4:$AJ$1019,MATCH($C63,AR!$E$4:$E$1019,0))),
IF($E63=5,IF(INDEX(AR!$AO$4:$AO$1019,MATCH($C63,AR!$E$4:$E$1019,0))="","",INDEX(AR!$AO$4:$AO$1019,MATCH($C63,AR!$E$4:$E$1019,0))),"")))))))</f>
        <v/>
      </c>
      <c r="I63" s="459" t="str">
        <f>IF(ISNA(MATCH($C63,AR!$E$4:$E$1019,0)),"",
IF($E63=0,IF(INDEX(AR!$Q$4:$Q$1019,MATCH($C63,AR!$E$4:$E$1019,0))="","",INDEX(AR!$Q$4:$Q$1019,MATCH($C63,AR!$E$4:$E$1019,0))),
IF($E63=1,IF(INDEX(AR!$V$4:$V$1019,MATCH($C63,AR!$E$4:$E$1019,0))="","",INDEX(AR!$V$4:$V$1019,MATCH($C63,AR!$E$4:$E$1019,0))),
IF($E63=2,IF(INDEX(AR!$AA$4:$AA$1019,MATCH($C63,AR!$E$4:$E$1019,0))="","",INDEX(AR!$AA$4:$AA$1019,MATCH($C63,AR!$E$4:$E$1019,0))),
IF($E63=3,IF(INDEX(AR!$AF$4:$AF$1019,MATCH($C63,AR!$E$4:$E$1019,0))="","",INDEX(AR!$AF$4:$AF$1019,MATCH($C63,AR!$E$4:$E$1019,0))),
IF($E63=4,IF(INDEX(AR!$AK$4:$AK$1019,MATCH($C63,AR!$E$4:$E$1019,0))="","",INDEX(AR!$AK$4:$AK$1019,MATCH($C63,AR!$E$4:$E$1019,0))),
IF($E63=5,IF(INDEX(AR!$AP$4:$AP$1019,MATCH($C63,AR!$E$4:$E$1019,0))="","",INDEX(AR!$AP$4:$AP$1019,MATCH($C63,AR!$E$4:$E$1019,0))),"")))))))</f>
        <v/>
      </c>
      <c r="J63" s="459" t="str">
        <f>IF(ISNA(MATCH($C63,AR!$E$4:$E$1019,0)),"",
IF($E63=0,IF(INDEX(AR!$R$4:$R$1019,MATCH($C63,AR!$E$4:$E$1019,0))="","",INDEX(AR!$R$4:$R$1019,MATCH($C63,AR!$E$4:$E$1019,0))),
IF($E63=1,IF(INDEX(AR!$W$4:$W$1019,MATCH($C63,AR!$E$4:$E$1019,0))="","",INDEX(AR!$W$4:$W$1019,MATCH($C63,AR!$E$4:$E$1019,0))),
IF($E63=2,IF(INDEX(AR!$AB$4:$AB$1019,MATCH($C63,AR!$E$4:$E$1019,0))="","",INDEX(AR!$AB$4:$AB$1019,MATCH($C63,AR!$E$4:$E$1019,0))),
IF($E63=3,IF(INDEX(AR!$AG$4:$AG$1019,MATCH($C63,AR!$E$4:$E$1019,0))="","",INDEX(AR!$AG$4:$AG$1019,MATCH($C63,AR!$E$4:$E$1019,0))),
IF($E63=4,IF(INDEX(AR!$AL$4:$AL$1019,MATCH($C63,AR!$E$4:$E$1019,0))="","",INDEX(AR!$AL$4:$AL$1019,MATCH($C63,AR!$E$4:$E$1019,0))),
IF($E63=5,IF(INDEX(AR!$AQ$4:$AQ$1019,MATCH($C63,AR!$E$4:$E$1019,0))="","",INDEX(AR!$AQ$4:$AQ$1019,MATCH($C63,AR!$E$4:$E$1019,0))),"")))))))</f>
        <v/>
      </c>
      <c r="K63" s="459">
        <f>AR!J62</f>
        <v>0</v>
      </c>
      <c r="L63" s="460" t="e" cm="1">
        <f t="array" aca="1" ref="L63" ca="1">_xlfn.IFS(AND($E63&lt;&gt;"",$M63="Pending",$K63="CTA"),TODAY()-$G63,AND($E63&lt;&gt;"",$M63="Pending",$K63="AUR"),TODAY()-$H63,AND($E63&lt;&gt;"",$M63="Pending",$K63="STT"),TODAY()-$I63,OR(K63="Closed",K63=""),"")</f>
        <v>#N/A</v>
      </c>
      <c r="M63" s="461">
        <f>VLOOKUP(C63,AR!$E$4:$AC$512,7,0)</f>
        <v>0</v>
      </c>
      <c r="N63" s="651" t="str">
        <f t="shared" si="1"/>
        <v/>
      </c>
      <c r="O63" s="739" t="str">
        <f>AR!M62</f>
        <v>GC</v>
      </c>
      <c r="P63" s="746" t="str">
        <v>NO</v>
      </c>
    </row>
    <row r="64" spans="1:16" s="385" customFormat="1" ht="27" hidden="1" customHeight="1">
      <c r="A64" s="399">
        <v>60</v>
      </c>
      <c r="B64" s="455" t="s">
        <v>19</v>
      </c>
      <c r="C64" s="454" t="s">
        <v>262</v>
      </c>
      <c r="D64" s="456" t="str">
        <f>_xlfn.XLOOKUP(C64,AR!$E$4:$E$84,AR!$D$4:$D$84)</f>
        <v>Level 1 - Technical Assistant Room Layout &amp; Details</v>
      </c>
      <c r="E64" s="454" t="str">
        <f>IF(VLOOKUP(C64,AR!$E$4:$AC$512,5,0)="","",VLOOKUP(C64,AR!$E$4:$AC$1011,5,0))</f>
        <v/>
      </c>
      <c r="F64" s="457"/>
      <c r="G64" s="458" t="str">
        <f>IF(VLOOKUP(C64,AR!$E$4:$AC$512,3,0)="","",VLOOKUP(C64,AR!$E$4:$AC$512,3,0))</f>
        <v/>
      </c>
      <c r="H64" s="459" t="str">
        <f>IF(ISNA(MATCH($C64,AR!$E$4:$E$1019,0)),"",
IF($E64=0,IF(INDEX(AR!$P$4:$P$1019,MATCH($C64,AR!$E$4:$E$1019,0))="","",INDEX(AR!$P$4:$P$1019,MATCH($C64,AR!$E$4:$E$1019,0))),
IF($E64=1,IF(INDEX(AR!$U$4:$U$1019,MATCH($C64,AR!$E$4:$E$1019,0))="","",INDEX(AR!$U$4:$U$1019,MATCH($C64,AR!$E$4:$E$1019,0))),
IF($E64=2,IF(INDEX(AR!$Z$4:$Z$1019,MATCH($C64,AR!$E$4:$E$1019,0))="","",INDEX(AR!$Z$4:$Z$1019,MATCH($C64,AR!$E$4:$E$1019,0))),
IF($E64=3,IF(INDEX(AR!$AE$4:$AE$1019,MATCH($C64,AR!$E$4:$E$1019,0))="","",INDEX(AR!$AE$4:$AE$1019,MATCH($C64,AR!$E$4:$E$1019,0))),
IF($E64=4,IF(INDEX(AR!$AJ$4:$AJ$1019,MATCH($C64,AR!$E$4:$E$1019,0))="","",INDEX(AR!$AJ$4:$AJ$1019,MATCH($C64,AR!$E$4:$E$1019,0))),
IF($E64=5,IF(INDEX(AR!$AO$4:$AO$1019,MATCH($C64,AR!$E$4:$E$1019,0))="","",INDEX(AR!$AO$4:$AO$1019,MATCH($C64,AR!$E$4:$E$1019,0))),"")))))))</f>
        <v/>
      </c>
      <c r="I64" s="459" t="str">
        <f>IF(ISNA(MATCH($C64,AR!$E$4:$E$1019,0)),"",
IF($E64=0,IF(INDEX(AR!$Q$4:$Q$1019,MATCH($C64,AR!$E$4:$E$1019,0))="","",INDEX(AR!$Q$4:$Q$1019,MATCH($C64,AR!$E$4:$E$1019,0))),
IF($E64=1,IF(INDEX(AR!$V$4:$V$1019,MATCH($C64,AR!$E$4:$E$1019,0))="","",INDEX(AR!$V$4:$V$1019,MATCH($C64,AR!$E$4:$E$1019,0))),
IF($E64=2,IF(INDEX(AR!$AA$4:$AA$1019,MATCH($C64,AR!$E$4:$E$1019,0))="","",INDEX(AR!$AA$4:$AA$1019,MATCH($C64,AR!$E$4:$E$1019,0))),
IF($E64=3,IF(INDEX(AR!$AF$4:$AF$1019,MATCH($C64,AR!$E$4:$E$1019,0))="","",INDEX(AR!$AF$4:$AF$1019,MATCH($C64,AR!$E$4:$E$1019,0))),
IF($E64=4,IF(INDEX(AR!$AK$4:$AK$1019,MATCH($C64,AR!$E$4:$E$1019,0))="","",INDEX(AR!$AK$4:$AK$1019,MATCH($C64,AR!$E$4:$E$1019,0))),
IF($E64=5,IF(INDEX(AR!$AP$4:$AP$1019,MATCH($C64,AR!$E$4:$E$1019,0))="","",INDEX(AR!$AP$4:$AP$1019,MATCH($C64,AR!$E$4:$E$1019,0))),"")))))))</f>
        <v/>
      </c>
      <c r="J64" s="459" t="str">
        <f>IF(ISNA(MATCH($C64,AR!$E$4:$E$1019,0)),"",
IF($E64=0,IF(INDEX(AR!$R$4:$R$1019,MATCH($C64,AR!$E$4:$E$1019,0))="","",INDEX(AR!$R$4:$R$1019,MATCH($C64,AR!$E$4:$E$1019,0))),
IF($E64=1,IF(INDEX(AR!$W$4:$W$1019,MATCH($C64,AR!$E$4:$E$1019,0))="","",INDEX(AR!$W$4:$W$1019,MATCH($C64,AR!$E$4:$E$1019,0))),
IF($E64=2,IF(INDEX(AR!$AB$4:$AB$1019,MATCH($C64,AR!$E$4:$E$1019,0))="","",INDEX(AR!$AB$4:$AB$1019,MATCH($C64,AR!$E$4:$E$1019,0))),
IF($E64=3,IF(INDEX(AR!$AG$4:$AG$1019,MATCH($C64,AR!$E$4:$E$1019,0))="","",INDEX(AR!$AG$4:$AG$1019,MATCH($C64,AR!$E$4:$E$1019,0))),
IF($E64=4,IF(INDEX(AR!$AL$4:$AL$1019,MATCH($C64,AR!$E$4:$E$1019,0))="","",INDEX(AR!$AL$4:$AL$1019,MATCH($C64,AR!$E$4:$E$1019,0))),
IF($E64=5,IF(INDEX(AR!$AQ$4:$AQ$1019,MATCH($C64,AR!$E$4:$E$1019,0))="","",INDEX(AR!$AQ$4:$AQ$1019,MATCH($C64,AR!$E$4:$E$1019,0))),"")))))))</f>
        <v/>
      </c>
      <c r="K64" s="459">
        <f>AR!J63</f>
        <v>0</v>
      </c>
      <c r="L64" s="460" t="e" cm="1">
        <f t="array" aca="1" ref="L64" ca="1">_xlfn.IFS(AND($E64&lt;&gt;"",$M64="Pending",$K64="CTA"),TODAY()-$G64,AND($E64&lt;&gt;"",$M64="Pending",$K64="AUR"),TODAY()-$H64,AND($E64&lt;&gt;"",$M64="Pending",$K64="STT"),TODAY()-$I64,OR(K64="Closed",K64=""),"")</f>
        <v>#N/A</v>
      </c>
      <c r="M64" s="461">
        <f>VLOOKUP(C64,AR!$E$4:$AC$512,7,0)</f>
        <v>0</v>
      </c>
      <c r="N64" s="651" t="str">
        <f>IF(AND(E64&lt;&gt;"",M64="Pending"),IF(L64&gt;=5,"Overdue",IF(L64&gt;=3,"High","")),"")</f>
        <v/>
      </c>
      <c r="O64" s="739" t="str">
        <f>AR!M63</f>
        <v>GC</v>
      </c>
      <c r="P64" s="746" t="str">
        <v>YES</v>
      </c>
    </row>
    <row r="65" spans="1:16" s="385" customFormat="1" ht="27" hidden="1" customHeight="1">
      <c r="A65" s="399">
        <v>61</v>
      </c>
      <c r="B65" s="455" t="s">
        <v>19</v>
      </c>
      <c r="C65" s="454" t="s">
        <v>265</v>
      </c>
      <c r="D65" s="456" t="str">
        <f>_xlfn.XLOOKUP(C65,AR!$E$4:$E$84,AR!$D$4:$D$84)</f>
        <v>Level 1 - Hall 1.1 Layout &amp; Details</v>
      </c>
      <c r="E65" s="454" t="str">
        <f>IF(VLOOKUP(C65,AR!$E$4:$AC$512,5,0)="","",VLOOKUP(C65,AR!$E$4:$AC$1011,5,0))</f>
        <v/>
      </c>
      <c r="F65" s="457"/>
      <c r="G65" s="458" t="str">
        <f>IF(VLOOKUP(C65,AR!$E$4:$AC$512,3,0)="","",VLOOKUP(C65,AR!$E$4:$AC$512,3,0))</f>
        <v/>
      </c>
      <c r="H65" s="459" t="str">
        <f>IF(ISNA(MATCH($C65,AR!$E$4:$E$1019,0)),"",
IF($E65=0,IF(INDEX(AR!$P$4:$P$1019,MATCH($C65,AR!$E$4:$E$1019,0))="","",INDEX(AR!$P$4:$P$1019,MATCH($C65,AR!$E$4:$E$1019,0))),
IF($E65=1,IF(INDEX(AR!$U$4:$U$1019,MATCH($C65,AR!$E$4:$E$1019,0))="","",INDEX(AR!$U$4:$U$1019,MATCH($C65,AR!$E$4:$E$1019,0))),
IF($E65=2,IF(INDEX(AR!$Z$4:$Z$1019,MATCH($C65,AR!$E$4:$E$1019,0))="","",INDEX(AR!$Z$4:$Z$1019,MATCH($C65,AR!$E$4:$E$1019,0))),
IF($E65=3,IF(INDEX(AR!$AE$4:$AE$1019,MATCH($C65,AR!$E$4:$E$1019,0))="","",INDEX(AR!$AE$4:$AE$1019,MATCH($C65,AR!$E$4:$E$1019,0))),
IF($E65=4,IF(INDEX(AR!$AJ$4:$AJ$1019,MATCH($C65,AR!$E$4:$E$1019,0))="","",INDEX(AR!$AJ$4:$AJ$1019,MATCH($C65,AR!$E$4:$E$1019,0))),
IF($E65=5,IF(INDEX(AR!$AO$4:$AO$1019,MATCH($C65,AR!$E$4:$E$1019,0))="","",INDEX(AR!$AO$4:$AO$1019,MATCH($C65,AR!$E$4:$E$1019,0))),"")))))))</f>
        <v/>
      </c>
      <c r="I65" s="459" t="str">
        <f>IF(ISNA(MATCH($C65,AR!$E$4:$E$1019,0)),"",
IF($E65=0,IF(INDEX(AR!$Q$4:$Q$1019,MATCH($C65,AR!$E$4:$E$1019,0))="","",INDEX(AR!$Q$4:$Q$1019,MATCH($C65,AR!$E$4:$E$1019,0))),
IF($E65=1,IF(INDEX(AR!$V$4:$V$1019,MATCH($C65,AR!$E$4:$E$1019,0))="","",INDEX(AR!$V$4:$V$1019,MATCH($C65,AR!$E$4:$E$1019,0))),
IF($E65=2,IF(INDEX(AR!$AA$4:$AA$1019,MATCH($C65,AR!$E$4:$E$1019,0))="","",INDEX(AR!$AA$4:$AA$1019,MATCH($C65,AR!$E$4:$E$1019,0))),
IF($E65=3,IF(INDEX(AR!$AF$4:$AF$1019,MATCH($C65,AR!$E$4:$E$1019,0))="","",INDEX(AR!$AF$4:$AF$1019,MATCH($C65,AR!$E$4:$E$1019,0))),
IF($E65=4,IF(INDEX(AR!$AK$4:$AK$1019,MATCH($C65,AR!$E$4:$E$1019,0))="","",INDEX(AR!$AK$4:$AK$1019,MATCH($C65,AR!$E$4:$E$1019,0))),
IF($E65=5,IF(INDEX(AR!$AP$4:$AP$1019,MATCH($C65,AR!$E$4:$E$1019,0))="","",INDEX(AR!$AP$4:$AP$1019,MATCH($C65,AR!$E$4:$E$1019,0))),"")))))))</f>
        <v/>
      </c>
      <c r="J65" s="459" t="str">
        <f>IF(ISNA(MATCH($C65,AR!$E$4:$E$1019,0)),"",
IF($E65=0,IF(INDEX(AR!$R$4:$R$1019,MATCH($C65,AR!$E$4:$E$1019,0))="","",INDEX(AR!$R$4:$R$1019,MATCH($C65,AR!$E$4:$E$1019,0))),
IF($E65=1,IF(INDEX(AR!$W$4:$W$1019,MATCH($C65,AR!$E$4:$E$1019,0))="","",INDEX(AR!$W$4:$W$1019,MATCH($C65,AR!$E$4:$E$1019,0))),
IF($E65=2,IF(INDEX(AR!$AB$4:$AB$1019,MATCH($C65,AR!$E$4:$E$1019,0))="","",INDEX(AR!$AB$4:$AB$1019,MATCH($C65,AR!$E$4:$E$1019,0))),
IF($E65=3,IF(INDEX(AR!$AG$4:$AG$1019,MATCH($C65,AR!$E$4:$E$1019,0))="","",INDEX(AR!$AG$4:$AG$1019,MATCH($C65,AR!$E$4:$E$1019,0))),
IF($E65=4,IF(INDEX(AR!$AL$4:$AL$1019,MATCH($C65,AR!$E$4:$E$1019,0))="","",INDEX(AR!$AL$4:$AL$1019,MATCH($C65,AR!$E$4:$E$1019,0))),
IF($E65=5,IF(INDEX(AR!$AQ$4:$AQ$1019,MATCH($C65,AR!$E$4:$E$1019,0))="","",INDEX(AR!$AQ$4:$AQ$1019,MATCH($C65,AR!$E$4:$E$1019,0))),"")))))))</f>
        <v/>
      </c>
      <c r="K65" s="459">
        <f>AR!J64</f>
        <v>0</v>
      </c>
      <c r="L65" s="460" t="e" cm="1">
        <f t="array" aca="1" ref="L65" ca="1">_xlfn.IFS(AND($E65&lt;&gt;"",$M65="Pending",$K65="CTA"),TODAY()-$G65,AND($E65&lt;&gt;"",$M65="Pending",$K65="AUR"),TODAY()-$H65,AND($E65&lt;&gt;"",$M65="Pending",$K65="STT"),TODAY()-$I65,OR(K65="Closed",K65=""),"")</f>
        <v>#N/A</v>
      </c>
      <c r="M65" s="461">
        <f>VLOOKUP(C65,AR!$E$4:$AC$512,7,0)</f>
        <v>0</v>
      </c>
      <c r="N65" s="651" t="str">
        <f t="shared" si="1"/>
        <v/>
      </c>
      <c r="O65" s="739" t="str">
        <f>AR!M64</f>
        <v>GC</v>
      </c>
      <c r="P65" s="746" t="str">
        <v>NO</v>
      </c>
    </row>
    <row r="66" spans="1:16" s="385" customFormat="1" ht="27" hidden="1" customHeight="1">
      <c r="A66" s="399">
        <v>62</v>
      </c>
      <c r="B66" s="455" t="s">
        <v>19</v>
      </c>
      <c r="C66" s="454" t="s">
        <v>268</v>
      </c>
      <c r="D66" s="456" t="str">
        <f>_xlfn.XLOOKUP(C66,AR!$E$4:$E$84,AR!$D$4:$D$84)</f>
        <v>Level 1 - Fireman Lift Lobby Layout &amp; Details</v>
      </c>
      <c r="E66" s="454" t="str">
        <f>IF(VLOOKUP(C66,AR!$E$4:$AC$512,5,0)="","",VLOOKUP(C66,AR!$E$4:$AC$1011,5,0))</f>
        <v/>
      </c>
      <c r="F66" s="457"/>
      <c r="G66" s="458" t="str">
        <f>IF(VLOOKUP(C66,AR!$E$4:$AC$512,3,0)="","",VLOOKUP(C66,AR!$E$4:$AC$512,3,0))</f>
        <v/>
      </c>
      <c r="H66" s="459" t="str">
        <f>IF(ISNA(MATCH($C66,AR!$E$4:$E$1019,0)),"",
IF($E66=0,IF(INDEX(AR!$P$4:$P$1019,MATCH($C66,AR!$E$4:$E$1019,0))="","",INDEX(AR!$P$4:$P$1019,MATCH($C66,AR!$E$4:$E$1019,0))),
IF($E66=1,IF(INDEX(AR!$U$4:$U$1019,MATCH($C66,AR!$E$4:$E$1019,0))="","",INDEX(AR!$U$4:$U$1019,MATCH($C66,AR!$E$4:$E$1019,0))),
IF($E66=2,IF(INDEX(AR!$Z$4:$Z$1019,MATCH($C66,AR!$E$4:$E$1019,0))="","",INDEX(AR!$Z$4:$Z$1019,MATCH($C66,AR!$E$4:$E$1019,0))),
IF($E66=3,IF(INDEX(AR!$AE$4:$AE$1019,MATCH($C66,AR!$E$4:$E$1019,0))="","",INDEX(AR!$AE$4:$AE$1019,MATCH($C66,AR!$E$4:$E$1019,0))),
IF($E66=4,IF(INDEX(AR!$AJ$4:$AJ$1019,MATCH($C66,AR!$E$4:$E$1019,0))="","",INDEX(AR!$AJ$4:$AJ$1019,MATCH($C66,AR!$E$4:$E$1019,0))),
IF($E66=5,IF(INDEX(AR!$AO$4:$AO$1019,MATCH($C66,AR!$E$4:$E$1019,0))="","",INDEX(AR!$AO$4:$AO$1019,MATCH($C66,AR!$E$4:$E$1019,0))),"")))))))</f>
        <v/>
      </c>
      <c r="I66" s="459" t="str">
        <f>IF(ISNA(MATCH($C66,AR!$E$4:$E$1019,0)),"",
IF($E66=0,IF(INDEX(AR!$Q$4:$Q$1019,MATCH($C66,AR!$E$4:$E$1019,0))="","",INDEX(AR!$Q$4:$Q$1019,MATCH($C66,AR!$E$4:$E$1019,0))),
IF($E66=1,IF(INDEX(AR!$V$4:$V$1019,MATCH($C66,AR!$E$4:$E$1019,0))="","",INDEX(AR!$V$4:$V$1019,MATCH($C66,AR!$E$4:$E$1019,0))),
IF($E66=2,IF(INDEX(AR!$AA$4:$AA$1019,MATCH($C66,AR!$E$4:$E$1019,0))="","",INDEX(AR!$AA$4:$AA$1019,MATCH($C66,AR!$E$4:$E$1019,0))),
IF($E66=3,IF(INDEX(AR!$AF$4:$AF$1019,MATCH($C66,AR!$E$4:$E$1019,0))="","",INDEX(AR!$AF$4:$AF$1019,MATCH($C66,AR!$E$4:$E$1019,0))),
IF($E66=4,IF(INDEX(AR!$AK$4:$AK$1019,MATCH($C66,AR!$E$4:$E$1019,0))="","",INDEX(AR!$AK$4:$AK$1019,MATCH($C66,AR!$E$4:$E$1019,0))),
IF($E66=5,IF(INDEX(AR!$AP$4:$AP$1019,MATCH($C66,AR!$E$4:$E$1019,0))="","",INDEX(AR!$AP$4:$AP$1019,MATCH($C66,AR!$E$4:$E$1019,0))),"")))))))</f>
        <v/>
      </c>
      <c r="J66" s="459" t="str">
        <f>IF(ISNA(MATCH($C66,AR!$E$4:$E$1019,0)),"",
IF($E66=0,IF(INDEX(AR!$R$4:$R$1019,MATCH($C66,AR!$E$4:$E$1019,0))="","",INDEX(AR!$R$4:$R$1019,MATCH($C66,AR!$E$4:$E$1019,0))),
IF($E66=1,IF(INDEX(AR!$W$4:$W$1019,MATCH($C66,AR!$E$4:$E$1019,0))="","",INDEX(AR!$W$4:$W$1019,MATCH($C66,AR!$E$4:$E$1019,0))),
IF($E66=2,IF(INDEX(AR!$AB$4:$AB$1019,MATCH($C66,AR!$E$4:$E$1019,0))="","",INDEX(AR!$AB$4:$AB$1019,MATCH($C66,AR!$E$4:$E$1019,0))),
IF($E66=3,IF(INDEX(AR!$AG$4:$AG$1019,MATCH($C66,AR!$E$4:$E$1019,0))="","",INDEX(AR!$AG$4:$AG$1019,MATCH($C66,AR!$E$4:$E$1019,0))),
IF($E66=4,IF(INDEX(AR!$AL$4:$AL$1019,MATCH($C66,AR!$E$4:$E$1019,0))="","",INDEX(AR!$AL$4:$AL$1019,MATCH($C66,AR!$E$4:$E$1019,0))),
IF($E66=5,IF(INDEX(AR!$AQ$4:$AQ$1019,MATCH($C66,AR!$E$4:$E$1019,0))="","",INDEX(AR!$AQ$4:$AQ$1019,MATCH($C66,AR!$E$4:$E$1019,0))),"")))))))</f>
        <v/>
      </c>
      <c r="K66" s="459">
        <f>AR!J65</f>
        <v>0</v>
      </c>
      <c r="L66" s="460" t="e" cm="1">
        <f t="array" aca="1" ref="L66" ca="1">_xlfn.IFS(AND($E66&lt;&gt;"",$M66="Pending",$K66="CTA"),TODAY()-$G66,AND($E66&lt;&gt;"",$M66="Pending",$K66="AUR"),TODAY()-$H66,AND($E66&lt;&gt;"",$M66="Pending",$K66="STT"),TODAY()-$I66,OR(K66="Closed",K66=""),"")</f>
        <v>#N/A</v>
      </c>
      <c r="M66" s="461">
        <f>VLOOKUP(C66,AR!$E$4:$AC$512,7,0)</f>
        <v>0</v>
      </c>
      <c r="N66" s="651" t="str">
        <f t="shared" si="1"/>
        <v/>
      </c>
      <c r="O66" s="739" t="str">
        <f>AR!M65</f>
        <v>GC</v>
      </c>
      <c r="P66" s="746" t="str">
        <v>NO</v>
      </c>
    </row>
    <row r="67" spans="1:16" s="385" customFormat="1" ht="27" hidden="1" customHeight="1">
      <c r="A67" s="399">
        <v>63</v>
      </c>
      <c r="B67" s="455" t="s">
        <v>19</v>
      </c>
      <c r="C67" s="454" t="s">
        <v>271</v>
      </c>
      <c r="D67" s="456" t="str">
        <f>_xlfn.XLOOKUP(C67,AR!$E$4:$E$84,AR!$D$4:$D$84)</f>
        <v>Level 2 - Interior Elevation Views, Layout &amp; Details</v>
      </c>
      <c r="E67" s="454" t="str">
        <f>IF(VLOOKUP(C67,AR!$E$4:$AC$512,5,0)="","",VLOOKUP(C67,AR!$E$4:$AC$1011,5,0))</f>
        <v/>
      </c>
      <c r="F67" s="457"/>
      <c r="G67" s="458" t="str">
        <f>IF(VLOOKUP(C67,AR!$E$4:$AC$512,3,0)="","",VLOOKUP(C67,AR!$E$4:$AC$512,3,0))</f>
        <v/>
      </c>
      <c r="H67" s="459" t="str">
        <f>IF(ISNA(MATCH($C67,AR!$E$4:$E$1019,0)),"",
IF($E67=0,IF(INDEX(AR!$P$4:$P$1019,MATCH($C67,AR!$E$4:$E$1019,0))="","",INDEX(AR!$P$4:$P$1019,MATCH($C67,AR!$E$4:$E$1019,0))),
IF($E67=1,IF(INDEX(AR!$U$4:$U$1019,MATCH($C67,AR!$E$4:$E$1019,0))="","",INDEX(AR!$U$4:$U$1019,MATCH($C67,AR!$E$4:$E$1019,0))),
IF($E67=2,IF(INDEX(AR!$Z$4:$Z$1019,MATCH($C67,AR!$E$4:$E$1019,0))="","",INDEX(AR!$Z$4:$Z$1019,MATCH($C67,AR!$E$4:$E$1019,0))),
IF($E67=3,IF(INDEX(AR!$AE$4:$AE$1019,MATCH($C67,AR!$E$4:$E$1019,0))="","",INDEX(AR!$AE$4:$AE$1019,MATCH($C67,AR!$E$4:$E$1019,0))),
IF($E67=4,IF(INDEX(AR!$AJ$4:$AJ$1019,MATCH($C67,AR!$E$4:$E$1019,0))="","",INDEX(AR!$AJ$4:$AJ$1019,MATCH($C67,AR!$E$4:$E$1019,0))),
IF($E67=5,IF(INDEX(AR!$AO$4:$AO$1019,MATCH($C67,AR!$E$4:$E$1019,0))="","",INDEX(AR!$AO$4:$AO$1019,MATCH($C67,AR!$E$4:$E$1019,0))),"")))))))</f>
        <v/>
      </c>
      <c r="I67" s="459" t="str">
        <f>IF(ISNA(MATCH($C67,AR!$E$4:$E$1019,0)),"",
IF($E67=0,IF(INDEX(AR!$Q$4:$Q$1019,MATCH($C67,AR!$E$4:$E$1019,0))="","",INDEX(AR!$Q$4:$Q$1019,MATCH($C67,AR!$E$4:$E$1019,0))),
IF($E67=1,IF(INDEX(AR!$V$4:$V$1019,MATCH($C67,AR!$E$4:$E$1019,0))="","",INDEX(AR!$V$4:$V$1019,MATCH($C67,AR!$E$4:$E$1019,0))),
IF($E67=2,IF(INDEX(AR!$AA$4:$AA$1019,MATCH($C67,AR!$E$4:$E$1019,0))="","",INDEX(AR!$AA$4:$AA$1019,MATCH($C67,AR!$E$4:$E$1019,0))),
IF($E67=3,IF(INDEX(AR!$AF$4:$AF$1019,MATCH($C67,AR!$E$4:$E$1019,0))="","",INDEX(AR!$AF$4:$AF$1019,MATCH($C67,AR!$E$4:$E$1019,0))),
IF($E67=4,IF(INDEX(AR!$AK$4:$AK$1019,MATCH($C67,AR!$E$4:$E$1019,0))="","",INDEX(AR!$AK$4:$AK$1019,MATCH($C67,AR!$E$4:$E$1019,0))),
IF($E67=5,IF(INDEX(AR!$AP$4:$AP$1019,MATCH($C67,AR!$E$4:$E$1019,0))="","",INDEX(AR!$AP$4:$AP$1019,MATCH($C67,AR!$E$4:$E$1019,0))),"")))))))</f>
        <v/>
      </c>
      <c r="J67" s="459" t="str">
        <f>IF(ISNA(MATCH($C67,AR!$E$4:$E$1019,0)),"",
IF($E67=0,IF(INDEX(AR!$R$4:$R$1019,MATCH($C67,AR!$E$4:$E$1019,0))="","",INDEX(AR!$R$4:$R$1019,MATCH($C67,AR!$E$4:$E$1019,0))),
IF($E67=1,IF(INDEX(AR!$W$4:$W$1019,MATCH($C67,AR!$E$4:$E$1019,0))="","",INDEX(AR!$W$4:$W$1019,MATCH($C67,AR!$E$4:$E$1019,0))),
IF($E67=2,IF(INDEX(AR!$AB$4:$AB$1019,MATCH($C67,AR!$E$4:$E$1019,0))="","",INDEX(AR!$AB$4:$AB$1019,MATCH($C67,AR!$E$4:$E$1019,0))),
IF($E67=3,IF(INDEX(AR!$AG$4:$AG$1019,MATCH($C67,AR!$E$4:$E$1019,0))="","",INDEX(AR!$AG$4:$AG$1019,MATCH($C67,AR!$E$4:$E$1019,0))),
IF($E67=4,IF(INDEX(AR!$AL$4:$AL$1019,MATCH($C67,AR!$E$4:$E$1019,0))="","",INDEX(AR!$AL$4:$AL$1019,MATCH($C67,AR!$E$4:$E$1019,0))),
IF($E67=5,IF(INDEX(AR!$AQ$4:$AQ$1019,MATCH($C67,AR!$E$4:$E$1019,0))="","",INDEX(AR!$AQ$4:$AQ$1019,MATCH($C67,AR!$E$4:$E$1019,0))),"")))))))</f>
        <v/>
      </c>
      <c r="K67" s="459">
        <f>AR!J66</f>
        <v>0</v>
      </c>
      <c r="L67" s="460" t="e" cm="1">
        <f t="array" aca="1" ref="L67" ca="1">_xlfn.IFS(AND($E67&lt;&gt;"",$M67="Pending",$K67="CTA"),TODAY()-$G67,AND($E67&lt;&gt;"",$M67="Pending",$K67="AUR"),TODAY()-$H67,AND($E67&lt;&gt;"",$M67="Pending",$K67="STT"),TODAY()-$I67,OR(K67="Closed",K67=""),"")</f>
        <v>#N/A</v>
      </c>
      <c r="M67" s="461">
        <f>VLOOKUP(C67,AR!$E$4:$AC$512,7,0)</f>
        <v>0</v>
      </c>
      <c r="N67" s="651" t="str">
        <f t="shared" si="1"/>
        <v/>
      </c>
      <c r="O67" s="739" t="str">
        <f>AR!M66</f>
        <v>GC</v>
      </c>
      <c r="P67" s="746" t="str">
        <v>NO</v>
      </c>
    </row>
    <row r="68" spans="1:16" s="385" customFormat="1" ht="27" hidden="1" customHeight="1">
      <c r="A68" s="399">
        <v>64</v>
      </c>
      <c r="B68" s="455" t="s">
        <v>19</v>
      </c>
      <c r="C68" s="454" t="s">
        <v>274</v>
      </c>
      <c r="D68" s="456" t="str">
        <f>_xlfn.XLOOKUP(C68,AR!$E$4:$E$84,AR!$D$4:$D$84)</f>
        <v>Level 2 - Toilet Layout &amp; Details</v>
      </c>
      <c r="E68" s="454" t="str">
        <f>IF(VLOOKUP(C68,AR!$E$4:$AC$512,5,0)="","",VLOOKUP(C68,AR!$E$4:$AC$1011,5,0))</f>
        <v/>
      </c>
      <c r="F68" s="457"/>
      <c r="G68" s="458" t="str">
        <f>IF(VLOOKUP(C68,AR!$E$4:$AC$512,3,0)="","",VLOOKUP(C68,AR!$E$4:$AC$512,3,0))</f>
        <v/>
      </c>
      <c r="H68" s="459" t="str">
        <f>IF(ISNA(MATCH($C68,AR!$E$4:$E$1019,0)),"",
IF($E68=0,IF(INDEX(AR!$P$4:$P$1019,MATCH($C68,AR!$E$4:$E$1019,0))="","",INDEX(AR!$P$4:$P$1019,MATCH($C68,AR!$E$4:$E$1019,0))),
IF($E68=1,IF(INDEX(AR!$U$4:$U$1019,MATCH($C68,AR!$E$4:$E$1019,0))="","",INDEX(AR!$U$4:$U$1019,MATCH($C68,AR!$E$4:$E$1019,0))),
IF($E68=2,IF(INDEX(AR!$Z$4:$Z$1019,MATCH($C68,AR!$E$4:$E$1019,0))="","",INDEX(AR!$Z$4:$Z$1019,MATCH($C68,AR!$E$4:$E$1019,0))),
IF($E68=3,IF(INDEX(AR!$AE$4:$AE$1019,MATCH($C68,AR!$E$4:$E$1019,0))="","",INDEX(AR!$AE$4:$AE$1019,MATCH($C68,AR!$E$4:$E$1019,0))),
IF($E68=4,IF(INDEX(AR!$AJ$4:$AJ$1019,MATCH($C68,AR!$E$4:$E$1019,0))="","",INDEX(AR!$AJ$4:$AJ$1019,MATCH($C68,AR!$E$4:$E$1019,0))),
IF($E68=5,IF(INDEX(AR!$AO$4:$AO$1019,MATCH($C68,AR!$E$4:$E$1019,0))="","",INDEX(AR!$AO$4:$AO$1019,MATCH($C68,AR!$E$4:$E$1019,0))),"")))))))</f>
        <v/>
      </c>
      <c r="I68" s="459" t="str">
        <f>IF(ISNA(MATCH($C68,AR!$E$4:$E$1019,0)),"",
IF($E68=0,IF(INDEX(AR!$Q$4:$Q$1019,MATCH($C68,AR!$E$4:$E$1019,0))="","",INDEX(AR!$Q$4:$Q$1019,MATCH($C68,AR!$E$4:$E$1019,0))),
IF($E68=1,IF(INDEX(AR!$V$4:$V$1019,MATCH($C68,AR!$E$4:$E$1019,0))="","",INDEX(AR!$V$4:$V$1019,MATCH($C68,AR!$E$4:$E$1019,0))),
IF($E68=2,IF(INDEX(AR!$AA$4:$AA$1019,MATCH($C68,AR!$E$4:$E$1019,0))="","",INDEX(AR!$AA$4:$AA$1019,MATCH($C68,AR!$E$4:$E$1019,0))),
IF($E68=3,IF(INDEX(AR!$AF$4:$AF$1019,MATCH($C68,AR!$E$4:$E$1019,0))="","",INDEX(AR!$AF$4:$AF$1019,MATCH($C68,AR!$E$4:$E$1019,0))),
IF($E68=4,IF(INDEX(AR!$AK$4:$AK$1019,MATCH($C68,AR!$E$4:$E$1019,0))="","",INDEX(AR!$AK$4:$AK$1019,MATCH($C68,AR!$E$4:$E$1019,0))),
IF($E68=5,IF(INDEX(AR!$AP$4:$AP$1019,MATCH($C68,AR!$E$4:$E$1019,0))="","",INDEX(AR!$AP$4:$AP$1019,MATCH($C68,AR!$E$4:$E$1019,0))),"")))))))</f>
        <v/>
      </c>
      <c r="J68" s="459" t="str">
        <f>IF(ISNA(MATCH($C68,AR!$E$4:$E$1019,0)),"",
IF($E68=0,IF(INDEX(AR!$R$4:$R$1019,MATCH($C68,AR!$E$4:$E$1019,0))="","",INDEX(AR!$R$4:$R$1019,MATCH($C68,AR!$E$4:$E$1019,0))),
IF($E68=1,IF(INDEX(AR!$W$4:$W$1019,MATCH($C68,AR!$E$4:$E$1019,0))="","",INDEX(AR!$W$4:$W$1019,MATCH($C68,AR!$E$4:$E$1019,0))),
IF($E68=2,IF(INDEX(AR!$AB$4:$AB$1019,MATCH($C68,AR!$E$4:$E$1019,0))="","",INDEX(AR!$AB$4:$AB$1019,MATCH($C68,AR!$E$4:$E$1019,0))),
IF($E68=3,IF(INDEX(AR!$AG$4:$AG$1019,MATCH($C68,AR!$E$4:$E$1019,0))="","",INDEX(AR!$AG$4:$AG$1019,MATCH($C68,AR!$E$4:$E$1019,0))),
IF($E68=4,IF(INDEX(AR!$AL$4:$AL$1019,MATCH($C68,AR!$E$4:$E$1019,0))="","",INDEX(AR!$AL$4:$AL$1019,MATCH($C68,AR!$E$4:$E$1019,0))),
IF($E68=5,IF(INDEX(AR!$AQ$4:$AQ$1019,MATCH($C68,AR!$E$4:$E$1019,0))="","",INDEX(AR!$AQ$4:$AQ$1019,MATCH($C68,AR!$E$4:$E$1019,0))),"")))))))</f>
        <v/>
      </c>
      <c r="K68" s="459">
        <f>AR!J67</f>
        <v>0</v>
      </c>
      <c r="L68" s="460" t="e" cm="1">
        <f t="array" aca="1" ref="L68" ca="1">_xlfn.IFS(AND($E68&lt;&gt;"",$M68="Pending",$K68="CTA"),TODAY()-$G68,AND($E68&lt;&gt;"",$M68="Pending",$K68="AUR"),TODAY()-$H68,AND($E68&lt;&gt;"",$M68="Pending",$K68="STT"),TODAY()-$I68,OR(K68="Closed",K68=""),"")</f>
        <v>#N/A</v>
      </c>
      <c r="M68" s="461">
        <f>VLOOKUP(C68,AR!$E$4:$AC$512,7,0)</f>
        <v>0</v>
      </c>
      <c r="N68" s="651" t="str">
        <f t="shared" si="1"/>
        <v/>
      </c>
      <c r="O68" s="739" t="str">
        <f>AR!M67</f>
        <v>GC</v>
      </c>
      <c r="P68" s="746" t="str">
        <v>NO</v>
      </c>
    </row>
    <row r="69" spans="1:16" s="385" customFormat="1" ht="27" hidden="1" customHeight="1">
      <c r="A69" s="399">
        <v>65</v>
      </c>
      <c r="B69" s="455" t="s">
        <v>19</v>
      </c>
      <c r="C69" s="454" t="s">
        <v>277</v>
      </c>
      <c r="D69" s="456" t="str">
        <f>_xlfn.XLOOKUP(C69,AR!$E$4:$E$84,AR!$D$4:$D$84)</f>
        <v>Level 2 - GENSET Room Layout &amp; Details</v>
      </c>
      <c r="E69" s="454" t="str">
        <f>IF(VLOOKUP(C69,AR!$E$4:$AC$512,5,0)="","",VLOOKUP(C69,AR!$E$4:$AC$1011,5,0))</f>
        <v/>
      </c>
      <c r="F69" s="457"/>
      <c r="G69" s="458" t="str">
        <f>IF(VLOOKUP(C69,AR!$E$4:$AC$512,3,0)="","",VLOOKUP(C69,AR!$E$4:$AC$512,3,0))</f>
        <v/>
      </c>
      <c r="H69" s="459" t="str">
        <f>IF(ISNA(MATCH($C69,AR!$E$4:$E$1019,0)),"",
IF($E69=0,IF(INDEX(AR!$P$4:$P$1019,MATCH($C69,AR!$E$4:$E$1019,0))="","",INDEX(AR!$P$4:$P$1019,MATCH($C69,AR!$E$4:$E$1019,0))),
IF($E69=1,IF(INDEX(AR!$U$4:$U$1019,MATCH($C69,AR!$E$4:$E$1019,0))="","",INDEX(AR!$U$4:$U$1019,MATCH($C69,AR!$E$4:$E$1019,0))),
IF($E69=2,IF(INDEX(AR!$Z$4:$Z$1019,MATCH($C69,AR!$E$4:$E$1019,0))="","",INDEX(AR!$Z$4:$Z$1019,MATCH($C69,AR!$E$4:$E$1019,0))),
IF($E69=3,IF(INDEX(AR!$AE$4:$AE$1019,MATCH($C69,AR!$E$4:$E$1019,0))="","",INDEX(AR!$AE$4:$AE$1019,MATCH($C69,AR!$E$4:$E$1019,0))),
IF($E69=4,IF(INDEX(AR!$AJ$4:$AJ$1019,MATCH($C69,AR!$E$4:$E$1019,0))="","",INDEX(AR!$AJ$4:$AJ$1019,MATCH($C69,AR!$E$4:$E$1019,0))),
IF($E69=5,IF(INDEX(AR!$AO$4:$AO$1019,MATCH($C69,AR!$E$4:$E$1019,0))="","",INDEX(AR!$AO$4:$AO$1019,MATCH($C69,AR!$E$4:$E$1019,0))),"")))))))</f>
        <v/>
      </c>
      <c r="I69" s="459" t="str">
        <f>IF(ISNA(MATCH($C69,AR!$E$4:$E$1019,0)),"",
IF($E69=0,IF(INDEX(AR!$Q$4:$Q$1019,MATCH($C69,AR!$E$4:$E$1019,0))="","",INDEX(AR!$Q$4:$Q$1019,MATCH($C69,AR!$E$4:$E$1019,0))),
IF($E69=1,IF(INDEX(AR!$V$4:$V$1019,MATCH($C69,AR!$E$4:$E$1019,0))="","",INDEX(AR!$V$4:$V$1019,MATCH($C69,AR!$E$4:$E$1019,0))),
IF($E69=2,IF(INDEX(AR!$AA$4:$AA$1019,MATCH($C69,AR!$E$4:$E$1019,0))="","",INDEX(AR!$AA$4:$AA$1019,MATCH($C69,AR!$E$4:$E$1019,0))),
IF($E69=3,IF(INDEX(AR!$AF$4:$AF$1019,MATCH($C69,AR!$E$4:$E$1019,0))="","",INDEX(AR!$AF$4:$AF$1019,MATCH($C69,AR!$E$4:$E$1019,0))),
IF($E69=4,IF(INDEX(AR!$AK$4:$AK$1019,MATCH($C69,AR!$E$4:$E$1019,0))="","",INDEX(AR!$AK$4:$AK$1019,MATCH($C69,AR!$E$4:$E$1019,0))),
IF($E69=5,IF(INDEX(AR!$AP$4:$AP$1019,MATCH($C69,AR!$E$4:$E$1019,0))="","",INDEX(AR!$AP$4:$AP$1019,MATCH($C69,AR!$E$4:$E$1019,0))),"")))))))</f>
        <v/>
      </c>
      <c r="J69" s="459" t="str">
        <f>IF(ISNA(MATCH($C69,AR!$E$4:$E$1019,0)),"",
IF($E69=0,IF(INDEX(AR!$R$4:$R$1019,MATCH($C69,AR!$E$4:$E$1019,0))="","",INDEX(AR!$R$4:$R$1019,MATCH($C69,AR!$E$4:$E$1019,0))),
IF($E69=1,IF(INDEX(AR!$W$4:$W$1019,MATCH($C69,AR!$E$4:$E$1019,0))="","",INDEX(AR!$W$4:$W$1019,MATCH($C69,AR!$E$4:$E$1019,0))),
IF($E69=2,IF(INDEX(AR!$AB$4:$AB$1019,MATCH($C69,AR!$E$4:$E$1019,0))="","",INDEX(AR!$AB$4:$AB$1019,MATCH($C69,AR!$E$4:$E$1019,0))),
IF($E69=3,IF(INDEX(AR!$AG$4:$AG$1019,MATCH($C69,AR!$E$4:$E$1019,0))="","",INDEX(AR!$AG$4:$AG$1019,MATCH($C69,AR!$E$4:$E$1019,0))),
IF($E69=4,IF(INDEX(AR!$AL$4:$AL$1019,MATCH($C69,AR!$E$4:$E$1019,0))="","",INDEX(AR!$AL$4:$AL$1019,MATCH($C69,AR!$E$4:$E$1019,0))),
IF($E69=5,IF(INDEX(AR!$AQ$4:$AQ$1019,MATCH($C69,AR!$E$4:$E$1019,0))="","",INDEX(AR!$AQ$4:$AQ$1019,MATCH($C69,AR!$E$4:$E$1019,0))),"")))))))</f>
        <v/>
      </c>
      <c r="K69" s="459">
        <f>AR!J68</f>
        <v>0</v>
      </c>
      <c r="L69" s="460" t="e" cm="1">
        <f t="array" aca="1" ref="L69" ca="1">_xlfn.IFS(AND($E69&lt;&gt;"",$M69="Pending",$K69="CTA"),TODAY()-$G69,AND($E69&lt;&gt;"",$M69="Pending",$K69="AUR"),TODAY()-$H69,AND($E69&lt;&gt;"",$M69="Pending",$K69="STT"),TODAY()-$I69,OR(K69="Closed",K69=""),"")</f>
        <v>#N/A</v>
      </c>
      <c r="M69" s="461">
        <f>VLOOKUP(C69,AR!$E$4:$AC$512,7,0)</f>
        <v>0</v>
      </c>
      <c r="N69" s="651" t="str">
        <f t="shared" si="1"/>
        <v/>
      </c>
      <c r="O69" s="739" t="str">
        <f>AR!M68</f>
        <v>GC</v>
      </c>
      <c r="P69" s="746" t="str">
        <v>NO</v>
      </c>
    </row>
    <row r="70" spans="1:16" s="385" customFormat="1" ht="27" hidden="1" customHeight="1">
      <c r="A70" s="399">
        <v>66</v>
      </c>
      <c r="B70" s="455" t="s">
        <v>19</v>
      </c>
      <c r="C70" s="454" t="s">
        <v>280</v>
      </c>
      <c r="D70" s="456" t="str">
        <f>_xlfn.XLOOKUP(C70,AR!$E$4:$E$84,AR!$D$4:$D$84)</f>
        <v>Level 2 - Hot Aisle Containment Layout Plan</v>
      </c>
      <c r="E70" s="454" t="str">
        <f>IF(VLOOKUP(C70,AR!$E$4:$AC$512,5,0)="","",VLOOKUP(C70,AR!$E$4:$AC$1011,5,0))</f>
        <v/>
      </c>
      <c r="F70" s="457"/>
      <c r="G70" s="458" t="str">
        <f>IF(VLOOKUP(C70,AR!$E$4:$AC$512,3,0)="","",VLOOKUP(C70,AR!$E$4:$AC$512,3,0))</f>
        <v/>
      </c>
      <c r="H70" s="459" t="str">
        <f>IF(ISNA(MATCH($C70,AR!$E$4:$E$1019,0)),"",
IF($E70=0,IF(INDEX(AR!$P$4:$P$1019,MATCH($C70,AR!$E$4:$E$1019,0))="","",INDEX(AR!$P$4:$P$1019,MATCH($C70,AR!$E$4:$E$1019,0))),
IF($E70=1,IF(INDEX(AR!$U$4:$U$1019,MATCH($C70,AR!$E$4:$E$1019,0))="","",INDEX(AR!$U$4:$U$1019,MATCH($C70,AR!$E$4:$E$1019,0))),
IF($E70=2,IF(INDEX(AR!$Z$4:$Z$1019,MATCH($C70,AR!$E$4:$E$1019,0))="","",INDEX(AR!$Z$4:$Z$1019,MATCH($C70,AR!$E$4:$E$1019,0))),
IF($E70=3,IF(INDEX(AR!$AE$4:$AE$1019,MATCH($C70,AR!$E$4:$E$1019,0))="","",INDEX(AR!$AE$4:$AE$1019,MATCH($C70,AR!$E$4:$E$1019,0))),
IF($E70=4,IF(INDEX(AR!$AJ$4:$AJ$1019,MATCH($C70,AR!$E$4:$E$1019,0))="","",INDEX(AR!$AJ$4:$AJ$1019,MATCH($C70,AR!$E$4:$E$1019,0))),
IF($E70=5,IF(INDEX(AR!$AO$4:$AO$1019,MATCH($C70,AR!$E$4:$E$1019,0))="","",INDEX(AR!$AO$4:$AO$1019,MATCH($C70,AR!$E$4:$E$1019,0))),"")))))))</f>
        <v/>
      </c>
      <c r="I70" s="459" t="str">
        <f>IF(ISNA(MATCH($C70,AR!$E$4:$E$1019,0)),"",
IF($E70=0,IF(INDEX(AR!$Q$4:$Q$1019,MATCH($C70,AR!$E$4:$E$1019,0))="","",INDEX(AR!$Q$4:$Q$1019,MATCH($C70,AR!$E$4:$E$1019,0))),
IF($E70=1,IF(INDEX(AR!$V$4:$V$1019,MATCH($C70,AR!$E$4:$E$1019,0))="","",INDEX(AR!$V$4:$V$1019,MATCH($C70,AR!$E$4:$E$1019,0))),
IF($E70=2,IF(INDEX(AR!$AA$4:$AA$1019,MATCH($C70,AR!$E$4:$E$1019,0))="","",INDEX(AR!$AA$4:$AA$1019,MATCH($C70,AR!$E$4:$E$1019,0))),
IF($E70=3,IF(INDEX(AR!$AF$4:$AF$1019,MATCH($C70,AR!$E$4:$E$1019,0))="","",INDEX(AR!$AF$4:$AF$1019,MATCH($C70,AR!$E$4:$E$1019,0))),
IF($E70=4,IF(INDEX(AR!$AK$4:$AK$1019,MATCH($C70,AR!$E$4:$E$1019,0))="","",INDEX(AR!$AK$4:$AK$1019,MATCH($C70,AR!$E$4:$E$1019,0))),
IF($E70=5,IF(INDEX(AR!$AP$4:$AP$1019,MATCH($C70,AR!$E$4:$E$1019,0))="","",INDEX(AR!$AP$4:$AP$1019,MATCH($C70,AR!$E$4:$E$1019,0))),"")))))))</f>
        <v/>
      </c>
      <c r="J70" s="459" t="str">
        <f>IF(ISNA(MATCH($C70,AR!$E$4:$E$1019,0)),"",
IF($E70=0,IF(INDEX(AR!$R$4:$R$1019,MATCH($C70,AR!$E$4:$E$1019,0))="","",INDEX(AR!$R$4:$R$1019,MATCH($C70,AR!$E$4:$E$1019,0))),
IF($E70=1,IF(INDEX(AR!$W$4:$W$1019,MATCH($C70,AR!$E$4:$E$1019,0))="","",INDEX(AR!$W$4:$W$1019,MATCH($C70,AR!$E$4:$E$1019,0))),
IF($E70=2,IF(INDEX(AR!$AB$4:$AB$1019,MATCH($C70,AR!$E$4:$E$1019,0))="","",INDEX(AR!$AB$4:$AB$1019,MATCH($C70,AR!$E$4:$E$1019,0))),
IF($E70=3,IF(INDEX(AR!$AG$4:$AG$1019,MATCH($C70,AR!$E$4:$E$1019,0))="","",INDEX(AR!$AG$4:$AG$1019,MATCH($C70,AR!$E$4:$E$1019,0))),
IF($E70=4,IF(INDEX(AR!$AL$4:$AL$1019,MATCH($C70,AR!$E$4:$E$1019,0))="","",INDEX(AR!$AL$4:$AL$1019,MATCH($C70,AR!$E$4:$E$1019,0))),
IF($E70=5,IF(INDEX(AR!$AQ$4:$AQ$1019,MATCH($C70,AR!$E$4:$E$1019,0))="","",INDEX(AR!$AQ$4:$AQ$1019,MATCH($C70,AR!$E$4:$E$1019,0))),"")))))))</f>
        <v/>
      </c>
      <c r="K70" s="459">
        <f>AR!J69</f>
        <v>0</v>
      </c>
      <c r="L70" s="460" t="e" cm="1">
        <f t="array" aca="1" ref="L70" ca="1">_xlfn.IFS(AND($E70&lt;&gt;"",$M70="Pending",$K70="CTA"),TODAY()-$G70,AND($E70&lt;&gt;"",$M70="Pending",$K70="AUR"),TODAY()-$H70,AND($E70&lt;&gt;"",$M70="Pending",$K70="STT"),TODAY()-$I70,OR(K70="Closed",K70=""),"")</f>
        <v>#N/A</v>
      </c>
      <c r="M70" s="461">
        <f>VLOOKUP(C70,AR!$E$4:$AC$512,7,0)</f>
        <v>0</v>
      </c>
      <c r="N70" s="651" t="str">
        <f t="shared" ref="N70:N89" si="2">IF(AND(E70&lt;&gt;"",M70="Pending"),IF(L70&gt;=5,"Overdue",IF(L70&gt;=3,"High","")),"")</f>
        <v/>
      </c>
      <c r="O70" s="739" t="str">
        <f>AR!M69</f>
        <v>GC</v>
      </c>
      <c r="P70" s="746" t="str">
        <v>YES</v>
      </c>
    </row>
    <row r="71" spans="1:16" s="385" customFormat="1" ht="27" hidden="1" customHeight="1">
      <c r="A71" s="399">
        <v>67</v>
      </c>
      <c r="B71" s="455" t="s">
        <v>19</v>
      </c>
      <c r="C71" s="454" t="s">
        <v>283</v>
      </c>
      <c r="D71" s="456" t="str">
        <f>_xlfn.XLOOKUP(C71,AR!$E$4:$E$84,AR!$D$4:$D$84)</f>
        <v>Level 6 - Interior Elevation Views, Layout &amp; Details</v>
      </c>
      <c r="E71" s="454" t="str">
        <f>IF(VLOOKUP(C71,AR!$E$4:$AC$512,5,0)="","",VLOOKUP(C71,AR!$E$4:$AC$1011,5,0))</f>
        <v/>
      </c>
      <c r="F71" s="457"/>
      <c r="G71" s="458" t="str">
        <f>IF(VLOOKUP(C71,AR!$E$4:$AC$512,3,0)="","",VLOOKUP(C71,AR!$E$4:$AC$512,3,0))</f>
        <v/>
      </c>
      <c r="H71" s="459" t="str">
        <f>IF(ISNA(MATCH($C71,AR!$E$4:$E$1019,0)),"",
IF($E71=0,IF(INDEX(AR!$P$4:$P$1019,MATCH($C71,AR!$E$4:$E$1019,0))="","",INDEX(AR!$P$4:$P$1019,MATCH($C71,AR!$E$4:$E$1019,0))),
IF($E71=1,IF(INDEX(AR!$U$4:$U$1019,MATCH($C71,AR!$E$4:$E$1019,0))="","",INDEX(AR!$U$4:$U$1019,MATCH($C71,AR!$E$4:$E$1019,0))),
IF($E71=2,IF(INDEX(AR!$Z$4:$Z$1019,MATCH($C71,AR!$E$4:$E$1019,0))="","",INDEX(AR!$Z$4:$Z$1019,MATCH($C71,AR!$E$4:$E$1019,0))),
IF($E71=3,IF(INDEX(AR!$AE$4:$AE$1019,MATCH($C71,AR!$E$4:$E$1019,0))="","",INDEX(AR!$AE$4:$AE$1019,MATCH($C71,AR!$E$4:$E$1019,0))),
IF($E71=4,IF(INDEX(AR!$AJ$4:$AJ$1019,MATCH($C71,AR!$E$4:$E$1019,0))="","",INDEX(AR!$AJ$4:$AJ$1019,MATCH($C71,AR!$E$4:$E$1019,0))),
IF($E71=5,IF(INDEX(AR!$AO$4:$AO$1019,MATCH($C71,AR!$E$4:$E$1019,0))="","",INDEX(AR!$AO$4:$AO$1019,MATCH($C71,AR!$E$4:$E$1019,0))),"")))))))</f>
        <v/>
      </c>
      <c r="I71" s="459" t="str">
        <f>IF(ISNA(MATCH($C71,AR!$E$4:$E$1019,0)),"",
IF($E71=0,IF(INDEX(AR!$Q$4:$Q$1019,MATCH($C71,AR!$E$4:$E$1019,0))="","",INDEX(AR!$Q$4:$Q$1019,MATCH($C71,AR!$E$4:$E$1019,0))),
IF($E71=1,IF(INDEX(AR!$V$4:$V$1019,MATCH($C71,AR!$E$4:$E$1019,0))="","",INDEX(AR!$V$4:$V$1019,MATCH($C71,AR!$E$4:$E$1019,0))),
IF($E71=2,IF(INDEX(AR!$AA$4:$AA$1019,MATCH($C71,AR!$E$4:$E$1019,0))="","",INDEX(AR!$AA$4:$AA$1019,MATCH($C71,AR!$E$4:$E$1019,0))),
IF($E71=3,IF(INDEX(AR!$AF$4:$AF$1019,MATCH($C71,AR!$E$4:$E$1019,0))="","",INDEX(AR!$AF$4:$AF$1019,MATCH($C71,AR!$E$4:$E$1019,0))),
IF($E71=4,IF(INDEX(AR!$AK$4:$AK$1019,MATCH($C71,AR!$E$4:$E$1019,0))="","",INDEX(AR!$AK$4:$AK$1019,MATCH($C71,AR!$E$4:$E$1019,0))),
IF($E71=5,IF(INDEX(AR!$AP$4:$AP$1019,MATCH($C71,AR!$E$4:$E$1019,0))="","",INDEX(AR!$AP$4:$AP$1019,MATCH($C71,AR!$E$4:$E$1019,0))),"")))))))</f>
        <v/>
      </c>
      <c r="J71" s="459" t="str">
        <f>IF(ISNA(MATCH($C71,AR!$E$4:$E$1019,0)),"",
IF($E71=0,IF(INDEX(AR!$R$4:$R$1019,MATCH($C71,AR!$E$4:$E$1019,0))="","",INDEX(AR!$R$4:$R$1019,MATCH($C71,AR!$E$4:$E$1019,0))),
IF($E71=1,IF(INDEX(AR!$W$4:$W$1019,MATCH($C71,AR!$E$4:$E$1019,0))="","",INDEX(AR!$W$4:$W$1019,MATCH($C71,AR!$E$4:$E$1019,0))),
IF($E71=2,IF(INDEX(AR!$AB$4:$AB$1019,MATCH($C71,AR!$E$4:$E$1019,0))="","",INDEX(AR!$AB$4:$AB$1019,MATCH($C71,AR!$E$4:$E$1019,0))),
IF($E71=3,IF(INDEX(AR!$AG$4:$AG$1019,MATCH($C71,AR!$E$4:$E$1019,0))="","",INDEX(AR!$AG$4:$AG$1019,MATCH($C71,AR!$E$4:$E$1019,0))),
IF($E71=4,IF(INDEX(AR!$AL$4:$AL$1019,MATCH($C71,AR!$E$4:$E$1019,0))="","",INDEX(AR!$AL$4:$AL$1019,MATCH($C71,AR!$E$4:$E$1019,0))),
IF($E71=5,IF(INDEX(AR!$AQ$4:$AQ$1019,MATCH($C71,AR!$E$4:$E$1019,0))="","",INDEX(AR!$AQ$4:$AQ$1019,MATCH($C71,AR!$E$4:$E$1019,0))),"")))))))</f>
        <v/>
      </c>
      <c r="K71" s="459">
        <f>AR!J70</f>
        <v>0</v>
      </c>
      <c r="L71" s="460" t="e" cm="1">
        <f t="array" aca="1" ref="L71" ca="1">_xlfn.IFS(AND($E71&lt;&gt;"",$M71="Pending",$K71="CTA"),TODAY()-$G71,AND($E71&lt;&gt;"",$M71="Pending",$K71="AUR"),TODAY()-$H71,AND($E71&lt;&gt;"",$M71="Pending",$K71="STT"),TODAY()-$I71,OR(K71="Closed",K71=""),"")</f>
        <v>#N/A</v>
      </c>
      <c r="M71" s="461">
        <f>VLOOKUP(C71,AR!$E$4:$AC$512,7,0)</f>
        <v>0</v>
      </c>
      <c r="N71" s="651" t="str">
        <f t="shared" si="2"/>
        <v/>
      </c>
      <c r="O71" s="739" t="str">
        <f>AR!M70</f>
        <v>GC</v>
      </c>
      <c r="P71" s="746" t="str">
        <v>NO</v>
      </c>
    </row>
    <row r="72" spans="1:16" s="385" customFormat="1" ht="27" hidden="1" customHeight="1">
      <c r="A72" s="399">
        <v>68</v>
      </c>
      <c r="B72" s="455" t="s">
        <v>19</v>
      </c>
      <c r="C72" s="454" t="s">
        <v>286</v>
      </c>
      <c r="D72" s="456" t="str">
        <f>_xlfn.XLOOKUP(C72,AR!$E$4:$E$84,AR!$D$4:$D$84)</f>
        <v>Level 6 - GENSET Room Layout &amp; Details</v>
      </c>
      <c r="E72" s="454" t="str">
        <f>IF(VLOOKUP(C72,AR!$E$4:$AC$512,5,0)="","",VLOOKUP(C72,AR!$E$4:$AC$1011,5,0))</f>
        <v/>
      </c>
      <c r="F72" s="457"/>
      <c r="G72" s="458" t="str">
        <f>IF(VLOOKUP(C72,AR!$E$4:$AC$512,3,0)="","",VLOOKUP(C72,AR!$E$4:$AC$512,3,0))</f>
        <v/>
      </c>
      <c r="H72" s="459" t="str">
        <f>IF(ISNA(MATCH($C72,AR!$E$4:$E$1019,0)),"",
IF($E72=0,IF(INDEX(AR!$P$4:$P$1019,MATCH($C72,AR!$E$4:$E$1019,0))="","",INDEX(AR!$P$4:$P$1019,MATCH($C72,AR!$E$4:$E$1019,0))),
IF($E72=1,IF(INDEX(AR!$U$4:$U$1019,MATCH($C72,AR!$E$4:$E$1019,0))="","",INDEX(AR!$U$4:$U$1019,MATCH($C72,AR!$E$4:$E$1019,0))),
IF($E72=2,IF(INDEX(AR!$Z$4:$Z$1019,MATCH($C72,AR!$E$4:$E$1019,0))="","",INDEX(AR!$Z$4:$Z$1019,MATCH($C72,AR!$E$4:$E$1019,0))),
IF($E72=3,IF(INDEX(AR!$AE$4:$AE$1019,MATCH($C72,AR!$E$4:$E$1019,0))="","",INDEX(AR!$AE$4:$AE$1019,MATCH($C72,AR!$E$4:$E$1019,0))),
IF($E72=4,IF(INDEX(AR!$AJ$4:$AJ$1019,MATCH($C72,AR!$E$4:$E$1019,0))="","",INDEX(AR!$AJ$4:$AJ$1019,MATCH($C72,AR!$E$4:$E$1019,0))),
IF($E72=5,IF(INDEX(AR!$AO$4:$AO$1019,MATCH($C72,AR!$E$4:$E$1019,0))="","",INDEX(AR!$AO$4:$AO$1019,MATCH($C72,AR!$E$4:$E$1019,0))),"")))))))</f>
        <v/>
      </c>
      <c r="I72" s="459" t="str">
        <f>IF(ISNA(MATCH($C72,AR!$E$4:$E$1019,0)),"",
IF($E72=0,IF(INDEX(AR!$Q$4:$Q$1019,MATCH($C72,AR!$E$4:$E$1019,0))="","",INDEX(AR!$Q$4:$Q$1019,MATCH($C72,AR!$E$4:$E$1019,0))),
IF($E72=1,IF(INDEX(AR!$V$4:$V$1019,MATCH($C72,AR!$E$4:$E$1019,0))="","",INDEX(AR!$V$4:$V$1019,MATCH($C72,AR!$E$4:$E$1019,0))),
IF($E72=2,IF(INDEX(AR!$AA$4:$AA$1019,MATCH($C72,AR!$E$4:$E$1019,0))="","",INDEX(AR!$AA$4:$AA$1019,MATCH($C72,AR!$E$4:$E$1019,0))),
IF($E72=3,IF(INDEX(AR!$AF$4:$AF$1019,MATCH($C72,AR!$E$4:$E$1019,0))="","",INDEX(AR!$AF$4:$AF$1019,MATCH($C72,AR!$E$4:$E$1019,0))),
IF($E72=4,IF(INDEX(AR!$AK$4:$AK$1019,MATCH($C72,AR!$E$4:$E$1019,0))="","",INDEX(AR!$AK$4:$AK$1019,MATCH($C72,AR!$E$4:$E$1019,0))),
IF($E72=5,IF(INDEX(AR!$AP$4:$AP$1019,MATCH($C72,AR!$E$4:$E$1019,0))="","",INDEX(AR!$AP$4:$AP$1019,MATCH($C72,AR!$E$4:$E$1019,0))),"")))))))</f>
        <v/>
      </c>
      <c r="J72" s="459" t="str">
        <f>IF(ISNA(MATCH($C72,AR!$E$4:$E$1019,0)),"",
IF($E72=0,IF(INDEX(AR!$R$4:$R$1019,MATCH($C72,AR!$E$4:$E$1019,0))="","",INDEX(AR!$R$4:$R$1019,MATCH($C72,AR!$E$4:$E$1019,0))),
IF($E72=1,IF(INDEX(AR!$W$4:$W$1019,MATCH($C72,AR!$E$4:$E$1019,0))="","",INDEX(AR!$W$4:$W$1019,MATCH($C72,AR!$E$4:$E$1019,0))),
IF($E72=2,IF(INDEX(AR!$AB$4:$AB$1019,MATCH($C72,AR!$E$4:$E$1019,0))="","",INDEX(AR!$AB$4:$AB$1019,MATCH($C72,AR!$E$4:$E$1019,0))),
IF($E72=3,IF(INDEX(AR!$AG$4:$AG$1019,MATCH($C72,AR!$E$4:$E$1019,0))="","",INDEX(AR!$AG$4:$AG$1019,MATCH($C72,AR!$E$4:$E$1019,0))),
IF($E72=4,IF(INDEX(AR!$AL$4:$AL$1019,MATCH($C72,AR!$E$4:$E$1019,0))="","",INDEX(AR!$AL$4:$AL$1019,MATCH($C72,AR!$E$4:$E$1019,0))),
IF($E72=5,IF(INDEX(AR!$AQ$4:$AQ$1019,MATCH($C72,AR!$E$4:$E$1019,0))="","",INDEX(AR!$AQ$4:$AQ$1019,MATCH($C72,AR!$E$4:$E$1019,0))),"")))))))</f>
        <v/>
      </c>
      <c r="K72" s="459">
        <f>AR!J71</f>
        <v>0</v>
      </c>
      <c r="L72" s="460" t="e" cm="1">
        <f t="array" aca="1" ref="L72" ca="1">_xlfn.IFS(AND($E72&lt;&gt;"",$M72="Pending",$K72="CTA"),TODAY()-$G72,AND($E72&lt;&gt;"",$M72="Pending",$K72="AUR"),TODAY()-$H72,AND($E72&lt;&gt;"",$M72="Pending",$K72="STT"),TODAY()-$I72,OR(K72="Closed",K72=""),"")</f>
        <v>#N/A</v>
      </c>
      <c r="M72" s="461">
        <f>VLOOKUP(C72,AR!$E$4:$AC$512,7,0)</f>
        <v>0</v>
      </c>
      <c r="N72" s="651" t="str">
        <f t="shared" si="2"/>
        <v/>
      </c>
      <c r="O72" s="739" t="str">
        <f>AR!M71</f>
        <v>GC</v>
      </c>
      <c r="P72" s="746" t="str">
        <v>NO</v>
      </c>
    </row>
    <row r="73" spans="1:16" s="385" customFormat="1" ht="27" hidden="1" customHeight="1">
      <c r="A73" s="399">
        <v>69</v>
      </c>
      <c r="B73" s="455" t="s">
        <v>19</v>
      </c>
      <c r="C73" s="454" t="s">
        <v>289</v>
      </c>
      <c r="D73" s="456" t="str">
        <f>_xlfn.XLOOKUP(C73,AR!$E$4:$E$84,AR!$D$4:$D$84)</f>
        <v>Level 1 - Signage Layout Plan &amp; Details</v>
      </c>
      <c r="E73" s="454" t="str">
        <f>IF(VLOOKUP(C73,AR!$E$4:$AC$512,5,0)="","",VLOOKUP(C73,AR!$E$4:$AC$1011,5,0))</f>
        <v/>
      </c>
      <c r="F73" s="457"/>
      <c r="G73" s="458" t="str">
        <f>IF(VLOOKUP(C73,AR!$E$4:$AC$512,3,0)="","",VLOOKUP(C73,AR!$E$4:$AC$512,3,0))</f>
        <v/>
      </c>
      <c r="H73" s="459" t="str">
        <f>IF(ISNA(MATCH($C73,AR!$E$4:$E$1019,0)),"",
IF($E73=0,IF(INDEX(AR!$P$4:$P$1019,MATCH($C73,AR!$E$4:$E$1019,0))="","",INDEX(AR!$P$4:$P$1019,MATCH($C73,AR!$E$4:$E$1019,0))),
IF($E73=1,IF(INDEX(AR!$U$4:$U$1019,MATCH($C73,AR!$E$4:$E$1019,0))="","",INDEX(AR!$U$4:$U$1019,MATCH($C73,AR!$E$4:$E$1019,0))),
IF($E73=2,IF(INDEX(AR!$Z$4:$Z$1019,MATCH($C73,AR!$E$4:$E$1019,0))="","",INDEX(AR!$Z$4:$Z$1019,MATCH($C73,AR!$E$4:$E$1019,0))),
IF($E73=3,IF(INDEX(AR!$AE$4:$AE$1019,MATCH($C73,AR!$E$4:$E$1019,0))="","",INDEX(AR!$AE$4:$AE$1019,MATCH($C73,AR!$E$4:$E$1019,0))),
IF($E73=4,IF(INDEX(AR!$AJ$4:$AJ$1019,MATCH($C73,AR!$E$4:$E$1019,0))="","",INDEX(AR!$AJ$4:$AJ$1019,MATCH($C73,AR!$E$4:$E$1019,0))),
IF($E73=5,IF(INDEX(AR!$AO$4:$AO$1019,MATCH($C73,AR!$E$4:$E$1019,0))="","",INDEX(AR!$AO$4:$AO$1019,MATCH($C73,AR!$E$4:$E$1019,0))),"")))))))</f>
        <v/>
      </c>
      <c r="I73" s="459" t="str">
        <f>IF(ISNA(MATCH($C73,AR!$E$4:$E$1019,0)),"",
IF($E73=0,IF(INDEX(AR!$Q$4:$Q$1019,MATCH($C73,AR!$E$4:$E$1019,0))="","",INDEX(AR!$Q$4:$Q$1019,MATCH($C73,AR!$E$4:$E$1019,0))),
IF($E73=1,IF(INDEX(AR!$V$4:$V$1019,MATCH($C73,AR!$E$4:$E$1019,0))="","",INDEX(AR!$V$4:$V$1019,MATCH($C73,AR!$E$4:$E$1019,0))),
IF($E73=2,IF(INDEX(AR!$AA$4:$AA$1019,MATCH($C73,AR!$E$4:$E$1019,0))="","",INDEX(AR!$AA$4:$AA$1019,MATCH($C73,AR!$E$4:$E$1019,0))),
IF($E73=3,IF(INDEX(AR!$AF$4:$AF$1019,MATCH($C73,AR!$E$4:$E$1019,0))="","",INDEX(AR!$AF$4:$AF$1019,MATCH($C73,AR!$E$4:$E$1019,0))),
IF($E73=4,IF(INDEX(AR!$AK$4:$AK$1019,MATCH($C73,AR!$E$4:$E$1019,0))="","",INDEX(AR!$AK$4:$AK$1019,MATCH($C73,AR!$E$4:$E$1019,0))),
IF($E73=5,IF(INDEX(AR!$AP$4:$AP$1019,MATCH($C73,AR!$E$4:$E$1019,0))="","",INDEX(AR!$AP$4:$AP$1019,MATCH($C73,AR!$E$4:$E$1019,0))),"")))))))</f>
        <v/>
      </c>
      <c r="J73" s="459" t="str">
        <f>IF(ISNA(MATCH($C73,AR!$E$4:$E$1019,0)),"",
IF($E73=0,IF(INDEX(AR!$R$4:$R$1019,MATCH($C73,AR!$E$4:$E$1019,0))="","",INDEX(AR!$R$4:$R$1019,MATCH($C73,AR!$E$4:$E$1019,0))),
IF($E73=1,IF(INDEX(AR!$W$4:$W$1019,MATCH($C73,AR!$E$4:$E$1019,0))="","",INDEX(AR!$W$4:$W$1019,MATCH($C73,AR!$E$4:$E$1019,0))),
IF($E73=2,IF(INDEX(AR!$AB$4:$AB$1019,MATCH($C73,AR!$E$4:$E$1019,0))="","",INDEX(AR!$AB$4:$AB$1019,MATCH($C73,AR!$E$4:$E$1019,0))),
IF($E73=3,IF(INDEX(AR!$AG$4:$AG$1019,MATCH($C73,AR!$E$4:$E$1019,0))="","",INDEX(AR!$AG$4:$AG$1019,MATCH($C73,AR!$E$4:$E$1019,0))),
IF($E73=4,IF(INDEX(AR!$AL$4:$AL$1019,MATCH($C73,AR!$E$4:$E$1019,0))="","",INDEX(AR!$AL$4:$AL$1019,MATCH($C73,AR!$E$4:$E$1019,0))),
IF($E73=5,IF(INDEX(AR!$AQ$4:$AQ$1019,MATCH($C73,AR!$E$4:$E$1019,0))="","",INDEX(AR!$AQ$4:$AQ$1019,MATCH($C73,AR!$E$4:$E$1019,0))),"")))))))</f>
        <v/>
      </c>
      <c r="K73" s="459">
        <f>AR!J72</f>
        <v>0</v>
      </c>
      <c r="L73" s="460" t="e" cm="1">
        <f t="array" aca="1" ref="L73" ca="1">_xlfn.IFS(AND($E73&lt;&gt;"",$M73="Pending",$K73="CTA"),TODAY()-$G73,AND($E73&lt;&gt;"",$M73="Pending",$K73="AUR"),TODAY()-$H73,AND($E73&lt;&gt;"",$M73="Pending",$K73="STT"),TODAY()-$I73,OR(K73="Closed",K73=""),"")</f>
        <v>#N/A</v>
      </c>
      <c r="M73" s="461">
        <f>VLOOKUP(C73,AR!$E$4:$AC$512,7,0)</f>
        <v>0</v>
      </c>
      <c r="N73" s="651" t="str">
        <f t="shared" si="2"/>
        <v/>
      </c>
      <c r="O73" s="739" t="str">
        <f>AR!M72</f>
        <v>GC</v>
      </c>
      <c r="P73" s="746" t="str">
        <v>NO</v>
      </c>
    </row>
    <row r="74" spans="1:16" s="385" customFormat="1" ht="27" hidden="1" customHeight="1">
      <c r="A74" s="399">
        <v>70</v>
      </c>
      <c r="B74" s="455" t="s">
        <v>19</v>
      </c>
      <c r="C74" s="454" t="s">
        <v>292</v>
      </c>
      <c r="D74" s="456" t="str">
        <f>_xlfn.XLOOKUP(C74,AR!$E$4:$E$84,AR!$D$4:$D$84)</f>
        <v>Level 2 - Signage Layout Plan &amp; Details</v>
      </c>
      <c r="E74" s="454" t="str">
        <f>IF(VLOOKUP(C74,AR!$E$4:$AC$512,5,0)="","",VLOOKUP(C74,AR!$E$4:$AC$1011,5,0))</f>
        <v/>
      </c>
      <c r="F74" s="457"/>
      <c r="G74" s="458" t="str">
        <f>IF(VLOOKUP(C74,AR!$E$4:$AC$512,3,0)="","",VLOOKUP(C74,AR!$E$4:$AC$512,3,0))</f>
        <v/>
      </c>
      <c r="H74" s="459" t="str">
        <f>IF(ISNA(MATCH($C74,AR!$E$4:$E$1019,0)),"",
IF($E74=0,IF(INDEX(AR!$P$4:$P$1019,MATCH($C74,AR!$E$4:$E$1019,0))="","",INDEX(AR!$P$4:$P$1019,MATCH($C74,AR!$E$4:$E$1019,0))),
IF($E74=1,IF(INDEX(AR!$U$4:$U$1019,MATCH($C74,AR!$E$4:$E$1019,0))="","",INDEX(AR!$U$4:$U$1019,MATCH($C74,AR!$E$4:$E$1019,0))),
IF($E74=2,IF(INDEX(AR!$Z$4:$Z$1019,MATCH($C74,AR!$E$4:$E$1019,0))="","",INDEX(AR!$Z$4:$Z$1019,MATCH($C74,AR!$E$4:$E$1019,0))),
IF($E74=3,IF(INDEX(AR!$AE$4:$AE$1019,MATCH($C74,AR!$E$4:$E$1019,0))="","",INDEX(AR!$AE$4:$AE$1019,MATCH($C74,AR!$E$4:$E$1019,0))),
IF($E74=4,IF(INDEX(AR!$AJ$4:$AJ$1019,MATCH($C74,AR!$E$4:$E$1019,0))="","",INDEX(AR!$AJ$4:$AJ$1019,MATCH($C74,AR!$E$4:$E$1019,0))),
IF($E74=5,IF(INDEX(AR!$AO$4:$AO$1019,MATCH($C74,AR!$E$4:$E$1019,0))="","",INDEX(AR!$AO$4:$AO$1019,MATCH($C74,AR!$E$4:$E$1019,0))),"")))))))</f>
        <v/>
      </c>
      <c r="I74" s="459" t="str">
        <f>IF(ISNA(MATCH($C74,AR!$E$4:$E$1019,0)),"",
IF($E74=0,IF(INDEX(AR!$Q$4:$Q$1019,MATCH($C74,AR!$E$4:$E$1019,0))="","",INDEX(AR!$Q$4:$Q$1019,MATCH($C74,AR!$E$4:$E$1019,0))),
IF($E74=1,IF(INDEX(AR!$V$4:$V$1019,MATCH($C74,AR!$E$4:$E$1019,0))="","",INDEX(AR!$V$4:$V$1019,MATCH($C74,AR!$E$4:$E$1019,0))),
IF($E74=2,IF(INDEX(AR!$AA$4:$AA$1019,MATCH($C74,AR!$E$4:$E$1019,0))="","",INDEX(AR!$AA$4:$AA$1019,MATCH($C74,AR!$E$4:$E$1019,0))),
IF($E74=3,IF(INDEX(AR!$AF$4:$AF$1019,MATCH($C74,AR!$E$4:$E$1019,0))="","",INDEX(AR!$AF$4:$AF$1019,MATCH($C74,AR!$E$4:$E$1019,0))),
IF($E74=4,IF(INDEX(AR!$AK$4:$AK$1019,MATCH($C74,AR!$E$4:$E$1019,0))="","",INDEX(AR!$AK$4:$AK$1019,MATCH($C74,AR!$E$4:$E$1019,0))),
IF($E74=5,IF(INDEX(AR!$AP$4:$AP$1019,MATCH($C74,AR!$E$4:$E$1019,0))="","",INDEX(AR!$AP$4:$AP$1019,MATCH($C74,AR!$E$4:$E$1019,0))),"")))))))</f>
        <v/>
      </c>
      <c r="J74" s="459" t="str">
        <f>IF(ISNA(MATCH($C74,AR!$E$4:$E$1019,0)),"",
IF($E74=0,IF(INDEX(AR!$R$4:$R$1019,MATCH($C74,AR!$E$4:$E$1019,0))="","",INDEX(AR!$R$4:$R$1019,MATCH($C74,AR!$E$4:$E$1019,0))),
IF($E74=1,IF(INDEX(AR!$W$4:$W$1019,MATCH($C74,AR!$E$4:$E$1019,0))="","",INDEX(AR!$W$4:$W$1019,MATCH($C74,AR!$E$4:$E$1019,0))),
IF($E74=2,IF(INDEX(AR!$AB$4:$AB$1019,MATCH($C74,AR!$E$4:$E$1019,0))="","",INDEX(AR!$AB$4:$AB$1019,MATCH($C74,AR!$E$4:$E$1019,0))),
IF($E74=3,IF(INDEX(AR!$AG$4:$AG$1019,MATCH($C74,AR!$E$4:$E$1019,0))="","",INDEX(AR!$AG$4:$AG$1019,MATCH($C74,AR!$E$4:$E$1019,0))),
IF($E74=4,IF(INDEX(AR!$AL$4:$AL$1019,MATCH($C74,AR!$E$4:$E$1019,0))="","",INDEX(AR!$AL$4:$AL$1019,MATCH($C74,AR!$E$4:$E$1019,0))),
IF($E74=5,IF(INDEX(AR!$AQ$4:$AQ$1019,MATCH($C74,AR!$E$4:$E$1019,0))="","",INDEX(AR!$AQ$4:$AQ$1019,MATCH($C74,AR!$E$4:$E$1019,0))),"")))))))</f>
        <v/>
      </c>
      <c r="K74" s="459">
        <f>AR!J73</f>
        <v>0</v>
      </c>
      <c r="L74" s="460" t="e" cm="1">
        <f t="array" aca="1" ref="L74" ca="1">_xlfn.IFS(AND($E74&lt;&gt;"",$M74="Pending",$K74="CTA"),TODAY()-$G74,AND($E74&lt;&gt;"",$M74="Pending",$K74="AUR"),TODAY()-$H74,AND($E74&lt;&gt;"",$M74="Pending",$K74="STT"),TODAY()-$I74,OR(K74="Closed",K74=""),"")</f>
        <v>#N/A</v>
      </c>
      <c r="M74" s="461">
        <f>VLOOKUP(C74,AR!$E$4:$AC$512,7,0)</f>
        <v>0</v>
      </c>
      <c r="N74" s="651" t="str">
        <f t="shared" si="2"/>
        <v/>
      </c>
      <c r="O74" s="739" t="str">
        <f>AR!M73</f>
        <v>GC</v>
      </c>
      <c r="P74" s="746" t="str">
        <v>NO</v>
      </c>
    </row>
    <row r="75" spans="1:16" s="385" customFormat="1" ht="27" hidden="1" customHeight="1">
      <c r="A75" s="399">
        <v>71</v>
      </c>
      <c r="B75" s="455" t="s">
        <v>19</v>
      </c>
      <c r="C75" s="454" t="s">
        <v>295</v>
      </c>
      <c r="D75" s="456" t="str">
        <f>_xlfn.XLOOKUP(C75,AR!$E$4:$E$84,AR!$D$4:$D$84)</f>
        <v>Level 3 - Signage Layout Plan &amp; Details</v>
      </c>
      <c r="E75" s="454" t="str">
        <f>IF(VLOOKUP(C75,AR!$E$4:$AC$512,5,0)="","",VLOOKUP(C75,AR!$E$4:$AC$1011,5,0))</f>
        <v/>
      </c>
      <c r="F75" s="457"/>
      <c r="G75" s="458" t="str">
        <f>IF(VLOOKUP(C75,AR!$E$4:$AC$512,3,0)="","",VLOOKUP(C75,AR!$E$4:$AC$512,3,0))</f>
        <v/>
      </c>
      <c r="H75" s="459" t="str">
        <f>IF(ISNA(MATCH($C75,AR!$E$4:$E$1019,0)),"",
IF($E75=0,IF(INDEX(AR!$P$4:$P$1019,MATCH($C75,AR!$E$4:$E$1019,0))="","",INDEX(AR!$P$4:$P$1019,MATCH($C75,AR!$E$4:$E$1019,0))),
IF($E75=1,IF(INDEX(AR!$U$4:$U$1019,MATCH($C75,AR!$E$4:$E$1019,0))="","",INDEX(AR!$U$4:$U$1019,MATCH($C75,AR!$E$4:$E$1019,0))),
IF($E75=2,IF(INDEX(AR!$Z$4:$Z$1019,MATCH($C75,AR!$E$4:$E$1019,0))="","",INDEX(AR!$Z$4:$Z$1019,MATCH($C75,AR!$E$4:$E$1019,0))),
IF($E75=3,IF(INDEX(AR!$AE$4:$AE$1019,MATCH($C75,AR!$E$4:$E$1019,0))="","",INDEX(AR!$AE$4:$AE$1019,MATCH($C75,AR!$E$4:$E$1019,0))),
IF($E75=4,IF(INDEX(AR!$AJ$4:$AJ$1019,MATCH($C75,AR!$E$4:$E$1019,0))="","",INDEX(AR!$AJ$4:$AJ$1019,MATCH($C75,AR!$E$4:$E$1019,0))),
IF($E75=5,IF(INDEX(AR!$AO$4:$AO$1019,MATCH($C75,AR!$E$4:$E$1019,0))="","",INDEX(AR!$AO$4:$AO$1019,MATCH($C75,AR!$E$4:$E$1019,0))),"")))))))</f>
        <v/>
      </c>
      <c r="I75" s="459" t="str">
        <f>IF(ISNA(MATCH($C75,AR!$E$4:$E$1019,0)),"",
IF($E75=0,IF(INDEX(AR!$Q$4:$Q$1019,MATCH($C75,AR!$E$4:$E$1019,0))="","",INDEX(AR!$Q$4:$Q$1019,MATCH($C75,AR!$E$4:$E$1019,0))),
IF($E75=1,IF(INDEX(AR!$V$4:$V$1019,MATCH($C75,AR!$E$4:$E$1019,0))="","",INDEX(AR!$V$4:$V$1019,MATCH($C75,AR!$E$4:$E$1019,0))),
IF($E75=2,IF(INDEX(AR!$AA$4:$AA$1019,MATCH($C75,AR!$E$4:$E$1019,0))="","",INDEX(AR!$AA$4:$AA$1019,MATCH($C75,AR!$E$4:$E$1019,0))),
IF($E75=3,IF(INDEX(AR!$AF$4:$AF$1019,MATCH($C75,AR!$E$4:$E$1019,0))="","",INDEX(AR!$AF$4:$AF$1019,MATCH($C75,AR!$E$4:$E$1019,0))),
IF($E75=4,IF(INDEX(AR!$AK$4:$AK$1019,MATCH($C75,AR!$E$4:$E$1019,0))="","",INDEX(AR!$AK$4:$AK$1019,MATCH($C75,AR!$E$4:$E$1019,0))),
IF($E75=5,IF(INDEX(AR!$AP$4:$AP$1019,MATCH($C75,AR!$E$4:$E$1019,0))="","",INDEX(AR!$AP$4:$AP$1019,MATCH($C75,AR!$E$4:$E$1019,0))),"")))))))</f>
        <v/>
      </c>
      <c r="J75" s="459" t="str">
        <f>IF(ISNA(MATCH($C75,AR!$E$4:$E$1019,0)),"",
IF($E75=0,IF(INDEX(AR!$R$4:$R$1019,MATCH($C75,AR!$E$4:$E$1019,0))="","",INDEX(AR!$R$4:$R$1019,MATCH($C75,AR!$E$4:$E$1019,0))),
IF($E75=1,IF(INDEX(AR!$W$4:$W$1019,MATCH($C75,AR!$E$4:$E$1019,0))="","",INDEX(AR!$W$4:$W$1019,MATCH($C75,AR!$E$4:$E$1019,0))),
IF($E75=2,IF(INDEX(AR!$AB$4:$AB$1019,MATCH($C75,AR!$E$4:$E$1019,0))="","",INDEX(AR!$AB$4:$AB$1019,MATCH($C75,AR!$E$4:$E$1019,0))),
IF($E75=3,IF(INDEX(AR!$AG$4:$AG$1019,MATCH($C75,AR!$E$4:$E$1019,0))="","",INDEX(AR!$AG$4:$AG$1019,MATCH($C75,AR!$E$4:$E$1019,0))),
IF($E75=4,IF(INDEX(AR!$AL$4:$AL$1019,MATCH($C75,AR!$E$4:$E$1019,0))="","",INDEX(AR!$AL$4:$AL$1019,MATCH($C75,AR!$E$4:$E$1019,0))),
IF($E75=5,IF(INDEX(AR!$AQ$4:$AQ$1019,MATCH($C75,AR!$E$4:$E$1019,0))="","",INDEX(AR!$AQ$4:$AQ$1019,MATCH($C75,AR!$E$4:$E$1019,0))),"")))))))</f>
        <v/>
      </c>
      <c r="K75" s="459">
        <f>AR!J74</f>
        <v>0</v>
      </c>
      <c r="L75" s="460" t="e" cm="1">
        <f t="array" aca="1" ref="L75" ca="1">_xlfn.IFS(AND($E75&lt;&gt;"",$M75="Pending",$K75="CTA"),TODAY()-$G75,AND($E75&lt;&gt;"",$M75="Pending",$K75="AUR"),TODAY()-$H75,AND($E75&lt;&gt;"",$M75="Pending",$K75="STT"),TODAY()-$I75,OR(K75="Closed",K75=""),"")</f>
        <v>#N/A</v>
      </c>
      <c r="M75" s="461">
        <f>VLOOKUP(C75,AR!$E$4:$AC$512,7,0)</f>
        <v>0</v>
      </c>
      <c r="N75" s="651" t="str">
        <f t="shared" si="2"/>
        <v/>
      </c>
      <c r="O75" s="739" t="str">
        <f>AR!M74</f>
        <v>GC</v>
      </c>
      <c r="P75" s="746" t="str">
        <v>NO</v>
      </c>
    </row>
    <row r="76" spans="1:16" s="385" customFormat="1" ht="27" hidden="1" customHeight="1">
      <c r="A76" s="399">
        <v>72</v>
      </c>
      <c r="B76" s="455" t="s">
        <v>19</v>
      </c>
      <c r="C76" s="454" t="s">
        <v>298</v>
      </c>
      <c r="D76" s="456" t="str">
        <f>_xlfn.XLOOKUP(C76,AR!$E$4:$E$84,AR!$D$4:$D$84)</f>
        <v>Level 6 - Signage Layout Plan &amp; Details</v>
      </c>
      <c r="E76" s="454" t="str">
        <f>IF(VLOOKUP(C76,AR!$E$4:$AC$512,5,0)="","",VLOOKUP(C76,AR!$E$4:$AC$1011,5,0))</f>
        <v/>
      </c>
      <c r="F76" s="457"/>
      <c r="G76" s="458" t="str">
        <f>IF(VLOOKUP(C76,AR!$E$4:$AC$512,3,0)="","",VLOOKUP(C76,AR!$E$4:$AC$512,3,0))</f>
        <v/>
      </c>
      <c r="H76" s="459" t="str">
        <f>IF(ISNA(MATCH($C76,AR!$E$4:$E$1019,0)),"",
IF($E76=0,IF(INDEX(AR!$P$4:$P$1019,MATCH($C76,AR!$E$4:$E$1019,0))="","",INDEX(AR!$P$4:$P$1019,MATCH($C76,AR!$E$4:$E$1019,0))),
IF($E76=1,IF(INDEX(AR!$U$4:$U$1019,MATCH($C76,AR!$E$4:$E$1019,0))="","",INDEX(AR!$U$4:$U$1019,MATCH($C76,AR!$E$4:$E$1019,0))),
IF($E76=2,IF(INDEX(AR!$Z$4:$Z$1019,MATCH($C76,AR!$E$4:$E$1019,0))="","",INDEX(AR!$Z$4:$Z$1019,MATCH($C76,AR!$E$4:$E$1019,0))),
IF($E76=3,IF(INDEX(AR!$AE$4:$AE$1019,MATCH($C76,AR!$E$4:$E$1019,0))="","",INDEX(AR!$AE$4:$AE$1019,MATCH($C76,AR!$E$4:$E$1019,0))),
IF($E76=4,IF(INDEX(AR!$AJ$4:$AJ$1019,MATCH($C76,AR!$E$4:$E$1019,0))="","",INDEX(AR!$AJ$4:$AJ$1019,MATCH($C76,AR!$E$4:$E$1019,0))),
IF($E76=5,IF(INDEX(AR!$AO$4:$AO$1019,MATCH($C76,AR!$E$4:$E$1019,0))="","",INDEX(AR!$AO$4:$AO$1019,MATCH($C76,AR!$E$4:$E$1019,0))),"")))))))</f>
        <v/>
      </c>
      <c r="I76" s="459" t="str">
        <f>IF(ISNA(MATCH($C76,AR!$E$4:$E$1019,0)),"",
IF($E76=0,IF(INDEX(AR!$Q$4:$Q$1019,MATCH($C76,AR!$E$4:$E$1019,0))="","",INDEX(AR!$Q$4:$Q$1019,MATCH($C76,AR!$E$4:$E$1019,0))),
IF($E76=1,IF(INDEX(AR!$V$4:$V$1019,MATCH($C76,AR!$E$4:$E$1019,0))="","",INDEX(AR!$V$4:$V$1019,MATCH($C76,AR!$E$4:$E$1019,0))),
IF($E76=2,IF(INDEX(AR!$AA$4:$AA$1019,MATCH($C76,AR!$E$4:$E$1019,0))="","",INDEX(AR!$AA$4:$AA$1019,MATCH($C76,AR!$E$4:$E$1019,0))),
IF($E76=3,IF(INDEX(AR!$AF$4:$AF$1019,MATCH($C76,AR!$E$4:$E$1019,0))="","",INDEX(AR!$AF$4:$AF$1019,MATCH($C76,AR!$E$4:$E$1019,0))),
IF($E76=4,IF(INDEX(AR!$AK$4:$AK$1019,MATCH($C76,AR!$E$4:$E$1019,0))="","",INDEX(AR!$AK$4:$AK$1019,MATCH($C76,AR!$E$4:$E$1019,0))),
IF($E76=5,IF(INDEX(AR!$AP$4:$AP$1019,MATCH($C76,AR!$E$4:$E$1019,0))="","",INDEX(AR!$AP$4:$AP$1019,MATCH($C76,AR!$E$4:$E$1019,0))),"")))))))</f>
        <v/>
      </c>
      <c r="J76" s="459" t="str">
        <f>IF(ISNA(MATCH($C76,AR!$E$4:$E$1019,0)),"",
IF($E76=0,IF(INDEX(AR!$R$4:$R$1019,MATCH($C76,AR!$E$4:$E$1019,0))="","",INDEX(AR!$R$4:$R$1019,MATCH($C76,AR!$E$4:$E$1019,0))),
IF($E76=1,IF(INDEX(AR!$W$4:$W$1019,MATCH($C76,AR!$E$4:$E$1019,0))="","",INDEX(AR!$W$4:$W$1019,MATCH($C76,AR!$E$4:$E$1019,0))),
IF($E76=2,IF(INDEX(AR!$AB$4:$AB$1019,MATCH($C76,AR!$E$4:$E$1019,0))="","",INDEX(AR!$AB$4:$AB$1019,MATCH($C76,AR!$E$4:$E$1019,0))),
IF($E76=3,IF(INDEX(AR!$AG$4:$AG$1019,MATCH($C76,AR!$E$4:$E$1019,0))="","",INDEX(AR!$AG$4:$AG$1019,MATCH($C76,AR!$E$4:$E$1019,0))),
IF($E76=4,IF(INDEX(AR!$AL$4:$AL$1019,MATCH($C76,AR!$E$4:$E$1019,0))="","",INDEX(AR!$AL$4:$AL$1019,MATCH($C76,AR!$E$4:$E$1019,0))),
IF($E76=5,IF(INDEX(AR!$AQ$4:$AQ$1019,MATCH($C76,AR!$E$4:$E$1019,0))="","",INDEX(AR!$AQ$4:$AQ$1019,MATCH($C76,AR!$E$4:$E$1019,0))),"")))))))</f>
        <v/>
      </c>
      <c r="K76" s="459">
        <f>AR!J75</f>
        <v>0</v>
      </c>
      <c r="L76" s="460" t="e" cm="1">
        <f t="array" aca="1" ref="L76" ca="1">_xlfn.IFS(AND($E76&lt;&gt;"",$M76="Pending",$K76="CTA"),TODAY()-$G76,AND($E76&lt;&gt;"",$M76="Pending",$K76="AUR"),TODAY()-$H76,AND($E76&lt;&gt;"",$M76="Pending",$K76="STT"),TODAY()-$I76,OR(K76="Closed",K76=""),"")</f>
        <v>#N/A</v>
      </c>
      <c r="M76" s="461">
        <f>VLOOKUP(C76,AR!$E$4:$AC$512,7,0)</f>
        <v>0</v>
      </c>
      <c r="N76" s="651" t="str">
        <f t="shared" si="2"/>
        <v/>
      </c>
      <c r="O76" s="739" t="str">
        <f>AR!M75</f>
        <v>GC</v>
      </c>
      <c r="P76" s="746" t="str">
        <v>NO</v>
      </c>
    </row>
    <row r="77" spans="1:16" s="385" customFormat="1" ht="27" hidden="1" customHeight="1">
      <c r="A77" s="399">
        <v>73</v>
      </c>
      <c r="B77" s="455" t="s">
        <v>19</v>
      </c>
      <c r="C77" s="454" t="s">
        <v>301</v>
      </c>
      <c r="D77" s="456" t="str">
        <f>_xlfn.XLOOKUP(C77,AR!$E$4:$E$84,AR!$D$4:$D$84)</f>
        <v>Level 1 - Block-out &amp; Pipe Sleeve Details</v>
      </c>
      <c r="E77" s="454" t="str">
        <f>IF(VLOOKUP(C77,AR!$E$4:$AC$512,5,0)="","",VLOOKUP(C77,AR!$E$4:$AC$1011,5,0))</f>
        <v/>
      </c>
      <c r="F77" s="457"/>
      <c r="G77" s="458" t="str">
        <f>IF(VLOOKUP(C77,AR!$E$4:$AC$512,3,0)="","",VLOOKUP(C77,AR!$E$4:$AC$512,3,0))</f>
        <v/>
      </c>
      <c r="H77" s="459" t="str">
        <f>IF(ISNA(MATCH($C77,AR!$E$4:$E$1019,0)),"",
IF($E77=0,IF(INDEX(AR!$P$4:$P$1019,MATCH($C77,AR!$E$4:$E$1019,0))="","",INDEX(AR!$P$4:$P$1019,MATCH($C77,AR!$E$4:$E$1019,0))),
IF($E77=1,IF(INDEX(AR!$U$4:$U$1019,MATCH($C77,AR!$E$4:$E$1019,0))="","",INDEX(AR!$U$4:$U$1019,MATCH($C77,AR!$E$4:$E$1019,0))),
IF($E77=2,IF(INDEX(AR!$Z$4:$Z$1019,MATCH($C77,AR!$E$4:$E$1019,0))="","",INDEX(AR!$Z$4:$Z$1019,MATCH($C77,AR!$E$4:$E$1019,0))),
IF($E77=3,IF(INDEX(AR!$AE$4:$AE$1019,MATCH($C77,AR!$E$4:$E$1019,0))="","",INDEX(AR!$AE$4:$AE$1019,MATCH($C77,AR!$E$4:$E$1019,0))),
IF($E77=4,IF(INDEX(AR!$AJ$4:$AJ$1019,MATCH($C77,AR!$E$4:$E$1019,0))="","",INDEX(AR!$AJ$4:$AJ$1019,MATCH($C77,AR!$E$4:$E$1019,0))),
IF($E77=5,IF(INDEX(AR!$AO$4:$AO$1019,MATCH($C77,AR!$E$4:$E$1019,0))="","",INDEX(AR!$AO$4:$AO$1019,MATCH($C77,AR!$E$4:$E$1019,0))),"")))))))</f>
        <v/>
      </c>
      <c r="I77" s="459" t="str">
        <f>IF(ISNA(MATCH($C77,AR!$E$4:$E$1019,0)),"",
IF($E77=0,IF(INDEX(AR!$Q$4:$Q$1019,MATCH($C77,AR!$E$4:$E$1019,0))="","",INDEX(AR!$Q$4:$Q$1019,MATCH($C77,AR!$E$4:$E$1019,0))),
IF($E77=1,IF(INDEX(AR!$V$4:$V$1019,MATCH($C77,AR!$E$4:$E$1019,0))="","",INDEX(AR!$V$4:$V$1019,MATCH($C77,AR!$E$4:$E$1019,0))),
IF($E77=2,IF(INDEX(AR!$AA$4:$AA$1019,MATCH($C77,AR!$E$4:$E$1019,0))="","",INDEX(AR!$AA$4:$AA$1019,MATCH($C77,AR!$E$4:$E$1019,0))),
IF($E77=3,IF(INDEX(AR!$AF$4:$AF$1019,MATCH($C77,AR!$E$4:$E$1019,0))="","",INDEX(AR!$AF$4:$AF$1019,MATCH($C77,AR!$E$4:$E$1019,0))),
IF($E77=4,IF(INDEX(AR!$AK$4:$AK$1019,MATCH($C77,AR!$E$4:$E$1019,0))="","",INDEX(AR!$AK$4:$AK$1019,MATCH($C77,AR!$E$4:$E$1019,0))),
IF($E77=5,IF(INDEX(AR!$AP$4:$AP$1019,MATCH($C77,AR!$E$4:$E$1019,0))="","",INDEX(AR!$AP$4:$AP$1019,MATCH($C77,AR!$E$4:$E$1019,0))),"")))))))</f>
        <v/>
      </c>
      <c r="J77" s="459" t="str">
        <f>IF(ISNA(MATCH($C77,AR!$E$4:$E$1019,0)),"",
IF($E77=0,IF(INDEX(AR!$R$4:$R$1019,MATCH($C77,AR!$E$4:$E$1019,0))="","",INDEX(AR!$R$4:$R$1019,MATCH($C77,AR!$E$4:$E$1019,0))),
IF($E77=1,IF(INDEX(AR!$W$4:$W$1019,MATCH($C77,AR!$E$4:$E$1019,0))="","",INDEX(AR!$W$4:$W$1019,MATCH($C77,AR!$E$4:$E$1019,0))),
IF($E77=2,IF(INDEX(AR!$AB$4:$AB$1019,MATCH($C77,AR!$E$4:$E$1019,0))="","",INDEX(AR!$AB$4:$AB$1019,MATCH($C77,AR!$E$4:$E$1019,0))),
IF($E77=3,IF(INDEX(AR!$AG$4:$AG$1019,MATCH($C77,AR!$E$4:$E$1019,0))="","",INDEX(AR!$AG$4:$AG$1019,MATCH($C77,AR!$E$4:$E$1019,0))),
IF($E77=4,IF(INDEX(AR!$AL$4:$AL$1019,MATCH($C77,AR!$E$4:$E$1019,0))="","",INDEX(AR!$AL$4:$AL$1019,MATCH($C77,AR!$E$4:$E$1019,0))),
IF($E77=5,IF(INDEX(AR!$AQ$4:$AQ$1019,MATCH($C77,AR!$E$4:$E$1019,0))="","",INDEX(AR!$AQ$4:$AQ$1019,MATCH($C77,AR!$E$4:$E$1019,0))),"")))))))</f>
        <v/>
      </c>
      <c r="K77" s="459">
        <f>AR!J76</f>
        <v>0</v>
      </c>
      <c r="L77" s="460" t="e" cm="1">
        <f t="array" aca="1" ref="L77" ca="1">_xlfn.IFS(AND($E77&lt;&gt;"",$M77="Pending",$K77="CTA"),TODAY()-$G77,AND($E77&lt;&gt;"",$M77="Pending",$K77="AUR"),TODAY()-$H77,AND($E77&lt;&gt;"",$M77="Pending",$K77="STT"),TODAY()-$I77,OR(K77="Closed",K77=""),"")</f>
        <v>#N/A</v>
      </c>
      <c r="M77" s="461">
        <f>VLOOKUP(C77,AR!$E$4:$AC$512,7,0)</f>
        <v>0</v>
      </c>
      <c r="N77" s="651" t="str">
        <f t="shared" si="2"/>
        <v/>
      </c>
      <c r="O77" s="739" t="str">
        <f>AR!M76</f>
        <v>GC</v>
      </c>
      <c r="P77" s="746" t="str">
        <v>NO</v>
      </c>
    </row>
    <row r="78" spans="1:16" s="385" customFormat="1" ht="27" hidden="1" customHeight="1">
      <c r="A78" s="399">
        <v>74</v>
      </c>
      <c r="B78" s="455" t="s">
        <v>19</v>
      </c>
      <c r="C78" s="454" t="s">
        <v>304</v>
      </c>
      <c r="D78" s="456" t="str">
        <f>_xlfn.XLOOKUP(C78,AR!$E$4:$E$84,AR!$D$4:$D$84)</f>
        <v>Level 2 - Data Hall 2-A Block-out &amp; Pipe Sleeve Details</v>
      </c>
      <c r="E78" s="454" t="str">
        <f>IF(VLOOKUP(C78,AR!$E$4:$AC$512,5,0)="","",VLOOKUP(C78,AR!$E$4:$AC$1011,5,0))</f>
        <v/>
      </c>
      <c r="F78" s="457"/>
      <c r="G78" s="458" t="str">
        <f>IF(VLOOKUP(C78,AR!$E$4:$AC$512,3,0)="","",VLOOKUP(C78,AR!$E$4:$AC$512,3,0))</f>
        <v/>
      </c>
      <c r="H78" s="459" t="str">
        <f>IF(ISNA(MATCH($C78,AR!$E$4:$E$1019,0)),"",
IF($E78=0,IF(INDEX(AR!$P$4:$P$1019,MATCH($C78,AR!$E$4:$E$1019,0))="","",INDEX(AR!$P$4:$P$1019,MATCH($C78,AR!$E$4:$E$1019,0))),
IF($E78=1,IF(INDEX(AR!$U$4:$U$1019,MATCH($C78,AR!$E$4:$E$1019,0))="","",INDEX(AR!$U$4:$U$1019,MATCH($C78,AR!$E$4:$E$1019,0))),
IF($E78=2,IF(INDEX(AR!$Z$4:$Z$1019,MATCH($C78,AR!$E$4:$E$1019,0))="","",INDEX(AR!$Z$4:$Z$1019,MATCH($C78,AR!$E$4:$E$1019,0))),
IF($E78=3,IF(INDEX(AR!$AE$4:$AE$1019,MATCH($C78,AR!$E$4:$E$1019,0))="","",INDEX(AR!$AE$4:$AE$1019,MATCH($C78,AR!$E$4:$E$1019,0))),
IF($E78=4,IF(INDEX(AR!$AJ$4:$AJ$1019,MATCH($C78,AR!$E$4:$E$1019,0))="","",INDEX(AR!$AJ$4:$AJ$1019,MATCH($C78,AR!$E$4:$E$1019,0))),
IF($E78=5,IF(INDEX(AR!$AO$4:$AO$1019,MATCH($C78,AR!$E$4:$E$1019,0))="","",INDEX(AR!$AO$4:$AO$1019,MATCH($C78,AR!$E$4:$E$1019,0))),"")))))))</f>
        <v/>
      </c>
      <c r="I78" s="459" t="str">
        <f>IF(ISNA(MATCH($C78,AR!$E$4:$E$1019,0)),"",
IF($E78=0,IF(INDEX(AR!$Q$4:$Q$1019,MATCH($C78,AR!$E$4:$E$1019,0))="","",INDEX(AR!$Q$4:$Q$1019,MATCH($C78,AR!$E$4:$E$1019,0))),
IF($E78=1,IF(INDEX(AR!$V$4:$V$1019,MATCH($C78,AR!$E$4:$E$1019,0))="","",INDEX(AR!$V$4:$V$1019,MATCH($C78,AR!$E$4:$E$1019,0))),
IF($E78=2,IF(INDEX(AR!$AA$4:$AA$1019,MATCH($C78,AR!$E$4:$E$1019,0))="","",INDEX(AR!$AA$4:$AA$1019,MATCH($C78,AR!$E$4:$E$1019,0))),
IF($E78=3,IF(INDEX(AR!$AF$4:$AF$1019,MATCH($C78,AR!$E$4:$E$1019,0))="","",INDEX(AR!$AF$4:$AF$1019,MATCH($C78,AR!$E$4:$E$1019,0))),
IF($E78=4,IF(INDEX(AR!$AK$4:$AK$1019,MATCH($C78,AR!$E$4:$E$1019,0))="","",INDEX(AR!$AK$4:$AK$1019,MATCH($C78,AR!$E$4:$E$1019,0))),
IF($E78=5,IF(INDEX(AR!$AP$4:$AP$1019,MATCH($C78,AR!$E$4:$E$1019,0))="","",INDEX(AR!$AP$4:$AP$1019,MATCH($C78,AR!$E$4:$E$1019,0))),"")))))))</f>
        <v/>
      </c>
      <c r="J78" s="459" t="str">
        <f>IF(ISNA(MATCH($C78,AR!$E$4:$E$1019,0)),"",
IF($E78=0,IF(INDEX(AR!$R$4:$R$1019,MATCH($C78,AR!$E$4:$E$1019,0))="","",INDEX(AR!$R$4:$R$1019,MATCH($C78,AR!$E$4:$E$1019,0))),
IF($E78=1,IF(INDEX(AR!$W$4:$W$1019,MATCH($C78,AR!$E$4:$E$1019,0))="","",INDEX(AR!$W$4:$W$1019,MATCH($C78,AR!$E$4:$E$1019,0))),
IF($E78=2,IF(INDEX(AR!$AB$4:$AB$1019,MATCH($C78,AR!$E$4:$E$1019,0))="","",INDEX(AR!$AB$4:$AB$1019,MATCH($C78,AR!$E$4:$E$1019,0))),
IF($E78=3,IF(INDEX(AR!$AG$4:$AG$1019,MATCH($C78,AR!$E$4:$E$1019,0))="","",INDEX(AR!$AG$4:$AG$1019,MATCH($C78,AR!$E$4:$E$1019,0))),
IF($E78=4,IF(INDEX(AR!$AL$4:$AL$1019,MATCH($C78,AR!$E$4:$E$1019,0))="","",INDEX(AR!$AL$4:$AL$1019,MATCH($C78,AR!$E$4:$E$1019,0))),
IF($E78=5,IF(INDEX(AR!$AQ$4:$AQ$1019,MATCH($C78,AR!$E$4:$E$1019,0))="","",INDEX(AR!$AQ$4:$AQ$1019,MATCH($C78,AR!$E$4:$E$1019,0))),"")))))))</f>
        <v/>
      </c>
      <c r="K78" s="459">
        <f>AR!J77</f>
        <v>0</v>
      </c>
      <c r="L78" s="460" t="e" cm="1">
        <f t="array" aca="1" ref="L78" ca="1">_xlfn.IFS(AND($E78&lt;&gt;"",$M78="Pending",$K78="CTA"),TODAY()-$G78,AND($E78&lt;&gt;"",$M78="Pending",$K78="AUR"),TODAY()-$H78,AND($E78&lt;&gt;"",$M78="Pending",$K78="STT"),TODAY()-$I78,OR(K78="Closed",K78=""),"")</f>
        <v>#N/A</v>
      </c>
      <c r="M78" s="461">
        <f>VLOOKUP(C78,AR!$E$4:$AC$512,7,0)</f>
        <v>0</v>
      </c>
      <c r="N78" s="651" t="str">
        <f t="shared" si="2"/>
        <v/>
      </c>
      <c r="O78" s="739" t="str">
        <f>AR!M77</f>
        <v>GC</v>
      </c>
      <c r="P78" s="746" t="str">
        <v>NO</v>
      </c>
    </row>
    <row r="79" spans="1:16" s="385" customFormat="1" ht="27" hidden="1" customHeight="1">
      <c r="A79" s="399">
        <v>75</v>
      </c>
      <c r="B79" s="455" t="s">
        <v>19</v>
      </c>
      <c r="C79" s="454" t="s">
        <v>307</v>
      </c>
      <c r="D79" s="456" t="str">
        <f>_xlfn.XLOOKUP(C79,AR!$E$4:$E$84,AR!$D$4:$D$84)</f>
        <v>Level 2 - Spare Space Block-out &amp; Pipe Sleeve Details</v>
      </c>
      <c r="E79" s="454" t="str">
        <f>IF(VLOOKUP(C79,AR!$E$4:$AC$512,5,0)="","",VLOOKUP(C79,AR!$E$4:$AC$1011,5,0))</f>
        <v/>
      </c>
      <c r="F79" s="457"/>
      <c r="G79" s="458" t="str">
        <f>IF(VLOOKUP(C79,AR!$E$4:$AC$512,3,0)="","",VLOOKUP(C79,AR!$E$4:$AC$512,3,0))</f>
        <v/>
      </c>
      <c r="H79" s="459" t="str">
        <f>IF(ISNA(MATCH($C79,AR!$E$4:$E$1019,0)),"",
IF($E79=0,IF(INDEX(AR!$P$4:$P$1019,MATCH($C79,AR!$E$4:$E$1019,0))="","",INDEX(AR!$P$4:$P$1019,MATCH($C79,AR!$E$4:$E$1019,0))),
IF($E79=1,IF(INDEX(AR!$U$4:$U$1019,MATCH($C79,AR!$E$4:$E$1019,0))="","",INDEX(AR!$U$4:$U$1019,MATCH($C79,AR!$E$4:$E$1019,0))),
IF($E79=2,IF(INDEX(AR!$Z$4:$Z$1019,MATCH($C79,AR!$E$4:$E$1019,0))="","",INDEX(AR!$Z$4:$Z$1019,MATCH($C79,AR!$E$4:$E$1019,0))),
IF($E79=3,IF(INDEX(AR!$AE$4:$AE$1019,MATCH($C79,AR!$E$4:$E$1019,0))="","",INDEX(AR!$AE$4:$AE$1019,MATCH($C79,AR!$E$4:$E$1019,0))),
IF($E79=4,IF(INDEX(AR!$AJ$4:$AJ$1019,MATCH($C79,AR!$E$4:$E$1019,0))="","",INDEX(AR!$AJ$4:$AJ$1019,MATCH($C79,AR!$E$4:$E$1019,0))),
IF($E79=5,IF(INDEX(AR!$AO$4:$AO$1019,MATCH($C79,AR!$E$4:$E$1019,0))="","",INDEX(AR!$AO$4:$AO$1019,MATCH($C79,AR!$E$4:$E$1019,0))),"")))))))</f>
        <v/>
      </c>
      <c r="I79" s="459" t="str">
        <f>IF(ISNA(MATCH($C79,AR!$E$4:$E$1019,0)),"",
IF($E79=0,IF(INDEX(AR!$Q$4:$Q$1019,MATCH($C79,AR!$E$4:$E$1019,0))="","",INDEX(AR!$Q$4:$Q$1019,MATCH($C79,AR!$E$4:$E$1019,0))),
IF($E79=1,IF(INDEX(AR!$V$4:$V$1019,MATCH($C79,AR!$E$4:$E$1019,0))="","",INDEX(AR!$V$4:$V$1019,MATCH($C79,AR!$E$4:$E$1019,0))),
IF($E79=2,IF(INDEX(AR!$AA$4:$AA$1019,MATCH($C79,AR!$E$4:$E$1019,0))="","",INDEX(AR!$AA$4:$AA$1019,MATCH($C79,AR!$E$4:$E$1019,0))),
IF($E79=3,IF(INDEX(AR!$AF$4:$AF$1019,MATCH($C79,AR!$E$4:$E$1019,0))="","",INDEX(AR!$AF$4:$AF$1019,MATCH($C79,AR!$E$4:$E$1019,0))),
IF($E79=4,IF(INDEX(AR!$AK$4:$AK$1019,MATCH($C79,AR!$E$4:$E$1019,0))="","",INDEX(AR!$AK$4:$AK$1019,MATCH($C79,AR!$E$4:$E$1019,0))),
IF($E79=5,IF(INDEX(AR!$AP$4:$AP$1019,MATCH($C79,AR!$E$4:$E$1019,0))="","",INDEX(AR!$AP$4:$AP$1019,MATCH($C79,AR!$E$4:$E$1019,0))),"")))))))</f>
        <v/>
      </c>
      <c r="J79" s="459" t="str">
        <f>IF(ISNA(MATCH($C79,AR!$E$4:$E$1019,0)),"",
IF($E79=0,IF(INDEX(AR!$R$4:$R$1019,MATCH($C79,AR!$E$4:$E$1019,0))="","",INDEX(AR!$R$4:$R$1019,MATCH($C79,AR!$E$4:$E$1019,0))),
IF($E79=1,IF(INDEX(AR!$W$4:$W$1019,MATCH($C79,AR!$E$4:$E$1019,0))="","",INDEX(AR!$W$4:$W$1019,MATCH($C79,AR!$E$4:$E$1019,0))),
IF($E79=2,IF(INDEX(AR!$AB$4:$AB$1019,MATCH($C79,AR!$E$4:$E$1019,0))="","",INDEX(AR!$AB$4:$AB$1019,MATCH($C79,AR!$E$4:$E$1019,0))),
IF($E79=3,IF(INDEX(AR!$AG$4:$AG$1019,MATCH($C79,AR!$E$4:$E$1019,0))="","",INDEX(AR!$AG$4:$AG$1019,MATCH($C79,AR!$E$4:$E$1019,0))),
IF($E79=4,IF(INDEX(AR!$AL$4:$AL$1019,MATCH($C79,AR!$E$4:$E$1019,0))="","",INDEX(AR!$AL$4:$AL$1019,MATCH($C79,AR!$E$4:$E$1019,0))),
IF($E79=5,IF(INDEX(AR!$AQ$4:$AQ$1019,MATCH($C79,AR!$E$4:$E$1019,0))="","",INDEX(AR!$AQ$4:$AQ$1019,MATCH($C79,AR!$E$4:$E$1019,0))),"")))))))</f>
        <v/>
      </c>
      <c r="K79" s="459">
        <f>AR!J83</f>
        <v>0</v>
      </c>
      <c r="L79" s="460" t="e" cm="1">
        <f t="array" aca="1" ref="L79" ca="1">_xlfn.IFS(AND($E79&lt;&gt;"",$M79="Pending",$K79="CTA"),TODAY()-$G79,AND($E79&lt;&gt;"",$M79="Pending",$K79="AUR"),TODAY()-$H79,AND($E79&lt;&gt;"",$M79="Pending",$K79="STT"),TODAY()-$I79,OR(K79="Closed",K79=""),"")</f>
        <v>#N/A</v>
      </c>
      <c r="M79" s="461">
        <f>VLOOKUP(C79,AR!$E$4:$AC$512,7,0)</f>
        <v>0</v>
      </c>
      <c r="N79" s="651" t="str">
        <f t="shared" si="2"/>
        <v/>
      </c>
      <c r="O79" s="739" t="str">
        <f>AR!M83</f>
        <v>GC</v>
      </c>
      <c r="P79" s="746">
        <v>0</v>
      </c>
    </row>
    <row r="80" spans="1:16" s="385" customFormat="1" ht="27" hidden="1" customHeight="1">
      <c r="A80" s="399">
        <v>76</v>
      </c>
      <c r="B80" s="455" t="s">
        <v>19</v>
      </c>
      <c r="C80" s="454" t="s">
        <v>310</v>
      </c>
      <c r="D80" s="456" t="str">
        <f>_xlfn.XLOOKUP(C80,AR!$E$4:$E$84,AR!$D$4:$D$84)</f>
        <v>Level 2 - Data Hall 2-C Block-out &amp; Pipe Sleeve Details</v>
      </c>
      <c r="E80" s="454" t="str">
        <f>IF(VLOOKUP(C80,AR!$E$4:$AC$512,5,0)="","",VLOOKUP(C80,AR!$E$4:$AC$1011,5,0))</f>
        <v/>
      </c>
      <c r="F80" s="457"/>
      <c r="G80" s="458" t="str">
        <f>IF(VLOOKUP(C80,AR!$E$4:$AC$512,3,0)="","",VLOOKUP(C80,AR!$E$4:$AC$512,3,0))</f>
        <v/>
      </c>
      <c r="H80" s="459" t="str">
        <f>IF(ISNA(MATCH($C80,AR!$E$4:$E$1019,0)),"",
IF($E80=0,IF(INDEX(AR!$P$4:$P$1019,MATCH($C80,AR!$E$4:$E$1019,0))="","",INDEX(AR!$P$4:$P$1019,MATCH($C80,AR!$E$4:$E$1019,0))),
IF($E80=1,IF(INDEX(AR!$U$4:$U$1019,MATCH($C80,AR!$E$4:$E$1019,0))="","",INDEX(AR!$U$4:$U$1019,MATCH($C80,AR!$E$4:$E$1019,0))),
IF($E80=2,IF(INDEX(AR!$Z$4:$Z$1019,MATCH($C80,AR!$E$4:$E$1019,0))="","",INDEX(AR!$Z$4:$Z$1019,MATCH($C80,AR!$E$4:$E$1019,0))),
IF($E80=3,IF(INDEX(AR!$AE$4:$AE$1019,MATCH($C80,AR!$E$4:$E$1019,0))="","",INDEX(AR!$AE$4:$AE$1019,MATCH($C80,AR!$E$4:$E$1019,0))),
IF($E80=4,IF(INDEX(AR!$AJ$4:$AJ$1019,MATCH($C80,AR!$E$4:$E$1019,0))="","",INDEX(AR!$AJ$4:$AJ$1019,MATCH($C80,AR!$E$4:$E$1019,0))),
IF($E80=5,IF(INDEX(AR!$AO$4:$AO$1019,MATCH($C80,AR!$E$4:$E$1019,0))="","",INDEX(AR!$AO$4:$AO$1019,MATCH($C80,AR!$E$4:$E$1019,0))),"")))))))</f>
        <v/>
      </c>
      <c r="I80" s="459" t="str">
        <f>IF(ISNA(MATCH($C80,AR!$E$4:$E$1019,0)),"",
IF($E80=0,IF(INDEX(AR!$Q$4:$Q$1019,MATCH($C80,AR!$E$4:$E$1019,0))="","",INDEX(AR!$Q$4:$Q$1019,MATCH($C80,AR!$E$4:$E$1019,0))),
IF($E80=1,IF(INDEX(AR!$V$4:$V$1019,MATCH($C80,AR!$E$4:$E$1019,0))="","",INDEX(AR!$V$4:$V$1019,MATCH($C80,AR!$E$4:$E$1019,0))),
IF($E80=2,IF(INDEX(AR!$AA$4:$AA$1019,MATCH($C80,AR!$E$4:$E$1019,0))="","",INDEX(AR!$AA$4:$AA$1019,MATCH($C80,AR!$E$4:$E$1019,0))),
IF($E80=3,IF(INDEX(AR!$AF$4:$AF$1019,MATCH($C80,AR!$E$4:$E$1019,0))="","",INDEX(AR!$AF$4:$AF$1019,MATCH($C80,AR!$E$4:$E$1019,0))),
IF($E80=4,IF(INDEX(AR!$AK$4:$AK$1019,MATCH($C80,AR!$E$4:$E$1019,0))="","",INDEX(AR!$AK$4:$AK$1019,MATCH($C80,AR!$E$4:$E$1019,0))),
IF($E80=5,IF(INDEX(AR!$AP$4:$AP$1019,MATCH($C80,AR!$E$4:$E$1019,0))="","",INDEX(AR!$AP$4:$AP$1019,MATCH($C80,AR!$E$4:$E$1019,0))),"")))))))</f>
        <v/>
      </c>
      <c r="J80" s="459" t="str">
        <f>IF(ISNA(MATCH($C80,AR!$E$4:$E$1019,0)),"",
IF($E80=0,IF(INDEX(AR!$R$4:$R$1019,MATCH($C80,AR!$E$4:$E$1019,0))="","",INDEX(AR!$R$4:$R$1019,MATCH($C80,AR!$E$4:$E$1019,0))),
IF($E80=1,IF(INDEX(AR!$W$4:$W$1019,MATCH($C80,AR!$E$4:$E$1019,0))="","",INDEX(AR!$W$4:$W$1019,MATCH($C80,AR!$E$4:$E$1019,0))),
IF($E80=2,IF(INDEX(AR!$AB$4:$AB$1019,MATCH($C80,AR!$E$4:$E$1019,0))="","",INDEX(AR!$AB$4:$AB$1019,MATCH($C80,AR!$E$4:$E$1019,0))),
IF($E80=3,IF(INDEX(AR!$AG$4:$AG$1019,MATCH($C80,AR!$E$4:$E$1019,0))="","",INDEX(AR!$AG$4:$AG$1019,MATCH($C80,AR!$E$4:$E$1019,0))),
IF($E80=4,IF(INDEX(AR!$AL$4:$AL$1019,MATCH($C80,AR!$E$4:$E$1019,0))="","",INDEX(AR!$AL$4:$AL$1019,MATCH($C80,AR!$E$4:$E$1019,0))),
IF($E80=5,IF(INDEX(AR!$AQ$4:$AQ$1019,MATCH($C80,AR!$E$4:$E$1019,0))="","",INDEX(AR!$AQ$4:$AQ$1019,MATCH($C80,AR!$E$4:$E$1019,0))),"")))))))</f>
        <v/>
      </c>
      <c r="K80" s="459">
        <f>AR!J84</f>
        <v>0</v>
      </c>
      <c r="L80" s="460" t="e" cm="1">
        <f t="array" aca="1" ref="L80" ca="1">_xlfn.IFS(AND($E80&lt;&gt;"",$M80="Pending",$K80="CTA"),TODAY()-$G80,AND($E80&lt;&gt;"",$M80="Pending",$K80="AUR"),TODAY()-$H80,AND($E80&lt;&gt;"",$M80="Pending",$K80="STT"),TODAY()-$I80,OR(K80="Closed",K80=""),"")</f>
        <v>#N/A</v>
      </c>
      <c r="M80" s="461">
        <f>VLOOKUP(C80,AR!$E$4:$AC$512,7,0)</f>
        <v>0</v>
      </c>
      <c r="N80" s="651" t="str">
        <f t="shared" si="2"/>
        <v/>
      </c>
      <c r="O80" s="739" t="str">
        <f>AR!M84</f>
        <v>GC</v>
      </c>
      <c r="P80" s="746">
        <v>0</v>
      </c>
    </row>
    <row r="81" spans="1:16" s="385" customFormat="1" ht="27" hidden="1" customHeight="1">
      <c r="A81" s="399">
        <v>77</v>
      </c>
      <c r="B81" s="455" t="s">
        <v>19</v>
      </c>
      <c r="C81" s="454" t="s">
        <v>313</v>
      </c>
      <c r="D81" s="456" t="str">
        <f>_xlfn.XLOOKUP(C81,AR!$E$4:$E$84,AR!$D$4:$D$84)</f>
        <v>Level 2 - ELV B Area Block-out &amp; Pipe Sleeve Details</v>
      </c>
      <c r="E81" s="454" t="str">
        <f>IF(VLOOKUP(C81,AR!$E$4:$AC$512,5,0)="","",VLOOKUP(C81,AR!$E$4:$AC$1011,5,0))</f>
        <v/>
      </c>
      <c r="F81" s="457"/>
      <c r="G81" s="458" t="str">
        <f>IF(VLOOKUP(C81,AR!$E$4:$AC$512,3,0)="","",VLOOKUP(C81,AR!$E$4:$AC$512,3,0))</f>
        <v/>
      </c>
      <c r="H81" s="459" t="str">
        <f>IF(ISNA(MATCH($C81,AR!$E$4:$E$1019,0)),"",
IF($E81=0,IF(INDEX(AR!$P$4:$P$1019,MATCH($C81,AR!$E$4:$E$1019,0))="","",INDEX(AR!$P$4:$P$1019,MATCH($C81,AR!$E$4:$E$1019,0))),
IF($E81=1,IF(INDEX(AR!$U$4:$U$1019,MATCH($C81,AR!$E$4:$E$1019,0))="","",INDEX(AR!$U$4:$U$1019,MATCH($C81,AR!$E$4:$E$1019,0))),
IF($E81=2,IF(INDEX(AR!$Z$4:$Z$1019,MATCH($C81,AR!$E$4:$E$1019,0))="","",INDEX(AR!$Z$4:$Z$1019,MATCH($C81,AR!$E$4:$E$1019,0))),
IF($E81=3,IF(INDEX(AR!$AE$4:$AE$1019,MATCH($C81,AR!$E$4:$E$1019,0))="","",INDEX(AR!$AE$4:$AE$1019,MATCH($C81,AR!$E$4:$E$1019,0))),
IF($E81=4,IF(INDEX(AR!$AJ$4:$AJ$1019,MATCH($C81,AR!$E$4:$E$1019,0))="","",INDEX(AR!$AJ$4:$AJ$1019,MATCH($C81,AR!$E$4:$E$1019,0))),
IF($E81=5,IF(INDEX(AR!$AO$4:$AO$1019,MATCH($C81,AR!$E$4:$E$1019,0))="","",INDEX(AR!$AO$4:$AO$1019,MATCH($C81,AR!$E$4:$E$1019,0))),"")))))))</f>
        <v/>
      </c>
      <c r="I81" s="459" t="str">
        <f>IF(ISNA(MATCH($C81,AR!$E$4:$E$1019,0)),"",
IF($E81=0,IF(INDEX(AR!$Q$4:$Q$1019,MATCH($C81,AR!$E$4:$E$1019,0))="","",INDEX(AR!$Q$4:$Q$1019,MATCH($C81,AR!$E$4:$E$1019,0))),
IF($E81=1,IF(INDEX(AR!$V$4:$V$1019,MATCH($C81,AR!$E$4:$E$1019,0))="","",INDEX(AR!$V$4:$V$1019,MATCH($C81,AR!$E$4:$E$1019,0))),
IF($E81=2,IF(INDEX(AR!$AA$4:$AA$1019,MATCH($C81,AR!$E$4:$E$1019,0))="","",INDEX(AR!$AA$4:$AA$1019,MATCH($C81,AR!$E$4:$E$1019,0))),
IF($E81=3,IF(INDEX(AR!$AF$4:$AF$1019,MATCH($C81,AR!$E$4:$E$1019,0))="","",INDEX(AR!$AF$4:$AF$1019,MATCH($C81,AR!$E$4:$E$1019,0))),
IF($E81=4,IF(INDEX(AR!$AK$4:$AK$1019,MATCH($C81,AR!$E$4:$E$1019,0))="","",INDEX(AR!$AK$4:$AK$1019,MATCH($C81,AR!$E$4:$E$1019,0))),
IF($E81=5,IF(INDEX(AR!$AP$4:$AP$1019,MATCH($C81,AR!$E$4:$E$1019,0))="","",INDEX(AR!$AP$4:$AP$1019,MATCH($C81,AR!$E$4:$E$1019,0))),"")))))))</f>
        <v/>
      </c>
      <c r="J81" s="459" t="str">
        <f>IF(ISNA(MATCH($C81,AR!$E$4:$E$1019,0)),"",
IF($E81=0,IF(INDEX(AR!$R$4:$R$1019,MATCH($C81,AR!$E$4:$E$1019,0))="","",INDEX(AR!$R$4:$R$1019,MATCH($C81,AR!$E$4:$E$1019,0))),
IF($E81=1,IF(INDEX(AR!$W$4:$W$1019,MATCH($C81,AR!$E$4:$E$1019,0))="","",INDEX(AR!$W$4:$W$1019,MATCH($C81,AR!$E$4:$E$1019,0))),
IF($E81=2,IF(INDEX(AR!$AB$4:$AB$1019,MATCH($C81,AR!$E$4:$E$1019,0))="","",INDEX(AR!$AB$4:$AB$1019,MATCH($C81,AR!$E$4:$E$1019,0))),
IF($E81=3,IF(INDEX(AR!$AG$4:$AG$1019,MATCH($C81,AR!$E$4:$E$1019,0))="","",INDEX(AR!$AG$4:$AG$1019,MATCH($C81,AR!$E$4:$E$1019,0))),
IF($E81=4,IF(INDEX(AR!$AL$4:$AL$1019,MATCH($C81,AR!$E$4:$E$1019,0))="","",INDEX(AR!$AL$4:$AL$1019,MATCH($C81,AR!$E$4:$E$1019,0))),
IF($E81=5,IF(INDEX(AR!$AQ$4:$AQ$1019,MATCH($C81,AR!$E$4:$E$1019,0))="","",INDEX(AR!$AQ$4:$AQ$1019,MATCH($C81,AR!$E$4:$E$1019,0))),"")))))))</f>
        <v/>
      </c>
      <c r="K81" s="459">
        <f>AR!J87</f>
        <v>0</v>
      </c>
      <c r="L81" s="460" t="e" cm="1">
        <f t="array" aca="1" ref="L81" ca="1">_xlfn.IFS(AND($E81&lt;&gt;"",$M81="Pending",$K81="CTA"),TODAY()-$G81,AND($E81&lt;&gt;"",$M81="Pending",$K81="AUR"),TODAY()-$H81,AND($E81&lt;&gt;"",$M81="Pending",$K81="STT"),TODAY()-$I81,OR(K81="Closed",K81=""),"")</f>
        <v>#N/A</v>
      </c>
      <c r="M81" s="461">
        <f>VLOOKUP(C81,AR!$E$4:$AC$512,7,0)</f>
        <v>0</v>
      </c>
      <c r="N81" s="651" t="str">
        <f t="shared" si="2"/>
        <v/>
      </c>
      <c r="O81" s="739">
        <f>AR!M87</f>
        <v>0</v>
      </c>
      <c r="P81" s="746">
        <v>0</v>
      </c>
    </row>
    <row r="82" spans="1:16" s="385" customFormat="1" ht="27" hidden="1" customHeight="1">
      <c r="A82" s="399">
        <v>78</v>
      </c>
      <c r="B82" s="455" t="s">
        <v>19</v>
      </c>
      <c r="C82" s="454" t="s">
        <v>316</v>
      </c>
      <c r="D82" s="456" t="str">
        <f>_xlfn.XLOOKUP(C82,AR!$E$4:$E$84,AR!$D$4:$D$84)</f>
        <v>Level 2 - ELV A Area Block-out &amp; Pipe Sleeve Details</v>
      </c>
      <c r="E82" s="454" t="str">
        <f>IF(VLOOKUP(C82,AR!$E$4:$AC$512,5,0)="","",VLOOKUP(C82,AR!$E$4:$AC$1011,5,0))</f>
        <v/>
      </c>
      <c r="F82" s="457"/>
      <c r="G82" s="458" t="str">
        <f>IF(VLOOKUP(C82,AR!$E$4:$AC$512,3,0)="","",VLOOKUP(C82,AR!$E$4:$AC$512,3,0))</f>
        <v/>
      </c>
      <c r="H82" s="459" t="str">
        <f>IF(ISNA(MATCH($C82,AR!$E$4:$E$1019,0)),"",
IF($E82=0,IF(INDEX(AR!$P$4:$P$1019,MATCH($C82,AR!$E$4:$E$1019,0))="","",INDEX(AR!$P$4:$P$1019,MATCH($C82,AR!$E$4:$E$1019,0))),
IF($E82=1,IF(INDEX(AR!$U$4:$U$1019,MATCH($C82,AR!$E$4:$E$1019,0))="","",INDEX(AR!$U$4:$U$1019,MATCH($C82,AR!$E$4:$E$1019,0))),
IF($E82=2,IF(INDEX(AR!$Z$4:$Z$1019,MATCH($C82,AR!$E$4:$E$1019,0))="","",INDEX(AR!$Z$4:$Z$1019,MATCH($C82,AR!$E$4:$E$1019,0))),
IF($E82=3,IF(INDEX(AR!$AE$4:$AE$1019,MATCH($C82,AR!$E$4:$E$1019,0))="","",INDEX(AR!$AE$4:$AE$1019,MATCH($C82,AR!$E$4:$E$1019,0))),
IF($E82=4,IF(INDEX(AR!$AJ$4:$AJ$1019,MATCH($C82,AR!$E$4:$E$1019,0))="","",INDEX(AR!$AJ$4:$AJ$1019,MATCH($C82,AR!$E$4:$E$1019,0))),
IF($E82=5,IF(INDEX(AR!$AO$4:$AO$1019,MATCH($C82,AR!$E$4:$E$1019,0))="","",INDEX(AR!$AO$4:$AO$1019,MATCH($C82,AR!$E$4:$E$1019,0))),"")))))))</f>
        <v/>
      </c>
      <c r="I82" s="459" t="str">
        <f>IF(ISNA(MATCH($C82,AR!$E$4:$E$1019,0)),"",
IF($E82=0,IF(INDEX(AR!$Q$4:$Q$1019,MATCH($C82,AR!$E$4:$E$1019,0))="","",INDEX(AR!$Q$4:$Q$1019,MATCH($C82,AR!$E$4:$E$1019,0))),
IF($E82=1,IF(INDEX(AR!$V$4:$V$1019,MATCH($C82,AR!$E$4:$E$1019,0))="","",INDEX(AR!$V$4:$V$1019,MATCH($C82,AR!$E$4:$E$1019,0))),
IF($E82=2,IF(INDEX(AR!$AA$4:$AA$1019,MATCH($C82,AR!$E$4:$E$1019,0))="","",INDEX(AR!$AA$4:$AA$1019,MATCH($C82,AR!$E$4:$E$1019,0))),
IF($E82=3,IF(INDEX(AR!$AF$4:$AF$1019,MATCH($C82,AR!$E$4:$E$1019,0))="","",INDEX(AR!$AF$4:$AF$1019,MATCH($C82,AR!$E$4:$E$1019,0))),
IF($E82=4,IF(INDEX(AR!$AK$4:$AK$1019,MATCH($C82,AR!$E$4:$E$1019,0))="","",INDEX(AR!$AK$4:$AK$1019,MATCH($C82,AR!$E$4:$E$1019,0))),
IF($E82=5,IF(INDEX(AR!$AP$4:$AP$1019,MATCH($C82,AR!$E$4:$E$1019,0))="","",INDEX(AR!$AP$4:$AP$1019,MATCH($C82,AR!$E$4:$E$1019,0))),"")))))))</f>
        <v/>
      </c>
      <c r="J82" s="459" t="str">
        <f>IF(ISNA(MATCH($C82,AR!$E$4:$E$1019,0)),"",
IF($E82=0,IF(INDEX(AR!$R$4:$R$1019,MATCH($C82,AR!$E$4:$E$1019,0))="","",INDEX(AR!$R$4:$R$1019,MATCH($C82,AR!$E$4:$E$1019,0))),
IF($E82=1,IF(INDEX(AR!$W$4:$W$1019,MATCH($C82,AR!$E$4:$E$1019,0))="","",INDEX(AR!$W$4:$W$1019,MATCH($C82,AR!$E$4:$E$1019,0))),
IF($E82=2,IF(INDEX(AR!$AB$4:$AB$1019,MATCH($C82,AR!$E$4:$E$1019,0))="","",INDEX(AR!$AB$4:$AB$1019,MATCH($C82,AR!$E$4:$E$1019,0))),
IF($E82=3,IF(INDEX(AR!$AG$4:$AG$1019,MATCH($C82,AR!$E$4:$E$1019,0))="","",INDEX(AR!$AG$4:$AG$1019,MATCH($C82,AR!$E$4:$E$1019,0))),
IF($E82=4,IF(INDEX(AR!$AL$4:$AL$1019,MATCH($C82,AR!$E$4:$E$1019,0))="","",INDEX(AR!$AL$4:$AL$1019,MATCH($C82,AR!$E$4:$E$1019,0))),
IF($E82=5,IF(INDEX(AR!$AQ$4:$AQ$1019,MATCH($C82,AR!$E$4:$E$1019,0))="","",INDEX(AR!$AQ$4:$AQ$1019,MATCH($C82,AR!$E$4:$E$1019,0))),"")))))))</f>
        <v/>
      </c>
      <c r="K82" s="459">
        <f>AR!J88</f>
        <v>0</v>
      </c>
      <c r="L82" s="460" t="e" cm="1">
        <f t="array" aca="1" ref="L82" ca="1">_xlfn.IFS(AND($E82&lt;&gt;"",$M82="Pending",$K82="CTA"),TODAY()-$G82,AND($E82&lt;&gt;"",$M82="Pending",$K82="AUR"),TODAY()-$H82,AND($E82&lt;&gt;"",$M82="Pending",$K82="STT"),TODAY()-$I82,OR(K82="Closed",K82=""),"")</f>
        <v>#N/A</v>
      </c>
      <c r="M82" s="461">
        <f>VLOOKUP(C82,AR!$E$4:$AC$512,7,0)</f>
        <v>0</v>
      </c>
      <c r="N82" s="651" t="str">
        <f t="shared" si="2"/>
        <v/>
      </c>
      <c r="O82" s="739">
        <f>AR!M88</f>
        <v>0</v>
      </c>
      <c r="P82" s="746">
        <v>0</v>
      </c>
    </row>
    <row r="83" spans="1:16" s="385" customFormat="1" ht="27" hidden="1" customHeight="1">
      <c r="A83" s="399">
        <v>79</v>
      </c>
      <c r="B83" s="455" t="s">
        <v>19</v>
      </c>
      <c r="C83" s="454" t="s">
        <v>319</v>
      </c>
      <c r="D83" s="456" t="str">
        <f>_xlfn.XLOOKUP(C83,AR!$E$4:$E$84,AR!$D$4:$D$84)</f>
        <v>Level 2 - LV Room Block-out &amp; Pipe Sleeve Details</v>
      </c>
      <c r="E83" s="454" t="str">
        <f>IF(VLOOKUP(C83,AR!$E$4:$AC$512,5,0)="","",VLOOKUP(C83,AR!$E$4:$AC$1011,5,0))</f>
        <v/>
      </c>
      <c r="F83" s="457"/>
      <c r="G83" s="458" t="str">
        <f>IF(VLOOKUP(C83,AR!$E$4:$AC$512,3,0)="","",VLOOKUP(C83,AR!$E$4:$AC$512,3,0))</f>
        <v/>
      </c>
      <c r="H83" s="459" t="str">
        <f>IF(ISNA(MATCH($C83,AR!$E$4:$E$1019,0)),"",
IF($E83=0,IF(INDEX(AR!$P$4:$P$1019,MATCH($C83,AR!$E$4:$E$1019,0))="","",INDEX(AR!$P$4:$P$1019,MATCH($C83,AR!$E$4:$E$1019,0))),
IF($E83=1,IF(INDEX(AR!$U$4:$U$1019,MATCH($C83,AR!$E$4:$E$1019,0))="","",INDEX(AR!$U$4:$U$1019,MATCH($C83,AR!$E$4:$E$1019,0))),
IF($E83=2,IF(INDEX(AR!$Z$4:$Z$1019,MATCH($C83,AR!$E$4:$E$1019,0))="","",INDEX(AR!$Z$4:$Z$1019,MATCH($C83,AR!$E$4:$E$1019,0))),
IF($E83=3,IF(INDEX(AR!$AE$4:$AE$1019,MATCH($C83,AR!$E$4:$E$1019,0))="","",INDEX(AR!$AE$4:$AE$1019,MATCH($C83,AR!$E$4:$E$1019,0))),
IF($E83=4,IF(INDEX(AR!$AJ$4:$AJ$1019,MATCH($C83,AR!$E$4:$E$1019,0))="","",INDEX(AR!$AJ$4:$AJ$1019,MATCH($C83,AR!$E$4:$E$1019,0))),
IF($E83=5,IF(INDEX(AR!$AO$4:$AO$1019,MATCH($C83,AR!$E$4:$E$1019,0))="","",INDEX(AR!$AO$4:$AO$1019,MATCH($C83,AR!$E$4:$E$1019,0))),"")))))))</f>
        <v/>
      </c>
      <c r="I83" s="459" t="str">
        <f>IF(ISNA(MATCH($C83,AR!$E$4:$E$1019,0)),"",
IF($E83=0,IF(INDEX(AR!$Q$4:$Q$1019,MATCH($C83,AR!$E$4:$E$1019,0))="","",INDEX(AR!$Q$4:$Q$1019,MATCH($C83,AR!$E$4:$E$1019,0))),
IF($E83=1,IF(INDEX(AR!$V$4:$V$1019,MATCH($C83,AR!$E$4:$E$1019,0))="","",INDEX(AR!$V$4:$V$1019,MATCH($C83,AR!$E$4:$E$1019,0))),
IF($E83=2,IF(INDEX(AR!$AA$4:$AA$1019,MATCH($C83,AR!$E$4:$E$1019,0))="","",INDEX(AR!$AA$4:$AA$1019,MATCH($C83,AR!$E$4:$E$1019,0))),
IF($E83=3,IF(INDEX(AR!$AF$4:$AF$1019,MATCH($C83,AR!$E$4:$E$1019,0))="","",INDEX(AR!$AF$4:$AF$1019,MATCH($C83,AR!$E$4:$E$1019,0))),
IF($E83=4,IF(INDEX(AR!$AK$4:$AK$1019,MATCH($C83,AR!$E$4:$E$1019,0))="","",INDEX(AR!$AK$4:$AK$1019,MATCH($C83,AR!$E$4:$E$1019,0))),
IF($E83=5,IF(INDEX(AR!$AP$4:$AP$1019,MATCH($C83,AR!$E$4:$E$1019,0))="","",INDEX(AR!$AP$4:$AP$1019,MATCH($C83,AR!$E$4:$E$1019,0))),"")))))))</f>
        <v/>
      </c>
      <c r="J83" s="459" t="str">
        <f>IF(ISNA(MATCH($C83,AR!$E$4:$E$1019,0)),"",
IF($E83=0,IF(INDEX(AR!$R$4:$R$1019,MATCH($C83,AR!$E$4:$E$1019,0))="","",INDEX(AR!$R$4:$R$1019,MATCH($C83,AR!$E$4:$E$1019,0))),
IF($E83=1,IF(INDEX(AR!$W$4:$W$1019,MATCH($C83,AR!$E$4:$E$1019,0))="","",INDEX(AR!$W$4:$W$1019,MATCH($C83,AR!$E$4:$E$1019,0))),
IF($E83=2,IF(INDEX(AR!$AB$4:$AB$1019,MATCH($C83,AR!$E$4:$E$1019,0))="","",INDEX(AR!$AB$4:$AB$1019,MATCH($C83,AR!$E$4:$E$1019,0))),
IF($E83=3,IF(INDEX(AR!$AG$4:$AG$1019,MATCH($C83,AR!$E$4:$E$1019,0))="","",INDEX(AR!$AG$4:$AG$1019,MATCH($C83,AR!$E$4:$E$1019,0))),
IF($E83=4,IF(INDEX(AR!$AL$4:$AL$1019,MATCH($C83,AR!$E$4:$E$1019,0))="","",INDEX(AR!$AL$4:$AL$1019,MATCH($C83,AR!$E$4:$E$1019,0))),
IF($E83=5,IF(INDEX(AR!$AQ$4:$AQ$1019,MATCH($C83,AR!$E$4:$E$1019,0))="","",INDEX(AR!$AQ$4:$AQ$1019,MATCH($C83,AR!$E$4:$E$1019,0))),"")))))))</f>
        <v/>
      </c>
      <c r="K83" s="459">
        <f>AR!J89</f>
        <v>0</v>
      </c>
      <c r="L83" s="460" t="e" cm="1">
        <f t="array" aca="1" ref="L83" ca="1">_xlfn.IFS(AND($E83&lt;&gt;"",$M83="Pending",$K83="CTA"),TODAY()-$G83,AND($E83&lt;&gt;"",$M83="Pending",$K83="AUR"),TODAY()-$H83,AND($E83&lt;&gt;"",$M83="Pending",$K83="STT"),TODAY()-$I83,OR(K83="Closed",K83=""),"")</f>
        <v>#N/A</v>
      </c>
      <c r="M83" s="461">
        <f>VLOOKUP(C83,AR!$E$4:$AC$512,7,0)</f>
        <v>0</v>
      </c>
      <c r="N83" s="651" t="str">
        <f t="shared" si="2"/>
        <v/>
      </c>
      <c r="O83" s="739">
        <f>AR!M89</f>
        <v>0</v>
      </c>
      <c r="P83" s="746">
        <v>0</v>
      </c>
    </row>
    <row r="84" spans="1:16" s="385" customFormat="1" ht="27" hidden="1" customHeight="1">
      <c r="A84" s="399">
        <v>80</v>
      </c>
      <c r="B84" s="455" t="s">
        <v>19</v>
      </c>
      <c r="C84" s="454" t="s">
        <v>322</v>
      </c>
      <c r="D84" s="456" t="str">
        <f>_xlfn.XLOOKUP(C84,AR!$E$4:$E$84,AR!$D$4:$D$84)</f>
        <v>Level 3 - TX Room Block-out &amp; Pipe Sleeve Details</v>
      </c>
      <c r="E84" s="454" t="str">
        <f>IF(VLOOKUP(C84,AR!$E$4:$AC$512,5,0)="","",VLOOKUP(C84,AR!$E$4:$AC$1011,5,0))</f>
        <v/>
      </c>
      <c r="F84" s="457"/>
      <c r="G84" s="458" t="str">
        <f>IF(VLOOKUP(C84,AR!$E$4:$AC$512,3,0)="","",VLOOKUP(C84,AR!$E$4:$AC$512,3,0))</f>
        <v/>
      </c>
      <c r="H84" s="459" t="str">
        <f>IF(ISNA(MATCH($C84,AR!$E$4:$E$1019,0)),"",
IF($E84=0,IF(INDEX(AR!$P$4:$P$1019,MATCH($C84,AR!$E$4:$E$1019,0))="","",INDEX(AR!$P$4:$P$1019,MATCH($C84,AR!$E$4:$E$1019,0))),
IF($E84=1,IF(INDEX(AR!$U$4:$U$1019,MATCH($C84,AR!$E$4:$E$1019,0))="","",INDEX(AR!$U$4:$U$1019,MATCH($C84,AR!$E$4:$E$1019,0))),
IF($E84=2,IF(INDEX(AR!$Z$4:$Z$1019,MATCH($C84,AR!$E$4:$E$1019,0))="","",INDEX(AR!$Z$4:$Z$1019,MATCH($C84,AR!$E$4:$E$1019,0))),
IF($E84=3,IF(INDEX(AR!$AE$4:$AE$1019,MATCH($C84,AR!$E$4:$E$1019,0))="","",INDEX(AR!$AE$4:$AE$1019,MATCH($C84,AR!$E$4:$E$1019,0))),
IF($E84=4,IF(INDEX(AR!$AJ$4:$AJ$1019,MATCH($C84,AR!$E$4:$E$1019,0))="","",INDEX(AR!$AJ$4:$AJ$1019,MATCH($C84,AR!$E$4:$E$1019,0))),
IF($E84=5,IF(INDEX(AR!$AO$4:$AO$1019,MATCH($C84,AR!$E$4:$E$1019,0))="","",INDEX(AR!$AO$4:$AO$1019,MATCH($C84,AR!$E$4:$E$1019,0))),"")))))))</f>
        <v/>
      </c>
      <c r="I84" s="459" t="str">
        <f>IF(ISNA(MATCH($C84,AR!$E$4:$E$1019,0)),"",
IF($E84=0,IF(INDEX(AR!$Q$4:$Q$1019,MATCH($C84,AR!$E$4:$E$1019,0))="","",INDEX(AR!$Q$4:$Q$1019,MATCH($C84,AR!$E$4:$E$1019,0))),
IF($E84=1,IF(INDEX(AR!$V$4:$V$1019,MATCH($C84,AR!$E$4:$E$1019,0))="","",INDEX(AR!$V$4:$V$1019,MATCH($C84,AR!$E$4:$E$1019,0))),
IF($E84=2,IF(INDEX(AR!$AA$4:$AA$1019,MATCH($C84,AR!$E$4:$E$1019,0))="","",INDEX(AR!$AA$4:$AA$1019,MATCH($C84,AR!$E$4:$E$1019,0))),
IF($E84=3,IF(INDEX(AR!$AF$4:$AF$1019,MATCH($C84,AR!$E$4:$E$1019,0))="","",INDEX(AR!$AF$4:$AF$1019,MATCH($C84,AR!$E$4:$E$1019,0))),
IF($E84=4,IF(INDEX(AR!$AK$4:$AK$1019,MATCH($C84,AR!$E$4:$E$1019,0))="","",INDEX(AR!$AK$4:$AK$1019,MATCH($C84,AR!$E$4:$E$1019,0))),
IF($E84=5,IF(INDEX(AR!$AP$4:$AP$1019,MATCH($C84,AR!$E$4:$E$1019,0))="","",INDEX(AR!$AP$4:$AP$1019,MATCH($C84,AR!$E$4:$E$1019,0))),"")))))))</f>
        <v/>
      </c>
      <c r="J84" s="459" t="str">
        <f>IF(ISNA(MATCH($C84,AR!$E$4:$E$1019,0)),"",
IF($E84=0,IF(INDEX(AR!$R$4:$R$1019,MATCH($C84,AR!$E$4:$E$1019,0))="","",INDEX(AR!$R$4:$R$1019,MATCH($C84,AR!$E$4:$E$1019,0))),
IF($E84=1,IF(INDEX(AR!$W$4:$W$1019,MATCH($C84,AR!$E$4:$E$1019,0))="","",INDEX(AR!$W$4:$W$1019,MATCH($C84,AR!$E$4:$E$1019,0))),
IF($E84=2,IF(INDEX(AR!$AB$4:$AB$1019,MATCH($C84,AR!$E$4:$E$1019,0))="","",INDEX(AR!$AB$4:$AB$1019,MATCH($C84,AR!$E$4:$E$1019,0))),
IF($E84=3,IF(INDEX(AR!$AG$4:$AG$1019,MATCH($C84,AR!$E$4:$E$1019,0))="","",INDEX(AR!$AG$4:$AG$1019,MATCH($C84,AR!$E$4:$E$1019,0))),
IF($E84=4,IF(INDEX(AR!$AL$4:$AL$1019,MATCH($C84,AR!$E$4:$E$1019,0))="","",INDEX(AR!$AL$4:$AL$1019,MATCH($C84,AR!$E$4:$E$1019,0))),
IF($E84=5,IF(INDEX(AR!$AQ$4:$AQ$1019,MATCH($C84,AR!$E$4:$E$1019,0))="","",INDEX(AR!$AQ$4:$AQ$1019,MATCH($C84,AR!$E$4:$E$1019,0))),"")))))))</f>
        <v/>
      </c>
      <c r="K84" s="459">
        <f>AR!J90</f>
        <v>0</v>
      </c>
      <c r="L84" s="460" t="e" cm="1">
        <f t="array" aca="1" ref="L84" ca="1">_xlfn.IFS(AND($E84&lt;&gt;"",$M84="Pending",$K84="CTA"),TODAY()-$G84,AND($E84&lt;&gt;"",$M84="Pending",$K84="AUR"),TODAY()-$H84,AND($E84&lt;&gt;"",$M84="Pending",$K84="STT"),TODAY()-$I84,OR(K84="Closed",K84=""),"")</f>
        <v>#N/A</v>
      </c>
      <c r="M84" s="461">
        <f>VLOOKUP(C84,AR!$E$4:$AC$512,7,0)</f>
        <v>0</v>
      </c>
      <c r="N84" s="651" t="str">
        <f t="shared" si="2"/>
        <v/>
      </c>
      <c r="O84" s="739">
        <f>AR!M90</f>
        <v>0</v>
      </c>
      <c r="P84" s="746" t="str">
        <v>NO</v>
      </c>
    </row>
    <row r="85" spans="1:16" s="385" customFormat="1" ht="27" hidden="1" customHeight="1">
      <c r="A85" s="399">
        <v>81</v>
      </c>
      <c r="B85" s="455" t="s">
        <v>19</v>
      </c>
      <c r="C85" s="454" t="s">
        <v>325</v>
      </c>
      <c r="D85" s="456" t="str">
        <f>_xlfn.XLOOKUP(C85,AR!$E$4:$E$84,AR!$D$4:$D$84)</f>
        <v>Level 6 - MSB Room Block-out &amp; Pipe Sleeve Details</v>
      </c>
      <c r="E85" s="454" t="str">
        <f>IF(VLOOKUP(C85,AR!$E$4:$AC$512,5,0)="","",VLOOKUP(C85,AR!$E$4:$AC$1011,5,0))</f>
        <v/>
      </c>
      <c r="F85" s="457"/>
      <c r="G85" s="458"/>
      <c r="H85" s="459"/>
      <c r="I85" s="459"/>
      <c r="J85" s="459"/>
      <c r="K85" s="459">
        <f>AR!J91</f>
        <v>0</v>
      </c>
      <c r="L85" s="460" t="e" cm="1">
        <f t="array" aca="1" ref="L85" ca="1">_xlfn.IFS(AND($E85&lt;&gt;"",$M85="Pending",$K85="CTA"),TODAY()-$G85,AND($E85&lt;&gt;"",$M85="Pending",$K85="AUR"),TODAY()-$H85,AND($E85&lt;&gt;"",$M85="Pending",$K85="STT"),TODAY()-$I85,OR(K85="Closed",K85=""),"")</f>
        <v>#N/A</v>
      </c>
      <c r="M85" s="461">
        <f>VLOOKUP(C85,AR!$E$4:$AC$512,7,0)</f>
        <v>0</v>
      </c>
      <c r="N85" s="651" t="str">
        <f t="shared" si="2"/>
        <v/>
      </c>
      <c r="O85" s="739">
        <f>AR!M91</f>
        <v>0</v>
      </c>
      <c r="P85" s="746" t="str">
        <v>NO</v>
      </c>
    </row>
    <row r="86" spans="1:16" s="385" customFormat="1" ht="27" hidden="1" customHeight="1">
      <c r="A86" s="399">
        <v>82</v>
      </c>
      <c r="B86" s="455" t="s">
        <v>19</v>
      </c>
      <c r="C86" s="454" t="s">
        <v>328</v>
      </c>
      <c r="D86" s="456" t="e">
        <f>_xlfn.XLOOKUP(C86,AR!$E$4:$E$84,AR!$D$4:$D$84)</f>
        <v>#N/A</v>
      </c>
      <c r="E86" s="454" t="str">
        <f>IF(VLOOKUP(C86,AR!$E$4:$AC$512,5,0)="","",VLOOKUP(C86,AR!$E$4:$AC$1011,5,0))</f>
        <v/>
      </c>
      <c r="F86" s="457"/>
      <c r="G86" s="458"/>
      <c r="H86" s="459"/>
      <c r="I86" s="459"/>
      <c r="J86" s="459"/>
      <c r="K86" s="459">
        <f>AR!J92</f>
        <v>0</v>
      </c>
      <c r="L86" s="460" t="e" cm="1">
        <f t="array" aca="1" ref="L86" ca="1">_xlfn.IFS(AND($E86&lt;&gt;"",$M86="Pending",$K86="CTA"),TODAY()-$G86,AND($E86&lt;&gt;"",$M86="Pending",$K86="AUR"),TODAY()-$H86,AND($E86&lt;&gt;"",$M86="Pending",$K86="STT"),TODAY()-$I86,OR(K86="Closed",K86=""),"")</f>
        <v>#N/A</v>
      </c>
      <c r="M86" s="461">
        <f>VLOOKUP(C86,AR!$E$4:$AC$512,7,0)</f>
        <v>0</v>
      </c>
      <c r="N86" s="651" t="str">
        <f t="shared" si="2"/>
        <v/>
      </c>
      <c r="O86" s="739">
        <f>AR!M92</f>
        <v>0</v>
      </c>
      <c r="P86" s="746"/>
    </row>
    <row r="87" spans="1:16" s="385" customFormat="1" ht="27" hidden="1" customHeight="1">
      <c r="A87" s="399"/>
      <c r="B87" s="455"/>
      <c r="C87" s="454"/>
      <c r="D87" s="468"/>
      <c r="E87" s="454"/>
      <c r="F87" s="457"/>
      <c r="G87" s="458"/>
      <c r="H87" s="459"/>
      <c r="I87" s="459"/>
      <c r="J87" s="459"/>
      <c r="K87" s="459">
        <f>AR!J93</f>
        <v>0</v>
      </c>
      <c r="L87" s="460" t="e" cm="1">
        <f t="array" aca="1" ref="L87" ca="1">_xlfn.IFS(AND($E87&lt;&gt;"",$M87="Pending",$K87="CTA"),TODAY()-$G87,AND($E87&lt;&gt;"",$M87="Pending",$K87="AUR"),TODAY()-$H87,AND($E87&lt;&gt;"",$M87="Pending",$K87="STT"),TODAY()-$I87,OR(K87="Closed",K87=""),"")</f>
        <v>#N/A</v>
      </c>
      <c r="M87" s="461" t="e">
        <f>VLOOKUP(C87,AR!$E$4:$AC$512,7,0)</f>
        <v>#N/A</v>
      </c>
      <c r="N87" s="651" t="e">
        <f t="shared" si="2"/>
        <v>#N/A</v>
      </c>
      <c r="O87" s="740"/>
      <c r="P87" s="747"/>
    </row>
    <row r="88" spans="1:16" s="385" customFormat="1" ht="27" hidden="1" customHeight="1">
      <c r="A88" s="399"/>
      <c r="B88" s="455"/>
      <c r="C88" s="454"/>
      <c r="D88" s="468"/>
      <c r="E88" s="454"/>
      <c r="F88" s="457"/>
      <c r="G88" s="458"/>
      <c r="H88" s="459"/>
      <c r="I88" s="459"/>
      <c r="J88" s="459"/>
      <c r="K88" s="459">
        <f>AR!J94</f>
        <v>0</v>
      </c>
      <c r="L88" s="460" t="e" cm="1">
        <f t="array" aca="1" ref="L88" ca="1">_xlfn.IFS(AND($E88&lt;&gt;"",$M88="Pending",$K88="CTA"),TODAY()-$G88,AND($E88&lt;&gt;"",$M88="Pending",$K88="AUR"),TODAY()-$H88,AND($E88&lt;&gt;"",$M88="Pending",$K88="STT"),TODAY()-$I88,OR(K88="Closed",K88=""),"")</f>
        <v>#N/A</v>
      </c>
      <c r="M88" s="461" t="e">
        <f>VLOOKUP(C88,AR!$E$4:$AC$512,7,0)</f>
        <v>#N/A</v>
      </c>
      <c r="N88" s="651" t="e">
        <f t="shared" si="2"/>
        <v>#N/A</v>
      </c>
      <c r="O88" s="740"/>
      <c r="P88" s="747"/>
    </row>
    <row r="89" spans="1:16" s="385" customFormat="1" ht="24.75" hidden="1" customHeight="1">
      <c r="A89" s="399"/>
      <c r="B89" s="455"/>
      <c r="C89" s="454"/>
      <c r="D89" s="469"/>
      <c r="E89" s="454"/>
      <c r="F89" s="457"/>
      <c r="G89" s="459"/>
      <c r="H89" s="470"/>
      <c r="I89" s="470"/>
      <c r="J89" s="459"/>
      <c r="K89" s="459">
        <f>AR!J95</f>
        <v>0</v>
      </c>
      <c r="L89" s="460" t="e" cm="1">
        <f t="array" aca="1" ref="L89" ca="1">_xlfn.IFS(AND($E89&lt;&gt;"",$M89="Pending",$K89="CTA"),TODAY()-$G89,AND($E89&lt;&gt;"",$M89="Pending",$K89="AUR"),TODAY()-$H89,AND($E89&lt;&gt;"",$M89="Pending",$K89="STT"),TODAY()-$I89,OR(K89="Closed",K89=""),"")</f>
        <v>#N/A</v>
      </c>
      <c r="M89" s="461" t="e">
        <f>VLOOKUP(C89,AR!$E$4:$AC$512,7,0)</f>
        <v>#N/A</v>
      </c>
      <c r="N89" s="651" t="e">
        <f t="shared" si="2"/>
        <v>#N/A</v>
      </c>
      <c r="O89" s="740"/>
      <c r="P89" s="747"/>
    </row>
    <row r="90" spans="1:16" s="385" customFormat="1" ht="24.95" hidden="1" customHeight="1">
      <c r="A90" s="391" t="s">
        <v>1695</v>
      </c>
      <c r="B90" s="471"/>
      <c r="C90" s="472"/>
      <c r="D90" s="473"/>
      <c r="E90" s="472"/>
      <c r="F90" s="474" t="s">
        <v>1693</v>
      </c>
      <c r="G90" s="472"/>
      <c r="H90" s="475"/>
      <c r="I90" s="475"/>
      <c r="J90" s="475"/>
      <c r="K90" s="475"/>
      <c r="L90" s="475"/>
      <c r="M90" s="459"/>
      <c r="N90" s="475"/>
      <c r="O90" s="475"/>
      <c r="P90" s="475"/>
    </row>
    <row r="91" spans="1:16" s="385" customFormat="1" ht="27" hidden="1" customHeight="1">
      <c r="A91" s="399">
        <v>1</v>
      </c>
      <c r="B91" s="455" t="s">
        <v>52</v>
      </c>
      <c r="C91" s="454" t="s">
        <v>394</v>
      </c>
      <c r="D91" s="456" t="str">
        <f>_xlfn.XLOOKUP(C91,EL!$E$4:$E$82,EL!$D$4:$D$82)</f>
        <v>Electrical Drawing Index</v>
      </c>
      <c r="E91" s="454" t="str">
        <f>IF(VLOOKUP(C91,EL!$E$4:$AC$505,7,0)="","",VLOOKUP(C91,EL!$E$4:$AC$1004,7,0))</f>
        <v/>
      </c>
      <c r="F91" s="457"/>
      <c r="G91" s="458" t="str">
        <f>IF(VLOOKUP(C91,EL!$E$4:$AC$514,5,0)="","",VLOOKUP(C91,EL!$E$4:$AC$514,5,0))</f>
        <v/>
      </c>
      <c r="H91" s="459" t="str">
        <f>IF(ISNA(MATCH($C91,EL!$E$4:$E$1012,0)),"",
IF($E91=0,IF(INDEX(EL!$R$4:$R$1012,MATCH($C91,EL!$E$4:$E$1012,0))="","",INDEX(EL!$R$4:$R$1012,MATCH($C91,EL!$E$4:$E$1012,0))),
IF($E91=1,IF(INDEX(EL!$W$4:$W$1012,MATCH($C91,EL!$E$4:$E$1012,0))="","",INDEX(EL!$W$4:$W$1012,MATCH($C91,EL!$E$4:$E$1012,0))),
IF($E91=2,IF(INDEX(EL!$AB$4:$AB$1012,MATCH($C91,EL!$E$4:$E$1012,0))="","",INDEX(EL!$AB$4:$AB$1012,MATCH($C91,EL!$E$4:$E$1012,0))),
IF($E91=3,IF(INDEX(EL!$AG$4:$AG$1012,MATCH($C91,EL!$E$4:$E$1012,0))="","",INDEX(EL!$AG$4:$AG$1012,MATCH($C91,EL!$E$4:$E$1012,0))),
IF($E91=4,IF(INDEX(EL!$AN$4:$AN$1012,MATCH($C91,EL!$E$4:$E$1012,0))="","",INDEX(EL!$AN$4:$AN$1012,MATCH($C91,EL!$E$4:$E$1012,0))),
IF($E91=5,IF(INDEX(EL!$AS$4:$AS$1012,MATCH($C91,EL!$E$4:$E$1012,0))="","",INDEX(EL!$AS$4:$AS$1012,MATCH($C91,EL!$E$4:$E$1012,0))),"")))))))</f>
        <v/>
      </c>
      <c r="I91" s="476"/>
      <c r="J91" s="461" t="str">
        <f>IF(ISNA(MATCH($C91,EL!$E$4:$E$1126,0)),"",
IF($E91=0,IF(INDEX(EL!$R$4:$R$1126,MATCH($C91,EL!$E$4:$E$1126,0))="","",INDEX(EL!$R$4:$R$1126,MATCH($C91,EL!$E$4:$E$1126,0))),
IF($E91=1,IF(INDEX(EL!$W$4:$W$1126,MATCH($C91,EL!$E$4:$E$1126,0))="","",INDEX(EL!$W$4:$W$1126,MATCH($C91,EL!$E$4:$E$1126,0))),
IF($E91=2,IF(INDEX(EL!$AB$4:$AB$1126,MATCH($C91,EL!$E$4:$E$1126,0))="","",INDEX(EL!$AB$4:$AB$1126,MATCH($C91,EL!$E$4:$E$1126,0))),
IF($E91=3,IF(INDEX(EL!$AG$4:$AG$1126,MATCH($C91,EL!$E$4:$E$1126,0))="","",INDEX(EL!$AG$4:$AG$1126,MATCH($C91,EL!$E$4:$E$1126,0))),
IF($E91=4,IF(INDEX(EL!$AL$4:$AL$1126,MATCH($C91,EL!$E$4:$E$1126,0))="","",INDEX(EL!$AL$4:$AL$1126,MATCH($C91,EL!$E$4:$E$1126,0))),
IF($E91=5,IF(INDEX(EL!$AQ$4:$AQ$1126,MATCH($C91,EL!$E$4:$E$1126,0))="","",INDEX(EL!$AQ$4:$AQ$1126,MATCH($C91,EL!$E$4:$E$1126,0))),"")))))))</f>
        <v/>
      </c>
      <c r="K91" s="459">
        <f>EL!L4</f>
        <v>0</v>
      </c>
      <c r="L91" s="460" t="e" cm="1">
        <f t="array" aca="1" ref="L91" ca="1">_xlfn.IFS(AND($E91&lt;&gt;"",$M91="Pending",$K91="CTA"),TODAY()-$G91,AND($E91&lt;&gt;"",$M91="Pending",$K91="AUR"),TODAY()-$H91,AND($E91&lt;&gt;"",$M91="Pending",$K91="STT"),TODAY()-$I91,OR(K91="Closed",K91=""),"")</f>
        <v>#N/A</v>
      </c>
      <c r="M91" s="461">
        <f>VLOOKUP(C91,EL!$E$4:$AC$622,9,0)</f>
        <v>0</v>
      </c>
      <c r="N91" s="461" t="str">
        <f>IF(AND(E91&lt;&gt;"",M91="Pending"),IF(L91&gt;=5,"Overdue",IF(L91&gt;=3,"High","")),"")</f>
        <v/>
      </c>
      <c r="O91" s="739" t="str">
        <f>EL!O4</f>
        <v>GC</v>
      </c>
      <c r="P91" s="746" t="str" cm="1">
        <f t="array" ref="P91:P113">EL!BJ4:BJ26</f>
        <v>NO</v>
      </c>
    </row>
    <row r="92" spans="1:16" ht="27" customHeight="1">
      <c r="A92" s="454">
        <v>2</v>
      </c>
      <c r="B92" s="607" t="s">
        <v>52</v>
      </c>
      <c r="C92" s="454" t="s">
        <v>398</v>
      </c>
      <c r="D92" s="456" t="str">
        <f>_xlfn.XLOOKUP(C92,EL!$E$4:$E$82,EL!$D$4:$D$82)</f>
        <v>Legend, Abbreviation, And General Notes</v>
      </c>
      <c r="E92" s="454">
        <f>IF(VLOOKUP(C92,EL!$E$4:$AC$505,7,0)="","",VLOOKUP(C92,EL!$E$4:$AC$1004,7,0))</f>
        <v>1</v>
      </c>
      <c r="F92" s="457"/>
      <c r="G92" s="458">
        <f>IF(VLOOKUP(C92,EL!$E$4:$AC$514,5,0)="","",VLOOKUP(C92,EL!$E$4:$AC$514,5,0))</f>
        <v>46056</v>
      </c>
      <c r="H92" s="459">
        <f>IF(ISNA(MATCH($C92,EL!$E$4:$E$1012,0)),"",
IF($E92=0,IF(INDEX(EL!$R$4:$R$1012,MATCH($C92,EL!$E$4:$E$1012,0))="","",INDEX(EL!$R$4:$R$1012,MATCH($C92,EL!$E$4:$E$1012,0))),
IF($E92=1,IF(INDEX(EL!$W$4:$W$1012,MATCH($C92,EL!$E$4:$E$1012,0))="","",INDEX(EL!$W$4:$W$1012,MATCH($C92,EL!$E$4:$E$1012,0))),
IF($E92=2,IF(INDEX(EL!$AB$4:$AB$1012,MATCH($C92,EL!$E$4:$E$1012,0))="","",INDEX(EL!$AB$4:$AB$1012,MATCH($C92,EL!$E$4:$E$1012,0))),
IF($E92=3,IF(INDEX(EL!$AG$4:$AG$1012,MATCH($C92,EL!$E$4:$E$1012,0))="","",INDEX(EL!$AG$4:$AG$1012,MATCH($C92,EL!$E$4:$E$1012,0))),
IF($E92=4,IF(INDEX(EL!$AN$4:$AN$1012,MATCH($C92,EL!$E$4:$E$1012,0))="","",INDEX(EL!$AN$4:$AN$1012,MATCH($C92,EL!$E$4:$E$1012,0))),
IF($E92=5,IF(INDEX(EL!$AS$4:$AS$1012,MATCH($C92,EL!$E$4:$E$1012,0))="","",INDEX(EL!$AS$4:$AS$1012,MATCH($C92,EL!$E$4:$E$1012,0))),"")))))))</f>
        <v>46057</v>
      </c>
      <c r="I92" s="459">
        <f>IF(ISNA(MATCH($C92,EL!$E$4:$E$1012,0)),"",
IF($E92=0,IF(INDEX(EL!$S$4:$S$1012,MATCH($C92,EL!$E$4:$E$1012,0))="","",INDEX(EL!$S$4:$S$1012,MATCH($C92,EL!$E$4:$E$1012,0))),
IF($E92=1,IF(INDEX(EL!$X$4:$X$1012,MATCH($C92,EL!$E$4:$E$1012,0))="","",INDEX(EL!$X$4:$X$1012,MATCH($C92,EL!$E$4:$E$1012,0))),
IF($E92=2,IF(INDEX(EL!$AC$4:$AC$1012,MATCH($C92,EL!$E$4:$E$1012,0))="","",INDEX(EL!$AC$4:$AC$1012,MATCH($C92,EL!$E$4:$E$1012,0))),
IF($E92=3,IF(INDEX(EL!$AH$4:$AH$1012,MATCH($C92,EL!$E$4:$E$1012,0))="","",INDEX(EL!$AH$4:$AH$1012,MATCH($C92,EL!$E$4:$E$1012,0))),
IF($E92=4,IF(INDEX(EL!$AM$4:$AM$1012,MATCH($C92,EL!$E$4:$E$1012,0))="","",INDEX(EL!$AM$4:$AM$1012,MATCH($C92,EL!$E$4:$E$1012,0))),
IF($E92=5,IF(INDEX(EL!$AR$4:$AR$1012,MATCH($C92,EL!$E$4:$E$1012,0))="","",INDEX(EL!$AR$4:$AR$1012,MATCH($C92,EL!$E$4:$E$1012,0))),"")))))))</f>
        <v>46062</v>
      </c>
      <c r="J92" s="459" t="str">
        <f>IF(ISNA(MATCH($C92,EL!$E$4:$E$1012,0)),"",
IF($E92=0,IF(INDEX(EL!$T$4:$T$1012,MATCH($C92,EL!$E$4:$E$1012,0))="","",INDEX(EL!$T$4:$T$1012,MATCH($C92,EL!$E$4:$E$1012,0))),
IF($E92=1,IF(INDEX(EL!$Y$4:$Y$1012,MATCH($C92,EL!$E$4:$E$1012,0))="","",INDEX(EL!$Y$4:$Y$1012,MATCH($C92,EL!$E$4:$E$1012,0))),
IF($E92=2,IF(INDEX(EL!$AD$4:$AD$1012,MATCH($C92,EL!$E$4:$E$1012,0))="","",INDEX(EL!$AD$4:$AD$1012,MATCH($C92,EL!$E$4:$E$1012,0))),
IF($E92=3,IF(INDEX(EL!$AI$4:$AI$1012,MATCH($C92,EL!$E$4:$E$1012,0))="","",INDEX(EL!$AI$4:$AI$1012,MATCH($C92,EL!$E$4:$E$1012,0))),
IF($E92=4,IF(INDEX(EL!$AN$4:$AN$1012,MATCH($C92,EL!$E$4:$E$1012,0))="","",INDEX(EL!$AN$4:$AN$1012,MATCH($C92,EL!$E$4:$E$1012,0))),
IF($E92=5,IF(INDEX(EL!$AS$4:$AS$1012,MATCH($C92,EL!$E$4:$E$1012,0))="","",INDEX(EL!$AS$4:$AS$1012,MATCH($C92,EL!$E$4:$E$1012,0))),"")))))))</f>
        <v/>
      </c>
      <c r="K92" s="459" t="str">
        <f>EL!L5</f>
        <v>STT</v>
      </c>
      <c r="L92" s="460" cm="1">
        <f t="array" aca="1" ref="L92" ca="1">_xlfn.IFS(AND($E92&lt;&gt;"",$M92="Pending",$K92="CTA"),TODAY()-$G92,AND($E92&lt;&gt;"",$M92="Pending",$K92="AUR"),TODAY()-$H92,AND($E92&lt;&gt;"",$M92="Pending",$K92="STT"),TODAY()-$I92,OR(K92="Closed",K92=""),"")</f>
        <v>4</v>
      </c>
      <c r="M92" s="461" t="str">
        <f>VLOOKUP(C92,EL!$E$4:$AC$622,9,0)</f>
        <v>Pending</v>
      </c>
      <c r="N92" s="461" t="str">
        <f ca="1">IF(AND(E92&lt;&gt;"",M92="Pending"),IF(L92&gt;=5,"Overdue",IF(L92&gt;=3,"High","")),"")</f>
        <v>High</v>
      </c>
      <c r="O92" s="739" t="str">
        <f>EL!O5</f>
        <v>GC</v>
      </c>
      <c r="P92" s="746" t="str">
        <v>NO</v>
      </c>
    </row>
    <row r="93" spans="1:16" s="385" customFormat="1" ht="27" customHeight="1">
      <c r="A93" s="399">
        <v>3</v>
      </c>
      <c r="B93" s="607" t="s">
        <v>52</v>
      </c>
      <c r="C93" s="454" t="s">
        <v>402</v>
      </c>
      <c r="D93" s="456" t="str">
        <f>_xlfn.XLOOKUP(C93,EL!$E$4:$E$82,EL!$D$4:$D$82)</f>
        <v>Medium Voltage Overall Distribution Schematic</v>
      </c>
      <c r="E93" s="454">
        <f>IF(VLOOKUP(C93,EL!$E$4:$AC$505,7,0)="","",VLOOKUP(C93,EL!$E$4:$AC$1004,7,0))</f>
        <v>0</v>
      </c>
      <c r="F93" s="462"/>
      <c r="G93" s="458">
        <f>IF(VLOOKUP(C93,EL!$E$4:$AC$514,5,0)="","",VLOOKUP(C93,EL!$E$4:$AC$514,5,0))</f>
        <v>46045</v>
      </c>
      <c r="H93" s="459">
        <f>IF(ISNA(MATCH($C93,EL!$E$4:$E$1012,0)),"",
IF($E93=0,IF(INDEX(EL!$R$4:$R$1012,MATCH($C93,EL!$E$4:$E$1012,0))="","",INDEX(EL!$R$4:$R$1012,MATCH($C93,EL!$E$4:$E$1012,0))),
IF($E93=1,IF(INDEX(EL!$W$4:$W$1012,MATCH($C93,EL!$E$4:$E$1012,0))="","",INDEX(EL!$W$4:$W$1012,MATCH($C93,EL!$E$4:$E$1012,0))),
IF($E93=2,IF(INDEX(EL!$AB$4:$AB$1012,MATCH($C93,EL!$E$4:$E$1012,0))="","",INDEX(EL!$AB$4:$AB$1012,MATCH($C93,EL!$E$4:$E$1012,0))),
IF($E93=3,IF(INDEX(EL!$AG$4:$AG$1012,MATCH($C93,EL!$E$4:$E$1012,0))="","",INDEX(EL!$AG$4:$AG$1012,MATCH($C93,EL!$E$4:$E$1012,0))),
IF($E93=4,IF(INDEX(EL!$AN$4:$AN$1012,MATCH($C93,EL!$E$4:$E$1012,0))="","",INDEX(EL!$AN$4:$AN$1012,MATCH($C93,EL!$E$4:$E$1012,0))),
IF($E93=5,IF(INDEX(EL!$AS$4:$AS$1012,MATCH($C93,EL!$E$4:$E$1012,0))="","",INDEX(EL!$AS$4:$AS$1012,MATCH($C93,EL!$E$4:$E$1012,0))),"")))))))</f>
        <v>46049</v>
      </c>
      <c r="I93" s="459">
        <f>IF(ISNA(MATCH($C93,EL!$E$4:$E$1012,0)),"",
IF($E93=0,IF(INDEX(EL!$S$4:$S$1012,MATCH($C93,EL!$E$4:$E$1012,0))="","",INDEX(EL!$S$4:$S$1012,MATCH($C93,EL!$E$4:$E$1012,0))),
IF($E93=1,IF(INDEX(EL!$X$4:$X$1012,MATCH($C93,EL!$E$4:$E$1012,0))="","",INDEX(EL!$X$4:$X$1012,MATCH($C93,EL!$E$4:$E$1012,0))),
IF($E93=2,IF(INDEX(EL!$AC$4:$AC$1012,MATCH($C93,EL!$E$4:$E$1012,0))="","",INDEX(EL!$AC$4:$AC$1012,MATCH($C93,EL!$E$4:$E$1012,0))),
IF($E93=3,IF(INDEX(EL!$AH$4:$AH$1012,MATCH($C93,EL!$E$4:$E$1012,0))="","",INDEX(EL!$AH$4:$AH$1012,MATCH($C93,EL!$E$4:$E$1012,0))),
IF($E93=4,IF(INDEX(EL!$AM$4:$AM$1012,MATCH($C93,EL!$E$4:$E$1012,0))="","",INDEX(EL!$AM$4:$AM$1012,MATCH($C93,EL!$E$4:$E$1012,0))),
IF($E93=5,IF(INDEX(EL!$AR$4:$AR$1012,MATCH($C93,EL!$E$4:$E$1012,0))="","",INDEX(EL!$AR$4:$AR$1012,MATCH($C93,EL!$E$4:$E$1012,0))),"")))))))</f>
        <v>46051</v>
      </c>
      <c r="J93" s="459" t="str">
        <f>IF(ISNA(MATCH($C93,EL!$E$4:$E$1012,0)),"",
IF($E93=0,IF(INDEX(EL!$T$4:$T$1012,MATCH($C93,EL!$E$4:$E$1012,0))="","",INDEX(EL!$T$4:$T$1012,MATCH($C93,EL!$E$4:$E$1012,0))),
IF($E93=1,IF(INDEX(EL!$Y$4:$Y$1012,MATCH($C93,EL!$E$4:$E$1012,0))="","",INDEX(EL!$Y$4:$Y$1012,MATCH($C93,EL!$E$4:$E$1012,0))),
IF($E93=2,IF(INDEX(EL!$AD$4:$AD$1012,MATCH($C93,EL!$E$4:$E$1012,0))="","",INDEX(EL!$AD$4:$AD$1012,MATCH($C93,EL!$E$4:$E$1012,0))),
IF($E93=3,IF(INDEX(EL!$AI$4:$AI$1012,MATCH($C93,EL!$E$4:$E$1012,0))="","",INDEX(EL!$AI$4:$AI$1012,MATCH($C93,EL!$E$4:$E$1012,0))),
IF($E93=4,IF(INDEX(EL!$AN$4:$AN$1012,MATCH($C93,EL!$E$4:$E$1012,0))="","",INDEX(EL!$AN$4:$AN$1012,MATCH($C93,EL!$E$4:$E$1012,0))),
IF($E93=5,IF(INDEX(EL!$AS$4:$AS$1012,MATCH($C93,EL!$E$4:$E$1012,0))="","",INDEX(EL!$AS$4:$AS$1012,MATCH($C93,EL!$E$4:$E$1012,0))),"")))))))</f>
        <v/>
      </c>
      <c r="K93" s="459" t="str">
        <f>EL!L6</f>
        <v>STT</v>
      </c>
      <c r="L93" s="460" cm="1">
        <f t="array" aca="1" ref="L93" ca="1">_xlfn.IFS(AND($E93&lt;&gt;"",$M93="Pending",$K93="CTA"),TODAY()-$G93,AND($E93&lt;&gt;"",$M93="Pending",$K93="AUR"),TODAY()-$H93,AND($E93&lt;&gt;"",$M93="Pending",$K93="STT"),TODAY()-$I93,OR(K93="Closed",K93=""),"")</f>
        <v>15</v>
      </c>
      <c r="M93" s="461" t="str">
        <f>VLOOKUP(C93,EL!$E$4:$AC$622,9,0)</f>
        <v>Pending</v>
      </c>
      <c r="N93" s="461" t="str">
        <f t="shared" ref="N93:N125" ca="1" si="3">IF(AND(E93&lt;&gt;"",M93="Pending"),IF(L93&gt;=5,"Overdue",IF(L93&gt;=3,"High","")),"")</f>
        <v>Overdue</v>
      </c>
      <c r="O93" s="739" t="str">
        <f>EL!O6</f>
        <v>GC</v>
      </c>
      <c r="P93" s="746" t="str">
        <v>YES</v>
      </c>
    </row>
    <row r="94" spans="1:16" s="385" customFormat="1" ht="27" customHeight="1">
      <c r="A94" s="399">
        <v>4</v>
      </c>
      <c r="B94" s="607" t="s">
        <v>52</v>
      </c>
      <c r="C94" s="454" t="s">
        <v>407</v>
      </c>
      <c r="D94" s="456" t="str">
        <f>_xlfn.XLOOKUP(C94,EL!$E$4:$E$82,EL!$D$4:$D$82)</f>
        <v>Generator Allocation Schematic</v>
      </c>
      <c r="E94" s="454">
        <f>IF(VLOOKUP(C94,EL!$E$4:$AC$505,7,0)="","",VLOOKUP(C94,EL!$E$4:$AC$1004,7,0))</f>
        <v>0</v>
      </c>
      <c r="F94" s="457"/>
      <c r="G94" s="458">
        <f>IF(VLOOKUP(C94,EL!$E$4:$AC$514,5,0)="","",VLOOKUP(C94,EL!$E$4:$AC$514,5,0))</f>
        <v>46039</v>
      </c>
      <c r="H94" s="459">
        <f>IF(ISNA(MATCH($C94,EL!$E$4:$E$1012,0)),"",
IF($E94=0,IF(INDEX(EL!$R$4:$R$1012,MATCH($C94,EL!$E$4:$E$1012,0))="","",INDEX(EL!$R$4:$R$1012,MATCH($C94,EL!$E$4:$E$1012,0))),
IF($E94=1,IF(INDEX(EL!$W$4:$W$1012,MATCH($C94,EL!$E$4:$E$1012,0))="","",INDEX(EL!$W$4:$W$1012,MATCH($C94,EL!$E$4:$E$1012,0))),
IF($E94=2,IF(INDEX(EL!$AB$4:$AB$1012,MATCH($C94,EL!$E$4:$E$1012,0))="","",INDEX(EL!$AB$4:$AB$1012,MATCH($C94,EL!$E$4:$E$1012,0))),
IF($E94=3,IF(INDEX(EL!$AG$4:$AG$1012,MATCH($C94,EL!$E$4:$E$1012,0))="","",INDEX(EL!$AG$4:$AG$1012,MATCH($C94,EL!$E$4:$E$1012,0))),
IF($E94=4,IF(INDEX(EL!$AN$4:$AN$1012,MATCH($C94,EL!$E$4:$E$1012,0))="","",INDEX(EL!$AN$4:$AN$1012,MATCH($C94,EL!$E$4:$E$1012,0))),
IF($E94=5,IF(INDEX(EL!$AS$4:$AS$1012,MATCH($C94,EL!$E$4:$E$1012,0))="","",INDEX(EL!$AS$4:$AS$1012,MATCH($C94,EL!$E$4:$E$1012,0))),"")))))))</f>
        <v>46049</v>
      </c>
      <c r="I94" s="459">
        <f>IF(ISNA(MATCH($C94,EL!$E$4:$E$1012,0)),"",
IF($E94=0,IF(INDEX(EL!$S$4:$S$1012,MATCH($C94,EL!$E$4:$E$1012,0))="","",INDEX(EL!$S$4:$S$1012,MATCH($C94,EL!$E$4:$E$1012,0))),
IF($E94=1,IF(INDEX(EL!$X$4:$X$1012,MATCH($C94,EL!$E$4:$E$1012,0))="","",INDEX(EL!$X$4:$X$1012,MATCH($C94,EL!$E$4:$E$1012,0))),
IF($E94=2,IF(INDEX(EL!$AC$4:$AC$1012,MATCH($C94,EL!$E$4:$E$1012,0))="","",INDEX(EL!$AC$4:$AC$1012,MATCH($C94,EL!$E$4:$E$1012,0))),
IF($E94=3,IF(INDEX(EL!$AH$4:$AH$1012,MATCH($C94,EL!$E$4:$E$1012,0))="","",INDEX(EL!$AH$4:$AH$1012,MATCH($C94,EL!$E$4:$E$1012,0))),
IF($E94=4,IF(INDEX(EL!$AM$4:$AM$1012,MATCH($C94,EL!$E$4:$E$1012,0))="","",INDEX(EL!$AM$4:$AM$1012,MATCH($C94,EL!$E$4:$E$1012,0))),
IF($E94=5,IF(INDEX(EL!$AR$4:$AR$1012,MATCH($C94,EL!$E$4:$E$1012,0))="","",INDEX(EL!$AR$4:$AR$1012,MATCH($C94,EL!$E$4:$E$1012,0))),"")))))))</f>
        <v>46051</v>
      </c>
      <c r="J94" s="459" t="str">
        <f>IF(ISNA(MATCH($C94,EL!$E$4:$E$1012,0)),"",
IF($E94=0,IF(INDEX(EL!$T$4:$T$1012,MATCH($C94,EL!$E$4:$E$1012,0))="","",INDEX(EL!$T$4:$T$1012,MATCH($C94,EL!$E$4:$E$1012,0))),
IF($E94=1,IF(INDEX(EL!$Y$4:$Y$1012,MATCH($C94,EL!$E$4:$E$1012,0))="","",INDEX(EL!$Y$4:$Y$1012,MATCH($C94,EL!$E$4:$E$1012,0))),
IF($E94=2,IF(INDEX(EL!$AD$4:$AD$1012,MATCH($C94,EL!$E$4:$E$1012,0))="","",INDEX(EL!$AD$4:$AD$1012,MATCH($C94,EL!$E$4:$E$1012,0))),
IF($E94=3,IF(INDEX(EL!$AI$4:$AI$1012,MATCH($C94,EL!$E$4:$E$1012,0))="","",INDEX(EL!$AI$4:$AI$1012,MATCH($C94,EL!$E$4:$E$1012,0))),
IF($E94=4,IF(INDEX(EL!$AN$4:$AN$1012,MATCH($C94,EL!$E$4:$E$1012,0))="","",INDEX(EL!$AN$4:$AN$1012,MATCH($C94,EL!$E$4:$E$1012,0))),
IF($E94=5,IF(INDEX(EL!$AS$4:$AS$1012,MATCH($C94,EL!$E$4:$E$1012,0))="","",INDEX(EL!$AS$4:$AS$1012,MATCH($C94,EL!$E$4:$E$1012,0))),"")))))))</f>
        <v/>
      </c>
      <c r="K94" s="459" t="str">
        <f>EL!L7</f>
        <v>STT</v>
      </c>
      <c r="L94" s="460" cm="1">
        <f t="array" aca="1" ref="L94" ca="1">_xlfn.IFS(AND($E94&lt;&gt;"",$M94="Pending",$K94="CTA"),TODAY()-$G94,AND($E94&lt;&gt;"",$M94="Pending",$K94="AUR"),TODAY()-$H94,AND($E94&lt;&gt;"",$M94="Pending",$K94="STT"),TODAY()-$I94,OR(K94="Closed",K94=""),"")</f>
        <v>15</v>
      </c>
      <c r="M94" s="461" t="str">
        <f>VLOOKUP(C94,EL!$E$4:$AC$622,9,0)</f>
        <v>Pending</v>
      </c>
      <c r="N94" s="461" t="str">
        <f t="shared" ca="1" si="3"/>
        <v>Overdue</v>
      </c>
      <c r="O94" s="739" t="str">
        <f>EL!O7</f>
        <v>GC</v>
      </c>
      <c r="P94" s="746" t="str">
        <v>YES</v>
      </c>
    </row>
    <row r="95" spans="1:16" s="385" customFormat="1" ht="27" hidden="1" customHeight="1">
      <c r="A95" s="399">
        <v>5</v>
      </c>
      <c r="B95" s="455" t="s">
        <v>52</v>
      </c>
      <c r="C95" s="454" t="s">
        <v>412</v>
      </c>
      <c r="D95" s="456" t="str">
        <f>_xlfn.XLOOKUP(C95,EL!$E$4:$E$82,EL!$D$4:$D$82)</f>
        <v>Medium Voltage And Communications Routing Layout</v>
      </c>
      <c r="E95" s="454" t="str">
        <f>IF(VLOOKUP(C95,EL!$E$4:$AC$505,7,0)="","",VLOOKUP(C95,EL!$E$4:$AC$1004,7,0))</f>
        <v/>
      </c>
      <c r="F95" s="466"/>
      <c r="G95" s="458" t="str">
        <f>IF(VLOOKUP(C95,EL!$E$4:$AC$514,5,0)="","",VLOOKUP(C95,EL!$E$4:$AC$514,5,0))</f>
        <v/>
      </c>
      <c r="H95" s="459" t="str">
        <f>IF(ISNA(MATCH($C95,EL!$E$4:$E$1012,0)),"",
IF($E95=0,IF(INDEX(EL!$R$4:$R$1012,MATCH($C95,EL!$E$4:$E$1012,0))="","",INDEX(EL!$R$4:$R$1012,MATCH($C95,EL!$E$4:$E$1012,0))),
IF($E95=1,IF(INDEX(EL!$W$4:$W$1012,MATCH($C95,EL!$E$4:$E$1012,0))="","",INDEX(EL!$W$4:$W$1012,MATCH($C95,EL!$E$4:$E$1012,0))),
IF($E95=2,IF(INDEX(EL!$AB$4:$AB$1012,MATCH($C95,EL!$E$4:$E$1012,0))="","",INDEX(EL!$AB$4:$AB$1012,MATCH($C95,EL!$E$4:$E$1012,0))),
IF($E95=3,IF(INDEX(EL!$AG$4:$AG$1012,MATCH($C95,EL!$E$4:$E$1012,0))="","",INDEX(EL!$AG$4:$AG$1012,MATCH($C95,EL!$E$4:$E$1012,0))),
IF($E95=4,IF(INDEX(EL!$AN$4:$AN$1012,MATCH($C95,EL!$E$4:$E$1012,0))="","",INDEX(EL!$AN$4:$AN$1012,MATCH($C95,EL!$E$4:$E$1012,0))),
IF($E95=5,IF(INDEX(EL!$AS$4:$AS$1012,MATCH($C95,EL!$E$4:$E$1012,0))="","",INDEX(EL!$AS$4:$AS$1012,MATCH($C95,EL!$E$4:$E$1012,0))),"")))))))</f>
        <v/>
      </c>
      <c r="I95" s="459" t="str">
        <f>IF(ISNA(MATCH($C95,EL!$E$4:$E$1012,0)),"",
IF($E95=0,IF(INDEX(EL!$S$4:$S$1012,MATCH($C95,EL!$E$4:$E$1012,0))="","",INDEX(EL!$S$4:$S$1012,MATCH($C95,EL!$E$4:$E$1012,0))),
IF($E95=1,IF(INDEX(EL!$X$4:$X$1012,MATCH($C95,EL!$E$4:$E$1012,0))="","",INDEX(EL!$X$4:$X$1012,MATCH($C95,EL!$E$4:$E$1012,0))),
IF($E95=2,IF(INDEX(EL!$AC$4:$AC$1012,MATCH($C95,EL!$E$4:$E$1012,0))="","",INDEX(EL!$AC$4:$AC$1012,MATCH($C95,EL!$E$4:$E$1012,0))),
IF($E95=3,IF(INDEX(EL!$AH$4:$AH$1012,MATCH($C95,EL!$E$4:$E$1012,0))="","",INDEX(EL!$AH$4:$AH$1012,MATCH($C95,EL!$E$4:$E$1012,0))),
IF($E95=4,IF(INDEX(EL!$AM$4:$AM$1012,MATCH($C95,EL!$E$4:$E$1012,0))="","",INDEX(EL!$AM$4:$AM$1012,MATCH($C95,EL!$E$4:$E$1012,0))),
IF($E95=5,IF(INDEX(EL!$AR$4:$AR$1012,MATCH($C95,EL!$E$4:$E$1012,0))="","",INDEX(EL!$AR$4:$AR$1012,MATCH($C95,EL!$E$4:$E$1012,0))),"")))))))</f>
        <v/>
      </c>
      <c r="J95" s="459" t="str">
        <f>IF(ISNA(MATCH($C95,EL!$E$4:$E$1012,0)),"",
IF($E95=0,IF(INDEX(EL!$T$4:$T$1012,MATCH($C95,EL!$E$4:$E$1012,0))="","",INDEX(EL!$T$4:$T$1012,MATCH($C95,EL!$E$4:$E$1012,0))),
IF($E95=1,IF(INDEX(EL!$Y$4:$Y$1012,MATCH($C95,EL!$E$4:$E$1012,0))="","",INDEX(EL!$Y$4:$Y$1012,MATCH($C95,EL!$E$4:$E$1012,0))),
IF($E95=2,IF(INDEX(EL!$AD$4:$AD$1012,MATCH($C95,EL!$E$4:$E$1012,0))="","",INDEX(EL!$AD$4:$AD$1012,MATCH($C95,EL!$E$4:$E$1012,0))),
IF($E95=3,IF(INDEX(EL!$AI$4:$AI$1012,MATCH($C95,EL!$E$4:$E$1012,0))="","",INDEX(EL!$AI$4:$AI$1012,MATCH($C95,EL!$E$4:$E$1012,0))),
IF($E95=4,IF(INDEX(EL!$AN$4:$AN$1012,MATCH($C95,EL!$E$4:$E$1012,0))="","",INDEX(EL!$AN$4:$AN$1012,MATCH($C95,EL!$E$4:$E$1012,0))),
IF($E95=5,IF(INDEX(EL!$AS$4:$AS$1012,MATCH($C95,EL!$E$4:$E$1012,0))="","",INDEX(EL!$AS$4:$AS$1012,MATCH($C95,EL!$E$4:$E$1012,0))),"")))))))</f>
        <v/>
      </c>
      <c r="K95" s="459">
        <f>EL!L8</f>
        <v>0</v>
      </c>
      <c r="L95" s="460" t="e" cm="1">
        <f t="array" aca="1" ref="L95" ca="1">_xlfn.IFS(AND($E95&lt;&gt;"",$M95="Pending",$K95="CTA"),TODAY()-$G95,AND($E95&lt;&gt;"",$M95="Pending",$K95="AUR"),TODAY()-$H95,AND($E95&lt;&gt;"",$M95="Pending",$K95="STT"),TODAY()-$I95,OR(K95="Closed",K95=""),"")</f>
        <v>#N/A</v>
      </c>
      <c r="M95" s="461">
        <f>VLOOKUP(C95,EL!$E$4:$AC$622,9,0)</f>
        <v>0</v>
      </c>
      <c r="N95" s="461" t="str">
        <f t="shared" si="3"/>
        <v/>
      </c>
      <c r="O95" s="739" t="str">
        <f>EL!O8</f>
        <v>GC</v>
      </c>
      <c r="P95" s="746" t="str">
        <v>YES</v>
      </c>
    </row>
    <row r="96" spans="1:16" ht="27" customHeight="1">
      <c r="A96" s="454">
        <v>6</v>
      </c>
      <c r="B96" s="607" t="s">
        <v>52</v>
      </c>
      <c r="C96" s="454" t="s">
        <v>417</v>
      </c>
      <c r="D96" s="456" t="str">
        <f>_xlfn.XLOOKUP(C96,EL!$E$4:$E$82,EL!$D$4:$D$82)</f>
        <v>LV  Single Line Diagram IT Load For Typical 4 MW With 2N Configuration Sheet 1</v>
      </c>
      <c r="E96" s="454">
        <f>IF(VLOOKUP(C96,EL!$E$4:$AC$505,7,0)="","",VLOOKUP(C96,EL!$E$4:$AC$1004,7,0))</f>
        <v>0</v>
      </c>
      <c r="F96" s="457"/>
      <c r="G96" s="458">
        <f>IF(VLOOKUP(C96,EL!$E$4:$AC$514,5,0)="","",VLOOKUP(C96,EL!$E$4:$AC$514,5,0))</f>
        <v>46038</v>
      </c>
      <c r="H96" s="459" t="str">
        <f>IF(ISNA(MATCH($C96,EL!$E$4:$E$1012,0)),"",
IF($E96=0,IF(INDEX(EL!$R$4:$R$1012,MATCH($C96,EL!$E$4:$E$1012,0))="","",INDEX(EL!$R$4:$R$1012,MATCH($C96,EL!$E$4:$E$1012,0))),
IF($E96=1,IF(INDEX(EL!$W$4:$W$1012,MATCH($C96,EL!$E$4:$E$1012,0))="","",INDEX(EL!$W$4:$W$1012,MATCH($C96,EL!$E$4:$E$1012,0))),
IF($E96=2,IF(INDEX(EL!$AB$4:$AB$1012,MATCH($C96,EL!$E$4:$E$1012,0))="","",INDEX(EL!$AB$4:$AB$1012,MATCH($C96,EL!$E$4:$E$1012,0))),
IF($E96=3,IF(INDEX(EL!$AG$4:$AG$1012,MATCH($C96,EL!$E$4:$E$1012,0))="","",INDEX(EL!$AG$4:$AG$1012,MATCH($C96,EL!$E$4:$E$1012,0))),
IF($E96=4,IF(INDEX(EL!$AN$4:$AN$1012,MATCH($C96,EL!$E$4:$E$1012,0))="","",INDEX(EL!$AN$4:$AN$1012,MATCH($C96,EL!$E$4:$E$1012,0))),
IF($E96=5,IF(INDEX(EL!$AS$4:$AS$1012,MATCH($C96,EL!$E$4:$E$1012,0))="","",INDEX(EL!$AS$4:$AS$1012,MATCH($C96,EL!$E$4:$E$1012,0))),"")))))))</f>
        <v/>
      </c>
      <c r="I96" s="459" t="str">
        <f>IF(ISNA(MATCH($C96,EL!$E$4:$E$1012,0)),"",
IF($E96=0,IF(INDEX(EL!$S$4:$S$1012,MATCH($C96,EL!$E$4:$E$1012,0))="","",INDEX(EL!$S$4:$S$1012,MATCH($C96,EL!$E$4:$E$1012,0))),
IF($E96=1,IF(INDEX(EL!$X$4:$X$1012,MATCH($C96,EL!$E$4:$E$1012,0))="","",INDEX(EL!$X$4:$X$1012,MATCH($C96,EL!$E$4:$E$1012,0))),
IF($E96=2,IF(INDEX(EL!$AC$4:$AC$1012,MATCH($C96,EL!$E$4:$E$1012,0))="","",INDEX(EL!$AC$4:$AC$1012,MATCH($C96,EL!$E$4:$E$1012,0))),
IF($E96=3,IF(INDEX(EL!$AH$4:$AH$1012,MATCH($C96,EL!$E$4:$E$1012,0))="","",INDEX(EL!$AH$4:$AH$1012,MATCH($C96,EL!$E$4:$E$1012,0))),
IF($E96=4,IF(INDEX(EL!$AM$4:$AM$1012,MATCH($C96,EL!$E$4:$E$1012,0))="","",INDEX(EL!$AM$4:$AM$1012,MATCH($C96,EL!$E$4:$E$1012,0))),
IF($E96=5,IF(INDEX(EL!$AR$4:$AR$1012,MATCH($C96,EL!$E$4:$E$1012,0))="","",INDEX(EL!$AR$4:$AR$1012,MATCH($C96,EL!$E$4:$E$1012,0))),"")))))))</f>
        <v/>
      </c>
      <c r="J96" s="459" t="str">
        <f>IF(ISNA(MATCH($C96,EL!$E$4:$E$1012,0)),"",
IF($E96=0,IF(INDEX(EL!$T$4:$T$1012,MATCH($C96,EL!$E$4:$E$1012,0))="","",INDEX(EL!$T$4:$T$1012,MATCH($C96,EL!$E$4:$E$1012,0))),
IF($E96=1,IF(INDEX(EL!$Y$4:$Y$1012,MATCH($C96,EL!$E$4:$E$1012,0))="","",INDEX(EL!$Y$4:$Y$1012,MATCH($C96,EL!$E$4:$E$1012,0))),
IF($E96=2,IF(INDEX(EL!$AD$4:$AD$1012,MATCH($C96,EL!$E$4:$E$1012,0))="","",INDEX(EL!$AD$4:$AD$1012,MATCH($C96,EL!$E$4:$E$1012,0))),
IF($E96=3,IF(INDEX(EL!$AI$4:$AI$1012,MATCH($C96,EL!$E$4:$E$1012,0))="","",INDEX(EL!$AI$4:$AI$1012,MATCH($C96,EL!$E$4:$E$1012,0))),
IF($E96=4,IF(INDEX(EL!$AN$4:$AN$1012,MATCH($C96,EL!$E$4:$E$1012,0))="","",INDEX(EL!$AN$4:$AN$1012,MATCH($C96,EL!$E$4:$E$1012,0))),
IF($E96=5,IF(INDEX(EL!$AS$4:$AS$1012,MATCH($C96,EL!$E$4:$E$1012,0))="","",INDEX(EL!$AS$4:$AS$1012,MATCH($C96,EL!$E$4:$E$1012,0))),"")))))))</f>
        <v/>
      </c>
      <c r="K96" s="459" t="str">
        <f>EL!L9</f>
        <v>CTA</v>
      </c>
      <c r="L96" s="460" cm="1">
        <f t="array" aca="1" ref="L96" ca="1">_xlfn.IFS(AND($E96&lt;&gt;"",$M96="Pending",$K96="CTA"),TODAY()-$G96,AND($E96&lt;&gt;"",$M96="Pending",$K96="AUR"),TODAY()-$H96,AND($E96&lt;&gt;"",$M96="Pending",$K96="STT"),TODAY()-$I96,OR(K96="Closed",K96=""),"")</f>
        <v>28</v>
      </c>
      <c r="M96" s="461" t="str">
        <f>VLOOKUP(C96,EL!$E$4:$AC$622,9,0)</f>
        <v>Pending</v>
      </c>
      <c r="N96" s="461" t="str">
        <f t="shared" ca="1" si="3"/>
        <v>Overdue</v>
      </c>
      <c r="O96" s="739" t="str">
        <f>EL!O9</f>
        <v>GC</v>
      </c>
      <c r="P96" s="746" t="str">
        <v>YES</v>
      </c>
    </row>
    <row r="97" spans="1:16" ht="27" customHeight="1">
      <c r="A97" s="454">
        <v>7</v>
      </c>
      <c r="B97" s="607" t="s">
        <v>52</v>
      </c>
      <c r="C97" s="454" t="s">
        <v>420</v>
      </c>
      <c r="D97" s="456" t="str">
        <f>_xlfn.XLOOKUP(C97,EL!$E$4:$E$82,EL!$D$4:$D$82)</f>
        <v>LV  Single Line Diagram IT Load For Typical 4 MW With 2N Configuration Sheet 2</v>
      </c>
      <c r="E97" s="454">
        <f>IF(VLOOKUP(C97,EL!$E$4:$AC$505,7,0)="","",VLOOKUP(C97,EL!$E$4:$AC$1004,7,0))</f>
        <v>0</v>
      </c>
      <c r="F97" s="462"/>
      <c r="G97" s="458">
        <f>IF(VLOOKUP(C97,EL!$E$4:$AC$514,5,0)="","",VLOOKUP(C97,EL!$E$4:$AC$514,5,0))</f>
        <v>46038</v>
      </c>
      <c r="H97" s="459" t="str">
        <f>IF(ISNA(MATCH($C97,EL!$E$4:$E$1012,0)),"",
IF($E97=0,IF(INDEX(EL!$R$4:$R$1012,MATCH($C97,EL!$E$4:$E$1012,0))="","",INDEX(EL!$R$4:$R$1012,MATCH($C97,EL!$E$4:$E$1012,0))),
IF($E97=1,IF(INDEX(EL!$W$4:$W$1012,MATCH($C97,EL!$E$4:$E$1012,0))="","",INDEX(EL!$W$4:$W$1012,MATCH($C97,EL!$E$4:$E$1012,0))),
IF($E97=2,IF(INDEX(EL!$AB$4:$AB$1012,MATCH($C97,EL!$E$4:$E$1012,0))="","",INDEX(EL!$AB$4:$AB$1012,MATCH($C97,EL!$E$4:$E$1012,0))),
IF($E97=3,IF(INDEX(EL!$AG$4:$AG$1012,MATCH($C97,EL!$E$4:$E$1012,0))="","",INDEX(EL!$AG$4:$AG$1012,MATCH($C97,EL!$E$4:$E$1012,0))),
IF($E97=4,IF(INDEX(EL!$AN$4:$AN$1012,MATCH($C97,EL!$E$4:$E$1012,0))="","",INDEX(EL!$AN$4:$AN$1012,MATCH($C97,EL!$E$4:$E$1012,0))),
IF($E97=5,IF(INDEX(EL!$AS$4:$AS$1012,MATCH($C97,EL!$E$4:$E$1012,0))="","",INDEX(EL!$AS$4:$AS$1012,MATCH($C97,EL!$E$4:$E$1012,0))),"")))))))</f>
        <v/>
      </c>
      <c r="I97" s="459" t="str">
        <f>IF(ISNA(MATCH($C97,EL!$E$4:$E$1012,0)),"",
IF($E97=0,IF(INDEX(EL!$S$4:$S$1012,MATCH($C97,EL!$E$4:$E$1012,0))="","",INDEX(EL!$S$4:$S$1012,MATCH($C97,EL!$E$4:$E$1012,0))),
IF($E97=1,IF(INDEX(EL!$X$4:$X$1012,MATCH($C97,EL!$E$4:$E$1012,0))="","",INDEX(EL!$X$4:$X$1012,MATCH($C97,EL!$E$4:$E$1012,0))),
IF($E97=2,IF(INDEX(EL!$AC$4:$AC$1012,MATCH($C97,EL!$E$4:$E$1012,0))="","",INDEX(EL!$AC$4:$AC$1012,MATCH($C97,EL!$E$4:$E$1012,0))),
IF($E97=3,IF(INDEX(EL!$AH$4:$AH$1012,MATCH($C97,EL!$E$4:$E$1012,0))="","",INDEX(EL!$AH$4:$AH$1012,MATCH($C97,EL!$E$4:$E$1012,0))),
IF($E97=4,IF(INDEX(EL!$AM$4:$AM$1012,MATCH($C97,EL!$E$4:$E$1012,0))="","",INDEX(EL!$AM$4:$AM$1012,MATCH($C97,EL!$E$4:$E$1012,0))),
IF($E97=5,IF(INDEX(EL!$AR$4:$AR$1012,MATCH($C97,EL!$E$4:$E$1012,0))="","",INDEX(EL!$AR$4:$AR$1012,MATCH($C97,EL!$E$4:$E$1012,0))),"")))))))</f>
        <v/>
      </c>
      <c r="J97" s="459" t="str">
        <f>IF(ISNA(MATCH($C97,EL!$E$4:$E$1012,0)),"",
IF($E97=0,IF(INDEX(EL!$T$4:$T$1012,MATCH($C97,EL!$E$4:$E$1012,0))="","",INDEX(EL!$T$4:$T$1012,MATCH($C97,EL!$E$4:$E$1012,0))),
IF($E97=1,IF(INDEX(EL!$Y$4:$Y$1012,MATCH($C97,EL!$E$4:$E$1012,0))="","",INDEX(EL!$Y$4:$Y$1012,MATCH($C97,EL!$E$4:$E$1012,0))),
IF($E97=2,IF(INDEX(EL!$AD$4:$AD$1012,MATCH($C97,EL!$E$4:$E$1012,0))="","",INDEX(EL!$AD$4:$AD$1012,MATCH($C97,EL!$E$4:$E$1012,0))),
IF($E97=3,IF(INDEX(EL!$AI$4:$AI$1012,MATCH($C97,EL!$E$4:$E$1012,0))="","",INDEX(EL!$AI$4:$AI$1012,MATCH($C97,EL!$E$4:$E$1012,0))),
IF($E97=4,IF(INDEX(EL!$AN$4:$AN$1012,MATCH($C97,EL!$E$4:$E$1012,0))="","",INDEX(EL!$AN$4:$AN$1012,MATCH($C97,EL!$E$4:$E$1012,0))),
IF($E97=5,IF(INDEX(EL!$AS$4:$AS$1012,MATCH($C97,EL!$E$4:$E$1012,0))="","",INDEX(EL!$AS$4:$AS$1012,MATCH($C97,EL!$E$4:$E$1012,0))),"")))))))</f>
        <v/>
      </c>
      <c r="K97" s="459" t="str">
        <f>EL!L10</f>
        <v>CTA</v>
      </c>
      <c r="L97" s="460" cm="1">
        <f t="array" aca="1" ref="L97" ca="1">_xlfn.IFS(AND($E97&lt;&gt;"",$M97="Pending",$K97="CTA"),TODAY()-$G97,AND($E97&lt;&gt;"",$M97="Pending",$K97="AUR"),TODAY()-$H97,AND($E97&lt;&gt;"",$M97="Pending",$K97="STT"),TODAY()-$I97,OR(K97="Closed",K97=""),"")</f>
        <v>28</v>
      </c>
      <c r="M97" s="461" t="str">
        <f>VLOOKUP(C97,EL!$E$4:$AC$622,9,0)</f>
        <v>Pending</v>
      </c>
      <c r="N97" s="461" t="str">
        <f t="shared" ca="1" si="3"/>
        <v>Overdue</v>
      </c>
      <c r="O97" s="739" t="str">
        <f>EL!O10</f>
        <v>GC</v>
      </c>
      <c r="P97" s="746" t="str">
        <v>YES</v>
      </c>
    </row>
    <row r="98" spans="1:16" ht="27" customHeight="1">
      <c r="A98" s="454">
        <v>8</v>
      </c>
      <c r="B98" s="607" t="s">
        <v>52</v>
      </c>
      <c r="C98" s="454" t="s">
        <v>423</v>
      </c>
      <c r="D98" s="456" t="str">
        <f>_xlfn.XLOOKUP(C98,EL!$E$4:$E$82,EL!$D$4:$D$82)</f>
        <v>LV  Single Line Diagram IT Load For Typical 6 MW With 4M3 DR Configuration Sheet 1</v>
      </c>
      <c r="E98" s="454">
        <f>IF(VLOOKUP(C98,EL!$E$4:$AC$505,7,0)="","",VLOOKUP(C98,EL!$E$4:$AC$1004,7,0))</f>
        <v>0</v>
      </c>
      <c r="F98" s="463"/>
      <c r="G98" s="458">
        <f>IF(VLOOKUP(C98,EL!$E$4:$AC$514,5,0)="","",VLOOKUP(C98,EL!$E$4:$AC$514,5,0))</f>
        <v>46038</v>
      </c>
      <c r="H98" s="459" t="str">
        <f>IF(ISNA(MATCH($C98,EL!$E$4:$E$1012,0)),"",
IF($E98=0,IF(INDEX(EL!$R$4:$R$1012,MATCH($C98,EL!$E$4:$E$1012,0))="","",INDEX(EL!$R$4:$R$1012,MATCH($C98,EL!$E$4:$E$1012,0))),
IF($E98=1,IF(INDEX(EL!$W$4:$W$1012,MATCH($C98,EL!$E$4:$E$1012,0))="","",INDEX(EL!$W$4:$W$1012,MATCH($C98,EL!$E$4:$E$1012,0))),
IF($E98=2,IF(INDEX(EL!$AB$4:$AB$1012,MATCH($C98,EL!$E$4:$E$1012,0))="","",INDEX(EL!$AB$4:$AB$1012,MATCH($C98,EL!$E$4:$E$1012,0))),
IF($E98=3,IF(INDEX(EL!$AG$4:$AG$1012,MATCH($C98,EL!$E$4:$E$1012,0))="","",INDEX(EL!$AG$4:$AG$1012,MATCH($C98,EL!$E$4:$E$1012,0))),
IF($E98=4,IF(INDEX(EL!$AN$4:$AN$1012,MATCH($C98,EL!$E$4:$E$1012,0))="","",INDEX(EL!$AN$4:$AN$1012,MATCH($C98,EL!$E$4:$E$1012,0))),
IF($E98=5,IF(INDEX(EL!$AS$4:$AS$1012,MATCH($C98,EL!$E$4:$E$1012,0))="","",INDEX(EL!$AS$4:$AS$1012,MATCH($C98,EL!$E$4:$E$1012,0))),"")))))))</f>
        <v/>
      </c>
      <c r="I98" s="459" t="str">
        <f>IF(ISNA(MATCH($C98,EL!$E$4:$E$1012,0)),"",
IF($E98=0,IF(INDEX(EL!$S$4:$S$1012,MATCH($C98,EL!$E$4:$E$1012,0))="","",INDEX(EL!$S$4:$S$1012,MATCH($C98,EL!$E$4:$E$1012,0))),
IF($E98=1,IF(INDEX(EL!$X$4:$X$1012,MATCH($C98,EL!$E$4:$E$1012,0))="","",INDEX(EL!$X$4:$X$1012,MATCH($C98,EL!$E$4:$E$1012,0))),
IF($E98=2,IF(INDEX(EL!$AC$4:$AC$1012,MATCH($C98,EL!$E$4:$E$1012,0))="","",INDEX(EL!$AC$4:$AC$1012,MATCH($C98,EL!$E$4:$E$1012,0))),
IF($E98=3,IF(INDEX(EL!$AH$4:$AH$1012,MATCH($C98,EL!$E$4:$E$1012,0))="","",INDEX(EL!$AH$4:$AH$1012,MATCH($C98,EL!$E$4:$E$1012,0))),
IF($E98=4,IF(INDEX(EL!$AM$4:$AM$1012,MATCH($C98,EL!$E$4:$E$1012,0))="","",INDEX(EL!$AM$4:$AM$1012,MATCH($C98,EL!$E$4:$E$1012,0))),
IF($E98=5,IF(INDEX(EL!$AR$4:$AR$1012,MATCH($C98,EL!$E$4:$E$1012,0))="","",INDEX(EL!$AR$4:$AR$1012,MATCH($C98,EL!$E$4:$E$1012,0))),"")))))))</f>
        <v/>
      </c>
      <c r="J98" s="459" t="str">
        <f>IF(ISNA(MATCH($C98,EL!$E$4:$E$1012,0)),"",
IF($E98=0,IF(INDEX(EL!$T$4:$T$1012,MATCH($C98,EL!$E$4:$E$1012,0))="","",INDEX(EL!$T$4:$T$1012,MATCH($C98,EL!$E$4:$E$1012,0))),
IF($E98=1,IF(INDEX(EL!$Y$4:$Y$1012,MATCH($C98,EL!$E$4:$E$1012,0))="","",INDEX(EL!$Y$4:$Y$1012,MATCH($C98,EL!$E$4:$E$1012,0))),
IF($E98=2,IF(INDEX(EL!$AD$4:$AD$1012,MATCH($C98,EL!$E$4:$E$1012,0))="","",INDEX(EL!$AD$4:$AD$1012,MATCH($C98,EL!$E$4:$E$1012,0))),
IF($E98=3,IF(INDEX(EL!$AI$4:$AI$1012,MATCH($C98,EL!$E$4:$E$1012,0))="","",INDEX(EL!$AI$4:$AI$1012,MATCH($C98,EL!$E$4:$E$1012,0))),
IF($E98=4,IF(INDEX(EL!$AN$4:$AN$1012,MATCH($C98,EL!$E$4:$E$1012,0))="","",INDEX(EL!$AN$4:$AN$1012,MATCH($C98,EL!$E$4:$E$1012,0))),
IF($E98=5,IF(INDEX(EL!$AS$4:$AS$1012,MATCH($C98,EL!$E$4:$E$1012,0))="","",INDEX(EL!$AS$4:$AS$1012,MATCH($C98,EL!$E$4:$E$1012,0))),"")))))))</f>
        <v/>
      </c>
      <c r="K98" s="459" t="str">
        <f>EL!L11</f>
        <v>CTA</v>
      </c>
      <c r="L98" s="460" cm="1">
        <f t="array" aca="1" ref="L98" ca="1">_xlfn.IFS(AND($E98&lt;&gt;"",$M98="Pending",$K98="CTA"),TODAY()-$G98,AND($E98&lt;&gt;"",$M98="Pending",$K98="AUR"),TODAY()-$H98,AND($E98&lt;&gt;"",$M98="Pending",$K98="STT"),TODAY()-$I98,OR(K98="Closed",K98=""),"")</f>
        <v>28</v>
      </c>
      <c r="M98" s="461" t="str">
        <f>VLOOKUP(C98,EL!$E$4:$AC$622,9,0)</f>
        <v>Pending</v>
      </c>
      <c r="N98" s="461" t="str">
        <f t="shared" ca="1" si="3"/>
        <v>Overdue</v>
      </c>
      <c r="O98" s="739" t="str">
        <f>EL!O11</f>
        <v>GC</v>
      </c>
      <c r="P98" s="746" t="str">
        <v>YES</v>
      </c>
    </row>
    <row r="99" spans="1:16" ht="27" customHeight="1">
      <c r="A99" s="454">
        <v>9</v>
      </c>
      <c r="B99" s="607" t="s">
        <v>52</v>
      </c>
      <c r="C99" s="454" t="s">
        <v>426</v>
      </c>
      <c r="D99" s="456" t="str">
        <f>_xlfn.XLOOKUP(C99,EL!$E$4:$E$82,EL!$D$4:$D$82)</f>
        <v xml:space="preserve">LV  Single Line Diagram IT Load For Typical 6 MW With 4M3 DR Configuration Sheet 2 </v>
      </c>
      <c r="E99" s="454">
        <f>IF(VLOOKUP(C99,EL!$E$4:$AC$505,7,0)="","",VLOOKUP(C99,EL!$E$4:$AC$1004,7,0))</f>
        <v>0</v>
      </c>
      <c r="F99" s="457"/>
      <c r="G99" s="458">
        <f>IF(VLOOKUP(C99,EL!$E$4:$AC$514,5,0)="","",VLOOKUP(C99,EL!$E$4:$AC$514,5,0))</f>
        <v>46038</v>
      </c>
      <c r="H99" s="459" t="str">
        <f>IF(ISNA(MATCH($C99,EL!$E$4:$E$1012,0)),"",
IF($E99=0,IF(INDEX(EL!$R$4:$R$1012,MATCH($C99,EL!$E$4:$E$1012,0))="","",INDEX(EL!$R$4:$R$1012,MATCH($C99,EL!$E$4:$E$1012,0))),
IF($E99=1,IF(INDEX(EL!$W$4:$W$1012,MATCH($C99,EL!$E$4:$E$1012,0))="","",INDEX(EL!$W$4:$W$1012,MATCH($C99,EL!$E$4:$E$1012,0))),
IF($E99=2,IF(INDEX(EL!$AB$4:$AB$1012,MATCH($C99,EL!$E$4:$E$1012,0))="","",INDEX(EL!$AB$4:$AB$1012,MATCH($C99,EL!$E$4:$E$1012,0))),
IF($E99=3,IF(INDEX(EL!$AG$4:$AG$1012,MATCH($C99,EL!$E$4:$E$1012,0))="","",INDEX(EL!$AG$4:$AG$1012,MATCH($C99,EL!$E$4:$E$1012,0))),
IF($E99=4,IF(INDEX(EL!$AN$4:$AN$1012,MATCH($C99,EL!$E$4:$E$1012,0))="","",INDEX(EL!$AN$4:$AN$1012,MATCH($C99,EL!$E$4:$E$1012,0))),
IF($E99=5,IF(INDEX(EL!$AS$4:$AS$1012,MATCH($C99,EL!$E$4:$E$1012,0))="","",INDEX(EL!$AS$4:$AS$1012,MATCH($C99,EL!$E$4:$E$1012,0))),"")))))))</f>
        <v/>
      </c>
      <c r="I99" s="459" t="str">
        <f>IF(ISNA(MATCH($C99,EL!$E$4:$E$1012,0)),"",
IF($E99=0,IF(INDEX(EL!$S$4:$S$1012,MATCH($C99,EL!$E$4:$E$1012,0))="","",INDEX(EL!$S$4:$S$1012,MATCH($C99,EL!$E$4:$E$1012,0))),
IF($E99=1,IF(INDEX(EL!$X$4:$X$1012,MATCH($C99,EL!$E$4:$E$1012,0))="","",INDEX(EL!$X$4:$X$1012,MATCH($C99,EL!$E$4:$E$1012,0))),
IF($E99=2,IF(INDEX(EL!$AC$4:$AC$1012,MATCH($C99,EL!$E$4:$E$1012,0))="","",INDEX(EL!$AC$4:$AC$1012,MATCH($C99,EL!$E$4:$E$1012,0))),
IF($E99=3,IF(INDEX(EL!$AH$4:$AH$1012,MATCH($C99,EL!$E$4:$E$1012,0))="","",INDEX(EL!$AH$4:$AH$1012,MATCH($C99,EL!$E$4:$E$1012,0))),
IF($E99=4,IF(INDEX(EL!$AM$4:$AM$1012,MATCH($C99,EL!$E$4:$E$1012,0))="","",INDEX(EL!$AM$4:$AM$1012,MATCH($C99,EL!$E$4:$E$1012,0))),
IF($E99=5,IF(INDEX(EL!$AR$4:$AR$1012,MATCH($C99,EL!$E$4:$E$1012,0))="","",INDEX(EL!$AR$4:$AR$1012,MATCH($C99,EL!$E$4:$E$1012,0))),"")))))))</f>
        <v/>
      </c>
      <c r="J99" s="459" t="str">
        <f>IF(ISNA(MATCH($C99,EL!$E$4:$E$1012,0)),"",
IF($E99=0,IF(INDEX(EL!$T$4:$T$1012,MATCH($C99,EL!$E$4:$E$1012,0))="","",INDEX(EL!$T$4:$T$1012,MATCH($C99,EL!$E$4:$E$1012,0))),
IF($E99=1,IF(INDEX(EL!$Y$4:$Y$1012,MATCH($C99,EL!$E$4:$E$1012,0))="","",INDEX(EL!$Y$4:$Y$1012,MATCH($C99,EL!$E$4:$E$1012,0))),
IF($E99=2,IF(INDEX(EL!$AD$4:$AD$1012,MATCH($C99,EL!$E$4:$E$1012,0))="","",INDEX(EL!$AD$4:$AD$1012,MATCH($C99,EL!$E$4:$E$1012,0))),
IF($E99=3,IF(INDEX(EL!$AI$4:$AI$1012,MATCH($C99,EL!$E$4:$E$1012,0))="","",INDEX(EL!$AI$4:$AI$1012,MATCH($C99,EL!$E$4:$E$1012,0))),
IF($E99=4,IF(INDEX(EL!$AN$4:$AN$1012,MATCH($C99,EL!$E$4:$E$1012,0))="","",INDEX(EL!$AN$4:$AN$1012,MATCH($C99,EL!$E$4:$E$1012,0))),
IF($E99=5,IF(INDEX(EL!$AS$4:$AS$1012,MATCH($C99,EL!$E$4:$E$1012,0))="","",INDEX(EL!$AS$4:$AS$1012,MATCH($C99,EL!$E$4:$E$1012,0))),"")))))))</f>
        <v/>
      </c>
      <c r="K99" s="459" t="str">
        <f>EL!L12</f>
        <v>CTA</v>
      </c>
      <c r="L99" s="460" cm="1">
        <f t="array" aca="1" ref="L99" ca="1">_xlfn.IFS(AND($E99&lt;&gt;"",$M99="Pending",$K99="CTA"),TODAY()-$G99,AND($E99&lt;&gt;"",$M99="Pending",$K99="AUR"),TODAY()-$H99,AND($E99&lt;&gt;"",$M99="Pending",$K99="STT"),TODAY()-$I99,OR(K99="Closed",K99=""),"")</f>
        <v>28</v>
      </c>
      <c r="M99" s="461" t="str">
        <f>VLOOKUP(C99,EL!$E$4:$AC$622,9,0)</f>
        <v>Pending</v>
      </c>
      <c r="N99" s="461" t="str">
        <f t="shared" ca="1" si="3"/>
        <v>Overdue</v>
      </c>
      <c r="O99" s="739" t="str">
        <f>EL!O12</f>
        <v>GC</v>
      </c>
      <c r="P99" s="746" t="str">
        <v>YES</v>
      </c>
    </row>
    <row r="100" spans="1:16" ht="27" customHeight="1">
      <c r="A100" s="454">
        <v>10</v>
      </c>
      <c r="B100" s="607" t="s">
        <v>52</v>
      </c>
      <c r="C100" s="454" t="s">
        <v>429</v>
      </c>
      <c r="D100" s="456" t="str">
        <f>_xlfn.XLOOKUP(C100,EL!$E$4:$E$82,EL!$D$4:$D$82)</f>
        <v xml:space="preserve">LV  Single Line Diagram IT Load For Typical 6 MW With 4M3 DR Configuration Sheet 3 </v>
      </c>
      <c r="E100" s="454">
        <f>IF(VLOOKUP(C100,EL!$E$4:$AC$505,7,0)="","",VLOOKUP(C100,EL!$E$4:$AC$1004,7,0))</f>
        <v>0</v>
      </c>
      <c r="F100" s="462"/>
      <c r="G100" s="458">
        <f>IF(VLOOKUP(C100,EL!$E$4:$AC$514,5,0)="","",VLOOKUP(C100,EL!$E$4:$AC$514,5,0))</f>
        <v>46038</v>
      </c>
      <c r="H100" s="459" t="str">
        <f>IF(ISNA(MATCH($C100,EL!$E$4:$E$1012,0)),"",
IF($E100=0,IF(INDEX(EL!$R$4:$R$1012,MATCH($C100,EL!$E$4:$E$1012,0))="","",INDEX(EL!$R$4:$R$1012,MATCH($C100,EL!$E$4:$E$1012,0))),
IF($E100=1,IF(INDEX(EL!$W$4:$W$1012,MATCH($C100,EL!$E$4:$E$1012,0))="","",INDEX(EL!$W$4:$W$1012,MATCH($C100,EL!$E$4:$E$1012,0))),
IF($E100=2,IF(INDEX(EL!$AB$4:$AB$1012,MATCH($C100,EL!$E$4:$E$1012,0))="","",INDEX(EL!$AB$4:$AB$1012,MATCH($C100,EL!$E$4:$E$1012,0))),
IF($E100=3,IF(INDEX(EL!$AG$4:$AG$1012,MATCH($C100,EL!$E$4:$E$1012,0))="","",INDEX(EL!$AG$4:$AG$1012,MATCH($C100,EL!$E$4:$E$1012,0))),
IF($E100=4,IF(INDEX(EL!$AN$4:$AN$1012,MATCH($C100,EL!$E$4:$E$1012,0))="","",INDEX(EL!$AN$4:$AN$1012,MATCH($C100,EL!$E$4:$E$1012,0))),
IF($E100=5,IF(INDEX(EL!$AS$4:$AS$1012,MATCH($C100,EL!$E$4:$E$1012,0))="","",INDEX(EL!$AS$4:$AS$1012,MATCH($C100,EL!$E$4:$E$1012,0))),"")))))))</f>
        <v/>
      </c>
      <c r="I100" s="459" t="str">
        <f>IF(ISNA(MATCH($C100,EL!$E$4:$E$1012,0)),"",
IF($E100=0,IF(INDEX(EL!$S$4:$S$1012,MATCH($C100,EL!$E$4:$E$1012,0))="","",INDEX(EL!$S$4:$S$1012,MATCH($C100,EL!$E$4:$E$1012,0))),
IF($E100=1,IF(INDEX(EL!$X$4:$X$1012,MATCH($C100,EL!$E$4:$E$1012,0))="","",INDEX(EL!$X$4:$X$1012,MATCH($C100,EL!$E$4:$E$1012,0))),
IF($E100=2,IF(INDEX(EL!$AC$4:$AC$1012,MATCH($C100,EL!$E$4:$E$1012,0))="","",INDEX(EL!$AC$4:$AC$1012,MATCH($C100,EL!$E$4:$E$1012,0))),
IF($E100=3,IF(INDEX(EL!$AH$4:$AH$1012,MATCH($C100,EL!$E$4:$E$1012,0))="","",INDEX(EL!$AH$4:$AH$1012,MATCH($C100,EL!$E$4:$E$1012,0))),
IF($E100=4,IF(INDEX(EL!$AM$4:$AM$1012,MATCH($C100,EL!$E$4:$E$1012,0))="","",INDEX(EL!$AM$4:$AM$1012,MATCH($C100,EL!$E$4:$E$1012,0))),
IF($E100=5,IF(INDEX(EL!$AR$4:$AR$1012,MATCH($C100,EL!$E$4:$E$1012,0))="","",INDEX(EL!$AR$4:$AR$1012,MATCH($C100,EL!$E$4:$E$1012,0))),"")))))))</f>
        <v/>
      </c>
      <c r="J100" s="459" t="str">
        <f>IF(ISNA(MATCH($C100,EL!$E$4:$E$1012,0)),"",
IF($E100=0,IF(INDEX(EL!$T$4:$T$1012,MATCH($C100,EL!$E$4:$E$1012,0))="","",INDEX(EL!$T$4:$T$1012,MATCH($C100,EL!$E$4:$E$1012,0))),
IF($E100=1,IF(INDEX(EL!$Y$4:$Y$1012,MATCH($C100,EL!$E$4:$E$1012,0))="","",INDEX(EL!$Y$4:$Y$1012,MATCH($C100,EL!$E$4:$E$1012,0))),
IF($E100=2,IF(INDEX(EL!$AD$4:$AD$1012,MATCH($C100,EL!$E$4:$E$1012,0))="","",INDEX(EL!$AD$4:$AD$1012,MATCH($C100,EL!$E$4:$E$1012,0))),
IF($E100=3,IF(INDEX(EL!$AI$4:$AI$1012,MATCH($C100,EL!$E$4:$E$1012,0))="","",INDEX(EL!$AI$4:$AI$1012,MATCH($C100,EL!$E$4:$E$1012,0))),
IF($E100=4,IF(INDEX(EL!$AN$4:$AN$1012,MATCH($C100,EL!$E$4:$E$1012,0))="","",INDEX(EL!$AN$4:$AN$1012,MATCH($C100,EL!$E$4:$E$1012,0))),
IF($E100=5,IF(INDEX(EL!$AS$4:$AS$1012,MATCH($C100,EL!$E$4:$E$1012,0))="","",INDEX(EL!$AS$4:$AS$1012,MATCH($C100,EL!$E$4:$E$1012,0))),"")))))))</f>
        <v/>
      </c>
      <c r="K100" s="459" t="str">
        <f>EL!L13</f>
        <v>CTA</v>
      </c>
      <c r="L100" s="460" cm="1">
        <f t="array" aca="1" ref="L100" ca="1">_xlfn.IFS(AND($E100&lt;&gt;"",$M100="Pending",$K100="CTA"),TODAY()-$G100,AND($E100&lt;&gt;"",$M100="Pending",$K100="AUR"),TODAY()-$H100,AND($E100&lt;&gt;"",$M100="Pending",$K100="STT"),TODAY()-$I100,OR(K100="Closed",K100=""),"")</f>
        <v>28</v>
      </c>
      <c r="M100" s="461" t="str">
        <f>VLOOKUP(C100,EL!$E$4:$AC$622,9,0)</f>
        <v>Pending</v>
      </c>
      <c r="N100" s="461" t="str">
        <f t="shared" ca="1" si="3"/>
        <v>Overdue</v>
      </c>
      <c r="O100" s="739" t="str">
        <f>EL!O13</f>
        <v>GC</v>
      </c>
      <c r="P100" s="746" t="str">
        <v>YES</v>
      </c>
    </row>
    <row r="101" spans="1:16" ht="27" customHeight="1">
      <c r="A101" s="454">
        <v>11</v>
      </c>
      <c r="B101" s="607" t="s">
        <v>52</v>
      </c>
      <c r="C101" s="454" t="s">
        <v>432</v>
      </c>
      <c r="D101" s="456" t="str">
        <f>_xlfn.XLOOKUP(C101,EL!$E$4:$E$82,EL!$D$4:$D$82)</f>
        <v>LV  Single Line Diagram IT Load For Typical 6 MW With 4M3 DR Configuration Sheet 4</v>
      </c>
      <c r="E101" s="454">
        <f>IF(VLOOKUP(C101,EL!$E$4:$AC$505,7,0)="","",VLOOKUP(C101,EL!$E$4:$AC$1004,7,0))</f>
        <v>0</v>
      </c>
      <c r="F101" s="462"/>
      <c r="G101" s="458">
        <f>IF(VLOOKUP(C101,EL!$E$4:$AC$514,5,0)="","",VLOOKUP(C101,EL!$E$4:$AC$514,5,0))</f>
        <v>46038</v>
      </c>
      <c r="H101" s="459" t="str">
        <f>IF(ISNA(MATCH($C101,EL!$E$4:$E$1012,0)),"",
IF($E101=0,IF(INDEX(EL!$R$4:$R$1012,MATCH($C101,EL!$E$4:$E$1012,0))="","",INDEX(EL!$R$4:$R$1012,MATCH($C101,EL!$E$4:$E$1012,0))),
IF($E101=1,IF(INDEX(EL!$W$4:$W$1012,MATCH($C101,EL!$E$4:$E$1012,0))="","",INDEX(EL!$W$4:$W$1012,MATCH($C101,EL!$E$4:$E$1012,0))),
IF($E101=2,IF(INDEX(EL!$AB$4:$AB$1012,MATCH($C101,EL!$E$4:$E$1012,0))="","",INDEX(EL!$AB$4:$AB$1012,MATCH($C101,EL!$E$4:$E$1012,0))),
IF($E101=3,IF(INDEX(EL!$AG$4:$AG$1012,MATCH($C101,EL!$E$4:$E$1012,0))="","",INDEX(EL!$AG$4:$AG$1012,MATCH($C101,EL!$E$4:$E$1012,0))),
IF($E101=4,IF(INDEX(EL!$AN$4:$AN$1012,MATCH($C101,EL!$E$4:$E$1012,0))="","",INDEX(EL!$AN$4:$AN$1012,MATCH($C101,EL!$E$4:$E$1012,0))),
IF($E101=5,IF(INDEX(EL!$AS$4:$AS$1012,MATCH($C101,EL!$E$4:$E$1012,0))="","",INDEX(EL!$AS$4:$AS$1012,MATCH($C101,EL!$E$4:$E$1012,0))),"")))))))</f>
        <v/>
      </c>
      <c r="I101" s="459" t="str">
        <f>IF(ISNA(MATCH($C101,EL!$E$4:$E$1012,0)),"",
IF($E101=0,IF(INDEX(EL!$S$4:$S$1012,MATCH($C101,EL!$E$4:$E$1012,0))="","",INDEX(EL!$S$4:$S$1012,MATCH($C101,EL!$E$4:$E$1012,0))),
IF($E101=1,IF(INDEX(EL!$X$4:$X$1012,MATCH($C101,EL!$E$4:$E$1012,0))="","",INDEX(EL!$X$4:$X$1012,MATCH($C101,EL!$E$4:$E$1012,0))),
IF($E101=2,IF(INDEX(EL!$AC$4:$AC$1012,MATCH($C101,EL!$E$4:$E$1012,0))="","",INDEX(EL!$AC$4:$AC$1012,MATCH($C101,EL!$E$4:$E$1012,0))),
IF($E101=3,IF(INDEX(EL!$AH$4:$AH$1012,MATCH($C101,EL!$E$4:$E$1012,0))="","",INDEX(EL!$AH$4:$AH$1012,MATCH($C101,EL!$E$4:$E$1012,0))),
IF($E101=4,IF(INDEX(EL!$AM$4:$AM$1012,MATCH($C101,EL!$E$4:$E$1012,0))="","",INDEX(EL!$AM$4:$AM$1012,MATCH($C101,EL!$E$4:$E$1012,0))),
IF($E101=5,IF(INDEX(EL!$AR$4:$AR$1012,MATCH($C101,EL!$E$4:$E$1012,0))="","",INDEX(EL!$AR$4:$AR$1012,MATCH($C101,EL!$E$4:$E$1012,0))),"")))))))</f>
        <v/>
      </c>
      <c r="J101" s="459" t="str">
        <f>IF(ISNA(MATCH($C101,EL!$E$4:$E$1012,0)),"",
IF($E101=0,IF(INDEX(EL!$T$4:$T$1012,MATCH($C101,EL!$E$4:$E$1012,0))="","",INDEX(EL!$T$4:$T$1012,MATCH($C101,EL!$E$4:$E$1012,0))),
IF($E101=1,IF(INDEX(EL!$Y$4:$Y$1012,MATCH($C101,EL!$E$4:$E$1012,0))="","",INDEX(EL!$Y$4:$Y$1012,MATCH($C101,EL!$E$4:$E$1012,0))),
IF($E101=2,IF(INDEX(EL!$AD$4:$AD$1012,MATCH($C101,EL!$E$4:$E$1012,0))="","",INDEX(EL!$AD$4:$AD$1012,MATCH($C101,EL!$E$4:$E$1012,0))),
IF($E101=3,IF(INDEX(EL!$AI$4:$AI$1012,MATCH($C101,EL!$E$4:$E$1012,0))="","",INDEX(EL!$AI$4:$AI$1012,MATCH($C101,EL!$E$4:$E$1012,0))),
IF($E101=4,IF(INDEX(EL!$AN$4:$AN$1012,MATCH($C101,EL!$E$4:$E$1012,0))="","",INDEX(EL!$AN$4:$AN$1012,MATCH($C101,EL!$E$4:$E$1012,0))),
IF($E101=5,IF(INDEX(EL!$AS$4:$AS$1012,MATCH($C101,EL!$E$4:$E$1012,0))="","",INDEX(EL!$AS$4:$AS$1012,MATCH($C101,EL!$E$4:$E$1012,0))),"")))))))</f>
        <v/>
      </c>
      <c r="K101" s="459" t="str">
        <f>EL!L14</f>
        <v>CTA</v>
      </c>
      <c r="L101" s="460" cm="1">
        <f t="array" aca="1" ref="L101" ca="1">_xlfn.IFS(AND($E101&lt;&gt;"",$M101="Pending",$K101="CTA"),TODAY()-$G101,AND($E101&lt;&gt;"",$M101="Pending",$K101="AUR"),TODAY()-$H101,AND($E101&lt;&gt;"",$M101="Pending",$K101="STT"),TODAY()-$I101,OR(K101="Closed",K101=""),"")</f>
        <v>28</v>
      </c>
      <c r="M101" s="461" t="str">
        <f>VLOOKUP(C101,EL!$E$4:$AC$622,9,0)</f>
        <v>Pending</v>
      </c>
      <c r="N101" s="461" t="str">
        <f t="shared" ca="1" si="3"/>
        <v>Overdue</v>
      </c>
      <c r="O101" s="739" t="str">
        <f>EL!O14</f>
        <v>GC</v>
      </c>
      <c r="P101" s="746" t="str">
        <v>YES</v>
      </c>
    </row>
    <row r="102" spans="1:16" ht="27" customHeight="1">
      <c r="A102" s="454">
        <v>12</v>
      </c>
      <c r="B102" s="607" t="s">
        <v>52</v>
      </c>
      <c r="C102" s="454" t="s">
        <v>435</v>
      </c>
      <c r="D102" s="456" t="str">
        <f>_xlfn.XLOOKUP(C102,EL!$E$4:$E$82,EL!$D$4:$D$82)</f>
        <v>LV  Single Line Diagram IT Load For Typical 6 MW With 4M3 DR Configuration Sheet 5</v>
      </c>
      <c r="E102" s="454">
        <f>IF(VLOOKUP(C102,EL!$E$4:$AC$505,7,0)="","",VLOOKUP(C102,EL!$E$4:$AC$1004,7,0))</f>
        <v>0</v>
      </c>
      <c r="F102" s="462"/>
      <c r="G102" s="458">
        <f>IF(VLOOKUP(C102,EL!$E$4:$AC$514,5,0)="","",VLOOKUP(C102,EL!$E$4:$AC$514,5,0))</f>
        <v>46038</v>
      </c>
      <c r="H102" s="459" t="str">
        <f>IF(ISNA(MATCH($C102,EL!$E$4:$E$1012,0)),"",
IF($E102=0,IF(INDEX(EL!$R$4:$R$1012,MATCH($C102,EL!$E$4:$E$1012,0))="","",INDEX(EL!$R$4:$R$1012,MATCH($C102,EL!$E$4:$E$1012,0))),
IF($E102=1,IF(INDEX(EL!$W$4:$W$1012,MATCH($C102,EL!$E$4:$E$1012,0))="","",INDEX(EL!$W$4:$W$1012,MATCH($C102,EL!$E$4:$E$1012,0))),
IF($E102=2,IF(INDEX(EL!$AB$4:$AB$1012,MATCH($C102,EL!$E$4:$E$1012,0))="","",INDEX(EL!$AB$4:$AB$1012,MATCH($C102,EL!$E$4:$E$1012,0))),
IF($E102=3,IF(INDEX(EL!$AG$4:$AG$1012,MATCH($C102,EL!$E$4:$E$1012,0))="","",INDEX(EL!$AG$4:$AG$1012,MATCH($C102,EL!$E$4:$E$1012,0))),
IF($E102=4,IF(INDEX(EL!$AN$4:$AN$1012,MATCH($C102,EL!$E$4:$E$1012,0))="","",INDEX(EL!$AN$4:$AN$1012,MATCH($C102,EL!$E$4:$E$1012,0))),
IF($E102=5,IF(INDEX(EL!$AS$4:$AS$1012,MATCH($C102,EL!$E$4:$E$1012,0))="","",INDEX(EL!$AS$4:$AS$1012,MATCH($C102,EL!$E$4:$E$1012,0))),"")))))))</f>
        <v/>
      </c>
      <c r="I102" s="459" t="str">
        <f>IF(ISNA(MATCH($C102,EL!$E$4:$E$1012,0)),"",
IF($E102=0,IF(INDEX(EL!$S$4:$S$1012,MATCH($C102,EL!$E$4:$E$1012,0))="","",INDEX(EL!$S$4:$S$1012,MATCH($C102,EL!$E$4:$E$1012,0))),
IF($E102=1,IF(INDEX(EL!$X$4:$X$1012,MATCH($C102,EL!$E$4:$E$1012,0))="","",INDEX(EL!$X$4:$X$1012,MATCH($C102,EL!$E$4:$E$1012,0))),
IF($E102=2,IF(INDEX(EL!$AC$4:$AC$1012,MATCH($C102,EL!$E$4:$E$1012,0))="","",INDEX(EL!$AC$4:$AC$1012,MATCH($C102,EL!$E$4:$E$1012,0))),
IF($E102=3,IF(INDEX(EL!$AH$4:$AH$1012,MATCH($C102,EL!$E$4:$E$1012,0))="","",INDEX(EL!$AH$4:$AH$1012,MATCH($C102,EL!$E$4:$E$1012,0))),
IF($E102=4,IF(INDEX(EL!$AM$4:$AM$1012,MATCH($C102,EL!$E$4:$E$1012,0))="","",INDEX(EL!$AM$4:$AM$1012,MATCH($C102,EL!$E$4:$E$1012,0))),
IF($E102=5,IF(INDEX(EL!$AR$4:$AR$1012,MATCH($C102,EL!$E$4:$E$1012,0))="","",INDEX(EL!$AR$4:$AR$1012,MATCH($C102,EL!$E$4:$E$1012,0))),"")))))))</f>
        <v/>
      </c>
      <c r="J102" s="459" t="str">
        <f>IF(ISNA(MATCH($C102,EL!$E$4:$E$1012,0)),"",
IF($E102=0,IF(INDEX(EL!$T$4:$T$1012,MATCH($C102,EL!$E$4:$E$1012,0))="","",INDEX(EL!$T$4:$T$1012,MATCH($C102,EL!$E$4:$E$1012,0))),
IF($E102=1,IF(INDEX(EL!$Y$4:$Y$1012,MATCH($C102,EL!$E$4:$E$1012,0))="","",INDEX(EL!$Y$4:$Y$1012,MATCH($C102,EL!$E$4:$E$1012,0))),
IF($E102=2,IF(INDEX(EL!$AD$4:$AD$1012,MATCH($C102,EL!$E$4:$E$1012,0))="","",INDEX(EL!$AD$4:$AD$1012,MATCH($C102,EL!$E$4:$E$1012,0))),
IF($E102=3,IF(INDEX(EL!$AI$4:$AI$1012,MATCH($C102,EL!$E$4:$E$1012,0))="","",INDEX(EL!$AI$4:$AI$1012,MATCH($C102,EL!$E$4:$E$1012,0))),
IF($E102=4,IF(INDEX(EL!$AN$4:$AN$1012,MATCH($C102,EL!$E$4:$E$1012,0))="","",INDEX(EL!$AN$4:$AN$1012,MATCH($C102,EL!$E$4:$E$1012,0))),
IF($E102=5,IF(INDEX(EL!$AS$4:$AS$1012,MATCH($C102,EL!$E$4:$E$1012,0))="","",INDEX(EL!$AS$4:$AS$1012,MATCH($C102,EL!$E$4:$E$1012,0))),"")))))))</f>
        <v/>
      </c>
      <c r="K102" s="459" t="str">
        <f>EL!L15</f>
        <v>CTA</v>
      </c>
      <c r="L102" s="460" cm="1">
        <f t="array" aca="1" ref="L102" ca="1">_xlfn.IFS(AND($E102&lt;&gt;"",$M102="Pending",$K102="CTA"),TODAY()-$G102,AND($E102&lt;&gt;"",$M102="Pending",$K102="AUR"),TODAY()-$H102,AND($E102&lt;&gt;"",$M102="Pending",$K102="STT"),TODAY()-$I102,OR(K102="Closed",K102=""),"")</f>
        <v>28</v>
      </c>
      <c r="M102" s="461" t="str">
        <f>VLOOKUP(C102,EL!$E$4:$AC$622,9,0)</f>
        <v>Pending</v>
      </c>
      <c r="N102" s="461" t="str">
        <f t="shared" ca="1" si="3"/>
        <v>Overdue</v>
      </c>
      <c r="O102" s="739" t="str">
        <f>EL!O15</f>
        <v>GC</v>
      </c>
      <c r="P102" s="746" t="str">
        <v>YES</v>
      </c>
    </row>
    <row r="103" spans="1:16" ht="27" customHeight="1">
      <c r="A103" s="454">
        <v>13</v>
      </c>
      <c r="B103" s="607" t="s">
        <v>52</v>
      </c>
      <c r="C103" s="454" t="s">
        <v>438</v>
      </c>
      <c r="D103" s="456" t="str">
        <f>_xlfn.XLOOKUP(C103,EL!$E$4:$E$82,EL!$D$4:$D$82)</f>
        <v>LV  Single Line Diagram IT Load For Typical 6 MW With 4M3 DR Configuration Sheet 6</v>
      </c>
      <c r="E103" s="454">
        <f>IF(VLOOKUP(C103,EL!$E$4:$AC$505,7,0)="","",VLOOKUP(C103,EL!$E$4:$AC$1004,7,0))</f>
        <v>0</v>
      </c>
      <c r="F103" s="457"/>
      <c r="G103" s="458">
        <f>IF(VLOOKUP(C103,EL!$E$4:$AC$514,5,0)="","",VLOOKUP(C103,EL!$E$4:$AC$514,5,0))</f>
        <v>46038</v>
      </c>
      <c r="H103" s="459" t="str">
        <f>IF(ISNA(MATCH($C103,EL!$E$4:$E$1012,0)),"",
IF($E103=0,IF(INDEX(EL!$R$4:$R$1012,MATCH($C103,EL!$E$4:$E$1012,0))="","",INDEX(EL!$R$4:$R$1012,MATCH($C103,EL!$E$4:$E$1012,0))),
IF($E103=1,IF(INDEX(EL!$W$4:$W$1012,MATCH($C103,EL!$E$4:$E$1012,0))="","",INDEX(EL!$W$4:$W$1012,MATCH($C103,EL!$E$4:$E$1012,0))),
IF($E103=2,IF(INDEX(EL!$AB$4:$AB$1012,MATCH($C103,EL!$E$4:$E$1012,0))="","",INDEX(EL!$AB$4:$AB$1012,MATCH($C103,EL!$E$4:$E$1012,0))),
IF($E103=3,IF(INDEX(EL!$AG$4:$AG$1012,MATCH($C103,EL!$E$4:$E$1012,0))="","",INDEX(EL!$AG$4:$AG$1012,MATCH($C103,EL!$E$4:$E$1012,0))),
IF($E103=4,IF(INDEX(EL!$AN$4:$AN$1012,MATCH($C103,EL!$E$4:$E$1012,0))="","",INDEX(EL!$AN$4:$AN$1012,MATCH($C103,EL!$E$4:$E$1012,0))),
IF($E103=5,IF(INDEX(EL!$AS$4:$AS$1012,MATCH($C103,EL!$E$4:$E$1012,0))="","",INDEX(EL!$AS$4:$AS$1012,MATCH($C103,EL!$E$4:$E$1012,0))),"")))))))</f>
        <v/>
      </c>
      <c r="I103" s="459" t="str">
        <f>IF(ISNA(MATCH($C103,EL!$E$4:$E$1012,0)),"",
IF($E103=0,IF(INDEX(EL!$S$4:$S$1012,MATCH($C103,EL!$E$4:$E$1012,0))="","",INDEX(EL!$S$4:$S$1012,MATCH($C103,EL!$E$4:$E$1012,0))),
IF($E103=1,IF(INDEX(EL!$X$4:$X$1012,MATCH($C103,EL!$E$4:$E$1012,0))="","",INDEX(EL!$X$4:$X$1012,MATCH($C103,EL!$E$4:$E$1012,0))),
IF($E103=2,IF(INDEX(EL!$AC$4:$AC$1012,MATCH($C103,EL!$E$4:$E$1012,0))="","",INDEX(EL!$AC$4:$AC$1012,MATCH($C103,EL!$E$4:$E$1012,0))),
IF($E103=3,IF(INDEX(EL!$AH$4:$AH$1012,MATCH($C103,EL!$E$4:$E$1012,0))="","",INDEX(EL!$AH$4:$AH$1012,MATCH($C103,EL!$E$4:$E$1012,0))),
IF($E103=4,IF(INDEX(EL!$AM$4:$AM$1012,MATCH($C103,EL!$E$4:$E$1012,0))="","",INDEX(EL!$AM$4:$AM$1012,MATCH($C103,EL!$E$4:$E$1012,0))),
IF($E103=5,IF(INDEX(EL!$AR$4:$AR$1012,MATCH($C103,EL!$E$4:$E$1012,0))="","",INDEX(EL!$AR$4:$AR$1012,MATCH($C103,EL!$E$4:$E$1012,0))),"")))))))</f>
        <v/>
      </c>
      <c r="J103" s="459" t="str">
        <f>IF(ISNA(MATCH($C103,EL!$E$4:$E$1012,0)),"",
IF($E103=0,IF(INDEX(EL!$T$4:$T$1012,MATCH($C103,EL!$E$4:$E$1012,0))="","",INDEX(EL!$T$4:$T$1012,MATCH($C103,EL!$E$4:$E$1012,0))),
IF($E103=1,IF(INDEX(EL!$Y$4:$Y$1012,MATCH($C103,EL!$E$4:$E$1012,0))="","",INDEX(EL!$Y$4:$Y$1012,MATCH($C103,EL!$E$4:$E$1012,0))),
IF($E103=2,IF(INDEX(EL!$AD$4:$AD$1012,MATCH($C103,EL!$E$4:$E$1012,0))="","",INDEX(EL!$AD$4:$AD$1012,MATCH($C103,EL!$E$4:$E$1012,0))),
IF($E103=3,IF(INDEX(EL!$AI$4:$AI$1012,MATCH($C103,EL!$E$4:$E$1012,0))="","",INDEX(EL!$AI$4:$AI$1012,MATCH($C103,EL!$E$4:$E$1012,0))),
IF($E103=4,IF(INDEX(EL!$AN$4:$AN$1012,MATCH($C103,EL!$E$4:$E$1012,0))="","",INDEX(EL!$AN$4:$AN$1012,MATCH($C103,EL!$E$4:$E$1012,0))),
IF($E103=5,IF(INDEX(EL!$AS$4:$AS$1012,MATCH($C103,EL!$E$4:$E$1012,0))="","",INDEX(EL!$AS$4:$AS$1012,MATCH($C103,EL!$E$4:$E$1012,0))),"")))))))</f>
        <v/>
      </c>
      <c r="K103" s="459" t="str">
        <f>EL!L16</f>
        <v>CTA</v>
      </c>
      <c r="L103" s="460" cm="1">
        <f t="array" aca="1" ref="L103" ca="1">_xlfn.IFS(AND($E103&lt;&gt;"",$M103="Pending",$K103="CTA"),TODAY()-$G103,AND($E103&lt;&gt;"",$M103="Pending",$K103="AUR"),TODAY()-$H103,AND($E103&lt;&gt;"",$M103="Pending",$K103="STT"),TODAY()-$I103,OR(K103="Closed",K103=""),"")</f>
        <v>28</v>
      </c>
      <c r="M103" s="461" t="str">
        <f>VLOOKUP(C103,EL!$E$4:$AC$622,9,0)</f>
        <v>Pending</v>
      </c>
      <c r="N103" s="461" t="str">
        <f t="shared" ca="1" si="3"/>
        <v>Overdue</v>
      </c>
      <c r="O103" s="739" t="str">
        <f>EL!O16</f>
        <v>GC</v>
      </c>
      <c r="P103" s="746" t="str">
        <v>YES</v>
      </c>
    </row>
    <row r="104" spans="1:16" ht="27" customHeight="1">
      <c r="A104" s="454">
        <v>14</v>
      </c>
      <c r="B104" s="607" t="s">
        <v>52</v>
      </c>
      <c r="C104" s="454" t="s">
        <v>441</v>
      </c>
      <c r="D104" s="456" t="str">
        <f>_xlfn.XLOOKUP(C104,EL!$E$4:$E$82,EL!$D$4:$D$82)</f>
        <v>LV  Single Line Diagram IT Load For Typical 8 MW With 4M3 DR Configuration Sheet 1</v>
      </c>
      <c r="E104" s="454">
        <f>IF(VLOOKUP(C104,EL!$E$4:$AC$505,7,0)="","",VLOOKUP(C104,EL!$E$4:$AC$1004,7,0))</f>
        <v>0</v>
      </c>
      <c r="F104" s="457"/>
      <c r="G104" s="458">
        <f>IF(VLOOKUP(C104,EL!$E$4:$AC$514,5,0)="","",VLOOKUP(C104,EL!$E$4:$AC$514,5,0))</f>
        <v>46038</v>
      </c>
      <c r="H104" s="459" t="str">
        <f>IF(ISNA(MATCH($C104,EL!$E$4:$E$1012,0)),"",
IF($E104=0,IF(INDEX(EL!$R$4:$R$1012,MATCH($C104,EL!$E$4:$E$1012,0))="","",INDEX(EL!$R$4:$R$1012,MATCH($C104,EL!$E$4:$E$1012,0))),
IF($E104=1,IF(INDEX(EL!$W$4:$W$1012,MATCH($C104,EL!$E$4:$E$1012,0))="","",INDEX(EL!$W$4:$W$1012,MATCH($C104,EL!$E$4:$E$1012,0))),
IF($E104=2,IF(INDEX(EL!$AB$4:$AB$1012,MATCH($C104,EL!$E$4:$E$1012,0))="","",INDEX(EL!$AB$4:$AB$1012,MATCH($C104,EL!$E$4:$E$1012,0))),
IF($E104=3,IF(INDEX(EL!$AG$4:$AG$1012,MATCH($C104,EL!$E$4:$E$1012,0))="","",INDEX(EL!$AG$4:$AG$1012,MATCH($C104,EL!$E$4:$E$1012,0))),
IF($E104=4,IF(INDEX(EL!$AN$4:$AN$1012,MATCH($C104,EL!$E$4:$E$1012,0))="","",INDEX(EL!$AN$4:$AN$1012,MATCH($C104,EL!$E$4:$E$1012,0))),
IF($E104=5,IF(INDEX(EL!$AS$4:$AS$1012,MATCH($C104,EL!$E$4:$E$1012,0))="","",INDEX(EL!$AS$4:$AS$1012,MATCH($C104,EL!$E$4:$E$1012,0))),"")))))))</f>
        <v/>
      </c>
      <c r="I104" s="459" t="str">
        <f>IF(ISNA(MATCH($C104,EL!$E$4:$E$1012,0)),"",
IF($E104=0,IF(INDEX(EL!$S$4:$S$1012,MATCH($C104,EL!$E$4:$E$1012,0))="","",INDEX(EL!$S$4:$S$1012,MATCH($C104,EL!$E$4:$E$1012,0))),
IF($E104=1,IF(INDEX(EL!$X$4:$X$1012,MATCH($C104,EL!$E$4:$E$1012,0))="","",INDEX(EL!$X$4:$X$1012,MATCH($C104,EL!$E$4:$E$1012,0))),
IF($E104=2,IF(INDEX(EL!$AC$4:$AC$1012,MATCH($C104,EL!$E$4:$E$1012,0))="","",INDEX(EL!$AC$4:$AC$1012,MATCH($C104,EL!$E$4:$E$1012,0))),
IF($E104=3,IF(INDEX(EL!$AH$4:$AH$1012,MATCH($C104,EL!$E$4:$E$1012,0))="","",INDEX(EL!$AH$4:$AH$1012,MATCH($C104,EL!$E$4:$E$1012,0))),
IF($E104=4,IF(INDEX(EL!$AM$4:$AM$1012,MATCH($C104,EL!$E$4:$E$1012,0))="","",INDEX(EL!$AM$4:$AM$1012,MATCH($C104,EL!$E$4:$E$1012,0))),
IF($E104=5,IF(INDEX(EL!$AR$4:$AR$1012,MATCH($C104,EL!$E$4:$E$1012,0))="","",INDEX(EL!$AR$4:$AR$1012,MATCH($C104,EL!$E$4:$E$1012,0))),"")))))))</f>
        <v/>
      </c>
      <c r="J104" s="459" t="str">
        <f>IF(ISNA(MATCH($C104,EL!$E$4:$E$1012,0)),"",
IF($E104=0,IF(INDEX(EL!$T$4:$T$1012,MATCH($C104,EL!$E$4:$E$1012,0))="","",INDEX(EL!$T$4:$T$1012,MATCH($C104,EL!$E$4:$E$1012,0))),
IF($E104=1,IF(INDEX(EL!$Y$4:$Y$1012,MATCH($C104,EL!$E$4:$E$1012,0))="","",INDEX(EL!$Y$4:$Y$1012,MATCH($C104,EL!$E$4:$E$1012,0))),
IF($E104=2,IF(INDEX(EL!$AD$4:$AD$1012,MATCH($C104,EL!$E$4:$E$1012,0))="","",INDEX(EL!$AD$4:$AD$1012,MATCH($C104,EL!$E$4:$E$1012,0))),
IF($E104=3,IF(INDEX(EL!$AI$4:$AI$1012,MATCH($C104,EL!$E$4:$E$1012,0))="","",INDEX(EL!$AI$4:$AI$1012,MATCH($C104,EL!$E$4:$E$1012,0))),
IF($E104=4,IF(INDEX(EL!$AN$4:$AN$1012,MATCH($C104,EL!$E$4:$E$1012,0))="","",INDEX(EL!$AN$4:$AN$1012,MATCH($C104,EL!$E$4:$E$1012,0))),
IF($E104=5,IF(INDEX(EL!$AS$4:$AS$1012,MATCH($C104,EL!$E$4:$E$1012,0))="","",INDEX(EL!$AS$4:$AS$1012,MATCH($C104,EL!$E$4:$E$1012,0))),"")))))))</f>
        <v/>
      </c>
      <c r="K104" s="459" t="str">
        <f>EL!L17</f>
        <v>CTA</v>
      </c>
      <c r="L104" s="460" cm="1">
        <f t="array" aca="1" ref="L104" ca="1">_xlfn.IFS(AND($E104&lt;&gt;"",$M104="Pending",$K104="CTA"),TODAY()-$G104,AND($E104&lt;&gt;"",$M104="Pending",$K104="AUR"),TODAY()-$H104,AND($E104&lt;&gt;"",$M104="Pending",$K104="STT"),TODAY()-$I104,OR(K104="Closed",K104=""),"")</f>
        <v>28</v>
      </c>
      <c r="M104" s="461" t="str">
        <f>VLOOKUP(C104,EL!$E$4:$AC$622,9,0)</f>
        <v>Pending</v>
      </c>
      <c r="N104" s="461" t="str">
        <f t="shared" ca="1" si="3"/>
        <v>Overdue</v>
      </c>
      <c r="O104" s="739" t="str">
        <f>EL!O17</f>
        <v>GC</v>
      </c>
      <c r="P104" s="746" t="str">
        <v>YES</v>
      </c>
    </row>
    <row r="105" spans="1:16" ht="27" customHeight="1">
      <c r="A105" s="454">
        <v>15</v>
      </c>
      <c r="B105" s="607" t="s">
        <v>52</v>
      </c>
      <c r="C105" s="454" t="s">
        <v>444</v>
      </c>
      <c r="D105" s="456" t="str">
        <f>_xlfn.XLOOKUP(C105,EL!$E$4:$E$82,EL!$D$4:$D$82)</f>
        <v>LV  Single Line Diagram IT Load For Typical 8 MW With 4M3 DR Configuration Sheet 2</v>
      </c>
      <c r="E105" s="454">
        <f>IF(VLOOKUP(C105,EL!$E$4:$AC$505,7,0)="","",VLOOKUP(C105,EL!$E$4:$AC$1004,7,0))</f>
        <v>0</v>
      </c>
      <c r="F105" s="462"/>
      <c r="G105" s="458">
        <f>IF(VLOOKUP(C105,EL!$E$4:$AC$514,5,0)="","",VLOOKUP(C105,EL!$E$4:$AC$514,5,0))</f>
        <v>46038</v>
      </c>
      <c r="H105" s="459" t="str">
        <f>IF(ISNA(MATCH($C105,EL!$E$4:$E$1012,0)),"",
IF($E105=0,IF(INDEX(EL!$R$4:$R$1012,MATCH($C105,EL!$E$4:$E$1012,0))="","",INDEX(EL!$R$4:$R$1012,MATCH($C105,EL!$E$4:$E$1012,0))),
IF($E105=1,IF(INDEX(EL!$W$4:$W$1012,MATCH($C105,EL!$E$4:$E$1012,0))="","",INDEX(EL!$W$4:$W$1012,MATCH($C105,EL!$E$4:$E$1012,0))),
IF($E105=2,IF(INDEX(EL!$AB$4:$AB$1012,MATCH($C105,EL!$E$4:$E$1012,0))="","",INDEX(EL!$AB$4:$AB$1012,MATCH($C105,EL!$E$4:$E$1012,0))),
IF($E105=3,IF(INDEX(EL!$AG$4:$AG$1012,MATCH($C105,EL!$E$4:$E$1012,0))="","",INDEX(EL!$AG$4:$AG$1012,MATCH($C105,EL!$E$4:$E$1012,0))),
IF($E105=4,IF(INDEX(EL!$AN$4:$AN$1012,MATCH($C105,EL!$E$4:$E$1012,0))="","",INDEX(EL!$AN$4:$AN$1012,MATCH($C105,EL!$E$4:$E$1012,0))),
IF($E105=5,IF(INDEX(EL!$AS$4:$AS$1012,MATCH($C105,EL!$E$4:$E$1012,0))="","",INDEX(EL!$AS$4:$AS$1012,MATCH($C105,EL!$E$4:$E$1012,0))),"")))))))</f>
        <v/>
      </c>
      <c r="I105" s="459" t="str">
        <f>IF(ISNA(MATCH($C105,EL!$E$4:$E$1012,0)),"",
IF($E105=0,IF(INDEX(EL!$S$4:$S$1012,MATCH($C105,EL!$E$4:$E$1012,0))="","",INDEX(EL!$S$4:$S$1012,MATCH($C105,EL!$E$4:$E$1012,0))),
IF($E105=1,IF(INDEX(EL!$X$4:$X$1012,MATCH($C105,EL!$E$4:$E$1012,0))="","",INDEX(EL!$X$4:$X$1012,MATCH($C105,EL!$E$4:$E$1012,0))),
IF($E105=2,IF(INDEX(EL!$AC$4:$AC$1012,MATCH($C105,EL!$E$4:$E$1012,0))="","",INDEX(EL!$AC$4:$AC$1012,MATCH($C105,EL!$E$4:$E$1012,0))),
IF($E105=3,IF(INDEX(EL!$AH$4:$AH$1012,MATCH($C105,EL!$E$4:$E$1012,0))="","",INDEX(EL!$AH$4:$AH$1012,MATCH($C105,EL!$E$4:$E$1012,0))),
IF($E105=4,IF(INDEX(EL!$AM$4:$AM$1012,MATCH($C105,EL!$E$4:$E$1012,0))="","",INDEX(EL!$AM$4:$AM$1012,MATCH($C105,EL!$E$4:$E$1012,0))),
IF($E105=5,IF(INDEX(EL!$AR$4:$AR$1012,MATCH($C105,EL!$E$4:$E$1012,0))="","",INDEX(EL!$AR$4:$AR$1012,MATCH($C105,EL!$E$4:$E$1012,0))),"")))))))</f>
        <v/>
      </c>
      <c r="J105" s="459" t="str">
        <f>IF(ISNA(MATCH($C105,EL!$E$4:$E$1012,0)),"",
IF($E105=0,IF(INDEX(EL!$T$4:$T$1012,MATCH($C105,EL!$E$4:$E$1012,0))="","",INDEX(EL!$T$4:$T$1012,MATCH($C105,EL!$E$4:$E$1012,0))),
IF($E105=1,IF(INDEX(EL!$Y$4:$Y$1012,MATCH($C105,EL!$E$4:$E$1012,0))="","",INDEX(EL!$Y$4:$Y$1012,MATCH($C105,EL!$E$4:$E$1012,0))),
IF($E105=2,IF(INDEX(EL!$AD$4:$AD$1012,MATCH($C105,EL!$E$4:$E$1012,0))="","",INDEX(EL!$AD$4:$AD$1012,MATCH($C105,EL!$E$4:$E$1012,0))),
IF($E105=3,IF(INDEX(EL!$AI$4:$AI$1012,MATCH($C105,EL!$E$4:$E$1012,0))="","",INDEX(EL!$AI$4:$AI$1012,MATCH($C105,EL!$E$4:$E$1012,0))),
IF($E105=4,IF(INDEX(EL!$AN$4:$AN$1012,MATCH($C105,EL!$E$4:$E$1012,0))="","",INDEX(EL!$AN$4:$AN$1012,MATCH($C105,EL!$E$4:$E$1012,0))),
IF($E105=5,IF(INDEX(EL!$AS$4:$AS$1012,MATCH($C105,EL!$E$4:$E$1012,0))="","",INDEX(EL!$AS$4:$AS$1012,MATCH($C105,EL!$E$4:$E$1012,0))),"")))))))</f>
        <v/>
      </c>
      <c r="K105" s="459" t="str">
        <f>EL!L18</f>
        <v>CTA</v>
      </c>
      <c r="L105" s="460" cm="1">
        <f t="array" aca="1" ref="L105" ca="1">_xlfn.IFS(AND($E105&lt;&gt;"",$M105="Pending",$K105="CTA"),TODAY()-$G105,AND($E105&lt;&gt;"",$M105="Pending",$K105="AUR"),TODAY()-$H105,AND($E105&lt;&gt;"",$M105="Pending",$K105="STT"),TODAY()-$I105,OR(K105="Closed",K105=""),"")</f>
        <v>28</v>
      </c>
      <c r="M105" s="461" t="str">
        <f>VLOOKUP(C105,EL!$E$4:$AC$622,9,0)</f>
        <v>Pending</v>
      </c>
      <c r="N105" s="461" t="str">
        <f t="shared" ca="1" si="3"/>
        <v>Overdue</v>
      </c>
      <c r="O105" s="739" t="str">
        <f>EL!O18</f>
        <v>GC</v>
      </c>
      <c r="P105" s="746" t="str">
        <v>YES</v>
      </c>
    </row>
    <row r="106" spans="1:16" ht="27" customHeight="1">
      <c r="A106" s="454">
        <v>16</v>
      </c>
      <c r="B106" s="607" t="s">
        <v>52</v>
      </c>
      <c r="C106" s="454" t="s">
        <v>447</v>
      </c>
      <c r="D106" s="456" t="str">
        <f>_xlfn.XLOOKUP(C106,EL!$E$4:$E$82,EL!$D$4:$D$82)</f>
        <v>LV  Single Line Diagram IT Load For Typical 8 MW With 4M3 DR Configuration Sheet 3</v>
      </c>
      <c r="E106" s="454">
        <f>IF(VLOOKUP(C106,EL!$E$4:$AC$505,7,0)="","",VLOOKUP(C106,EL!$E$4:$AC$1004,7,0))</f>
        <v>0</v>
      </c>
      <c r="F106" s="462"/>
      <c r="G106" s="458">
        <f>IF(VLOOKUP(C106,EL!$E$4:$AC$514,5,0)="","",VLOOKUP(C106,EL!$E$4:$AC$514,5,0))</f>
        <v>46038</v>
      </c>
      <c r="H106" s="459" t="str">
        <f>IF(ISNA(MATCH($C106,EL!$E$4:$E$1012,0)),"",
IF($E106=0,IF(INDEX(EL!$R$4:$R$1012,MATCH($C106,EL!$E$4:$E$1012,0))="","",INDEX(EL!$R$4:$R$1012,MATCH($C106,EL!$E$4:$E$1012,0))),
IF($E106=1,IF(INDEX(EL!$W$4:$W$1012,MATCH($C106,EL!$E$4:$E$1012,0))="","",INDEX(EL!$W$4:$W$1012,MATCH($C106,EL!$E$4:$E$1012,0))),
IF($E106=2,IF(INDEX(EL!$AB$4:$AB$1012,MATCH($C106,EL!$E$4:$E$1012,0))="","",INDEX(EL!$AB$4:$AB$1012,MATCH($C106,EL!$E$4:$E$1012,0))),
IF($E106=3,IF(INDEX(EL!$AG$4:$AG$1012,MATCH($C106,EL!$E$4:$E$1012,0))="","",INDEX(EL!$AG$4:$AG$1012,MATCH($C106,EL!$E$4:$E$1012,0))),
IF($E106=4,IF(INDEX(EL!$AN$4:$AN$1012,MATCH($C106,EL!$E$4:$E$1012,0))="","",INDEX(EL!$AN$4:$AN$1012,MATCH($C106,EL!$E$4:$E$1012,0))),
IF($E106=5,IF(INDEX(EL!$AS$4:$AS$1012,MATCH($C106,EL!$E$4:$E$1012,0))="","",INDEX(EL!$AS$4:$AS$1012,MATCH($C106,EL!$E$4:$E$1012,0))),"")))))))</f>
        <v/>
      </c>
      <c r="I106" s="459" t="str">
        <f>IF(ISNA(MATCH($C106,EL!$E$4:$E$1012,0)),"",
IF($E106=0,IF(INDEX(EL!$S$4:$S$1012,MATCH($C106,EL!$E$4:$E$1012,0))="","",INDEX(EL!$S$4:$S$1012,MATCH($C106,EL!$E$4:$E$1012,0))),
IF($E106=1,IF(INDEX(EL!$X$4:$X$1012,MATCH($C106,EL!$E$4:$E$1012,0))="","",INDEX(EL!$X$4:$X$1012,MATCH($C106,EL!$E$4:$E$1012,0))),
IF($E106=2,IF(INDEX(EL!$AC$4:$AC$1012,MATCH($C106,EL!$E$4:$E$1012,0))="","",INDEX(EL!$AC$4:$AC$1012,MATCH($C106,EL!$E$4:$E$1012,0))),
IF($E106=3,IF(INDEX(EL!$AH$4:$AH$1012,MATCH($C106,EL!$E$4:$E$1012,0))="","",INDEX(EL!$AH$4:$AH$1012,MATCH($C106,EL!$E$4:$E$1012,0))),
IF($E106=4,IF(INDEX(EL!$AM$4:$AM$1012,MATCH($C106,EL!$E$4:$E$1012,0))="","",INDEX(EL!$AM$4:$AM$1012,MATCH($C106,EL!$E$4:$E$1012,0))),
IF($E106=5,IF(INDEX(EL!$AR$4:$AR$1012,MATCH($C106,EL!$E$4:$E$1012,0))="","",INDEX(EL!$AR$4:$AR$1012,MATCH($C106,EL!$E$4:$E$1012,0))),"")))))))</f>
        <v/>
      </c>
      <c r="J106" s="459" t="str">
        <f>IF(ISNA(MATCH($C106,EL!$E$4:$E$1012,0)),"",
IF($E106=0,IF(INDEX(EL!$T$4:$T$1012,MATCH($C106,EL!$E$4:$E$1012,0))="","",INDEX(EL!$T$4:$T$1012,MATCH($C106,EL!$E$4:$E$1012,0))),
IF($E106=1,IF(INDEX(EL!$Y$4:$Y$1012,MATCH($C106,EL!$E$4:$E$1012,0))="","",INDEX(EL!$Y$4:$Y$1012,MATCH($C106,EL!$E$4:$E$1012,0))),
IF($E106=2,IF(INDEX(EL!$AD$4:$AD$1012,MATCH($C106,EL!$E$4:$E$1012,0))="","",INDEX(EL!$AD$4:$AD$1012,MATCH($C106,EL!$E$4:$E$1012,0))),
IF($E106=3,IF(INDEX(EL!$AI$4:$AI$1012,MATCH($C106,EL!$E$4:$E$1012,0))="","",INDEX(EL!$AI$4:$AI$1012,MATCH($C106,EL!$E$4:$E$1012,0))),
IF($E106=4,IF(INDEX(EL!$AN$4:$AN$1012,MATCH($C106,EL!$E$4:$E$1012,0))="","",INDEX(EL!$AN$4:$AN$1012,MATCH($C106,EL!$E$4:$E$1012,0))),
IF($E106=5,IF(INDEX(EL!$AS$4:$AS$1012,MATCH($C106,EL!$E$4:$E$1012,0))="","",INDEX(EL!$AS$4:$AS$1012,MATCH($C106,EL!$E$4:$E$1012,0))),"")))))))</f>
        <v/>
      </c>
      <c r="K106" s="459" t="str">
        <f>EL!L19</f>
        <v>CTA</v>
      </c>
      <c r="L106" s="460" cm="1">
        <f t="array" aca="1" ref="L106" ca="1">_xlfn.IFS(AND($E106&lt;&gt;"",$M106="Pending",$K106="CTA"),TODAY()-$G106,AND($E106&lt;&gt;"",$M106="Pending",$K106="AUR"),TODAY()-$H106,AND($E106&lt;&gt;"",$M106="Pending",$K106="STT"),TODAY()-$I106,OR(K106="Closed",K106=""),"")</f>
        <v>28</v>
      </c>
      <c r="M106" s="461" t="str">
        <f>VLOOKUP(C106,EL!$E$4:$AC$622,9,0)</f>
        <v>Pending</v>
      </c>
      <c r="N106" s="461" t="str">
        <f t="shared" ca="1" si="3"/>
        <v>Overdue</v>
      </c>
      <c r="O106" s="739" t="str">
        <f>EL!O19</f>
        <v>GC</v>
      </c>
      <c r="P106" s="746" t="str">
        <v>YES</v>
      </c>
    </row>
    <row r="107" spans="1:16" ht="27" customHeight="1">
      <c r="A107" s="454">
        <v>17</v>
      </c>
      <c r="B107" s="607" t="s">
        <v>52</v>
      </c>
      <c r="C107" s="454" t="s">
        <v>450</v>
      </c>
      <c r="D107" s="456" t="str">
        <f>_xlfn.XLOOKUP(C107,EL!$E$4:$E$82,EL!$D$4:$D$82)</f>
        <v>LV  Single Line Diagram IT Load For Typical 8 MW With 4M3 DR Configuration Sheet 4</v>
      </c>
      <c r="E107" s="454">
        <f>IF(VLOOKUP(C107,EL!$E$4:$AC$505,7,0)="","",VLOOKUP(C107,EL!$E$4:$AC$1004,7,0))</f>
        <v>0</v>
      </c>
      <c r="F107" s="462"/>
      <c r="G107" s="458">
        <f>IF(VLOOKUP(C107,EL!$E$4:$AC$514,5,0)="","",VLOOKUP(C107,EL!$E$4:$AC$514,5,0))</f>
        <v>46038</v>
      </c>
      <c r="H107" s="459" t="str">
        <f>IF(ISNA(MATCH($C107,EL!$E$4:$E$1012,0)),"",
IF($E107=0,IF(INDEX(EL!$R$4:$R$1012,MATCH($C107,EL!$E$4:$E$1012,0))="","",INDEX(EL!$R$4:$R$1012,MATCH($C107,EL!$E$4:$E$1012,0))),
IF($E107=1,IF(INDEX(EL!$W$4:$W$1012,MATCH($C107,EL!$E$4:$E$1012,0))="","",INDEX(EL!$W$4:$W$1012,MATCH($C107,EL!$E$4:$E$1012,0))),
IF($E107=2,IF(INDEX(EL!$AB$4:$AB$1012,MATCH($C107,EL!$E$4:$E$1012,0))="","",INDEX(EL!$AB$4:$AB$1012,MATCH($C107,EL!$E$4:$E$1012,0))),
IF($E107=3,IF(INDEX(EL!$AG$4:$AG$1012,MATCH($C107,EL!$E$4:$E$1012,0))="","",INDEX(EL!$AG$4:$AG$1012,MATCH($C107,EL!$E$4:$E$1012,0))),
IF($E107=4,IF(INDEX(EL!$AN$4:$AN$1012,MATCH($C107,EL!$E$4:$E$1012,0))="","",INDEX(EL!$AN$4:$AN$1012,MATCH($C107,EL!$E$4:$E$1012,0))),
IF($E107=5,IF(INDEX(EL!$AS$4:$AS$1012,MATCH($C107,EL!$E$4:$E$1012,0))="","",INDEX(EL!$AS$4:$AS$1012,MATCH($C107,EL!$E$4:$E$1012,0))),"")))))))</f>
        <v/>
      </c>
      <c r="I107" s="459" t="str">
        <f>IF(ISNA(MATCH($C107,EL!$E$4:$E$1012,0)),"",
IF($E107=0,IF(INDEX(EL!$S$4:$S$1012,MATCH($C107,EL!$E$4:$E$1012,0))="","",INDEX(EL!$S$4:$S$1012,MATCH($C107,EL!$E$4:$E$1012,0))),
IF($E107=1,IF(INDEX(EL!$X$4:$X$1012,MATCH($C107,EL!$E$4:$E$1012,0))="","",INDEX(EL!$X$4:$X$1012,MATCH($C107,EL!$E$4:$E$1012,0))),
IF($E107=2,IF(INDEX(EL!$AC$4:$AC$1012,MATCH($C107,EL!$E$4:$E$1012,0))="","",INDEX(EL!$AC$4:$AC$1012,MATCH($C107,EL!$E$4:$E$1012,0))),
IF($E107=3,IF(INDEX(EL!$AH$4:$AH$1012,MATCH($C107,EL!$E$4:$E$1012,0))="","",INDEX(EL!$AH$4:$AH$1012,MATCH($C107,EL!$E$4:$E$1012,0))),
IF($E107=4,IF(INDEX(EL!$AM$4:$AM$1012,MATCH($C107,EL!$E$4:$E$1012,0))="","",INDEX(EL!$AM$4:$AM$1012,MATCH($C107,EL!$E$4:$E$1012,0))),
IF($E107=5,IF(INDEX(EL!$AR$4:$AR$1012,MATCH($C107,EL!$E$4:$E$1012,0))="","",INDEX(EL!$AR$4:$AR$1012,MATCH($C107,EL!$E$4:$E$1012,0))),"")))))))</f>
        <v/>
      </c>
      <c r="J107" s="459" t="str">
        <f>IF(ISNA(MATCH($C107,EL!$E$4:$E$1012,0)),"",
IF($E107=0,IF(INDEX(EL!$T$4:$T$1012,MATCH($C107,EL!$E$4:$E$1012,0))="","",INDEX(EL!$T$4:$T$1012,MATCH($C107,EL!$E$4:$E$1012,0))),
IF($E107=1,IF(INDEX(EL!$Y$4:$Y$1012,MATCH($C107,EL!$E$4:$E$1012,0))="","",INDEX(EL!$Y$4:$Y$1012,MATCH($C107,EL!$E$4:$E$1012,0))),
IF($E107=2,IF(INDEX(EL!$AD$4:$AD$1012,MATCH($C107,EL!$E$4:$E$1012,0))="","",INDEX(EL!$AD$4:$AD$1012,MATCH($C107,EL!$E$4:$E$1012,0))),
IF($E107=3,IF(INDEX(EL!$AI$4:$AI$1012,MATCH($C107,EL!$E$4:$E$1012,0))="","",INDEX(EL!$AI$4:$AI$1012,MATCH($C107,EL!$E$4:$E$1012,0))),
IF($E107=4,IF(INDEX(EL!$AN$4:$AN$1012,MATCH($C107,EL!$E$4:$E$1012,0))="","",INDEX(EL!$AN$4:$AN$1012,MATCH($C107,EL!$E$4:$E$1012,0))),
IF($E107=5,IF(INDEX(EL!$AS$4:$AS$1012,MATCH($C107,EL!$E$4:$E$1012,0))="","",INDEX(EL!$AS$4:$AS$1012,MATCH($C107,EL!$E$4:$E$1012,0))),"")))))))</f>
        <v/>
      </c>
      <c r="K107" s="459" t="str">
        <f>EL!L20</f>
        <v>CTA</v>
      </c>
      <c r="L107" s="460" cm="1">
        <f t="array" aca="1" ref="L107" ca="1">_xlfn.IFS(AND($E107&lt;&gt;"",$M107="Pending",$K107="CTA"),TODAY()-$G107,AND($E107&lt;&gt;"",$M107="Pending",$K107="AUR"),TODAY()-$H107,AND($E107&lt;&gt;"",$M107="Pending",$K107="STT"),TODAY()-$I107,OR(K107="Closed",K107=""),"")</f>
        <v>28</v>
      </c>
      <c r="M107" s="461" t="str">
        <f>VLOOKUP(C107,EL!$E$4:$AC$622,9,0)</f>
        <v>Pending</v>
      </c>
      <c r="N107" s="461" t="str">
        <f t="shared" ca="1" si="3"/>
        <v>Overdue</v>
      </c>
      <c r="O107" s="739" t="str">
        <f>EL!O20</f>
        <v>GC</v>
      </c>
      <c r="P107" s="746" t="str">
        <v>YES</v>
      </c>
    </row>
    <row r="108" spans="1:16" s="385" customFormat="1" ht="27" customHeight="1">
      <c r="A108" s="399">
        <v>18</v>
      </c>
      <c r="B108" s="607" t="s">
        <v>52</v>
      </c>
      <c r="C108" s="454" t="s">
        <v>453</v>
      </c>
      <c r="D108" s="456" t="str">
        <f>_xlfn.XLOOKUP(C108,EL!$E$4:$E$82,EL!$D$4:$D$82)</f>
        <v>LV  Single Line Diagram For Swing Power System Sheet 1</v>
      </c>
      <c r="E108" s="454">
        <f>IF(VLOOKUP(C108,EL!$E$4:$AC$505,7,0)="","",VLOOKUP(C108,EL!$E$4:$AC$1004,7,0))</f>
        <v>0</v>
      </c>
      <c r="F108" s="462"/>
      <c r="G108" s="458">
        <f>IF(VLOOKUP(C108,EL!$E$4:$AC$514,5,0)="","",VLOOKUP(C108,EL!$E$4:$AC$514,5,0))</f>
        <v>46041</v>
      </c>
      <c r="H108" s="459">
        <f>IF(ISNA(MATCH($C108,EL!$E$4:$E$1012,0)),"",
IF($E108=0,IF(INDEX(EL!$R$4:$R$1012,MATCH($C108,EL!$E$4:$E$1012,0))="","",INDEX(EL!$R$4:$R$1012,MATCH($C108,EL!$E$4:$E$1012,0))),
IF($E108=1,IF(INDEX(EL!$W$4:$W$1012,MATCH($C108,EL!$E$4:$E$1012,0))="","",INDEX(EL!$W$4:$W$1012,MATCH($C108,EL!$E$4:$E$1012,0))),
IF($E108=2,IF(INDEX(EL!$AB$4:$AB$1012,MATCH($C108,EL!$E$4:$E$1012,0))="","",INDEX(EL!$AB$4:$AB$1012,MATCH($C108,EL!$E$4:$E$1012,0))),
IF($E108=3,IF(INDEX(EL!$AG$4:$AG$1012,MATCH($C108,EL!$E$4:$E$1012,0))="","",INDEX(EL!$AG$4:$AG$1012,MATCH($C108,EL!$E$4:$E$1012,0))),
IF($E108=4,IF(INDEX(EL!$AN$4:$AN$1012,MATCH($C108,EL!$E$4:$E$1012,0))="","",INDEX(EL!$AN$4:$AN$1012,MATCH($C108,EL!$E$4:$E$1012,0))),
IF($E108=5,IF(INDEX(EL!$AS$4:$AS$1012,MATCH($C108,EL!$E$4:$E$1012,0))="","",INDEX(EL!$AS$4:$AS$1012,MATCH($C108,EL!$E$4:$E$1012,0))),"")))))))</f>
        <v>46052</v>
      </c>
      <c r="I108" s="459">
        <f>IF(ISNA(MATCH($C108,EL!$E$4:$E$1012,0)),"",
IF($E108=0,IF(INDEX(EL!$S$4:$S$1012,MATCH($C108,EL!$E$4:$E$1012,0))="","",INDEX(EL!$S$4:$S$1012,MATCH($C108,EL!$E$4:$E$1012,0))),
IF($E108=1,IF(INDEX(EL!$X$4:$X$1012,MATCH($C108,EL!$E$4:$E$1012,0))="","",INDEX(EL!$X$4:$X$1012,MATCH($C108,EL!$E$4:$E$1012,0))),
IF($E108=2,IF(INDEX(EL!$AC$4:$AC$1012,MATCH($C108,EL!$E$4:$E$1012,0))="","",INDEX(EL!$AC$4:$AC$1012,MATCH($C108,EL!$E$4:$E$1012,0))),
IF($E108=3,IF(INDEX(EL!$AH$4:$AH$1012,MATCH($C108,EL!$E$4:$E$1012,0))="","",INDEX(EL!$AH$4:$AH$1012,MATCH($C108,EL!$E$4:$E$1012,0))),
IF($E108=4,IF(INDEX(EL!$AM$4:$AM$1012,MATCH($C108,EL!$E$4:$E$1012,0))="","",INDEX(EL!$AM$4:$AM$1012,MATCH($C108,EL!$E$4:$E$1012,0))),
IF($E108=5,IF(INDEX(EL!$AR$4:$AR$1012,MATCH($C108,EL!$E$4:$E$1012,0))="","",INDEX(EL!$AR$4:$AR$1012,MATCH($C108,EL!$E$4:$E$1012,0))),"")))))))</f>
        <v>46055</v>
      </c>
      <c r="J108" s="459" t="str">
        <f>IF(ISNA(MATCH($C108,EL!$E$4:$E$1012,0)),"",
IF($E108=0,IF(INDEX(EL!$T$4:$T$1012,MATCH($C108,EL!$E$4:$E$1012,0))="","",INDEX(EL!$T$4:$T$1012,MATCH($C108,EL!$E$4:$E$1012,0))),
IF($E108=1,IF(INDEX(EL!$Y$4:$Y$1012,MATCH($C108,EL!$E$4:$E$1012,0))="","",INDEX(EL!$Y$4:$Y$1012,MATCH($C108,EL!$E$4:$E$1012,0))),
IF($E108=2,IF(INDEX(EL!$AD$4:$AD$1012,MATCH($C108,EL!$E$4:$E$1012,0))="","",INDEX(EL!$AD$4:$AD$1012,MATCH($C108,EL!$E$4:$E$1012,0))),
IF($E108=3,IF(INDEX(EL!$AI$4:$AI$1012,MATCH($C108,EL!$E$4:$E$1012,0))="","",INDEX(EL!$AI$4:$AI$1012,MATCH($C108,EL!$E$4:$E$1012,0))),
IF($E108=4,IF(INDEX(EL!$AN$4:$AN$1012,MATCH($C108,EL!$E$4:$E$1012,0))="","",INDEX(EL!$AN$4:$AN$1012,MATCH($C108,EL!$E$4:$E$1012,0))),
IF($E108=5,IF(INDEX(EL!$AS$4:$AS$1012,MATCH($C108,EL!$E$4:$E$1012,0))="","",INDEX(EL!$AS$4:$AS$1012,MATCH($C108,EL!$E$4:$E$1012,0))),"")))))))</f>
        <v/>
      </c>
      <c r="K108" s="459" t="str">
        <f>EL!L21</f>
        <v>STT</v>
      </c>
      <c r="L108" s="460" cm="1">
        <f t="array" aca="1" ref="L108" ca="1">_xlfn.IFS(AND($E108&lt;&gt;"",$M108="Pending",$K108="CTA"),TODAY()-$G108,AND($E108&lt;&gt;"",$M108="Pending",$K108="AUR"),TODAY()-$H108,AND($E108&lt;&gt;"",$M108="Pending",$K108="STT"),TODAY()-$I108,OR(K108="Closed",K108=""),"")</f>
        <v>11</v>
      </c>
      <c r="M108" s="461" t="str">
        <f>VLOOKUP(C108,EL!$E$4:$AC$622,9,0)</f>
        <v>Pending</v>
      </c>
      <c r="N108" s="461" t="str">
        <f t="shared" ca="1" si="3"/>
        <v>Overdue</v>
      </c>
      <c r="O108" s="739" t="str">
        <f>EL!O21</f>
        <v>GC</v>
      </c>
      <c r="P108" s="746" t="str">
        <v>YES</v>
      </c>
    </row>
    <row r="109" spans="1:16" s="385" customFormat="1" ht="27" customHeight="1">
      <c r="A109" s="399">
        <v>19</v>
      </c>
      <c r="B109" s="607" t="s">
        <v>52</v>
      </c>
      <c r="C109" s="454" t="s">
        <v>456</v>
      </c>
      <c r="D109" s="456" t="str">
        <f>_xlfn.XLOOKUP(C109,EL!$E$4:$E$82,EL!$D$4:$D$82)</f>
        <v>LV  Single Line Diagram For Swing Power System Sheet 2</v>
      </c>
      <c r="E109" s="454">
        <f>IF(VLOOKUP(C109,EL!$E$4:$AC$505,7,0)="","",VLOOKUP(C109,EL!$E$4:$AC$1004,7,0))</f>
        <v>0</v>
      </c>
      <c r="F109" s="466"/>
      <c r="G109" s="458">
        <f>IF(VLOOKUP(C109,EL!$E$4:$AC$514,5,0)="","",VLOOKUP(C109,EL!$E$4:$AC$514,5,0))</f>
        <v>46041</v>
      </c>
      <c r="H109" s="459">
        <f>IF(ISNA(MATCH($C109,EL!$E$4:$E$1012,0)),"",
IF($E109=0,IF(INDEX(EL!$R$4:$R$1012,MATCH($C109,EL!$E$4:$E$1012,0))="","",INDEX(EL!$R$4:$R$1012,MATCH($C109,EL!$E$4:$E$1012,0))),
IF($E109=1,IF(INDEX(EL!$W$4:$W$1012,MATCH($C109,EL!$E$4:$E$1012,0))="","",INDEX(EL!$W$4:$W$1012,MATCH($C109,EL!$E$4:$E$1012,0))),
IF($E109=2,IF(INDEX(EL!$AB$4:$AB$1012,MATCH($C109,EL!$E$4:$E$1012,0))="","",INDEX(EL!$AB$4:$AB$1012,MATCH($C109,EL!$E$4:$E$1012,0))),
IF($E109=3,IF(INDEX(EL!$AG$4:$AG$1012,MATCH($C109,EL!$E$4:$E$1012,0))="","",INDEX(EL!$AG$4:$AG$1012,MATCH($C109,EL!$E$4:$E$1012,0))),
IF($E109=4,IF(INDEX(EL!$AN$4:$AN$1012,MATCH($C109,EL!$E$4:$E$1012,0))="","",INDEX(EL!$AN$4:$AN$1012,MATCH($C109,EL!$E$4:$E$1012,0))),
IF($E109=5,IF(INDEX(EL!$AS$4:$AS$1012,MATCH($C109,EL!$E$4:$E$1012,0))="","",INDEX(EL!$AS$4:$AS$1012,MATCH($C109,EL!$E$4:$E$1012,0))),"")))))))</f>
        <v>46052</v>
      </c>
      <c r="I109" s="459">
        <f>IF(ISNA(MATCH($C109,EL!$E$4:$E$1012,0)),"",
IF($E109=0,IF(INDEX(EL!$S$4:$S$1012,MATCH($C109,EL!$E$4:$E$1012,0))="","",INDEX(EL!$S$4:$S$1012,MATCH($C109,EL!$E$4:$E$1012,0))),
IF($E109=1,IF(INDEX(EL!$X$4:$X$1012,MATCH($C109,EL!$E$4:$E$1012,0))="","",INDEX(EL!$X$4:$X$1012,MATCH($C109,EL!$E$4:$E$1012,0))),
IF($E109=2,IF(INDEX(EL!$AC$4:$AC$1012,MATCH($C109,EL!$E$4:$E$1012,0))="","",INDEX(EL!$AC$4:$AC$1012,MATCH($C109,EL!$E$4:$E$1012,0))),
IF($E109=3,IF(INDEX(EL!$AH$4:$AH$1012,MATCH($C109,EL!$E$4:$E$1012,0))="","",INDEX(EL!$AH$4:$AH$1012,MATCH($C109,EL!$E$4:$E$1012,0))),
IF($E109=4,IF(INDEX(EL!$AM$4:$AM$1012,MATCH($C109,EL!$E$4:$E$1012,0))="","",INDEX(EL!$AM$4:$AM$1012,MATCH($C109,EL!$E$4:$E$1012,0))),
IF($E109=5,IF(INDEX(EL!$AR$4:$AR$1012,MATCH($C109,EL!$E$4:$E$1012,0))="","",INDEX(EL!$AR$4:$AR$1012,MATCH($C109,EL!$E$4:$E$1012,0))),"")))))))</f>
        <v>46055</v>
      </c>
      <c r="J109" s="459" t="str">
        <f>IF(ISNA(MATCH($C109,EL!$E$4:$E$1012,0)),"",
IF($E109=0,IF(INDEX(EL!$T$4:$T$1012,MATCH($C109,EL!$E$4:$E$1012,0))="","",INDEX(EL!$T$4:$T$1012,MATCH($C109,EL!$E$4:$E$1012,0))),
IF($E109=1,IF(INDEX(EL!$Y$4:$Y$1012,MATCH($C109,EL!$E$4:$E$1012,0))="","",INDEX(EL!$Y$4:$Y$1012,MATCH($C109,EL!$E$4:$E$1012,0))),
IF($E109=2,IF(INDEX(EL!$AD$4:$AD$1012,MATCH($C109,EL!$E$4:$E$1012,0))="","",INDEX(EL!$AD$4:$AD$1012,MATCH($C109,EL!$E$4:$E$1012,0))),
IF($E109=3,IF(INDEX(EL!$AI$4:$AI$1012,MATCH($C109,EL!$E$4:$E$1012,0))="","",INDEX(EL!$AI$4:$AI$1012,MATCH($C109,EL!$E$4:$E$1012,0))),
IF($E109=4,IF(INDEX(EL!$AN$4:$AN$1012,MATCH($C109,EL!$E$4:$E$1012,0))="","",INDEX(EL!$AN$4:$AN$1012,MATCH($C109,EL!$E$4:$E$1012,0))),
IF($E109=5,IF(INDEX(EL!$AS$4:$AS$1012,MATCH($C109,EL!$E$4:$E$1012,0))="","",INDEX(EL!$AS$4:$AS$1012,MATCH($C109,EL!$E$4:$E$1012,0))),"")))))))</f>
        <v/>
      </c>
      <c r="K109" s="459" t="str">
        <f>EL!L22</f>
        <v>STT</v>
      </c>
      <c r="L109" s="460" cm="1">
        <f t="array" aca="1" ref="L109" ca="1">_xlfn.IFS(AND($E109&lt;&gt;"",$M109="Pending",$K109="CTA"),TODAY()-$G109,AND($E109&lt;&gt;"",$M109="Pending",$K109="AUR"),TODAY()-$H109,AND($E109&lt;&gt;"",$M109="Pending",$K109="STT"),TODAY()-$I109,OR(K109="Closed",K109=""),"")</f>
        <v>11</v>
      </c>
      <c r="M109" s="461" t="str">
        <f>VLOOKUP(C109,EL!$E$4:$AC$622,9,0)</f>
        <v>Pending</v>
      </c>
      <c r="N109" s="461" t="str">
        <f t="shared" ca="1" si="3"/>
        <v>Overdue</v>
      </c>
      <c r="O109" s="739" t="str">
        <f>EL!O22</f>
        <v>GC</v>
      </c>
      <c r="P109" s="746" t="str">
        <v>YES</v>
      </c>
    </row>
    <row r="110" spans="1:16" s="385" customFormat="1" ht="27" customHeight="1">
      <c r="A110" s="399">
        <v>20</v>
      </c>
      <c r="B110" s="607" t="s">
        <v>52</v>
      </c>
      <c r="C110" s="454" t="s">
        <v>459</v>
      </c>
      <c r="D110" s="456" t="str">
        <f>_xlfn.XLOOKUP(C110,EL!$E$4:$E$82,EL!$D$4:$D$82)</f>
        <v>LV  Single Line Diagram For Swing Power System Sheet 3</v>
      </c>
      <c r="E110" s="454">
        <f>IF(VLOOKUP(C110,EL!$E$4:$AC$505,7,0)="","",VLOOKUP(C110,EL!$E$4:$AC$1004,7,0))</f>
        <v>0</v>
      </c>
      <c r="F110" s="462"/>
      <c r="G110" s="458">
        <f>IF(VLOOKUP(C110,EL!$E$4:$AC$514,5,0)="","",VLOOKUP(C110,EL!$E$4:$AC$514,5,0))</f>
        <v>46041</v>
      </c>
      <c r="H110" s="459">
        <f>IF(ISNA(MATCH($C110,EL!$E$4:$E$1012,0)),"",
IF($E110=0,IF(INDEX(EL!$R$4:$R$1012,MATCH($C110,EL!$E$4:$E$1012,0))="","",INDEX(EL!$R$4:$R$1012,MATCH($C110,EL!$E$4:$E$1012,0))),
IF($E110=1,IF(INDEX(EL!$W$4:$W$1012,MATCH($C110,EL!$E$4:$E$1012,0))="","",INDEX(EL!$W$4:$W$1012,MATCH($C110,EL!$E$4:$E$1012,0))),
IF($E110=2,IF(INDEX(EL!$AB$4:$AB$1012,MATCH($C110,EL!$E$4:$E$1012,0))="","",INDEX(EL!$AB$4:$AB$1012,MATCH($C110,EL!$E$4:$E$1012,0))),
IF($E110=3,IF(INDEX(EL!$AG$4:$AG$1012,MATCH($C110,EL!$E$4:$E$1012,0))="","",INDEX(EL!$AG$4:$AG$1012,MATCH($C110,EL!$E$4:$E$1012,0))),
IF($E110=4,IF(INDEX(EL!$AN$4:$AN$1012,MATCH($C110,EL!$E$4:$E$1012,0))="","",INDEX(EL!$AN$4:$AN$1012,MATCH($C110,EL!$E$4:$E$1012,0))),
IF($E110=5,IF(INDEX(EL!$AS$4:$AS$1012,MATCH($C110,EL!$E$4:$E$1012,0))="","",INDEX(EL!$AS$4:$AS$1012,MATCH($C110,EL!$E$4:$E$1012,0))),"")))))))</f>
        <v>46052</v>
      </c>
      <c r="I110" s="459">
        <f>IF(ISNA(MATCH($C110,EL!$E$4:$E$1012,0)),"",
IF($E110=0,IF(INDEX(EL!$S$4:$S$1012,MATCH($C110,EL!$E$4:$E$1012,0))="","",INDEX(EL!$S$4:$S$1012,MATCH($C110,EL!$E$4:$E$1012,0))),
IF($E110=1,IF(INDEX(EL!$X$4:$X$1012,MATCH($C110,EL!$E$4:$E$1012,0))="","",INDEX(EL!$X$4:$X$1012,MATCH($C110,EL!$E$4:$E$1012,0))),
IF($E110=2,IF(INDEX(EL!$AC$4:$AC$1012,MATCH($C110,EL!$E$4:$E$1012,0))="","",INDEX(EL!$AC$4:$AC$1012,MATCH($C110,EL!$E$4:$E$1012,0))),
IF($E110=3,IF(INDEX(EL!$AH$4:$AH$1012,MATCH($C110,EL!$E$4:$E$1012,0))="","",INDEX(EL!$AH$4:$AH$1012,MATCH($C110,EL!$E$4:$E$1012,0))),
IF($E110=4,IF(INDEX(EL!$AM$4:$AM$1012,MATCH($C110,EL!$E$4:$E$1012,0))="","",INDEX(EL!$AM$4:$AM$1012,MATCH($C110,EL!$E$4:$E$1012,0))),
IF($E110=5,IF(INDEX(EL!$AR$4:$AR$1012,MATCH($C110,EL!$E$4:$E$1012,0))="","",INDEX(EL!$AR$4:$AR$1012,MATCH($C110,EL!$E$4:$E$1012,0))),"")))))))</f>
        <v>46055</v>
      </c>
      <c r="J110" s="459" t="str">
        <f>IF(ISNA(MATCH($C110,EL!$E$4:$E$1012,0)),"",
IF($E110=0,IF(INDEX(EL!$T$4:$T$1012,MATCH($C110,EL!$E$4:$E$1012,0))="","",INDEX(EL!$T$4:$T$1012,MATCH($C110,EL!$E$4:$E$1012,0))),
IF($E110=1,IF(INDEX(EL!$Y$4:$Y$1012,MATCH($C110,EL!$E$4:$E$1012,0))="","",INDEX(EL!$Y$4:$Y$1012,MATCH($C110,EL!$E$4:$E$1012,0))),
IF($E110=2,IF(INDEX(EL!$AD$4:$AD$1012,MATCH($C110,EL!$E$4:$E$1012,0))="","",INDEX(EL!$AD$4:$AD$1012,MATCH($C110,EL!$E$4:$E$1012,0))),
IF($E110=3,IF(INDEX(EL!$AI$4:$AI$1012,MATCH($C110,EL!$E$4:$E$1012,0))="","",INDEX(EL!$AI$4:$AI$1012,MATCH($C110,EL!$E$4:$E$1012,0))),
IF($E110=4,IF(INDEX(EL!$AN$4:$AN$1012,MATCH($C110,EL!$E$4:$E$1012,0))="","",INDEX(EL!$AN$4:$AN$1012,MATCH($C110,EL!$E$4:$E$1012,0))),
IF($E110=5,IF(INDEX(EL!$AS$4:$AS$1012,MATCH($C110,EL!$E$4:$E$1012,0))="","",INDEX(EL!$AS$4:$AS$1012,MATCH($C110,EL!$E$4:$E$1012,0))),"")))))))</f>
        <v/>
      </c>
      <c r="K110" s="459" t="str">
        <f>EL!L23</f>
        <v>STT</v>
      </c>
      <c r="L110" s="460" cm="1">
        <f t="array" aca="1" ref="L110" ca="1">_xlfn.IFS(AND($E110&lt;&gt;"",$M110="Pending",$K110="CTA"),TODAY()-$G110,AND($E110&lt;&gt;"",$M110="Pending",$K110="AUR"),TODAY()-$H110,AND($E110&lt;&gt;"",$M110="Pending",$K110="STT"),TODAY()-$I110,OR(K110="Closed",K110=""),"")</f>
        <v>11</v>
      </c>
      <c r="M110" s="461" t="str">
        <f>VLOOKUP(C110,EL!$E$4:$AC$622,9,0)</f>
        <v>Pending</v>
      </c>
      <c r="N110" s="461" t="str">
        <f t="shared" ca="1" si="3"/>
        <v>Overdue</v>
      </c>
      <c r="O110" s="739" t="str">
        <f>EL!O23</f>
        <v>GC</v>
      </c>
      <c r="P110" s="746" t="str">
        <v>YES</v>
      </c>
    </row>
    <row r="111" spans="1:16" s="401" customFormat="1" ht="27" customHeight="1">
      <c r="A111" s="400">
        <v>21</v>
      </c>
      <c r="B111" s="608" t="s">
        <v>52</v>
      </c>
      <c r="C111" s="454" t="s">
        <v>462</v>
      </c>
      <c r="D111" s="456" t="str">
        <f>_xlfn.XLOOKUP(C111,EL!$E$4:$E$82,EL!$D$4:$D$82)</f>
        <v>LV  Single Line Diagram For Non-It Power System Sheet 1</v>
      </c>
      <c r="E111" s="454">
        <f>IF(VLOOKUP(C111,EL!$E$4:$AC$505,7,0)="","",VLOOKUP(C111,EL!$E$4:$AC$1004,7,0))</f>
        <v>0</v>
      </c>
      <c r="F111" s="462"/>
      <c r="G111" s="458">
        <f>IF(VLOOKUP(C111,EL!$E$4:$AC$514,5,0)="","",VLOOKUP(C111,EL!$E$4:$AC$514,5,0))</f>
        <v>46041</v>
      </c>
      <c r="H111" s="459">
        <f>IF(ISNA(MATCH($C111,EL!$E$4:$E$1012,0)),"",
IF($E111=0,IF(INDEX(EL!$R$4:$R$1012,MATCH($C111,EL!$E$4:$E$1012,0))="","",INDEX(EL!$R$4:$R$1012,MATCH($C111,EL!$E$4:$E$1012,0))),
IF($E111=1,IF(INDEX(EL!$W$4:$W$1012,MATCH($C111,EL!$E$4:$E$1012,0))="","",INDEX(EL!$W$4:$W$1012,MATCH($C111,EL!$E$4:$E$1012,0))),
IF($E111=2,IF(INDEX(EL!$AB$4:$AB$1012,MATCH($C111,EL!$E$4:$E$1012,0))="","",INDEX(EL!$AB$4:$AB$1012,MATCH($C111,EL!$E$4:$E$1012,0))),
IF($E111=3,IF(INDEX(EL!$AG$4:$AG$1012,MATCH($C111,EL!$E$4:$E$1012,0))="","",INDEX(EL!$AG$4:$AG$1012,MATCH($C111,EL!$E$4:$E$1012,0))),
IF($E111=4,IF(INDEX(EL!$AN$4:$AN$1012,MATCH($C111,EL!$E$4:$E$1012,0))="","",INDEX(EL!$AN$4:$AN$1012,MATCH($C111,EL!$E$4:$E$1012,0))),
IF($E111=5,IF(INDEX(EL!$AS$4:$AS$1012,MATCH($C111,EL!$E$4:$E$1012,0))="","",INDEX(EL!$AS$4:$AS$1012,MATCH($C111,EL!$E$4:$E$1012,0))),"")))))))</f>
        <v>46052</v>
      </c>
      <c r="I111" s="459">
        <f>IF(ISNA(MATCH($C111,EL!$E$4:$E$1012,0)),"",
IF($E111=0,IF(INDEX(EL!$S$4:$S$1012,MATCH($C111,EL!$E$4:$E$1012,0))="","",INDEX(EL!$S$4:$S$1012,MATCH($C111,EL!$E$4:$E$1012,0))),
IF($E111=1,IF(INDEX(EL!$X$4:$X$1012,MATCH($C111,EL!$E$4:$E$1012,0))="","",INDEX(EL!$X$4:$X$1012,MATCH($C111,EL!$E$4:$E$1012,0))),
IF($E111=2,IF(INDEX(EL!$AC$4:$AC$1012,MATCH($C111,EL!$E$4:$E$1012,0))="","",INDEX(EL!$AC$4:$AC$1012,MATCH($C111,EL!$E$4:$E$1012,0))),
IF($E111=3,IF(INDEX(EL!$AH$4:$AH$1012,MATCH($C111,EL!$E$4:$E$1012,0))="","",INDEX(EL!$AH$4:$AH$1012,MATCH($C111,EL!$E$4:$E$1012,0))),
IF($E111=4,IF(INDEX(EL!$AM$4:$AM$1012,MATCH($C111,EL!$E$4:$E$1012,0))="","",INDEX(EL!$AM$4:$AM$1012,MATCH($C111,EL!$E$4:$E$1012,0))),
IF($E111=5,IF(INDEX(EL!$AR$4:$AR$1012,MATCH($C111,EL!$E$4:$E$1012,0))="","",INDEX(EL!$AR$4:$AR$1012,MATCH($C111,EL!$E$4:$E$1012,0))),"")))))))</f>
        <v>46055</v>
      </c>
      <c r="J111" s="459" t="str">
        <f>IF(ISNA(MATCH($C111,EL!$E$4:$E$1012,0)),"",
IF($E111=0,IF(INDEX(EL!$T$4:$T$1012,MATCH($C111,EL!$E$4:$E$1012,0))="","",INDEX(EL!$T$4:$T$1012,MATCH($C111,EL!$E$4:$E$1012,0))),
IF($E111=1,IF(INDEX(EL!$Y$4:$Y$1012,MATCH($C111,EL!$E$4:$E$1012,0))="","",INDEX(EL!$Y$4:$Y$1012,MATCH($C111,EL!$E$4:$E$1012,0))),
IF($E111=2,IF(INDEX(EL!$AD$4:$AD$1012,MATCH($C111,EL!$E$4:$E$1012,0))="","",INDEX(EL!$AD$4:$AD$1012,MATCH($C111,EL!$E$4:$E$1012,0))),
IF($E111=3,IF(INDEX(EL!$AI$4:$AI$1012,MATCH($C111,EL!$E$4:$E$1012,0))="","",INDEX(EL!$AI$4:$AI$1012,MATCH($C111,EL!$E$4:$E$1012,0))),
IF($E111=4,IF(INDEX(EL!$AN$4:$AN$1012,MATCH($C111,EL!$E$4:$E$1012,0))="","",INDEX(EL!$AN$4:$AN$1012,MATCH($C111,EL!$E$4:$E$1012,0))),
IF($E111=5,IF(INDEX(EL!$AS$4:$AS$1012,MATCH($C111,EL!$E$4:$E$1012,0))="","",INDEX(EL!$AS$4:$AS$1012,MATCH($C111,EL!$E$4:$E$1012,0))),"")))))))</f>
        <v/>
      </c>
      <c r="K111" s="459" t="str">
        <f>EL!L24</f>
        <v>STT</v>
      </c>
      <c r="L111" s="460" cm="1">
        <f t="array" aca="1" ref="L111" ca="1">_xlfn.IFS(AND($E111&lt;&gt;"",$M111="Pending",$K111="CTA"),TODAY()-$G111,AND($E111&lt;&gt;"",$M111="Pending",$K111="AUR"),TODAY()-$H111,AND($E111&lt;&gt;"",$M111="Pending",$K111="STT"),TODAY()-$I111,OR(K111="Closed",K111=""),"")</f>
        <v>11</v>
      </c>
      <c r="M111" s="461" t="str">
        <f>VLOOKUP(C111,EL!$E$4:$AC$622,9,0)</f>
        <v>Pending</v>
      </c>
      <c r="N111" s="461" t="str">
        <f t="shared" ca="1" si="3"/>
        <v>Overdue</v>
      </c>
      <c r="O111" s="739" t="str">
        <f>EL!O24</f>
        <v>GC</v>
      </c>
      <c r="P111" s="746" t="str">
        <v>YES</v>
      </c>
    </row>
    <row r="112" spans="1:16" s="385" customFormat="1" ht="27" customHeight="1">
      <c r="A112" s="399">
        <v>22</v>
      </c>
      <c r="B112" s="607" t="s">
        <v>52</v>
      </c>
      <c r="C112" s="454" t="s">
        <v>465</v>
      </c>
      <c r="D112" s="456" t="str">
        <f>_xlfn.XLOOKUP(C112,EL!$E$4:$E$82,EL!$D$4:$D$82)</f>
        <v>LV  Single Line Diagram For Non-It Power System Sheet 2</v>
      </c>
      <c r="E112" s="454">
        <f>IF(VLOOKUP(C112,EL!$E$4:$AC$505,7,0)="","",VLOOKUP(C112,EL!$E$4:$AC$1004,7,0))</f>
        <v>0</v>
      </c>
      <c r="F112" s="462"/>
      <c r="G112" s="458">
        <f>IF(VLOOKUP(C112,EL!$E$4:$AC$514,5,0)="","",VLOOKUP(C112,EL!$E$4:$AC$514,5,0))</f>
        <v>46041</v>
      </c>
      <c r="H112" s="459">
        <f>IF(ISNA(MATCH($C112,EL!$E$4:$E$1012,0)),"",
IF($E112=0,IF(INDEX(EL!$R$4:$R$1012,MATCH($C112,EL!$E$4:$E$1012,0))="","",INDEX(EL!$R$4:$R$1012,MATCH($C112,EL!$E$4:$E$1012,0))),
IF($E112=1,IF(INDEX(EL!$W$4:$W$1012,MATCH($C112,EL!$E$4:$E$1012,0))="","",INDEX(EL!$W$4:$W$1012,MATCH($C112,EL!$E$4:$E$1012,0))),
IF($E112=2,IF(INDEX(EL!$AB$4:$AB$1012,MATCH($C112,EL!$E$4:$E$1012,0))="","",INDEX(EL!$AB$4:$AB$1012,MATCH($C112,EL!$E$4:$E$1012,0))),
IF($E112=3,IF(INDEX(EL!$AG$4:$AG$1012,MATCH($C112,EL!$E$4:$E$1012,0))="","",INDEX(EL!$AG$4:$AG$1012,MATCH($C112,EL!$E$4:$E$1012,0))),
IF($E112=4,IF(INDEX(EL!$AN$4:$AN$1012,MATCH($C112,EL!$E$4:$E$1012,0))="","",INDEX(EL!$AN$4:$AN$1012,MATCH($C112,EL!$E$4:$E$1012,0))),
IF($E112=5,IF(INDEX(EL!$AS$4:$AS$1012,MATCH($C112,EL!$E$4:$E$1012,0))="","",INDEX(EL!$AS$4:$AS$1012,MATCH($C112,EL!$E$4:$E$1012,0))),"")))))))</f>
        <v>46056</v>
      </c>
      <c r="I112" s="459">
        <f>IF(ISNA(MATCH($C112,EL!$E$4:$E$1012,0)),"",
IF($E112=0,IF(INDEX(EL!$S$4:$S$1012,MATCH($C112,EL!$E$4:$E$1012,0))="","",INDEX(EL!$S$4:$S$1012,MATCH($C112,EL!$E$4:$E$1012,0))),
IF($E112=1,IF(INDEX(EL!$X$4:$X$1012,MATCH($C112,EL!$E$4:$E$1012,0))="","",INDEX(EL!$X$4:$X$1012,MATCH($C112,EL!$E$4:$E$1012,0))),
IF($E112=2,IF(INDEX(EL!$AC$4:$AC$1012,MATCH($C112,EL!$E$4:$E$1012,0))="","",INDEX(EL!$AC$4:$AC$1012,MATCH($C112,EL!$E$4:$E$1012,0))),
IF($E112=3,IF(INDEX(EL!$AH$4:$AH$1012,MATCH($C112,EL!$E$4:$E$1012,0))="","",INDEX(EL!$AH$4:$AH$1012,MATCH($C112,EL!$E$4:$E$1012,0))),
IF($E112=4,IF(INDEX(EL!$AM$4:$AM$1012,MATCH($C112,EL!$E$4:$E$1012,0))="","",INDEX(EL!$AM$4:$AM$1012,MATCH($C112,EL!$E$4:$E$1012,0))),
IF($E112=5,IF(INDEX(EL!$AR$4:$AR$1012,MATCH($C112,EL!$E$4:$E$1012,0))="","",INDEX(EL!$AR$4:$AR$1012,MATCH($C112,EL!$E$4:$E$1012,0))),"")))))))</f>
        <v>46062</v>
      </c>
      <c r="J112" s="459" t="str">
        <f>IF(ISNA(MATCH($C112,EL!$E$4:$E$1012,0)),"",
IF($E112=0,IF(INDEX(EL!$T$4:$T$1012,MATCH($C112,EL!$E$4:$E$1012,0))="","",INDEX(EL!$T$4:$T$1012,MATCH($C112,EL!$E$4:$E$1012,0))),
IF($E112=1,IF(INDEX(EL!$Y$4:$Y$1012,MATCH($C112,EL!$E$4:$E$1012,0))="","",INDEX(EL!$Y$4:$Y$1012,MATCH($C112,EL!$E$4:$E$1012,0))),
IF($E112=2,IF(INDEX(EL!$AD$4:$AD$1012,MATCH($C112,EL!$E$4:$E$1012,0))="","",INDEX(EL!$AD$4:$AD$1012,MATCH($C112,EL!$E$4:$E$1012,0))),
IF($E112=3,IF(INDEX(EL!$AI$4:$AI$1012,MATCH($C112,EL!$E$4:$E$1012,0))="","",INDEX(EL!$AI$4:$AI$1012,MATCH($C112,EL!$E$4:$E$1012,0))),
IF($E112=4,IF(INDEX(EL!$AN$4:$AN$1012,MATCH($C112,EL!$E$4:$E$1012,0))="","",INDEX(EL!$AN$4:$AN$1012,MATCH($C112,EL!$E$4:$E$1012,0))),
IF($E112=5,IF(INDEX(EL!$AS$4:$AS$1012,MATCH($C112,EL!$E$4:$E$1012,0))="","",INDEX(EL!$AS$4:$AS$1012,MATCH($C112,EL!$E$4:$E$1012,0))),"")))))))</f>
        <v/>
      </c>
      <c r="K112" s="459" t="str">
        <f>EL!L25</f>
        <v>STT</v>
      </c>
      <c r="L112" s="460" cm="1">
        <f t="array" aca="1" ref="L112" ca="1">_xlfn.IFS(AND($E112&lt;&gt;"",$M112="Pending",$K112="CTA"),TODAY()-$G112,AND($E112&lt;&gt;"",$M112="Pending",$K112="AUR"),TODAY()-$H112,AND($E112&lt;&gt;"",$M112="Pending",$K112="STT"),TODAY()-$I112,OR(K112="Closed",K112=""),"")</f>
        <v>4</v>
      </c>
      <c r="M112" s="461" t="str">
        <f>VLOOKUP(C112,EL!$E$4:$AC$622,9,0)</f>
        <v>Pending</v>
      </c>
      <c r="N112" s="461" t="str">
        <f t="shared" ca="1" si="3"/>
        <v>High</v>
      </c>
      <c r="O112" s="739" t="str">
        <f>EL!O25</f>
        <v>GC</v>
      </c>
      <c r="P112" s="746" t="str">
        <v>YES</v>
      </c>
    </row>
    <row r="113" spans="1:17" s="385" customFormat="1" ht="27" customHeight="1">
      <c r="A113" s="399">
        <v>23</v>
      </c>
      <c r="B113" s="607" t="s">
        <v>52</v>
      </c>
      <c r="C113" s="454" t="s">
        <v>468</v>
      </c>
      <c r="D113" s="456" t="str">
        <f>_xlfn.XLOOKUP(C113,EL!$E$4:$E$82,EL!$D$4:$D$82)</f>
        <v>LV  Single Line Diagram For Non-It Power System Sheet 3</v>
      </c>
      <c r="E113" s="454">
        <f>IF(VLOOKUP(C113,EL!$E$4:$AC$505,7,0)="","",VLOOKUP(C113,EL!$E$4:$AC$1004,7,0))</f>
        <v>0</v>
      </c>
      <c r="F113" s="462"/>
      <c r="G113" s="458">
        <f>IF(VLOOKUP(C113,EL!$E$4:$AC$514,5,0)="","",VLOOKUP(C113,EL!$E$4:$AC$514,5,0))</f>
        <v>46041</v>
      </c>
      <c r="H113" s="459">
        <f>IF(ISNA(MATCH($C113,EL!$E$4:$E$1012,0)),"",
IF($E113=0,IF(INDEX(EL!$R$4:$R$1012,MATCH($C113,EL!$E$4:$E$1012,0))="","",INDEX(EL!$R$4:$R$1012,MATCH($C113,EL!$E$4:$E$1012,0))),
IF($E113=1,IF(INDEX(EL!$W$4:$W$1012,MATCH($C113,EL!$E$4:$E$1012,0))="","",INDEX(EL!$W$4:$W$1012,MATCH($C113,EL!$E$4:$E$1012,0))),
IF($E113=2,IF(INDEX(EL!$AB$4:$AB$1012,MATCH($C113,EL!$E$4:$E$1012,0))="","",INDEX(EL!$AB$4:$AB$1012,MATCH($C113,EL!$E$4:$E$1012,0))),
IF($E113=3,IF(INDEX(EL!$AG$4:$AG$1012,MATCH($C113,EL!$E$4:$E$1012,0))="","",INDEX(EL!$AG$4:$AG$1012,MATCH($C113,EL!$E$4:$E$1012,0))),
IF($E113=4,IF(INDEX(EL!$AN$4:$AN$1012,MATCH($C113,EL!$E$4:$E$1012,0))="","",INDEX(EL!$AN$4:$AN$1012,MATCH($C113,EL!$E$4:$E$1012,0))),
IF($E113=5,IF(INDEX(EL!$AS$4:$AS$1012,MATCH($C113,EL!$E$4:$E$1012,0))="","",INDEX(EL!$AS$4:$AS$1012,MATCH($C113,EL!$E$4:$E$1012,0))),"")))))))</f>
        <v>46052</v>
      </c>
      <c r="I113" s="459">
        <f>IF(ISNA(MATCH($C113,EL!$E$4:$E$1012,0)),"",
IF($E113=0,IF(INDEX(EL!$S$4:$S$1012,MATCH($C113,EL!$E$4:$E$1012,0))="","",INDEX(EL!$S$4:$S$1012,MATCH($C113,EL!$E$4:$E$1012,0))),
IF($E113=1,IF(INDEX(EL!$X$4:$X$1012,MATCH($C113,EL!$E$4:$E$1012,0))="","",INDEX(EL!$X$4:$X$1012,MATCH($C113,EL!$E$4:$E$1012,0))),
IF($E113=2,IF(INDEX(EL!$AC$4:$AC$1012,MATCH($C113,EL!$E$4:$E$1012,0))="","",INDEX(EL!$AC$4:$AC$1012,MATCH($C113,EL!$E$4:$E$1012,0))),
IF($E113=3,IF(INDEX(EL!$AH$4:$AH$1012,MATCH($C113,EL!$E$4:$E$1012,0))="","",INDEX(EL!$AH$4:$AH$1012,MATCH($C113,EL!$E$4:$E$1012,0))),
IF($E113=4,IF(INDEX(EL!$AM$4:$AM$1012,MATCH($C113,EL!$E$4:$E$1012,0))="","",INDEX(EL!$AM$4:$AM$1012,MATCH($C113,EL!$E$4:$E$1012,0))),
IF($E113=5,IF(INDEX(EL!$AR$4:$AR$1012,MATCH($C113,EL!$E$4:$E$1012,0))="","",INDEX(EL!$AR$4:$AR$1012,MATCH($C113,EL!$E$4:$E$1012,0))),"")))))))</f>
        <v>46055</v>
      </c>
      <c r="J113" s="459" t="str">
        <f>IF(ISNA(MATCH($C113,EL!$E$4:$E$1012,0)),"",
IF($E113=0,IF(INDEX(EL!$T$4:$T$1012,MATCH($C113,EL!$E$4:$E$1012,0))="","",INDEX(EL!$T$4:$T$1012,MATCH($C113,EL!$E$4:$E$1012,0))),
IF($E113=1,IF(INDEX(EL!$Y$4:$Y$1012,MATCH($C113,EL!$E$4:$E$1012,0))="","",INDEX(EL!$Y$4:$Y$1012,MATCH($C113,EL!$E$4:$E$1012,0))),
IF($E113=2,IF(INDEX(EL!$AD$4:$AD$1012,MATCH($C113,EL!$E$4:$E$1012,0))="","",INDEX(EL!$AD$4:$AD$1012,MATCH($C113,EL!$E$4:$E$1012,0))),
IF($E113=3,IF(INDEX(EL!$AI$4:$AI$1012,MATCH($C113,EL!$E$4:$E$1012,0))="","",INDEX(EL!$AI$4:$AI$1012,MATCH($C113,EL!$E$4:$E$1012,0))),
IF($E113=4,IF(INDEX(EL!$AN$4:$AN$1012,MATCH($C113,EL!$E$4:$E$1012,0))="","",INDEX(EL!$AN$4:$AN$1012,MATCH($C113,EL!$E$4:$E$1012,0))),
IF($E113=5,IF(INDEX(EL!$AS$4:$AS$1012,MATCH($C113,EL!$E$4:$E$1012,0))="","",INDEX(EL!$AS$4:$AS$1012,MATCH($C113,EL!$E$4:$E$1012,0))),"")))))))</f>
        <v/>
      </c>
      <c r="K113" s="459" t="str">
        <f>EL!L26</f>
        <v>STT</v>
      </c>
      <c r="L113" s="460" cm="1">
        <f t="array" aca="1" ref="L113" ca="1">_xlfn.IFS(AND($E113&lt;&gt;"",$M113="Pending",$K113="CTA"),TODAY()-$G113,AND($E113&lt;&gt;"",$M113="Pending",$K113="AUR"),TODAY()-$H113,AND($E113&lt;&gt;"",$M113="Pending",$K113="STT"),TODAY()-$I113,OR(K113="Closed",K113=""),"")</f>
        <v>11</v>
      </c>
      <c r="M113" s="461" t="str">
        <f>VLOOKUP(C113,EL!$E$4:$AC$622,9,0)</f>
        <v>Pending</v>
      </c>
      <c r="N113" s="461" t="str">
        <f t="shared" ca="1" si="3"/>
        <v>Overdue</v>
      </c>
      <c r="O113" s="739" t="str">
        <f>EL!O26</f>
        <v>GC</v>
      </c>
      <c r="P113" s="746" t="str">
        <v>YES</v>
      </c>
    </row>
    <row r="114" spans="1:17" s="401" customFormat="1" ht="27" customHeight="1">
      <c r="A114" s="1022">
        <v>24</v>
      </c>
      <c r="B114" s="1021" t="s">
        <v>52</v>
      </c>
      <c r="C114" s="1028" t="s">
        <v>471</v>
      </c>
      <c r="D114" s="598" t="str">
        <f>_xlfn.XLOOKUP(C114,EL!$E$4:$E$82,EL!$D$4:$D$82)</f>
        <v>LV  Single Line Diagram Typical For Data Hall PDU</v>
      </c>
      <c r="E114" s="1028">
        <f>IF(VLOOKUP(C114,EL!$E$4:$AC$505,7,0)="","",VLOOKUP(C114,EL!$E$4:$AC$1004,7,0))</f>
        <v>0</v>
      </c>
      <c r="F114" s="1031"/>
      <c r="G114" s="458">
        <f>IF(VLOOKUP(C114,EL!$E$4:$AC$514,5,0)="","",VLOOKUP(C114,EL!$E$4:$AC$514,5,0))</f>
        <v>46044</v>
      </c>
      <c r="H114" s="1025">
        <f>IF(ISNA(MATCH($C114,EL!$E$4:$E$1012,0)),"",
IF($E114=0,IF(INDEX(EL!$R$4:$R$1012,MATCH($C114,EL!$E$4:$E$1012,0))="","",INDEX(EL!$R$4:$R$1012,MATCH($C114,EL!$E$4:$E$1012,0))),
IF($E114=1,IF(INDEX(EL!$W$4:$W$1012,MATCH($C114,EL!$E$4:$E$1012,0))="","",INDEX(EL!$W$4:$W$1012,MATCH($C114,EL!$E$4:$E$1012,0))),
IF($E114=2,IF(INDEX(EL!$AB$4:$AB$1012,MATCH($C114,EL!$E$4:$E$1012,0))="","",INDEX(EL!$AB$4:$AB$1012,MATCH($C114,EL!$E$4:$E$1012,0))),
IF($E114=3,IF(INDEX(EL!$AG$4:$AG$1012,MATCH($C114,EL!$E$4:$E$1012,0))="","",INDEX(EL!$AG$4:$AG$1012,MATCH($C114,EL!$E$4:$E$1012,0))),
IF($E114=4,IF(INDEX(EL!$AN$4:$AN$1012,MATCH($C114,EL!$E$4:$E$1012,0))="","",INDEX(EL!$AN$4:$AN$1012,MATCH($C114,EL!$E$4:$E$1012,0))),
IF($E114=5,IF(INDEX(EL!$AS$4:$AS$1012,MATCH($C114,EL!$E$4:$E$1012,0))="","",INDEX(EL!$AS$4:$AS$1012,MATCH($C114,EL!$E$4:$E$1012,0))),"")))))))</f>
        <v>46050</v>
      </c>
      <c r="I114" s="1025">
        <f>IF(ISNA(MATCH($C114,EL!$E$4:$E$1012,0)),"",
IF($E114=0,IF(INDEX(EL!$S$4:$S$1012,MATCH($C114,EL!$E$4:$E$1012,0))="","",INDEX(EL!$S$4:$S$1012,MATCH($C114,EL!$E$4:$E$1012,0))),
IF($E114=1,IF(INDEX(EL!$X$4:$X$1012,MATCH($C114,EL!$E$4:$E$1012,0))="","",INDEX(EL!$X$4:$X$1012,MATCH($C114,EL!$E$4:$E$1012,0))),
IF($E114=2,IF(INDEX(EL!$AC$4:$AC$1012,MATCH($C114,EL!$E$4:$E$1012,0))="","",INDEX(EL!$AC$4:$AC$1012,MATCH($C114,EL!$E$4:$E$1012,0))),
IF($E114=3,IF(INDEX(EL!$AH$4:$AH$1012,MATCH($C114,EL!$E$4:$E$1012,0))="","",INDEX(EL!$AH$4:$AH$1012,MATCH($C114,EL!$E$4:$E$1012,0))),
IF($E114=4,IF(INDEX(EL!$AM$4:$AM$1012,MATCH($C114,EL!$E$4:$E$1012,0))="","",INDEX(EL!$AM$4:$AM$1012,MATCH($C114,EL!$E$4:$E$1012,0))),
IF($E114=5,IF(INDEX(EL!$AR$4:$AR$1012,MATCH($C114,EL!$E$4:$E$1012,0))="","",INDEX(EL!$AR$4:$AR$1012,MATCH($C114,EL!$E$4:$E$1012,0))),"")))))))</f>
        <v>46051</v>
      </c>
      <c r="J114" s="1025" t="str">
        <f>IF(ISNA(MATCH($C114,EL!$E$4:$E$1012,0)),"",
IF($E114=0,IF(INDEX(EL!$T$4:$T$1012,MATCH($C114,EL!$E$4:$E$1012,0))="","",INDEX(EL!$T$4:$T$1012,MATCH($C114,EL!$E$4:$E$1012,0))),
IF($E114=1,IF(INDEX(EL!$Y$4:$Y$1012,MATCH($C114,EL!$E$4:$E$1012,0))="","",INDEX(EL!$Y$4:$Y$1012,MATCH($C114,EL!$E$4:$E$1012,0))),
IF($E114=2,IF(INDEX(EL!$AD$4:$AD$1012,MATCH($C114,EL!$E$4:$E$1012,0))="","",INDEX(EL!$AD$4:$AD$1012,MATCH($C114,EL!$E$4:$E$1012,0))),
IF($E114=3,IF(INDEX(EL!$AI$4:$AI$1012,MATCH($C114,EL!$E$4:$E$1012,0))="","",INDEX(EL!$AI$4:$AI$1012,MATCH($C114,EL!$E$4:$E$1012,0))),
IF($E114=4,IF(INDEX(EL!$AN$4:$AN$1012,MATCH($C114,EL!$E$4:$E$1012,0))="","",INDEX(EL!$AN$4:$AN$1012,MATCH($C114,EL!$E$4:$E$1012,0))),
IF($E114=5,IF(INDEX(EL!$AS$4:$AS$1012,MATCH($C114,EL!$E$4:$E$1012,0))="","",INDEX(EL!$AS$4:$AS$1012,MATCH($C114,EL!$E$4:$E$1012,0))),"")))))))</f>
        <v/>
      </c>
      <c r="K114" s="1025" t="str">
        <f>EL!L27</f>
        <v>STT</v>
      </c>
      <c r="L114" s="1015" cm="1">
        <f t="array" aca="1" ref="L114" ca="1">_xlfn.IFS(AND($E114&lt;&gt;"",$M114="Pending",$K114="CTA"),TODAY()-$G114,AND($E114&lt;&gt;"",$M114="Pending",$K114="AUR"),TODAY()-$H114,AND($E114&lt;&gt;"",$M114="Pending",$K114="STT"),TODAY()-$I114,OR(K114="Closed",K114=""),"")</f>
        <v>15</v>
      </c>
      <c r="M114" s="1018" t="str">
        <f>VLOOKUP(C114,EL!$E$4:$AC$622,9,0)</f>
        <v>Pending</v>
      </c>
      <c r="N114" s="1018" t="str">
        <f t="shared" ca="1" si="3"/>
        <v>Overdue</v>
      </c>
      <c r="O114" s="739" t="str">
        <f>EL!O27</f>
        <v>GC</v>
      </c>
      <c r="P114" s="1008" t="str">
        <f>EL!BJ27</f>
        <v>YES</v>
      </c>
    </row>
    <row r="115" spans="1:17" s="401" customFormat="1" ht="27" hidden="1" customHeight="1">
      <c r="A115" s="1023"/>
      <c r="B115" s="1019"/>
      <c r="C115" s="1029"/>
      <c r="D115" s="599" t="str">
        <f>_xlfn.XLOOKUP(C115,EL!$E$4:$E$82,EL!$D$4:$D$82)</f>
        <v>LV  Single Line Diagram PDU For MDF Room A</v>
      </c>
      <c r="E115" s="1029"/>
      <c r="F115" s="1032"/>
      <c r="G115" s="458" t="e">
        <f>IF(VLOOKUP(C115,EL!$E$4:$AC$514,5,0)="","",VLOOKUP(C115,EL!$E$4:$AC$514,5,0))</f>
        <v>#N/A</v>
      </c>
      <c r="H115" s="1026"/>
      <c r="I115" s="1026"/>
      <c r="J115" s="1026"/>
      <c r="K115" s="1026"/>
      <c r="L115" s="1016"/>
      <c r="M115" s="1019"/>
      <c r="N115" s="1019"/>
      <c r="O115" s="739" t="str">
        <f>EL!O28</f>
        <v>GC</v>
      </c>
      <c r="P115" s="1008"/>
    </row>
    <row r="116" spans="1:17" s="401" customFormat="1" ht="27" hidden="1" customHeight="1">
      <c r="A116" s="1023"/>
      <c r="B116" s="1019"/>
      <c r="C116" s="1029"/>
      <c r="D116" s="456" t="str">
        <f>_xlfn.XLOOKUP(C116,EL!$E$4:$E$82,EL!$D$4:$D$82)</f>
        <v>LV  Single Line Diagram PDU For MDF Room A</v>
      </c>
      <c r="E116" s="1029"/>
      <c r="F116" s="1032"/>
      <c r="G116" s="458" t="e">
        <f>IF(VLOOKUP(C116,EL!$E$4:$AC$514,5,0)="","",VLOOKUP(C116,EL!$E$4:$AC$514,5,0))</f>
        <v>#N/A</v>
      </c>
      <c r="H116" s="1026"/>
      <c r="I116" s="1026"/>
      <c r="J116" s="1026"/>
      <c r="K116" s="1026"/>
      <c r="L116" s="1016"/>
      <c r="M116" s="1019"/>
      <c r="N116" s="1019"/>
      <c r="O116" s="739" t="str">
        <f>EL!O29</f>
        <v>GC</v>
      </c>
      <c r="P116" s="1008"/>
    </row>
    <row r="117" spans="1:17" s="401" customFormat="1" ht="27" hidden="1" customHeight="1">
      <c r="A117" s="1024"/>
      <c r="B117" s="1020"/>
      <c r="C117" s="1030"/>
      <c r="D117" s="456" t="str">
        <f>_xlfn.XLOOKUP(C117,EL!$E$4:$E$82,EL!$D$4:$D$82)</f>
        <v>LV  Single Line Diagram PDU For MDF Room A</v>
      </c>
      <c r="E117" s="1030"/>
      <c r="F117" s="1033"/>
      <c r="G117" s="458" t="e">
        <f>IF(VLOOKUP(C117,EL!$E$4:$AC$514,5,0)="","",VLOOKUP(C117,EL!$E$4:$AC$514,5,0))</f>
        <v>#N/A</v>
      </c>
      <c r="H117" s="1027"/>
      <c r="I117" s="1027"/>
      <c r="J117" s="1027"/>
      <c r="K117" s="1027"/>
      <c r="L117" s="1017"/>
      <c r="M117" s="1020"/>
      <c r="N117" s="1020"/>
      <c r="O117" s="739" t="str">
        <f>EL!O30</f>
        <v>GC</v>
      </c>
      <c r="P117" s="1008"/>
    </row>
    <row r="118" spans="1:17" s="385" customFormat="1" ht="27" customHeight="1">
      <c r="A118" s="399">
        <v>25</v>
      </c>
      <c r="B118" s="607" t="s">
        <v>52</v>
      </c>
      <c r="C118" s="646" t="s">
        <v>480</v>
      </c>
      <c r="D118" s="456" t="str">
        <f>_xlfn.XLOOKUP(C118,EL!$E$4:$E$82,EL!$D$4:$D$82)</f>
        <v>DC Supply Schematic For HV Equipment</v>
      </c>
      <c r="E118" s="597">
        <f>IF(VLOOKUP(C118,EL!$E$4:$AC$505,7,0)="","",VLOOKUP(C118,EL!$E$4:$AC$1004,7,0))</f>
        <v>0</v>
      </c>
      <c r="F118" s="457"/>
      <c r="G118" s="458">
        <f>IF(VLOOKUP(C118,EL!$E$4:$AC$514,5,0)="","",VLOOKUP(C118,EL!$E$4:$AC$514,5,0))</f>
        <v>46044</v>
      </c>
      <c r="H118" s="459">
        <f>IF(ISNA(MATCH($C118,EL!$E$4:$E$1012,0)),"",
IF($E118=0,IF(INDEX(EL!$R$4:$R$1012,MATCH($C118,EL!$E$4:$E$1012,0))="","",INDEX(EL!$R$4:$R$1012,MATCH($C118,EL!$E$4:$E$1012,0))),
IF($E118=1,IF(INDEX(EL!$W$4:$W$1012,MATCH($C118,EL!$E$4:$E$1012,0))="","",INDEX(EL!$W$4:$W$1012,MATCH($C118,EL!$E$4:$E$1012,0))),
IF($E118=2,IF(INDEX(EL!$AB$4:$AB$1012,MATCH($C118,EL!$E$4:$E$1012,0))="","",INDEX(EL!$AB$4:$AB$1012,MATCH($C118,EL!$E$4:$E$1012,0))),
IF($E118=3,IF(INDEX(EL!$AG$4:$AG$1012,MATCH($C118,EL!$E$4:$E$1012,0))="","",INDEX(EL!$AG$4:$AG$1012,MATCH($C118,EL!$E$4:$E$1012,0))),
IF($E118=4,IF(INDEX(EL!$AN$4:$AN$1012,MATCH($C118,EL!$E$4:$E$1012,0))="","",INDEX(EL!$AN$4:$AN$1012,MATCH($C118,EL!$E$4:$E$1012,0))),
IF($E118=5,IF(INDEX(EL!$AS$4:$AS$1012,MATCH($C118,EL!$E$4:$E$1012,0))="","",INDEX(EL!$AS$4:$AS$1012,MATCH($C118,EL!$E$4:$E$1012,0))),"")))))))</f>
        <v>46050</v>
      </c>
      <c r="I118" s="459">
        <f>IF(ISNA(MATCH($C118,EL!$E$4:$E$1012,0)),"",
IF($E118=0,IF(INDEX(EL!$S$4:$S$1012,MATCH($C118,EL!$E$4:$E$1012,0))="","",INDEX(EL!$S$4:$S$1012,MATCH($C118,EL!$E$4:$E$1012,0))),
IF($E118=1,IF(INDEX(EL!$X$4:$X$1012,MATCH($C118,EL!$E$4:$E$1012,0))="","",INDEX(EL!$X$4:$X$1012,MATCH($C118,EL!$E$4:$E$1012,0))),
IF($E118=2,IF(INDEX(EL!$AC$4:$AC$1012,MATCH($C118,EL!$E$4:$E$1012,0))="","",INDEX(EL!$AC$4:$AC$1012,MATCH($C118,EL!$E$4:$E$1012,0))),
IF($E118=3,IF(INDEX(EL!$AH$4:$AH$1012,MATCH($C118,EL!$E$4:$E$1012,0))="","",INDEX(EL!$AH$4:$AH$1012,MATCH($C118,EL!$E$4:$E$1012,0))),
IF($E118=4,IF(INDEX(EL!$AM$4:$AM$1012,MATCH($C118,EL!$E$4:$E$1012,0))="","",INDEX(EL!$AM$4:$AM$1012,MATCH($C118,EL!$E$4:$E$1012,0))),
IF($E118=5,IF(INDEX(EL!$AR$4:$AR$1012,MATCH($C118,EL!$E$4:$E$1012,0))="","",INDEX(EL!$AR$4:$AR$1012,MATCH($C118,EL!$E$4:$E$1012,0))),"")))))))</f>
        <v>46052</v>
      </c>
      <c r="J118" s="459" t="str">
        <f>IF(ISNA(MATCH($C118,EL!$E$4:$E$1012,0)),"",
IF($E118=0,IF(INDEX(EL!$T$4:$T$1012,MATCH($C118,EL!$E$4:$E$1012,0))="","",INDEX(EL!$T$4:$T$1012,MATCH($C118,EL!$E$4:$E$1012,0))),
IF($E118=1,IF(INDEX(EL!$Y$4:$Y$1012,MATCH($C118,EL!$E$4:$E$1012,0))="","",INDEX(EL!$Y$4:$Y$1012,MATCH($C118,EL!$E$4:$E$1012,0))),
IF($E118=2,IF(INDEX(EL!$AD$4:$AD$1012,MATCH($C118,EL!$E$4:$E$1012,0))="","",INDEX(EL!$AD$4:$AD$1012,MATCH($C118,EL!$E$4:$E$1012,0))),
IF($E118=3,IF(INDEX(EL!$AI$4:$AI$1012,MATCH($C118,EL!$E$4:$E$1012,0))="","",INDEX(EL!$AI$4:$AI$1012,MATCH($C118,EL!$E$4:$E$1012,0))),
IF($E118=4,IF(INDEX(EL!$AN$4:$AN$1012,MATCH($C118,EL!$E$4:$E$1012,0))="","",INDEX(EL!$AN$4:$AN$1012,MATCH($C118,EL!$E$4:$E$1012,0))),
IF($E118=5,IF(INDEX(EL!$AS$4:$AS$1012,MATCH($C118,EL!$E$4:$E$1012,0))="","",INDEX(EL!$AS$4:$AS$1012,MATCH($C118,EL!$E$4:$E$1012,0))),"")))))))</f>
        <v/>
      </c>
      <c r="K118" s="459" t="str">
        <f>EL!L31</f>
        <v>STT</v>
      </c>
      <c r="L118" s="460" cm="1">
        <f t="array" aca="1" ref="L118" ca="1">_xlfn.IFS(AND($E118&lt;&gt;"",$M118="Pending",$K118="CTA"),TODAY()-$G118,AND($E118&lt;&gt;"",$M118="Pending",$K118="AUR"),TODAY()-$H118,AND($E118&lt;&gt;"",$M118="Pending",$K118="STT"),TODAY()-$I118,OR(K118="Closed",K118=""),"")</f>
        <v>14</v>
      </c>
      <c r="M118" s="461" t="str">
        <f>VLOOKUP(C118,EL!$E$4:$AC$622,9,0)</f>
        <v>Pending</v>
      </c>
      <c r="N118" s="461" t="str">
        <f t="shared" ca="1" si="3"/>
        <v>Overdue</v>
      </c>
      <c r="O118" s="739" t="str">
        <f>EL!O31</f>
        <v>GC</v>
      </c>
      <c r="P118" s="746" t="str" cm="1">
        <f t="array" ref="P118:P342">EL!BJ31:BJ255</f>
        <v>NO</v>
      </c>
    </row>
    <row r="119" spans="1:17" s="385" customFormat="1" ht="27" customHeight="1">
      <c r="A119" s="399">
        <v>26</v>
      </c>
      <c r="B119" s="455" t="s">
        <v>52</v>
      </c>
      <c r="C119" s="646" t="s">
        <v>483</v>
      </c>
      <c r="D119" s="456" t="str">
        <f>_xlfn.XLOOKUP(C119,EL!$E$4:$E$82,EL!$D$4:$D$82)</f>
        <v>LV  Single Line Diagram For Fan Wall UPS For Level 2</v>
      </c>
      <c r="E119" s="597">
        <f>IF(VLOOKUP(C119,EL!$E$4:$AC$505,7,0)="","",VLOOKUP(C119,EL!$E$4:$AC$1004,7,0))</f>
        <v>0</v>
      </c>
      <c r="F119" s="457"/>
      <c r="G119" s="458">
        <f>IF(VLOOKUP(C119,EL!$E$4:$AC$514,5,0)="","",VLOOKUP(C119,EL!$E$4:$AC$514,5,0))</f>
        <v>46046</v>
      </c>
      <c r="H119" s="459">
        <f>IF(ISNA(MATCH($C119,EL!$E$4:$E$1012,0)),"",
IF($E119=0,IF(INDEX(EL!$R$4:$R$1012,MATCH($C119,EL!$E$4:$E$1012,0))="","",INDEX(EL!$R$4:$R$1012,MATCH($C119,EL!$E$4:$E$1012,0))),
IF($E119=1,IF(INDEX(EL!$W$4:$W$1012,MATCH($C119,EL!$E$4:$E$1012,0))="","",INDEX(EL!$W$4:$W$1012,MATCH($C119,EL!$E$4:$E$1012,0))),
IF($E119=2,IF(INDEX(EL!$AB$4:$AB$1012,MATCH($C119,EL!$E$4:$E$1012,0))="","",INDEX(EL!$AB$4:$AB$1012,MATCH($C119,EL!$E$4:$E$1012,0))),
IF($E119=3,IF(INDEX(EL!$AG$4:$AG$1012,MATCH($C119,EL!$E$4:$E$1012,0))="","",INDEX(EL!$AG$4:$AG$1012,MATCH($C119,EL!$E$4:$E$1012,0))),
IF($E119=4,IF(INDEX(EL!$AN$4:$AN$1012,MATCH($C119,EL!$E$4:$E$1012,0))="","",INDEX(EL!$AN$4:$AN$1012,MATCH($C119,EL!$E$4:$E$1012,0))),
IF($E119=5,IF(INDEX(EL!$AS$4:$AS$1012,MATCH($C119,EL!$E$4:$E$1012,0))="","",INDEX(EL!$AS$4:$AS$1012,MATCH($C119,EL!$E$4:$E$1012,0))),"")))))))</f>
        <v>46050</v>
      </c>
      <c r="I119" s="459">
        <f>IF(ISNA(MATCH($C119,EL!$E$4:$E$1012,0)),"",
IF($E119=0,IF(INDEX(EL!$S$4:$S$1012,MATCH($C119,EL!$E$4:$E$1012,0))="","",INDEX(EL!$S$4:$S$1012,MATCH($C119,EL!$E$4:$E$1012,0))),
IF($E119=1,IF(INDEX(EL!$X$4:$X$1012,MATCH($C119,EL!$E$4:$E$1012,0))="","",INDEX(EL!$X$4:$X$1012,MATCH($C119,EL!$E$4:$E$1012,0))),
IF($E119=2,IF(INDEX(EL!$AC$4:$AC$1012,MATCH($C119,EL!$E$4:$E$1012,0))="","",INDEX(EL!$AC$4:$AC$1012,MATCH($C119,EL!$E$4:$E$1012,0))),
IF($E119=3,IF(INDEX(EL!$AH$4:$AH$1012,MATCH($C119,EL!$E$4:$E$1012,0))="","",INDEX(EL!$AH$4:$AH$1012,MATCH($C119,EL!$E$4:$E$1012,0))),
IF($E119=4,IF(INDEX(EL!$AM$4:$AM$1012,MATCH($C119,EL!$E$4:$E$1012,0))="","",INDEX(EL!$AM$4:$AM$1012,MATCH($C119,EL!$E$4:$E$1012,0))),
IF($E119=5,IF(INDEX(EL!$AR$4:$AR$1012,MATCH($C119,EL!$E$4:$E$1012,0))="","",INDEX(EL!$AR$4:$AR$1012,MATCH($C119,EL!$E$4:$E$1012,0))),"")))))))</f>
        <v>46052</v>
      </c>
      <c r="J119" s="459" t="str">
        <f>IF(ISNA(MATCH($C119,EL!$E$4:$E$1012,0)),"",
IF($E119=0,IF(INDEX(EL!$T$4:$T$1012,MATCH($C119,EL!$E$4:$E$1012,0))="","",INDEX(EL!$T$4:$T$1012,MATCH($C119,EL!$E$4:$E$1012,0))),
IF($E119=1,IF(INDEX(EL!$Y$4:$Y$1012,MATCH($C119,EL!$E$4:$E$1012,0))="","",INDEX(EL!$Y$4:$Y$1012,MATCH($C119,EL!$E$4:$E$1012,0))),
IF($E119=2,IF(INDEX(EL!$AD$4:$AD$1012,MATCH($C119,EL!$E$4:$E$1012,0))="","",INDEX(EL!$AD$4:$AD$1012,MATCH($C119,EL!$E$4:$E$1012,0))),
IF($E119=3,IF(INDEX(EL!$AI$4:$AI$1012,MATCH($C119,EL!$E$4:$E$1012,0))="","",INDEX(EL!$AI$4:$AI$1012,MATCH($C119,EL!$E$4:$E$1012,0))),
IF($E119=4,IF(INDEX(EL!$AN$4:$AN$1012,MATCH($C119,EL!$E$4:$E$1012,0))="","",INDEX(EL!$AN$4:$AN$1012,MATCH($C119,EL!$E$4:$E$1012,0))),
IF($E119=5,IF(INDEX(EL!$AS$4:$AS$1012,MATCH($C119,EL!$E$4:$E$1012,0))="","",INDEX(EL!$AS$4:$AS$1012,MATCH($C119,EL!$E$4:$E$1012,0))),"")))))))</f>
        <v/>
      </c>
      <c r="K119" s="459" t="str">
        <f>EL!L32</f>
        <v>STT</v>
      </c>
      <c r="L119" s="460" cm="1">
        <f t="array" aca="1" ref="L119" ca="1">_xlfn.IFS(AND($E119&lt;&gt;"",$M119="Pending",$K119="CTA"),TODAY()-$G119,AND($E119&lt;&gt;"",$M119="Pending",$K119="AUR"),TODAY()-$H119,AND($E119&lt;&gt;"",$M119="Pending",$K119="STT"),TODAY()-$I119,OR(K119="Closed",K119=""),"")</f>
        <v>14</v>
      </c>
      <c r="M119" s="461" t="str">
        <f>VLOOKUP(C119,EL!$E$4:$AC$622,9,0)</f>
        <v>Pending</v>
      </c>
      <c r="N119" s="461" t="str">
        <f t="shared" ca="1" si="3"/>
        <v>Overdue</v>
      </c>
      <c r="O119" s="739" t="str">
        <f>EL!O32</f>
        <v>GC</v>
      </c>
      <c r="P119" s="746" t="str">
        <v>NO</v>
      </c>
    </row>
    <row r="120" spans="1:17" s="385" customFormat="1" ht="27" customHeight="1">
      <c r="A120" s="399">
        <v>27</v>
      </c>
      <c r="B120" s="455" t="s">
        <v>52</v>
      </c>
      <c r="C120" s="646" t="s">
        <v>486</v>
      </c>
      <c r="D120" s="456" t="str">
        <f>_xlfn.XLOOKUP(C120,EL!$E$4:$E$82,EL!$D$4:$D$82)</f>
        <v>LV  Single Line Diagram For Fan Wall UPS For Level 3</v>
      </c>
      <c r="E120" s="597">
        <f>IF(VLOOKUP(C120,EL!$E$4:$AC$505,7,0)="","",VLOOKUP(C120,EL!$E$4:$AC$1004,7,0))</f>
        <v>0</v>
      </c>
      <c r="F120" s="462"/>
      <c r="G120" s="458">
        <f>IF(VLOOKUP(C120,EL!$E$4:$AC$514,5,0)="","",VLOOKUP(C120,EL!$E$4:$AC$514,5,0))</f>
        <v>46046</v>
      </c>
      <c r="H120" s="459">
        <f>IF(ISNA(MATCH($C120,EL!$E$4:$E$1012,0)),"",
IF($E120=0,IF(INDEX(EL!$R$4:$R$1012,MATCH($C120,EL!$E$4:$E$1012,0))="","",INDEX(EL!$R$4:$R$1012,MATCH($C120,EL!$E$4:$E$1012,0))),
IF($E120=1,IF(INDEX(EL!$W$4:$W$1012,MATCH($C120,EL!$E$4:$E$1012,0))="","",INDEX(EL!$W$4:$W$1012,MATCH($C120,EL!$E$4:$E$1012,0))),
IF($E120=2,IF(INDEX(EL!$AB$4:$AB$1012,MATCH($C120,EL!$E$4:$E$1012,0))="","",INDEX(EL!$AB$4:$AB$1012,MATCH($C120,EL!$E$4:$E$1012,0))),
IF($E120=3,IF(INDEX(EL!$AG$4:$AG$1012,MATCH($C120,EL!$E$4:$E$1012,0))="","",INDEX(EL!$AG$4:$AG$1012,MATCH($C120,EL!$E$4:$E$1012,0))),
IF($E120=4,IF(INDEX(EL!$AN$4:$AN$1012,MATCH($C120,EL!$E$4:$E$1012,0))="","",INDEX(EL!$AN$4:$AN$1012,MATCH($C120,EL!$E$4:$E$1012,0))),
IF($E120=5,IF(INDEX(EL!$AS$4:$AS$1012,MATCH($C120,EL!$E$4:$E$1012,0))="","",INDEX(EL!$AS$4:$AS$1012,MATCH($C120,EL!$E$4:$E$1012,0))),"")))))))</f>
        <v>46050</v>
      </c>
      <c r="I120" s="459">
        <f>IF(ISNA(MATCH($C120,EL!$E$4:$E$1012,0)),"",
IF($E120=0,IF(INDEX(EL!$S$4:$S$1012,MATCH($C120,EL!$E$4:$E$1012,0))="","",INDEX(EL!$S$4:$S$1012,MATCH($C120,EL!$E$4:$E$1012,0))),
IF($E120=1,IF(INDEX(EL!$X$4:$X$1012,MATCH($C120,EL!$E$4:$E$1012,0))="","",INDEX(EL!$X$4:$X$1012,MATCH($C120,EL!$E$4:$E$1012,0))),
IF($E120=2,IF(INDEX(EL!$AC$4:$AC$1012,MATCH($C120,EL!$E$4:$E$1012,0))="","",INDEX(EL!$AC$4:$AC$1012,MATCH($C120,EL!$E$4:$E$1012,0))),
IF($E120=3,IF(INDEX(EL!$AH$4:$AH$1012,MATCH($C120,EL!$E$4:$E$1012,0))="","",INDEX(EL!$AH$4:$AH$1012,MATCH($C120,EL!$E$4:$E$1012,0))),
IF($E120=4,IF(INDEX(EL!$AM$4:$AM$1012,MATCH($C120,EL!$E$4:$E$1012,0))="","",INDEX(EL!$AM$4:$AM$1012,MATCH($C120,EL!$E$4:$E$1012,0))),
IF($E120=5,IF(INDEX(EL!$AR$4:$AR$1012,MATCH($C120,EL!$E$4:$E$1012,0))="","",INDEX(EL!$AR$4:$AR$1012,MATCH($C120,EL!$E$4:$E$1012,0))),"")))))))</f>
        <v>46052</v>
      </c>
      <c r="J120" s="459" t="str">
        <f>IF(ISNA(MATCH($C120,EL!$E$4:$E$1012,0)),"",
IF($E120=0,IF(INDEX(EL!$T$4:$T$1012,MATCH($C120,EL!$E$4:$E$1012,0))="","",INDEX(EL!$T$4:$T$1012,MATCH($C120,EL!$E$4:$E$1012,0))),
IF($E120=1,IF(INDEX(EL!$Y$4:$Y$1012,MATCH($C120,EL!$E$4:$E$1012,0))="","",INDEX(EL!$Y$4:$Y$1012,MATCH($C120,EL!$E$4:$E$1012,0))),
IF($E120=2,IF(INDEX(EL!$AD$4:$AD$1012,MATCH($C120,EL!$E$4:$E$1012,0))="","",INDEX(EL!$AD$4:$AD$1012,MATCH($C120,EL!$E$4:$E$1012,0))),
IF($E120=3,IF(INDEX(EL!$AI$4:$AI$1012,MATCH($C120,EL!$E$4:$E$1012,0))="","",INDEX(EL!$AI$4:$AI$1012,MATCH($C120,EL!$E$4:$E$1012,0))),
IF($E120=4,IF(INDEX(EL!$AN$4:$AN$1012,MATCH($C120,EL!$E$4:$E$1012,0))="","",INDEX(EL!$AN$4:$AN$1012,MATCH($C120,EL!$E$4:$E$1012,0))),
IF($E120=5,IF(INDEX(EL!$AS$4:$AS$1012,MATCH($C120,EL!$E$4:$E$1012,0))="","",INDEX(EL!$AS$4:$AS$1012,MATCH($C120,EL!$E$4:$E$1012,0))),"")))))))</f>
        <v/>
      </c>
      <c r="K120" s="459" t="str">
        <f>EL!L33</f>
        <v>STT</v>
      </c>
      <c r="L120" s="460" cm="1">
        <f t="array" aca="1" ref="L120" ca="1">_xlfn.IFS(AND($E120&lt;&gt;"",$M120="Pending",$K120="CTA"),TODAY()-$G120,AND($E120&lt;&gt;"",$M120="Pending",$K120="AUR"),TODAY()-$H120,AND($E120&lt;&gt;"",$M120="Pending",$K120="STT"),TODAY()-$I120,OR(K120="Closed",K120=""),"")</f>
        <v>14</v>
      </c>
      <c r="M120" s="461" t="str">
        <f>VLOOKUP(C120,EL!$E$4:$AC$622,9,0)</f>
        <v>Pending</v>
      </c>
      <c r="N120" s="461" t="str">
        <f t="shared" ca="1" si="3"/>
        <v>Overdue</v>
      </c>
      <c r="O120" s="739" t="str">
        <f>EL!O33</f>
        <v>GC</v>
      </c>
      <c r="P120" s="746" t="str">
        <v>NO</v>
      </c>
    </row>
    <row r="121" spans="1:17" s="385" customFormat="1" ht="27" customHeight="1">
      <c r="A121" s="399">
        <v>28</v>
      </c>
      <c r="B121" s="455" t="s">
        <v>52</v>
      </c>
      <c r="C121" s="646" t="s">
        <v>489</v>
      </c>
      <c r="D121" s="456" t="str">
        <f>_xlfn.XLOOKUP(C121,EL!$E$4:$E$82,EL!$D$4:$D$82)</f>
        <v>LV  Single Line Diagram For Fan Wall UPS For Level 4</v>
      </c>
      <c r="E121" s="597">
        <f>IF(VLOOKUP(C121,EL!$E$4:$AC$505,7,0)="","",VLOOKUP(C121,EL!$E$4:$AC$1004,7,0))</f>
        <v>0</v>
      </c>
      <c r="F121" s="462"/>
      <c r="G121" s="458">
        <f>IF(VLOOKUP(C121,EL!$E$4:$AC$514,5,0)="","",VLOOKUP(C121,EL!$E$4:$AC$514,5,0))</f>
        <v>46046</v>
      </c>
      <c r="H121" s="459">
        <f>IF(ISNA(MATCH($C121,EL!$E$4:$E$1012,0)),"",
IF($E121=0,IF(INDEX(EL!$R$4:$R$1012,MATCH($C121,EL!$E$4:$E$1012,0))="","",INDEX(EL!$R$4:$R$1012,MATCH($C121,EL!$E$4:$E$1012,0))),
IF($E121=1,IF(INDEX(EL!$W$4:$W$1012,MATCH($C121,EL!$E$4:$E$1012,0))="","",INDEX(EL!$W$4:$W$1012,MATCH($C121,EL!$E$4:$E$1012,0))),
IF($E121=2,IF(INDEX(EL!$AB$4:$AB$1012,MATCH($C121,EL!$E$4:$E$1012,0))="","",INDEX(EL!$AB$4:$AB$1012,MATCH($C121,EL!$E$4:$E$1012,0))),
IF($E121=3,IF(INDEX(EL!$AG$4:$AG$1012,MATCH($C121,EL!$E$4:$E$1012,0))="","",INDEX(EL!$AG$4:$AG$1012,MATCH($C121,EL!$E$4:$E$1012,0))),
IF($E121=4,IF(INDEX(EL!$AN$4:$AN$1012,MATCH($C121,EL!$E$4:$E$1012,0))="","",INDEX(EL!$AN$4:$AN$1012,MATCH($C121,EL!$E$4:$E$1012,0))),
IF($E121=5,IF(INDEX(EL!$AS$4:$AS$1012,MATCH($C121,EL!$E$4:$E$1012,0))="","",INDEX(EL!$AS$4:$AS$1012,MATCH($C121,EL!$E$4:$E$1012,0))),"")))))))</f>
        <v>46050</v>
      </c>
      <c r="I121" s="459">
        <f>IF(ISNA(MATCH($C121,EL!$E$4:$E$1012,0)),"",
IF($E121=0,IF(INDEX(EL!$S$4:$S$1012,MATCH($C121,EL!$E$4:$E$1012,0))="","",INDEX(EL!$S$4:$S$1012,MATCH($C121,EL!$E$4:$E$1012,0))),
IF($E121=1,IF(INDEX(EL!$X$4:$X$1012,MATCH($C121,EL!$E$4:$E$1012,0))="","",INDEX(EL!$X$4:$X$1012,MATCH($C121,EL!$E$4:$E$1012,0))),
IF($E121=2,IF(INDEX(EL!$AC$4:$AC$1012,MATCH($C121,EL!$E$4:$E$1012,0))="","",INDEX(EL!$AC$4:$AC$1012,MATCH($C121,EL!$E$4:$E$1012,0))),
IF($E121=3,IF(INDEX(EL!$AH$4:$AH$1012,MATCH($C121,EL!$E$4:$E$1012,0))="","",INDEX(EL!$AH$4:$AH$1012,MATCH($C121,EL!$E$4:$E$1012,0))),
IF($E121=4,IF(INDEX(EL!$AM$4:$AM$1012,MATCH($C121,EL!$E$4:$E$1012,0))="","",INDEX(EL!$AM$4:$AM$1012,MATCH($C121,EL!$E$4:$E$1012,0))),
IF($E121=5,IF(INDEX(EL!$AR$4:$AR$1012,MATCH($C121,EL!$E$4:$E$1012,0))="","",INDEX(EL!$AR$4:$AR$1012,MATCH($C121,EL!$E$4:$E$1012,0))),"")))))))</f>
        <v>46052</v>
      </c>
      <c r="J121" s="459" t="str">
        <f>IF(ISNA(MATCH($C121,EL!$E$4:$E$1012,0)),"",
IF($E121=0,IF(INDEX(EL!$T$4:$T$1012,MATCH($C121,EL!$E$4:$E$1012,0))="","",INDEX(EL!$T$4:$T$1012,MATCH($C121,EL!$E$4:$E$1012,0))),
IF($E121=1,IF(INDEX(EL!$Y$4:$Y$1012,MATCH($C121,EL!$E$4:$E$1012,0))="","",INDEX(EL!$Y$4:$Y$1012,MATCH($C121,EL!$E$4:$E$1012,0))),
IF($E121=2,IF(INDEX(EL!$AD$4:$AD$1012,MATCH($C121,EL!$E$4:$E$1012,0))="","",INDEX(EL!$AD$4:$AD$1012,MATCH($C121,EL!$E$4:$E$1012,0))),
IF($E121=3,IF(INDEX(EL!$AI$4:$AI$1012,MATCH($C121,EL!$E$4:$E$1012,0))="","",INDEX(EL!$AI$4:$AI$1012,MATCH($C121,EL!$E$4:$E$1012,0))),
IF($E121=4,IF(INDEX(EL!$AN$4:$AN$1012,MATCH($C121,EL!$E$4:$E$1012,0))="","",INDEX(EL!$AN$4:$AN$1012,MATCH($C121,EL!$E$4:$E$1012,0))),
IF($E121=5,IF(INDEX(EL!$AS$4:$AS$1012,MATCH($C121,EL!$E$4:$E$1012,0))="","",INDEX(EL!$AS$4:$AS$1012,MATCH($C121,EL!$E$4:$E$1012,0))),"")))))))</f>
        <v/>
      </c>
      <c r="K121" s="459" t="str">
        <f>EL!L34</f>
        <v>STT</v>
      </c>
      <c r="L121" s="460" cm="1">
        <f t="array" aca="1" ref="L121" ca="1">_xlfn.IFS(AND($E121&lt;&gt;"",$M121="Pending",$K121="CTA"),TODAY()-$G121,AND($E121&lt;&gt;"",$M121="Pending",$K121="AUR"),TODAY()-$H121,AND($E121&lt;&gt;"",$M121="Pending",$K121="STT"),TODAY()-$I121,OR(K121="Closed",K121=""),"")</f>
        <v>14</v>
      </c>
      <c r="M121" s="461" t="str">
        <f>VLOOKUP(C121,EL!$E$4:$AC$622,9,0)</f>
        <v>Pending</v>
      </c>
      <c r="N121" s="461" t="str">
        <f t="shared" ca="1" si="3"/>
        <v>Overdue</v>
      </c>
      <c r="O121" s="739" t="str">
        <f>EL!O34</f>
        <v>GC</v>
      </c>
      <c r="P121" s="746" t="str">
        <v>NO</v>
      </c>
    </row>
    <row r="122" spans="1:17" s="385" customFormat="1" ht="27" customHeight="1">
      <c r="A122" s="399">
        <v>29</v>
      </c>
      <c r="B122" s="455" t="s">
        <v>52</v>
      </c>
      <c r="C122" s="646" t="s">
        <v>492</v>
      </c>
      <c r="D122" s="456" t="str">
        <f>_xlfn.XLOOKUP(C122,EL!$E$4:$E$82,EL!$D$4:$D$82)</f>
        <v>LV  Single Line Diagram For Fan Wall UPS For Level 5</v>
      </c>
      <c r="E122" s="597">
        <f>IF(VLOOKUP(C122,EL!$E$4:$AC$505,7,0)="","",VLOOKUP(C122,EL!$E$4:$AC$1004,7,0))</f>
        <v>0</v>
      </c>
      <c r="F122" s="462"/>
      <c r="G122" s="458">
        <f>IF(VLOOKUP(C122,EL!$E$4:$AC$514,5,0)="","",VLOOKUP(C122,EL!$E$4:$AC$514,5,0))</f>
        <v>46046</v>
      </c>
      <c r="H122" s="459">
        <f>IF(ISNA(MATCH($C122,EL!$E$4:$E$1012,0)),"",
IF($E122=0,IF(INDEX(EL!$R$4:$R$1012,MATCH($C122,EL!$E$4:$E$1012,0))="","",INDEX(EL!$R$4:$R$1012,MATCH($C122,EL!$E$4:$E$1012,0))),
IF($E122=1,IF(INDEX(EL!$W$4:$W$1012,MATCH($C122,EL!$E$4:$E$1012,0))="","",INDEX(EL!$W$4:$W$1012,MATCH($C122,EL!$E$4:$E$1012,0))),
IF($E122=2,IF(INDEX(EL!$AB$4:$AB$1012,MATCH($C122,EL!$E$4:$E$1012,0))="","",INDEX(EL!$AB$4:$AB$1012,MATCH($C122,EL!$E$4:$E$1012,0))),
IF($E122=3,IF(INDEX(EL!$AG$4:$AG$1012,MATCH($C122,EL!$E$4:$E$1012,0))="","",INDEX(EL!$AG$4:$AG$1012,MATCH($C122,EL!$E$4:$E$1012,0))),
IF($E122=4,IF(INDEX(EL!$AN$4:$AN$1012,MATCH($C122,EL!$E$4:$E$1012,0))="","",INDEX(EL!$AN$4:$AN$1012,MATCH($C122,EL!$E$4:$E$1012,0))),
IF($E122=5,IF(INDEX(EL!$AS$4:$AS$1012,MATCH($C122,EL!$E$4:$E$1012,0))="","",INDEX(EL!$AS$4:$AS$1012,MATCH($C122,EL!$E$4:$E$1012,0))),"")))))))</f>
        <v>46050</v>
      </c>
      <c r="I122" s="459">
        <f>IF(ISNA(MATCH($C122,EL!$E$4:$E$1012,0)),"",
IF($E122=0,IF(INDEX(EL!$S$4:$S$1012,MATCH($C122,EL!$E$4:$E$1012,0))="","",INDEX(EL!$S$4:$S$1012,MATCH($C122,EL!$E$4:$E$1012,0))),
IF($E122=1,IF(INDEX(EL!$X$4:$X$1012,MATCH($C122,EL!$E$4:$E$1012,0))="","",INDEX(EL!$X$4:$X$1012,MATCH($C122,EL!$E$4:$E$1012,0))),
IF($E122=2,IF(INDEX(EL!$AC$4:$AC$1012,MATCH($C122,EL!$E$4:$E$1012,0))="","",INDEX(EL!$AC$4:$AC$1012,MATCH($C122,EL!$E$4:$E$1012,0))),
IF($E122=3,IF(INDEX(EL!$AH$4:$AH$1012,MATCH($C122,EL!$E$4:$E$1012,0))="","",INDEX(EL!$AH$4:$AH$1012,MATCH($C122,EL!$E$4:$E$1012,0))),
IF($E122=4,IF(INDEX(EL!$AM$4:$AM$1012,MATCH($C122,EL!$E$4:$E$1012,0))="","",INDEX(EL!$AM$4:$AM$1012,MATCH($C122,EL!$E$4:$E$1012,0))),
IF($E122=5,IF(INDEX(EL!$AR$4:$AR$1012,MATCH($C122,EL!$E$4:$E$1012,0))="","",INDEX(EL!$AR$4:$AR$1012,MATCH($C122,EL!$E$4:$E$1012,0))),"")))))))</f>
        <v>46052</v>
      </c>
      <c r="J122" s="459" t="str">
        <f>IF(ISNA(MATCH($C122,EL!$E$4:$E$1012,0)),"",
IF($E122=0,IF(INDEX(EL!$T$4:$T$1012,MATCH($C122,EL!$E$4:$E$1012,0))="","",INDEX(EL!$T$4:$T$1012,MATCH($C122,EL!$E$4:$E$1012,0))),
IF($E122=1,IF(INDEX(EL!$Y$4:$Y$1012,MATCH($C122,EL!$E$4:$E$1012,0))="","",INDEX(EL!$Y$4:$Y$1012,MATCH($C122,EL!$E$4:$E$1012,0))),
IF($E122=2,IF(INDEX(EL!$AD$4:$AD$1012,MATCH($C122,EL!$E$4:$E$1012,0))="","",INDEX(EL!$AD$4:$AD$1012,MATCH($C122,EL!$E$4:$E$1012,0))),
IF($E122=3,IF(INDEX(EL!$AI$4:$AI$1012,MATCH($C122,EL!$E$4:$E$1012,0))="","",INDEX(EL!$AI$4:$AI$1012,MATCH($C122,EL!$E$4:$E$1012,0))),
IF($E122=4,IF(INDEX(EL!$AN$4:$AN$1012,MATCH($C122,EL!$E$4:$E$1012,0))="","",INDEX(EL!$AN$4:$AN$1012,MATCH($C122,EL!$E$4:$E$1012,0))),
IF($E122=5,IF(INDEX(EL!$AS$4:$AS$1012,MATCH($C122,EL!$E$4:$E$1012,0))="","",INDEX(EL!$AS$4:$AS$1012,MATCH($C122,EL!$E$4:$E$1012,0))),"")))))))</f>
        <v/>
      </c>
      <c r="K122" s="459" t="str">
        <f>EL!L35</f>
        <v>STT</v>
      </c>
      <c r="L122" s="460" cm="1">
        <f t="array" aca="1" ref="L122" ca="1">_xlfn.IFS(AND($E122&lt;&gt;"",$M122="Pending",$K122="CTA"),TODAY()-$G122,AND($E122&lt;&gt;"",$M122="Pending",$K122="AUR"),TODAY()-$H122,AND($E122&lt;&gt;"",$M122="Pending",$K122="STT"),TODAY()-$I122,OR(K122="Closed",K122=""),"")</f>
        <v>14</v>
      </c>
      <c r="M122" s="461" t="str">
        <f>VLOOKUP(C122,EL!$E$4:$AC$622,9,0)</f>
        <v>Pending</v>
      </c>
      <c r="N122" s="461" t="str">
        <f t="shared" ca="1" si="3"/>
        <v>Overdue</v>
      </c>
      <c r="O122" s="739" t="str">
        <f>EL!O35</f>
        <v>GC</v>
      </c>
      <c r="P122" s="746" t="str">
        <v>NO</v>
      </c>
    </row>
    <row r="123" spans="1:17" s="385" customFormat="1" ht="27" customHeight="1">
      <c r="A123" s="399">
        <v>30</v>
      </c>
      <c r="B123" s="455" t="s">
        <v>52</v>
      </c>
      <c r="C123" s="646" t="s">
        <v>495</v>
      </c>
      <c r="D123" s="456" t="str">
        <f>_xlfn.XLOOKUP(C123,EL!$E$4:$E$82,EL!$D$4:$D$82)</f>
        <v>LV  Single Line Diagram For Fan Wall OUSB For Level 2 and Level 3</v>
      </c>
      <c r="E123" s="597">
        <f>IF(VLOOKUP(C123,EL!$E$4:$AC$505,7,0)="","",VLOOKUP(C123,EL!$E$4:$AC$1004,7,0))</f>
        <v>0</v>
      </c>
      <c r="F123" s="457"/>
      <c r="G123" s="458">
        <f>IF(VLOOKUP(C123,EL!$E$4:$AC$514,5,0)="","",VLOOKUP(C123,EL!$E$4:$AC$514,5,0))</f>
        <v>46046</v>
      </c>
      <c r="H123" s="459">
        <f>IF(ISNA(MATCH($C123,EL!$E$4:$E$1012,0)),"",
IF($E123=0,IF(INDEX(EL!$R$4:$R$1012,MATCH($C123,EL!$E$4:$E$1012,0))="","",INDEX(EL!$R$4:$R$1012,MATCH($C123,EL!$E$4:$E$1012,0))),
IF($E123=1,IF(INDEX(EL!$W$4:$W$1012,MATCH($C123,EL!$E$4:$E$1012,0))="","",INDEX(EL!$W$4:$W$1012,MATCH($C123,EL!$E$4:$E$1012,0))),
IF($E123=2,IF(INDEX(EL!$AB$4:$AB$1012,MATCH($C123,EL!$E$4:$E$1012,0))="","",INDEX(EL!$AB$4:$AB$1012,MATCH($C123,EL!$E$4:$E$1012,0))),
IF($E123=3,IF(INDEX(EL!$AG$4:$AG$1012,MATCH($C123,EL!$E$4:$E$1012,0))="","",INDEX(EL!$AG$4:$AG$1012,MATCH($C123,EL!$E$4:$E$1012,0))),
IF($E123=4,IF(INDEX(EL!$AN$4:$AN$1012,MATCH($C123,EL!$E$4:$E$1012,0))="","",INDEX(EL!$AN$4:$AN$1012,MATCH($C123,EL!$E$4:$E$1012,0))),
IF($E123=5,IF(INDEX(EL!$AS$4:$AS$1012,MATCH($C123,EL!$E$4:$E$1012,0))="","",INDEX(EL!$AS$4:$AS$1012,MATCH($C123,EL!$E$4:$E$1012,0))),"")))))))</f>
        <v>46049</v>
      </c>
      <c r="I123" s="459">
        <f>IF(ISNA(MATCH($C123,EL!$E$4:$E$1012,0)),"",
IF($E123=0,IF(INDEX(EL!$S$4:$S$1012,MATCH($C123,EL!$E$4:$E$1012,0))="","",INDEX(EL!$S$4:$S$1012,MATCH($C123,EL!$E$4:$E$1012,0))),
IF($E123=1,IF(INDEX(EL!$X$4:$X$1012,MATCH($C123,EL!$E$4:$E$1012,0))="","",INDEX(EL!$X$4:$X$1012,MATCH($C123,EL!$E$4:$E$1012,0))),
IF($E123=2,IF(INDEX(EL!$AC$4:$AC$1012,MATCH($C123,EL!$E$4:$E$1012,0))="","",INDEX(EL!$AC$4:$AC$1012,MATCH($C123,EL!$E$4:$E$1012,0))),
IF($E123=3,IF(INDEX(EL!$AH$4:$AH$1012,MATCH($C123,EL!$E$4:$E$1012,0))="","",INDEX(EL!$AH$4:$AH$1012,MATCH($C123,EL!$E$4:$E$1012,0))),
IF($E123=4,IF(INDEX(EL!$AM$4:$AM$1012,MATCH($C123,EL!$E$4:$E$1012,0))="","",INDEX(EL!$AM$4:$AM$1012,MATCH($C123,EL!$E$4:$E$1012,0))),
IF($E123=5,IF(INDEX(EL!$AR$4:$AR$1012,MATCH($C123,EL!$E$4:$E$1012,0))="","",INDEX(EL!$AR$4:$AR$1012,MATCH($C123,EL!$E$4:$E$1012,0))),"")))))))</f>
        <v>46052</v>
      </c>
      <c r="J123" s="459" t="str">
        <f>IF(ISNA(MATCH($C123,EL!$E$4:$E$1012,0)),"",
IF($E123=0,IF(INDEX(EL!$T$4:$T$1012,MATCH($C123,EL!$E$4:$E$1012,0))="","",INDEX(EL!$T$4:$T$1012,MATCH($C123,EL!$E$4:$E$1012,0))),
IF($E123=1,IF(INDEX(EL!$Y$4:$Y$1012,MATCH($C123,EL!$E$4:$E$1012,0))="","",INDEX(EL!$Y$4:$Y$1012,MATCH($C123,EL!$E$4:$E$1012,0))),
IF($E123=2,IF(INDEX(EL!$AD$4:$AD$1012,MATCH($C123,EL!$E$4:$E$1012,0))="","",INDEX(EL!$AD$4:$AD$1012,MATCH($C123,EL!$E$4:$E$1012,0))),
IF($E123=3,IF(INDEX(EL!$AI$4:$AI$1012,MATCH($C123,EL!$E$4:$E$1012,0))="","",INDEX(EL!$AI$4:$AI$1012,MATCH($C123,EL!$E$4:$E$1012,0))),
IF($E123=4,IF(INDEX(EL!$AN$4:$AN$1012,MATCH($C123,EL!$E$4:$E$1012,0))="","",INDEX(EL!$AN$4:$AN$1012,MATCH($C123,EL!$E$4:$E$1012,0))),
IF($E123=5,IF(INDEX(EL!$AS$4:$AS$1012,MATCH($C123,EL!$E$4:$E$1012,0))="","",INDEX(EL!$AS$4:$AS$1012,MATCH($C123,EL!$E$4:$E$1012,0))),"")))))))</f>
        <v/>
      </c>
      <c r="K123" s="459" t="str">
        <f>EL!L36</f>
        <v>STT</v>
      </c>
      <c r="L123" s="460" cm="1">
        <f t="array" aca="1" ref="L123" ca="1">_xlfn.IFS(AND($E123&lt;&gt;"",$M123="Pending",$K123="CTA"),TODAY()-$G123,AND($E123&lt;&gt;"",$M123="Pending",$K123="AUR"),TODAY()-$H123,AND($E123&lt;&gt;"",$M123="Pending",$K123="STT"),TODAY()-$I123,OR(K123="Closed",K123=""),"")</f>
        <v>14</v>
      </c>
      <c r="M123" s="461" t="str">
        <f>VLOOKUP(C123,EL!$E$4:$AC$622,9,0)</f>
        <v>Pending</v>
      </c>
      <c r="N123" s="461" t="str">
        <f t="shared" ca="1" si="3"/>
        <v>Overdue</v>
      </c>
      <c r="O123" s="739" t="str">
        <f>EL!O36</f>
        <v>GC</v>
      </c>
      <c r="P123" s="746" t="str">
        <v>NO</v>
      </c>
    </row>
    <row r="124" spans="1:17" s="385" customFormat="1" ht="27" customHeight="1">
      <c r="A124" s="399">
        <v>31</v>
      </c>
      <c r="B124" s="455" t="s">
        <v>52</v>
      </c>
      <c r="C124" s="646" t="s">
        <v>498</v>
      </c>
      <c r="D124" s="456" t="str">
        <f>_xlfn.XLOOKUP(C124,EL!$E$4:$E$82,EL!$D$4:$D$82)</f>
        <v>LV  Single Line Diagram For Fan Wall OUSB For Level 4 and Level 5</v>
      </c>
      <c r="E124" s="597">
        <f>IF(VLOOKUP(C124,EL!$E$4:$AC$505,7,0)="","",VLOOKUP(C124,EL!$E$4:$AC$1004,7,0))</f>
        <v>0</v>
      </c>
      <c r="F124" s="466"/>
      <c r="G124" s="458">
        <f>IF(VLOOKUP(C124,EL!$E$4:$AC$514,5,0)="","",VLOOKUP(C124,EL!$E$4:$AC$514,5,0))</f>
        <v>46046</v>
      </c>
      <c r="H124" s="459">
        <f>IF(ISNA(MATCH($C124,EL!$E$4:$E$1012,0)),"",
IF($E124=0,IF(INDEX(EL!$R$4:$R$1012,MATCH($C124,EL!$E$4:$E$1012,0))="","",INDEX(EL!$R$4:$R$1012,MATCH($C124,EL!$E$4:$E$1012,0))),
IF($E124=1,IF(INDEX(EL!$W$4:$W$1012,MATCH($C124,EL!$E$4:$E$1012,0))="","",INDEX(EL!$W$4:$W$1012,MATCH($C124,EL!$E$4:$E$1012,0))),
IF($E124=2,IF(INDEX(EL!$AB$4:$AB$1012,MATCH($C124,EL!$E$4:$E$1012,0))="","",INDEX(EL!$AB$4:$AB$1012,MATCH($C124,EL!$E$4:$E$1012,0))),
IF($E124=3,IF(INDEX(EL!$AG$4:$AG$1012,MATCH($C124,EL!$E$4:$E$1012,0))="","",INDEX(EL!$AG$4:$AG$1012,MATCH($C124,EL!$E$4:$E$1012,0))),
IF($E124=4,IF(INDEX(EL!$AN$4:$AN$1012,MATCH($C124,EL!$E$4:$E$1012,0))="","",INDEX(EL!$AN$4:$AN$1012,MATCH($C124,EL!$E$4:$E$1012,0))),
IF($E124=5,IF(INDEX(EL!$AS$4:$AS$1012,MATCH($C124,EL!$E$4:$E$1012,0))="","",INDEX(EL!$AS$4:$AS$1012,MATCH($C124,EL!$E$4:$E$1012,0))),"")))))))</f>
        <v>46049</v>
      </c>
      <c r="I124" s="459">
        <f>IF(ISNA(MATCH($C124,EL!$E$4:$E$1012,0)),"",
IF($E124=0,IF(INDEX(EL!$S$4:$S$1012,MATCH($C124,EL!$E$4:$E$1012,0))="","",INDEX(EL!$S$4:$S$1012,MATCH($C124,EL!$E$4:$E$1012,0))),
IF($E124=1,IF(INDEX(EL!$X$4:$X$1012,MATCH($C124,EL!$E$4:$E$1012,0))="","",INDEX(EL!$X$4:$X$1012,MATCH($C124,EL!$E$4:$E$1012,0))),
IF($E124=2,IF(INDEX(EL!$AC$4:$AC$1012,MATCH($C124,EL!$E$4:$E$1012,0))="","",INDEX(EL!$AC$4:$AC$1012,MATCH($C124,EL!$E$4:$E$1012,0))),
IF($E124=3,IF(INDEX(EL!$AH$4:$AH$1012,MATCH($C124,EL!$E$4:$E$1012,0))="","",INDEX(EL!$AH$4:$AH$1012,MATCH($C124,EL!$E$4:$E$1012,0))),
IF($E124=4,IF(INDEX(EL!$AM$4:$AM$1012,MATCH($C124,EL!$E$4:$E$1012,0))="","",INDEX(EL!$AM$4:$AM$1012,MATCH($C124,EL!$E$4:$E$1012,0))),
IF($E124=5,IF(INDEX(EL!$AR$4:$AR$1012,MATCH($C124,EL!$E$4:$E$1012,0))="","",INDEX(EL!$AR$4:$AR$1012,MATCH($C124,EL!$E$4:$E$1012,0))),"")))))))</f>
        <v>46052</v>
      </c>
      <c r="J124" s="459" t="str">
        <f>IF(ISNA(MATCH($C124,EL!$E$4:$E$1012,0)),"",
IF($E124=0,IF(INDEX(EL!$T$4:$T$1012,MATCH($C124,EL!$E$4:$E$1012,0))="","",INDEX(EL!$T$4:$T$1012,MATCH($C124,EL!$E$4:$E$1012,0))),
IF($E124=1,IF(INDEX(EL!$Y$4:$Y$1012,MATCH($C124,EL!$E$4:$E$1012,0))="","",INDEX(EL!$Y$4:$Y$1012,MATCH($C124,EL!$E$4:$E$1012,0))),
IF($E124=2,IF(INDEX(EL!$AD$4:$AD$1012,MATCH($C124,EL!$E$4:$E$1012,0))="","",INDEX(EL!$AD$4:$AD$1012,MATCH($C124,EL!$E$4:$E$1012,0))),
IF($E124=3,IF(INDEX(EL!$AI$4:$AI$1012,MATCH($C124,EL!$E$4:$E$1012,0))="","",INDEX(EL!$AI$4:$AI$1012,MATCH($C124,EL!$E$4:$E$1012,0))),
IF($E124=4,IF(INDEX(EL!$AN$4:$AN$1012,MATCH($C124,EL!$E$4:$E$1012,0))="","",INDEX(EL!$AN$4:$AN$1012,MATCH($C124,EL!$E$4:$E$1012,0))),
IF($E124=5,IF(INDEX(EL!$AS$4:$AS$1012,MATCH($C124,EL!$E$4:$E$1012,0))="","",INDEX(EL!$AS$4:$AS$1012,MATCH($C124,EL!$E$4:$E$1012,0))),"")))))))</f>
        <v/>
      </c>
      <c r="K124" s="459" t="str">
        <f>EL!L37</f>
        <v>STT</v>
      </c>
      <c r="L124" s="460" cm="1">
        <f t="array" aca="1" ref="L124" ca="1">_xlfn.IFS(AND($E124&lt;&gt;"",$M124="Pending",$K124="CTA"),TODAY()-$G124,AND($E124&lt;&gt;"",$M124="Pending",$K124="AUR"),TODAY()-$H124,AND($E124&lt;&gt;"",$M124="Pending",$K124="STT"),TODAY()-$I124,OR(K124="Closed",K124=""),"")</f>
        <v>14</v>
      </c>
      <c r="M124" s="461" t="str">
        <f>VLOOKUP(C124,EL!$E$4:$AC$622,9,0)</f>
        <v>Pending</v>
      </c>
      <c r="N124" s="461" t="str">
        <f t="shared" ca="1" si="3"/>
        <v>Overdue</v>
      </c>
      <c r="O124" s="739" t="str">
        <f>EL!O37</f>
        <v>GC</v>
      </c>
      <c r="P124" s="746" t="str">
        <v>NO</v>
      </c>
    </row>
    <row r="125" spans="1:17" s="385" customFormat="1" ht="27" customHeight="1">
      <c r="A125" s="399">
        <v>32</v>
      </c>
      <c r="B125" s="455" t="s">
        <v>52</v>
      </c>
      <c r="C125" s="646" t="s">
        <v>501</v>
      </c>
      <c r="D125" s="456" t="str">
        <f>_xlfn.XLOOKUP(C125,EL!$E$4:$E$82,EL!$D$4:$D$82)</f>
        <v>LV  Single Line Diagram For Load Bank</v>
      </c>
      <c r="E125" s="597">
        <f>IF(VLOOKUP(C125,EL!$E$4:$AC$505,7,0)="","",VLOOKUP(C125,EL!$E$4:$AC$1004,7,0))</f>
        <v>0</v>
      </c>
      <c r="F125" s="466"/>
      <c r="G125" s="458">
        <f>IF(VLOOKUP(C125,EL!$E$4:$AC$514,5,0)="","",VLOOKUP(C125,EL!$E$4:$AC$514,5,0))</f>
        <v>46046</v>
      </c>
      <c r="H125" s="459">
        <f>IF(ISNA(MATCH($C125,EL!$E$4:$E$1012,0)),"",
IF($E125=0,IF(INDEX(EL!$R$4:$R$1012,MATCH($C125,EL!$E$4:$E$1012,0))="","",INDEX(EL!$R$4:$R$1012,MATCH($C125,EL!$E$4:$E$1012,0))),
IF($E125=1,IF(INDEX(EL!$W$4:$W$1012,MATCH($C125,EL!$E$4:$E$1012,0))="","",INDEX(EL!$W$4:$W$1012,MATCH($C125,EL!$E$4:$E$1012,0))),
IF($E125=2,IF(INDEX(EL!$AB$4:$AB$1012,MATCH($C125,EL!$E$4:$E$1012,0))="","",INDEX(EL!$AB$4:$AB$1012,MATCH($C125,EL!$E$4:$E$1012,0))),
IF($E125=3,IF(INDEX(EL!$AG$4:$AG$1012,MATCH($C125,EL!$E$4:$E$1012,0))="","",INDEX(EL!$AG$4:$AG$1012,MATCH($C125,EL!$E$4:$E$1012,0))),
IF($E125=4,IF(INDEX(EL!$AN$4:$AN$1012,MATCH($C125,EL!$E$4:$E$1012,0))="","",INDEX(EL!$AN$4:$AN$1012,MATCH($C125,EL!$E$4:$E$1012,0))),
IF($E125=5,IF(INDEX(EL!$AS$4:$AS$1012,MATCH($C125,EL!$E$4:$E$1012,0))="","",INDEX(EL!$AS$4:$AS$1012,MATCH($C125,EL!$E$4:$E$1012,0))),"")))))))</f>
        <v>46049</v>
      </c>
      <c r="I125" s="459">
        <f>IF(ISNA(MATCH($C125,EL!$E$4:$E$1012,0)),"",
IF($E125=0,IF(INDEX(EL!$S$4:$S$1012,MATCH($C125,EL!$E$4:$E$1012,0))="","",INDEX(EL!$S$4:$S$1012,MATCH($C125,EL!$E$4:$E$1012,0))),
IF($E125=1,IF(INDEX(EL!$X$4:$X$1012,MATCH($C125,EL!$E$4:$E$1012,0))="","",INDEX(EL!$X$4:$X$1012,MATCH($C125,EL!$E$4:$E$1012,0))),
IF($E125=2,IF(INDEX(EL!$AC$4:$AC$1012,MATCH($C125,EL!$E$4:$E$1012,0))="","",INDEX(EL!$AC$4:$AC$1012,MATCH($C125,EL!$E$4:$E$1012,0))),
IF($E125=3,IF(INDEX(EL!$AH$4:$AH$1012,MATCH($C125,EL!$E$4:$E$1012,0))="","",INDEX(EL!$AH$4:$AH$1012,MATCH($C125,EL!$E$4:$E$1012,0))),
IF($E125=4,IF(INDEX(EL!$AM$4:$AM$1012,MATCH($C125,EL!$E$4:$E$1012,0))="","",INDEX(EL!$AM$4:$AM$1012,MATCH($C125,EL!$E$4:$E$1012,0))),
IF($E125=5,IF(INDEX(EL!$AR$4:$AR$1012,MATCH($C125,EL!$E$4:$E$1012,0))="","",INDEX(EL!$AR$4:$AR$1012,MATCH($C125,EL!$E$4:$E$1012,0))),"")))))))</f>
        <v>46055</v>
      </c>
      <c r="J125" s="459" t="str">
        <f>IF(ISNA(MATCH($C125,EL!$E$4:$E$1012,0)),"",
IF($E125=0,IF(INDEX(EL!$T$4:$T$1012,MATCH($C125,EL!$E$4:$E$1012,0))="","",INDEX(EL!$T$4:$T$1012,MATCH($C125,EL!$E$4:$E$1012,0))),
IF($E125=1,IF(INDEX(EL!$Y$4:$Y$1012,MATCH($C125,EL!$E$4:$E$1012,0))="","",INDEX(EL!$Y$4:$Y$1012,MATCH($C125,EL!$E$4:$E$1012,0))),
IF($E125=2,IF(INDEX(EL!$AD$4:$AD$1012,MATCH($C125,EL!$E$4:$E$1012,0))="","",INDEX(EL!$AD$4:$AD$1012,MATCH($C125,EL!$E$4:$E$1012,0))),
IF($E125=3,IF(INDEX(EL!$AI$4:$AI$1012,MATCH($C125,EL!$E$4:$E$1012,0))="","",INDEX(EL!$AI$4:$AI$1012,MATCH($C125,EL!$E$4:$E$1012,0))),
IF($E125=4,IF(INDEX(EL!$AN$4:$AN$1012,MATCH($C125,EL!$E$4:$E$1012,0))="","",INDEX(EL!$AN$4:$AN$1012,MATCH($C125,EL!$E$4:$E$1012,0))),
IF($E125=5,IF(INDEX(EL!$AS$4:$AS$1012,MATCH($C125,EL!$E$4:$E$1012,0))="","",INDEX(EL!$AS$4:$AS$1012,MATCH($C125,EL!$E$4:$E$1012,0))),"")))))))</f>
        <v/>
      </c>
      <c r="K125" s="459" t="str">
        <f>EL!L38</f>
        <v>STT</v>
      </c>
      <c r="L125" s="460" cm="1">
        <f t="array" aca="1" ref="L125" ca="1">_xlfn.IFS(AND($E125&lt;&gt;"",$M125="Pending",$K125="CTA"),TODAY()-$G125,AND($E125&lt;&gt;"",$M125="Pending",$K125="AUR"),TODAY()-$H125,AND($E125&lt;&gt;"",$M125="Pending",$K125="STT"),TODAY()-$I125,OR(K125="Closed",K125=""),"")</f>
        <v>11</v>
      </c>
      <c r="M125" s="461" t="str">
        <f>VLOOKUP(C125,EL!$E$4:$AC$622,9,0)</f>
        <v>Pending</v>
      </c>
      <c r="N125" s="461" t="str">
        <f t="shared" ca="1" si="3"/>
        <v>Overdue</v>
      </c>
      <c r="O125" s="739" t="str">
        <f>EL!O38</f>
        <v>GC</v>
      </c>
      <c r="P125" s="746" t="str">
        <v>YES</v>
      </c>
    </row>
    <row r="126" spans="1:17" s="385" customFormat="1" ht="27" customHeight="1">
      <c r="A126" s="399">
        <v>33</v>
      </c>
      <c r="B126" s="455" t="s">
        <v>52</v>
      </c>
      <c r="C126" s="646" t="s">
        <v>504</v>
      </c>
      <c r="D126" s="456" t="str">
        <f>_xlfn.XLOOKUP(C126,EL!$E$4:$E$82,EL!$D$4:$D$82)</f>
        <v>LV  Single Line Diagram For Chiller Plant MSSB</v>
      </c>
      <c r="E126" s="597">
        <f>IF(VLOOKUP(C126,EL!$E$4:$AC$505,7,0)="","",VLOOKUP(C126,EL!$E$4:$AC$1004,7,0))</f>
        <v>0</v>
      </c>
      <c r="F126" s="457"/>
      <c r="G126" s="458">
        <f>IF(VLOOKUP(C126,EL!$E$4:$AC$514,5,0)="","",VLOOKUP(C126,EL!$E$4:$AC$514,5,0))</f>
        <v>46055</v>
      </c>
      <c r="H126" s="459">
        <f>IF(ISNA(MATCH($C126,EL!$E$4:$E$1012,0)),"",
IF($E126=0,IF(INDEX(EL!$R$4:$R$1012,MATCH($C126,EL!$E$4:$E$1012,0))="","",INDEX(EL!$R$4:$R$1012,MATCH($C126,EL!$E$4:$E$1012,0))),
IF($E126=1,IF(INDEX(EL!$W$4:$W$1012,MATCH($C126,EL!$E$4:$E$1012,0))="","",INDEX(EL!$W$4:$W$1012,MATCH($C126,EL!$E$4:$E$1012,0))),
IF($E126=2,IF(INDEX(EL!$AB$4:$AB$1012,MATCH($C126,EL!$E$4:$E$1012,0))="","",INDEX(EL!$AB$4:$AB$1012,MATCH($C126,EL!$E$4:$E$1012,0))),
IF($E126=3,IF(INDEX(EL!$AG$4:$AG$1012,MATCH($C126,EL!$E$4:$E$1012,0))="","",INDEX(EL!$AG$4:$AG$1012,MATCH($C126,EL!$E$4:$E$1012,0))),
IF($E126=4,IF(INDEX(EL!$AN$4:$AN$1012,MATCH($C126,EL!$E$4:$E$1012,0))="","",INDEX(EL!$AN$4:$AN$1012,MATCH($C126,EL!$E$4:$E$1012,0))),
IF($E126=5,IF(INDEX(EL!$AS$4:$AS$1012,MATCH($C126,EL!$E$4:$E$1012,0))="","",INDEX(EL!$AS$4:$AS$1012,MATCH($C126,EL!$E$4:$E$1012,0))),"")))))))</f>
        <v>46057</v>
      </c>
      <c r="I126" s="459">
        <f>IF(ISNA(MATCH($C126,EL!$E$4:$E$1012,0)),"",
IF($E126=0,IF(INDEX(EL!$S$4:$S$1012,MATCH($C126,EL!$E$4:$E$1012,0))="","",INDEX(EL!$S$4:$S$1012,MATCH($C126,EL!$E$4:$E$1012,0))),
IF($E126=1,IF(INDEX(EL!$X$4:$X$1012,MATCH($C126,EL!$E$4:$E$1012,0))="","",INDEX(EL!$X$4:$X$1012,MATCH($C126,EL!$E$4:$E$1012,0))),
IF($E126=2,IF(INDEX(EL!$AC$4:$AC$1012,MATCH($C126,EL!$E$4:$E$1012,0))="","",INDEX(EL!$AC$4:$AC$1012,MATCH($C126,EL!$E$4:$E$1012,0))),
IF($E126=3,IF(INDEX(EL!$AH$4:$AH$1012,MATCH($C126,EL!$E$4:$E$1012,0))="","",INDEX(EL!$AH$4:$AH$1012,MATCH($C126,EL!$E$4:$E$1012,0))),
IF($E126=4,IF(INDEX(EL!$AM$4:$AM$1012,MATCH($C126,EL!$E$4:$E$1012,0))="","",INDEX(EL!$AM$4:$AM$1012,MATCH($C126,EL!$E$4:$E$1012,0))),
IF($E126=5,IF(INDEX(EL!$AR$4:$AR$1012,MATCH($C126,EL!$E$4:$E$1012,0))="","",INDEX(EL!$AR$4:$AR$1012,MATCH($C126,EL!$E$4:$E$1012,0))),"")))))))</f>
        <v>46062</v>
      </c>
      <c r="J126" s="459" t="str">
        <f>IF(ISNA(MATCH($C126,EL!$E$4:$E$1012,0)),"",
IF($E126=0,IF(INDEX(EL!$T$4:$T$1012,MATCH($C126,EL!$E$4:$E$1012,0))="","",INDEX(EL!$T$4:$T$1012,MATCH($C126,EL!$E$4:$E$1012,0))),
IF($E126=1,IF(INDEX(EL!$Y$4:$Y$1012,MATCH($C126,EL!$E$4:$E$1012,0))="","",INDEX(EL!$Y$4:$Y$1012,MATCH($C126,EL!$E$4:$E$1012,0))),
IF($E126=2,IF(INDEX(EL!$AD$4:$AD$1012,MATCH($C126,EL!$E$4:$E$1012,0))="","",INDEX(EL!$AD$4:$AD$1012,MATCH($C126,EL!$E$4:$E$1012,0))),
IF($E126=3,IF(INDEX(EL!$AI$4:$AI$1012,MATCH($C126,EL!$E$4:$E$1012,0))="","",INDEX(EL!$AI$4:$AI$1012,MATCH($C126,EL!$E$4:$E$1012,0))),
IF($E126=4,IF(INDEX(EL!$AN$4:$AN$1012,MATCH($C126,EL!$E$4:$E$1012,0))="","",INDEX(EL!$AN$4:$AN$1012,MATCH($C126,EL!$E$4:$E$1012,0))),
IF($E126=5,IF(INDEX(EL!$AS$4:$AS$1012,MATCH($C126,EL!$E$4:$E$1012,0))="","",INDEX(EL!$AS$4:$AS$1012,MATCH($C126,EL!$E$4:$E$1012,0))),"")))))))</f>
        <v/>
      </c>
      <c r="K126" s="459" t="str">
        <f>EL!L39</f>
        <v>STT</v>
      </c>
      <c r="L126" s="460" cm="1">
        <f t="array" aca="1" ref="L126" ca="1">_xlfn.IFS(AND($E126&lt;&gt;"",$M126="Pending",$K126="CTA"),TODAY()-$G126,AND($E126&lt;&gt;"",$M126="Pending",$K126="AUR"),TODAY()-$H126,AND($E126&lt;&gt;"",$M126="Pending",$K126="STT"),TODAY()-$I126,OR(K126="Closed",K126=""),"")</f>
        <v>4</v>
      </c>
      <c r="M126" s="461" t="str">
        <f>VLOOKUP(C126,EL!$E$4:$AC$622,9,0)</f>
        <v>Pending</v>
      </c>
      <c r="N126" s="461" t="str">
        <f t="shared" ref="N126:N189" ca="1" si="4">IF(AND(E126&lt;&gt;"",M126="Pending"),IF(L126&gt;=5,"Overdue",IF(L126&gt;=3,"High","")),"")</f>
        <v>High</v>
      </c>
      <c r="O126" s="739" t="str">
        <f>EL!O39</f>
        <v>GC</v>
      </c>
      <c r="P126" s="746" t="str">
        <v>NO</v>
      </c>
      <c r="Q126" s="384"/>
    </row>
    <row r="127" spans="1:17" s="385" customFormat="1" ht="27" customHeight="1">
      <c r="A127" s="399">
        <v>34</v>
      </c>
      <c r="B127" s="455" t="s">
        <v>52</v>
      </c>
      <c r="C127" s="646" t="s">
        <v>507</v>
      </c>
      <c r="D127" s="456" t="str">
        <f>_xlfn.XLOOKUP(C127,EL!$E$4:$E$82,EL!$D$4:$D$82)</f>
        <v>LV  Single Line Diagram For Building NON-IT UPS</v>
      </c>
      <c r="E127" s="597">
        <f>IF(VLOOKUP(C127,EL!$E$4:$AC$505,7,0)="","",VLOOKUP(C127,EL!$E$4:$AC$1004,7,0))</f>
        <v>0</v>
      </c>
      <c r="F127" s="457"/>
      <c r="G127" s="458">
        <f>IF(VLOOKUP(C127,EL!$E$4:$AC$514,5,0)="","",VLOOKUP(C127,EL!$E$4:$AC$514,5,0))</f>
        <v>46055</v>
      </c>
      <c r="H127" s="459">
        <f>IF(ISNA(MATCH($C127,EL!$E$4:$E$1012,0)),"",
IF($E127=0,IF(INDEX(EL!$R$4:$R$1012,MATCH($C127,EL!$E$4:$E$1012,0))="","",INDEX(EL!$R$4:$R$1012,MATCH($C127,EL!$E$4:$E$1012,0))),
IF($E127=1,IF(INDEX(EL!$W$4:$W$1012,MATCH($C127,EL!$E$4:$E$1012,0))="","",INDEX(EL!$W$4:$W$1012,MATCH($C127,EL!$E$4:$E$1012,0))),
IF($E127=2,IF(INDEX(EL!$AB$4:$AB$1012,MATCH($C127,EL!$E$4:$E$1012,0))="","",INDEX(EL!$AB$4:$AB$1012,MATCH($C127,EL!$E$4:$E$1012,0))),
IF($E127=3,IF(INDEX(EL!$AG$4:$AG$1012,MATCH($C127,EL!$E$4:$E$1012,0))="","",INDEX(EL!$AG$4:$AG$1012,MATCH($C127,EL!$E$4:$E$1012,0))),
IF($E127=4,IF(INDEX(EL!$AN$4:$AN$1012,MATCH($C127,EL!$E$4:$E$1012,0))="","",INDEX(EL!$AN$4:$AN$1012,MATCH($C127,EL!$E$4:$E$1012,0))),
IF($E127=5,IF(INDEX(EL!$AS$4:$AS$1012,MATCH($C127,EL!$E$4:$E$1012,0))="","",INDEX(EL!$AS$4:$AS$1012,MATCH($C127,EL!$E$4:$E$1012,0))),"")))))))</f>
        <v>46057</v>
      </c>
      <c r="I127" s="459">
        <f>IF(ISNA(MATCH($C127,EL!$E$4:$E$1012,0)),"",
IF($E127=0,IF(INDEX(EL!$S$4:$S$1012,MATCH($C127,EL!$E$4:$E$1012,0))="","",INDEX(EL!$S$4:$S$1012,MATCH($C127,EL!$E$4:$E$1012,0))),
IF($E127=1,IF(INDEX(EL!$X$4:$X$1012,MATCH($C127,EL!$E$4:$E$1012,0))="","",INDEX(EL!$X$4:$X$1012,MATCH($C127,EL!$E$4:$E$1012,0))),
IF($E127=2,IF(INDEX(EL!$AC$4:$AC$1012,MATCH($C127,EL!$E$4:$E$1012,0))="","",INDEX(EL!$AC$4:$AC$1012,MATCH($C127,EL!$E$4:$E$1012,0))),
IF($E127=3,IF(INDEX(EL!$AH$4:$AH$1012,MATCH($C127,EL!$E$4:$E$1012,0))="","",INDEX(EL!$AH$4:$AH$1012,MATCH($C127,EL!$E$4:$E$1012,0))),
IF($E127=4,IF(INDEX(EL!$AM$4:$AM$1012,MATCH($C127,EL!$E$4:$E$1012,0))="","",INDEX(EL!$AM$4:$AM$1012,MATCH($C127,EL!$E$4:$E$1012,0))),
IF($E127=5,IF(INDEX(EL!$AR$4:$AR$1012,MATCH($C127,EL!$E$4:$E$1012,0))="","",INDEX(EL!$AR$4:$AR$1012,MATCH($C127,EL!$E$4:$E$1012,0))),"")))))))</f>
        <v>46062</v>
      </c>
      <c r="J127" s="459" t="str">
        <f>IF(ISNA(MATCH($C127,EL!$E$4:$E$1012,0)),"",
IF($E127=0,IF(INDEX(EL!$T$4:$T$1012,MATCH($C127,EL!$E$4:$E$1012,0))="","",INDEX(EL!$T$4:$T$1012,MATCH($C127,EL!$E$4:$E$1012,0))),
IF($E127=1,IF(INDEX(EL!$Y$4:$Y$1012,MATCH($C127,EL!$E$4:$E$1012,0))="","",INDEX(EL!$Y$4:$Y$1012,MATCH($C127,EL!$E$4:$E$1012,0))),
IF($E127=2,IF(INDEX(EL!$AD$4:$AD$1012,MATCH($C127,EL!$E$4:$E$1012,0))="","",INDEX(EL!$AD$4:$AD$1012,MATCH($C127,EL!$E$4:$E$1012,0))),
IF($E127=3,IF(INDEX(EL!$AI$4:$AI$1012,MATCH($C127,EL!$E$4:$E$1012,0))="","",INDEX(EL!$AI$4:$AI$1012,MATCH($C127,EL!$E$4:$E$1012,0))),
IF($E127=4,IF(INDEX(EL!$AN$4:$AN$1012,MATCH($C127,EL!$E$4:$E$1012,0))="","",INDEX(EL!$AN$4:$AN$1012,MATCH($C127,EL!$E$4:$E$1012,0))),
IF($E127=5,IF(INDEX(EL!$AS$4:$AS$1012,MATCH($C127,EL!$E$4:$E$1012,0))="","",INDEX(EL!$AS$4:$AS$1012,MATCH($C127,EL!$E$4:$E$1012,0))),"")))))))</f>
        <v/>
      </c>
      <c r="K127" s="459" t="str">
        <f>EL!L40</f>
        <v>STT</v>
      </c>
      <c r="L127" s="460" cm="1">
        <f t="array" aca="1" ref="L127" ca="1">_xlfn.IFS(AND($E127&lt;&gt;"",$M127="Pending",$K127="CTA"),TODAY()-$G127,AND($E127&lt;&gt;"",$M127="Pending",$K127="AUR"),TODAY()-$H127,AND($E127&lt;&gt;"",$M127="Pending",$K127="STT"),TODAY()-$I127,OR(K127="Closed",K127=""),"")</f>
        <v>4</v>
      </c>
      <c r="M127" s="461" t="str">
        <f>VLOOKUP(C127,EL!$E$4:$AC$622,9,0)</f>
        <v>Pending</v>
      </c>
      <c r="N127" s="461" t="str">
        <f t="shared" ca="1" si="4"/>
        <v>High</v>
      </c>
      <c r="O127" s="739" t="str">
        <f>EL!O40</f>
        <v>GC</v>
      </c>
      <c r="P127" s="746" t="str">
        <v>NO</v>
      </c>
      <c r="Q127" s="384"/>
    </row>
    <row r="128" spans="1:17" s="385" customFormat="1" ht="27" customHeight="1">
      <c r="A128" s="399">
        <v>35</v>
      </c>
      <c r="B128" s="455" t="s">
        <v>52</v>
      </c>
      <c r="C128" s="646" t="s">
        <v>510</v>
      </c>
      <c r="D128" s="456" t="str">
        <f>_xlfn.XLOOKUP(C128,EL!$E$4:$E$82,EL!$D$4:$D$82)</f>
        <v>LV  Single Line Diagram For Building Load Sheet 1</v>
      </c>
      <c r="E128" s="597">
        <f>IF(VLOOKUP(C128,EL!$E$4:$AC$505,7,0)="","",VLOOKUP(C128,EL!$E$4:$AC$1004,7,0))</f>
        <v>0</v>
      </c>
      <c r="F128" s="462"/>
      <c r="G128" s="458">
        <f>IF(VLOOKUP(C128,EL!$E$4:$AC$514,5,0)="","",VLOOKUP(C128,EL!$E$4:$AC$514,5,0))</f>
        <v>46058</v>
      </c>
      <c r="H128" s="459">
        <f>IF(ISNA(MATCH($C128,EL!$E$4:$E$1012,0)),"",
IF($E128=0,IF(INDEX(EL!$R$4:$R$1012,MATCH($C128,EL!$E$4:$E$1012,0))="","",INDEX(EL!$R$4:$R$1012,MATCH($C128,EL!$E$4:$E$1012,0))),
IF($E128=1,IF(INDEX(EL!$W$4:$W$1012,MATCH($C128,EL!$E$4:$E$1012,0))="","",INDEX(EL!$W$4:$W$1012,MATCH($C128,EL!$E$4:$E$1012,0))),
IF($E128=2,IF(INDEX(EL!$AB$4:$AB$1012,MATCH($C128,EL!$E$4:$E$1012,0))="","",INDEX(EL!$AB$4:$AB$1012,MATCH($C128,EL!$E$4:$E$1012,0))),
IF($E128=3,IF(INDEX(EL!$AG$4:$AG$1012,MATCH($C128,EL!$E$4:$E$1012,0))="","",INDEX(EL!$AG$4:$AG$1012,MATCH($C128,EL!$E$4:$E$1012,0))),
IF($E128=4,IF(INDEX(EL!$AN$4:$AN$1012,MATCH($C128,EL!$E$4:$E$1012,0))="","",INDEX(EL!$AN$4:$AN$1012,MATCH($C128,EL!$E$4:$E$1012,0))),
IF($E128=5,IF(INDEX(EL!$AS$4:$AS$1012,MATCH($C128,EL!$E$4:$E$1012,0))="","",INDEX(EL!$AS$4:$AS$1012,MATCH($C128,EL!$E$4:$E$1012,0))),"")))))))</f>
        <v>46064</v>
      </c>
      <c r="I128" s="459" t="str">
        <f>IF(ISNA(MATCH($C128,EL!$E$4:$E$1012,0)),"",
IF($E128=0,IF(INDEX(EL!$S$4:$S$1012,MATCH($C128,EL!$E$4:$E$1012,0))="","",INDEX(EL!$S$4:$S$1012,MATCH($C128,EL!$E$4:$E$1012,0))),
IF($E128=1,IF(INDEX(EL!$X$4:$X$1012,MATCH($C128,EL!$E$4:$E$1012,0))="","",INDEX(EL!$X$4:$X$1012,MATCH($C128,EL!$E$4:$E$1012,0))),
IF($E128=2,IF(INDEX(EL!$AC$4:$AC$1012,MATCH($C128,EL!$E$4:$E$1012,0))="","",INDEX(EL!$AC$4:$AC$1012,MATCH($C128,EL!$E$4:$E$1012,0))),
IF($E128=3,IF(INDEX(EL!$AH$4:$AH$1012,MATCH($C128,EL!$E$4:$E$1012,0))="","",INDEX(EL!$AH$4:$AH$1012,MATCH($C128,EL!$E$4:$E$1012,0))),
IF($E128=4,IF(INDEX(EL!$AM$4:$AM$1012,MATCH($C128,EL!$E$4:$E$1012,0))="","",INDEX(EL!$AM$4:$AM$1012,MATCH($C128,EL!$E$4:$E$1012,0))),
IF($E128=5,IF(INDEX(EL!$AR$4:$AR$1012,MATCH($C128,EL!$E$4:$E$1012,0))="","",INDEX(EL!$AR$4:$AR$1012,MATCH($C128,EL!$E$4:$E$1012,0))),"")))))))</f>
        <v/>
      </c>
      <c r="J128" s="459" t="str">
        <f>IF(ISNA(MATCH($C128,EL!$E$4:$E$1012,0)),"",
IF($E128=0,IF(INDEX(EL!$T$4:$T$1012,MATCH($C128,EL!$E$4:$E$1012,0))="","",INDEX(EL!$T$4:$T$1012,MATCH($C128,EL!$E$4:$E$1012,0))),
IF($E128=1,IF(INDEX(EL!$Y$4:$Y$1012,MATCH($C128,EL!$E$4:$E$1012,0))="","",INDEX(EL!$Y$4:$Y$1012,MATCH($C128,EL!$E$4:$E$1012,0))),
IF($E128=2,IF(INDEX(EL!$AD$4:$AD$1012,MATCH($C128,EL!$E$4:$E$1012,0))="","",INDEX(EL!$AD$4:$AD$1012,MATCH($C128,EL!$E$4:$E$1012,0))),
IF($E128=3,IF(INDEX(EL!$AI$4:$AI$1012,MATCH($C128,EL!$E$4:$E$1012,0))="","",INDEX(EL!$AI$4:$AI$1012,MATCH($C128,EL!$E$4:$E$1012,0))),
IF($E128=4,IF(INDEX(EL!$AN$4:$AN$1012,MATCH($C128,EL!$E$4:$E$1012,0))="","",INDEX(EL!$AN$4:$AN$1012,MATCH($C128,EL!$E$4:$E$1012,0))),
IF($E128=5,IF(INDEX(EL!$AS$4:$AS$1012,MATCH($C128,EL!$E$4:$E$1012,0))="","",INDEX(EL!$AS$4:$AS$1012,MATCH($C128,EL!$E$4:$E$1012,0))),"")))))))</f>
        <v/>
      </c>
      <c r="K128" s="459" t="str">
        <f>EL!L41</f>
        <v>AUR</v>
      </c>
      <c r="L128" s="460" cm="1">
        <f t="array" aca="1" ref="L128" ca="1">_xlfn.IFS(AND($E128&lt;&gt;"",$M128="Pending",$K128="CTA"),TODAY()-$G128,AND($E128&lt;&gt;"",$M128="Pending",$K128="AUR"),TODAY()-$H128,AND($E128&lt;&gt;"",$M128="Pending",$K128="STT"),TODAY()-$I128,OR(K128="Closed",K128=""),"")</f>
        <v>2</v>
      </c>
      <c r="M128" s="461" t="str">
        <f>VLOOKUP(C128,EL!$E$4:$AC$622,9,0)</f>
        <v>Pending</v>
      </c>
      <c r="N128" s="461" t="str">
        <f t="shared" ca="1" si="4"/>
        <v/>
      </c>
      <c r="O128" s="739" t="str">
        <f>EL!O41</f>
        <v>GC</v>
      </c>
      <c r="P128" s="746" t="str">
        <v>NO</v>
      </c>
      <c r="Q128" s="384"/>
    </row>
    <row r="129" spans="1:17" s="385" customFormat="1" ht="27" customHeight="1">
      <c r="A129" s="399">
        <v>36</v>
      </c>
      <c r="B129" s="455" t="s">
        <v>52</v>
      </c>
      <c r="C129" s="646" t="s">
        <v>513</v>
      </c>
      <c r="D129" s="456" t="str">
        <f>_xlfn.XLOOKUP(C129,EL!$E$4:$E$82,EL!$D$4:$D$82)</f>
        <v>LV  Single Line Diagram For Building Load Sheet 2</v>
      </c>
      <c r="E129" s="597">
        <f>IF(VLOOKUP(C129,EL!$E$4:$AC$505,7,0)="","",VLOOKUP(C129,EL!$E$4:$AC$1004,7,0))</f>
        <v>0</v>
      </c>
      <c r="F129" s="462"/>
      <c r="G129" s="458">
        <f>IF(VLOOKUP(C129,EL!$E$4:$AC$514,5,0)="","",VLOOKUP(C129,EL!$E$4:$AC$514,5,0))</f>
        <v>46058</v>
      </c>
      <c r="H129" s="459">
        <f>IF(ISNA(MATCH($C129,EL!$E$4:$E$1012,0)),"",
IF($E129=0,IF(INDEX(EL!$R$4:$R$1012,MATCH($C129,EL!$E$4:$E$1012,0))="","",INDEX(EL!$R$4:$R$1012,MATCH($C129,EL!$E$4:$E$1012,0))),
IF($E129=1,IF(INDEX(EL!$W$4:$W$1012,MATCH($C129,EL!$E$4:$E$1012,0))="","",INDEX(EL!$W$4:$W$1012,MATCH($C129,EL!$E$4:$E$1012,0))),
IF($E129=2,IF(INDEX(EL!$AB$4:$AB$1012,MATCH($C129,EL!$E$4:$E$1012,0))="","",INDEX(EL!$AB$4:$AB$1012,MATCH($C129,EL!$E$4:$E$1012,0))),
IF($E129=3,IF(INDEX(EL!$AG$4:$AG$1012,MATCH($C129,EL!$E$4:$E$1012,0))="","",INDEX(EL!$AG$4:$AG$1012,MATCH($C129,EL!$E$4:$E$1012,0))),
IF($E129=4,IF(INDEX(EL!$AN$4:$AN$1012,MATCH($C129,EL!$E$4:$E$1012,0))="","",INDEX(EL!$AN$4:$AN$1012,MATCH($C129,EL!$E$4:$E$1012,0))),
IF($E129=5,IF(INDEX(EL!$AS$4:$AS$1012,MATCH($C129,EL!$E$4:$E$1012,0))="","",INDEX(EL!$AS$4:$AS$1012,MATCH($C129,EL!$E$4:$E$1012,0))),"")))))))</f>
        <v>46064</v>
      </c>
      <c r="I129" s="459" t="str">
        <f>IF(ISNA(MATCH($C129,EL!$E$4:$E$1012,0)),"",
IF($E129=0,IF(INDEX(EL!$S$4:$S$1012,MATCH($C129,EL!$E$4:$E$1012,0))="","",INDEX(EL!$S$4:$S$1012,MATCH($C129,EL!$E$4:$E$1012,0))),
IF($E129=1,IF(INDEX(EL!$X$4:$X$1012,MATCH($C129,EL!$E$4:$E$1012,0))="","",INDEX(EL!$X$4:$X$1012,MATCH($C129,EL!$E$4:$E$1012,0))),
IF($E129=2,IF(INDEX(EL!$AC$4:$AC$1012,MATCH($C129,EL!$E$4:$E$1012,0))="","",INDEX(EL!$AC$4:$AC$1012,MATCH($C129,EL!$E$4:$E$1012,0))),
IF($E129=3,IF(INDEX(EL!$AH$4:$AH$1012,MATCH($C129,EL!$E$4:$E$1012,0))="","",INDEX(EL!$AH$4:$AH$1012,MATCH($C129,EL!$E$4:$E$1012,0))),
IF($E129=4,IF(INDEX(EL!$AM$4:$AM$1012,MATCH($C129,EL!$E$4:$E$1012,0))="","",INDEX(EL!$AM$4:$AM$1012,MATCH($C129,EL!$E$4:$E$1012,0))),
IF($E129=5,IF(INDEX(EL!$AR$4:$AR$1012,MATCH($C129,EL!$E$4:$E$1012,0))="","",INDEX(EL!$AR$4:$AR$1012,MATCH($C129,EL!$E$4:$E$1012,0))),"")))))))</f>
        <v/>
      </c>
      <c r="J129" s="459" t="str">
        <f>IF(ISNA(MATCH($C129,EL!$E$4:$E$1012,0)),"",
IF($E129=0,IF(INDEX(EL!$T$4:$T$1012,MATCH($C129,EL!$E$4:$E$1012,0))="","",INDEX(EL!$T$4:$T$1012,MATCH($C129,EL!$E$4:$E$1012,0))),
IF($E129=1,IF(INDEX(EL!$Y$4:$Y$1012,MATCH($C129,EL!$E$4:$E$1012,0))="","",INDEX(EL!$Y$4:$Y$1012,MATCH($C129,EL!$E$4:$E$1012,0))),
IF($E129=2,IF(INDEX(EL!$AD$4:$AD$1012,MATCH($C129,EL!$E$4:$E$1012,0))="","",INDEX(EL!$AD$4:$AD$1012,MATCH($C129,EL!$E$4:$E$1012,0))),
IF($E129=3,IF(INDEX(EL!$AI$4:$AI$1012,MATCH($C129,EL!$E$4:$E$1012,0))="","",INDEX(EL!$AI$4:$AI$1012,MATCH($C129,EL!$E$4:$E$1012,0))),
IF($E129=4,IF(INDEX(EL!$AN$4:$AN$1012,MATCH($C129,EL!$E$4:$E$1012,0))="","",INDEX(EL!$AN$4:$AN$1012,MATCH($C129,EL!$E$4:$E$1012,0))),
IF($E129=5,IF(INDEX(EL!$AS$4:$AS$1012,MATCH($C129,EL!$E$4:$E$1012,0))="","",INDEX(EL!$AS$4:$AS$1012,MATCH($C129,EL!$E$4:$E$1012,0))),"")))))))</f>
        <v/>
      </c>
      <c r="K129" s="459" t="str">
        <f>EL!L42</f>
        <v>AUR</v>
      </c>
      <c r="L129" s="460" cm="1">
        <f t="array" aca="1" ref="L129" ca="1">_xlfn.IFS(AND($E129&lt;&gt;"",$M129="Pending",$K129="CTA"),TODAY()-$G129,AND($E129&lt;&gt;"",$M129="Pending",$K129="AUR"),TODAY()-$H129,AND($E129&lt;&gt;"",$M129="Pending",$K129="STT"),TODAY()-$I129,OR(K129="Closed",K129=""),"")</f>
        <v>2</v>
      </c>
      <c r="M129" s="461" t="str">
        <f>VLOOKUP(C129,EL!$E$4:$AC$622,9,0)</f>
        <v>Pending</v>
      </c>
      <c r="N129" s="461" t="str">
        <f t="shared" ca="1" si="4"/>
        <v/>
      </c>
      <c r="O129" s="739" t="str">
        <f>EL!O42</f>
        <v>GC</v>
      </c>
      <c r="P129" s="746" t="str">
        <v>NO</v>
      </c>
      <c r="Q129" s="384"/>
    </row>
    <row r="130" spans="1:17" s="385" customFormat="1" ht="27" customHeight="1">
      <c r="A130" s="399">
        <v>37</v>
      </c>
      <c r="B130" s="455" t="s">
        <v>52</v>
      </c>
      <c r="C130" s="646" t="s">
        <v>516</v>
      </c>
      <c r="D130" s="456" t="str">
        <f>_xlfn.XLOOKUP(C130,EL!$E$4:$E$82,EL!$D$4:$D$82)</f>
        <v>LV  Single Line Diagram For Building Load Sheet 3</v>
      </c>
      <c r="E130" s="597">
        <f>IF(VLOOKUP(C130,EL!$E$4:$AC$505,7,0)="","",VLOOKUP(C130,EL!$E$4:$AC$1004,7,0))</f>
        <v>0</v>
      </c>
      <c r="F130" s="457"/>
      <c r="G130" s="458">
        <f>IF(VLOOKUP(C130,EL!$E$4:$AC$514,5,0)="","",VLOOKUP(C130,EL!$E$4:$AC$514,5,0))</f>
        <v>46062</v>
      </c>
      <c r="H130" s="459" t="str">
        <f>IF(ISNA(MATCH($C130,EL!$E$4:$E$1012,0)),"",
IF($E130=0,IF(INDEX(EL!$R$4:$R$1012,MATCH($C130,EL!$E$4:$E$1012,0))="","",INDEX(EL!$R$4:$R$1012,MATCH($C130,EL!$E$4:$E$1012,0))),
IF($E130=1,IF(INDEX(EL!$W$4:$W$1012,MATCH($C130,EL!$E$4:$E$1012,0))="","",INDEX(EL!$W$4:$W$1012,MATCH($C130,EL!$E$4:$E$1012,0))),
IF($E130=2,IF(INDEX(EL!$AB$4:$AB$1012,MATCH($C130,EL!$E$4:$E$1012,0))="","",INDEX(EL!$AB$4:$AB$1012,MATCH($C130,EL!$E$4:$E$1012,0))),
IF($E130=3,IF(INDEX(EL!$AG$4:$AG$1012,MATCH($C130,EL!$E$4:$E$1012,0))="","",INDEX(EL!$AG$4:$AG$1012,MATCH($C130,EL!$E$4:$E$1012,0))),
IF($E130=4,IF(INDEX(EL!$AN$4:$AN$1012,MATCH($C130,EL!$E$4:$E$1012,0))="","",INDEX(EL!$AN$4:$AN$1012,MATCH($C130,EL!$E$4:$E$1012,0))),
IF($E130=5,IF(INDEX(EL!$AS$4:$AS$1012,MATCH($C130,EL!$E$4:$E$1012,0))="","",INDEX(EL!$AS$4:$AS$1012,MATCH($C130,EL!$E$4:$E$1012,0))),"")))))))</f>
        <v/>
      </c>
      <c r="I130" s="459" t="str">
        <f>IF(ISNA(MATCH($C130,EL!$E$4:$E$1012,0)),"",
IF($E130=0,IF(INDEX(EL!$S$4:$S$1012,MATCH($C130,EL!$E$4:$E$1012,0))="","",INDEX(EL!$S$4:$S$1012,MATCH($C130,EL!$E$4:$E$1012,0))),
IF($E130=1,IF(INDEX(EL!$X$4:$X$1012,MATCH($C130,EL!$E$4:$E$1012,0))="","",INDEX(EL!$X$4:$X$1012,MATCH($C130,EL!$E$4:$E$1012,0))),
IF($E130=2,IF(INDEX(EL!$AC$4:$AC$1012,MATCH($C130,EL!$E$4:$E$1012,0))="","",INDEX(EL!$AC$4:$AC$1012,MATCH($C130,EL!$E$4:$E$1012,0))),
IF($E130=3,IF(INDEX(EL!$AH$4:$AH$1012,MATCH($C130,EL!$E$4:$E$1012,0))="","",INDEX(EL!$AH$4:$AH$1012,MATCH($C130,EL!$E$4:$E$1012,0))),
IF($E130=4,IF(INDEX(EL!$AM$4:$AM$1012,MATCH($C130,EL!$E$4:$E$1012,0))="","",INDEX(EL!$AM$4:$AM$1012,MATCH($C130,EL!$E$4:$E$1012,0))),
IF($E130=5,IF(INDEX(EL!$AR$4:$AR$1012,MATCH($C130,EL!$E$4:$E$1012,0))="","",INDEX(EL!$AR$4:$AR$1012,MATCH($C130,EL!$E$4:$E$1012,0))),"")))))))</f>
        <v/>
      </c>
      <c r="J130" s="459" t="str">
        <f>IF(ISNA(MATCH($C130,EL!$E$4:$E$1012,0)),"",
IF($E130=0,IF(INDEX(EL!$T$4:$T$1012,MATCH($C130,EL!$E$4:$E$1012,0))="","",INDEX(EL!$T$4:$T$1012,MATCH($C130,EL!$E$4:$E$1012,0))),
IF($E130=1,IF(INDEX(EL!$Y$4:$Y$1012,MATCH($C130,EL!$E$4:$E$1012,0))="","",INDEX(EL!$Y$4:$Y$1012,MATCH($C130,EL!$E$4:$E$1012,0))),
IF($E130=2,IF(INDEX(EL!$AD$4:$AD$1012,MATCH($C130,EL!$E$4:$E$1012,0))="","",INDEX(EL!$AD$4:$AD$1012,MATCH($C130,EL!$E$4:$E$1012,0))),
IF($E130=3,IF(INDEX(EL!$AI$4:$AI$1012,MATCH($C130,EL!$E$4:$E$1012,0))="","",INDEX(EL!$AI$4:$AI$1012,MATCH($C130,EL!$E$4:$E$1012,0))),
IF($E130=4,IF(INDEX(EL!$AN$4:$AN$1012,MATCH($C130,EL!$E$4:$E$1012,0))="","",INDEX(EL!$AN$4:$AN$1012,MATCH($C130,EL!$E$4:$E$1012,0))),
IF($E130=5,IF(INDEX(EL!$AS$4:$AS$1012,MATCH($C130,EL!$E$4:$E$1012,0))="","",INDEX(EL!$AS$4:$AS$1012,MATCH($C130,EL!$E$4:$E$1012,0))),"")))))))</f>
        <v/>
      </c>
      <c r="K130" s="459" t="str">
        <f>EL!L43</f>
        <v>CTA</v>
      </c>
      <c r="L130" s="460" cm="1">
        <f t="array" aca="1" ref="L130" ca="1">_xlfn.IFS(AND($E130&lt;&gt;"",$M130="Pending",$K130="CTA"),TODAY()-$G130,AND($E130&lt;&gt;"",$M130="Pending",$K130="AUR"),TODAY()-$H130,AND($E130&lt;&gt;"",$M130="Pending",$K130="STT"),TODAY()-$I130,OR(K130="Closed",K130=""),"")</f>
        <v>4</v>
      </c>
      <c r="M130" s="461" t="str">
        <f>VLOOKUP(C130,EL!$E$4:$AC$622,9,0)</f>
        <v>Pending</v>
      </c>
      <c r="N130" s="461" t="str">
        <f t="shared" ca="1" si="4"/>
        <v>High</v>
      </c>
      <c r="O130" s="739" t="str">
        <f>EL!O43</f>
        <v>GC</v>
      </c>
      <c r="P130" s="746" t="str">
        <v>NO</v>
      </c>
      <c r="Q130" s="384"/>
    </row>
    <row r="131" spans="1:17" s="385" customFormat="1" ht="27" customHeight="1">
      <c r="A131" s="399">
        <v>38</v>
      </c>
      <c r="B131" s="455" t="s">
        <v>52</v>
      </c>
      <c r="C131" s="646" t="s">
        <v>519</v>
      </c>
      <c r="D131" s="456" t="str">
        <f>_xlfn.XLOOKUP(C131,EL!$E$4:$E$82,EL!$D$4:$D$82)</f>
        <v>LV  Single Line Diagram For Building Load Sheet 4</v>
      </c>
      <c r="E131" s="597">
        <f>IF(VLOOKUP(C131,EL!$E$4:$AC$505,7,0)="","",VLOOKUP(C131,EL!$E$4:$AC$1004,7,0))</f>
        <v>0</v>
      </c>
      <c r="F131" s="457"/>
      <c r="G131" s="458">
        <f>IF(VLOOKUP(C131,EL!$E$4:$AC$514,5,0)="","",VLOOKUP(C131,EL!$E$4:$AC$514,5,0))</f>
        <v>46062</v>
      </c>
      <c r="H131" s="459" t="str">
        <f>IF(ISNA(MATCH($C131,EL!$E$4:$E$1012,0)),"",
IF($E131=0,IF(INDEX(EL!$R$4:$R$1012,MATCH($C131,EL!$E$4:$E$1012,0))="","",INDEX(EL!$R$4:$R$1012,MATCH($C131,EL!$E$4:$E$1012,0))),
IF($E131=1,IF(INDEX(EL!$W$4:$W$1012,MATCH($C131,EL!$E$4:$E$1012,0))="","",INDEX(EL!$W$4:$W$1012,MATCH($C131,EL!$E$4:$E$1012,0))),
IF($E131=2,IF(INDEX(EL!$AB$4:$AB$1012,MATCH($C131,EL!$E$4:$E$1012,0))="","",INDEX(EL!$AB$4:$AB$1012,MATCH($C131,EL!$E$4:$E$1012,0))),
IF($E131=3,IF(INDEX(EL!$AG$4:$AG$1012,MATCH($C131,EL!$E$4:$E$1012,0))="","",INDEX(EL!$AG$4:$AG$1012,MATCH($C131,EL!$E$4:$E$1012,0))),
IF($E131=4,IF(INDEX(EL!$AN$4:$AN$1012,MATCH($C131,EL!$E$4:$E$1012,0))="","",INDEX(EL!$AN$4:$AN$1012,MATCH($C131,EL!$E$4:$E$1012,0))),
IF($E131=5,IF(INDEX(EL!$AS$4:$AS$1012,MATCH($C131,EL!$E$4:$E$1012,0))="","",INDEX(EL!$AS$4:$AS$1012,MATCH($C131,EL!$E$4:$E$1012,0))),"")))))))</f>
        <v/>
      </c>
      <c r="I131" s="459" t="str">
        <f>IF(ISNA(MATCH($C131,EL!$E$4:$E$1012,0)),"",
IF($E131=0,IF(INDEX(EL!$S$4:$S$1012,MATCH($C131,EL!$E$4:$E$1012,0))="","",INDEX(EL!$S$4:$S$1012,MATCH($C131,EL!$E$4:$E$1012,0))),
IF($E131=1,IF(INDEX(EL!$X$4:$X$1012,MATCH($C131,EL!$E$4:$E$1012,0))="","",INDEX(EL!$X$4:$X$1012,MATCH($C131,EL!$E$4:$E$1012,0))),
IF($E131=2,IF(INDEX(EL!$AC$4:$AC$1012,MATCH($C131,EL!$E$4:$E$1012,0))="","",INDEX(EL!$AC$4:$AC$1012,MATCH($C131,EL!$E$4:$E$1012,0))),
IF($E131=3,IF(INDEX(EL!$AH$4:$AH$1012,MATCH($C131,EL!$E$4:$E$1012,0))="","",INDEX(EL!$AH$4:$AH$1012,MATCH($C131,EL!$E$4:$E$1012,0))),
IF($E131=4,IF(INDEX(EL!$AM$4:$AM$1012,MATCH($C131,EL!$E$4:$E$1012,0))="","",INDEX(EL!$AM$4:$AM$1012,MATCH($C131,EL!$E$4:$E$1012,0))),
IF($E131=5,IF(INDEX(EL!$AR$4:$AR$1012,MATCH($C131,EL!$E$4:$E$1012,0))="","",INDEX(EL!$AR$4:$AR$1012,MATCH($C131,EL!$E$4:$E$1012,0))),"")))))))</f>
        <v/>
      </c>
      <c r="J131" s="459" t="str">
        <f>IF(ISNA(MATCH($C131,EL!$E$4:$E$1012,0)),"",
IF($E131=0,IF(INDEX(EL!$T$4:$T$1012,MATCH($C131,EL!$E$4:$E$1012,0))="","",INDEX(EL!$T$4:$T$1012,MATCH($C131,EL!$E$4:$E$1012,0))),
IF($E131=1,IF(INDEX(EL!$Y$4:$Y$1012,MATCH($C131,EL!$E$4:$E$1012,0))="","",INDEX(EL!$Y$4:$Y$1012,MATCH($C131,EL!$E$4:$E$1012,0))),
IF($E131=2,IF(INDEX(EL!$AD$4:$AD$1012,MATCH($C131,EL!$E$4:$E$1012,0))="","",INDEX(EL!$AD$4:$AD$1012,MATCH($C131,EL!$E$4:$E$1012,0))),
IF($E131=3,IF(INDEX(EL!$AI$4:$AI$1012,MATCH($C131,EL!$E$4:$E$1012,0))="","",INDEX(EL!$AI$4:$AI$1012,MATCH($C131,EL!$E$4:$E$1012,0))),
IF($E131=4,IF(INDEX(EL!$AN$4:$AN$1012,MATCH($C131,EL!$E$4:$E$1012,0))="","",INDEX(EL!$AN$4:$AN$1012,MATCH($C131,EL!$E$4:$E$1012,0))),
IF($E131=5,IF(INDEX(EL!$AS$4:$AS$1012,MATCH($C131,EL!$E$4:$E$1012,0))="","",INDEX(EL!$AS$4:$AS$1012,MATCH($C131,EL!$E$4:$E$1012,0))),"")))))))</f>
        <v/>
      </c>
      <c r="K131" s="459" t="str">
        <f>EL!L44</f>
        <v>CTA</v>
      </c>
      <c r="L131" s="460" cm="1">
        <f t="array" aca="1" ref="L131" ca="1">_xlfn.IFS(AND($E131&lt;&gt;"",$M131="Pending",$K131="CTA"),TODAY()-$G131,AND($E131&lt;&gt;"",$M131="Pending",$K131="AUR"),TODAY()-$H131,AND($E131&lt;&gt;"",$M131="Pending",$K131="STT"),TODAY()-$I131,OR(K131="Closed",K131=""),"")</f>
        <v>4</v>
      </c>
      <c r="M131" s="461" t="str">
        <f>VLOOKUP(C131,EL!$E$4:$AC$622,9,0)</f>
        <v>Pending</v>
      </c>
      <c r="N131" s="461" t="str">
        <f t="shared" ca="1" si="4"/>
        <v>High</v>
      </c>
      <c r="O131" s="739" t="str">
        <f>EL!O44</f>
        <v>GC</v>
      </c>
      <c r="P131" s="746" t="str">
        <v>NO</v>
      </c>
      <c r="Q131" s="384"/>
    </row>
    <row r="132" spans="1:17" s="385" customFormat="1" ht="27" customHeight="1">
      <c r="A132" s="399">
        <v>39</v>
      </c>
      <c r="B132" s="455" t="s">
        <v>52</v>
      </c>
      <c r="C132" s="646" t="s">
        <v>522</v>
      </c>
      <c r="D132" s="456" t="str">
        <f>_xlfn.XLOOKUP(C132,EL!$E$4:$E$82,EL!$D$4:$D$82)</f>
        <v>LV  Single Line Diagram For Building Load Sheet 5</v>
      </c>
      <c r="E132" s="597">
        <f>IF(VLOOKUP(C132,EL!$E$4:$AC$505,7,0)="","",VLOOKUP(C132,EL!$E$4:$AC$1004,7,0))</f>
        <v>0</v>
      </c>
      <c r="F132" s="462"/>
      <c r="G132" s="458">
        <f>IF(VLOOKUP(C132,EL!$E$4:$AC$514,5,0)="","",VLOOKUP(C132,EL!$E$4:$AC$514,5,0))</f>
        <v>46062</v>
      </c>
      <c r="H132" s="459" t="str">
        <f>IF(ISNA(MATCH($C132,EL!$E$4:$E$1012,0)),"",
IF($E132=0,IF(INDEX(EL!$R$4:$R$1012,MATCH($C132,EL!$E$4:$E$1012,0))="","",INDEX(EL!$R$4:$R$1012,MATCH($C132,EL!$E$4:$E$1012,0))),
IF($E132=1,IF(INDEX(EL!$W$4:$W$1012,MATCH($C132,EL!$E$4:$E$1012,0))="","",INDEX(EL!$W$4:$W$1012,MATCH($C132,EL!$E$4:$E$1012,0))),
IF($E132=2,IF(INDEX(EL!$AB$4:$AB$1012,MATCH($C132,EL!$E$4:$E$1012,0))="","",INDEX(EL!$AB$4:$AB$1012,MATCH($C132,EL!$E$4:$E$1012,0))),
IF($E132=3,IF(INDEX(EL!$AG$4:$AG$1012,MATCH($C132,EL!$E$4:$E$1012,0))="","",INDEX(EL!$AG$4:$AG$1012,MATCH($C132,EL!$E$4:$E$1012,0))),
IF($E132=4,IF(INDEX(EL!$AN$4:$AN$1012,MATCH($C132,EL!$E$4:$E$1012,0))="","",INDEX(EL!$AN$4:$AN$1012,MATCH($C132,EL!$E$4:$E$1012,0))),
IF($E132=5,IF(INDEX(EL!$AS$4:$AS$1012,MATCH($C132,EL!$E$4:$E$1012,0))="","",INDEX(EL!$AS$4:$AS$1012,MATCH($C132,EL!$E$4:$E$1012,0))),"")))))))</f>
        <v/>
      </c>
      <c r="I132" s="459" t="str">
        <f>IF(ISNA(MATCH($C132,EL!$E$4:$E$1012,0)),"",
IF($E132=0,IF(INDEX(EL!$S$4:$S$1012,MATCH($C132,EL!$E$4:$E$1012,0))="","",INDEX(EL!$S$4:$S$1012,MATCH($C132,EL!$E$4:$E$1012,0))),
IF($E132=1,IF(INDEX(EL!$X$4:$X$1012,MATCH($C132,EL!$E$4:$E$1012,0))="","",INDEX(EL!$X$4:$X$1012,MATCH($C132,EL!$E$4:$E$1012,0))),
IF($E132=2,IF(INDEX(EL!$AC$4:$AC$1012,MATCH($C132,EL!$E$4:$E$1012,0))="","",INDEX(EL!$AC$4:$AC$1012,MATCH($C132,EL!$E$4:$E$1012,0))),
IF($E132=3,IF(INDEX(EL!$AH$4:$AH$1012,MATCH($C132,EL!$E$4:$E$1012,0))="","",INDEX(EL!$AH$4:$AH$1012,MATCH($C132,EL!$E$4:$E$1012,0))),
IF($E132=4,IF(INDEX(EL!$AM$4:$AM$1012,MATCH($C132,EL!$E$4:$E$1012,0))="","",INDEX(EL!$AM$4:$AM$1012,MATCH($C132,EL!$E$4:$E$1012,0))),
IF($E132=5,IF(INDEX(EL!$AR$4:$AR$1012,MATCH($C132,EL!$E$4:$E$1012,0))="","",INDEX(EL!$AR$4:$AR$1012,MATCH($C132,EL!$E$4:$E$1012,0))),"")))))))</f>
        <v/>
      </c>
      <c r="J132" s="459" t="str">
        <f>IF(ISNA(MATCH($C132,EL!$E$4:$E$1012,0)),"",
IF($E132=0,IF(INDEX(EL!$T$4:$T$1012,MATCH($C132,EL!$E$4:$E$1012,0))="","",INDEX(EL!$T$4:$T$1012,MATCH($C132,EL!$E$4:$E$1012,0))),
IF($E132=1,IF(INDEX(EL!$Y$4:$Y$1012,MATCH($C132,EL!$E$4:$E$1012,0))="","",INDEX(EL!$Y$4:$Y$1012,MATCH($C132,EL!$E$4:$E$1012,0))),
IF($E132=2,IF(INDEX(EL!$AD$4:$AD$1012,MATCH($C132,EL!$E$4:$E$1012,0))="","",INDEX(EL!$AD$4:$AD$1012,MATCH($C132,EL!$E$4:$E$1012,0))),
IF($E132=3,IF(INDEX(EL!$AI$4:$AI$1012,MATCH($C132,EL!$E$4:$E$1012,0))="","",INDEX(EL!$AI$4:$AI$1012,MATCH($C132,EL!$E$4:$E$1012,0))),
IF($E132=4,IF(INDEX(EL!$AN$4:$AN$1012,MATCH($C132,EL!$E$4:$E$1012,0))="","",INDEX(EL!$AN$4:$AN$1012,MATCH($C132,EL!$E$4:$E$1012,0))),
IF($E132=5,IF(INDEX(EL!$AS$4:$AS$1012,MATCH($C132,EL!$E$4:$E$1012,0))="","",INDEX(EL!$AS$4:$AS$1012,MATCH($C132,EL!$E$4:$E$1012,0))),"")))))))</f>
        <v/>
      </c>
      <c r="K132" s="459" t="str">
        <f>EL!L45</f>
        <v>CTA</v>
      </c>
      <c r="L132" s="460" cm="1">
        <f t="array" aca="1" ref="L132" ca="1">_xlfn.IFS(AND($E132&lt;&gt;"",$M132="Pending",$K132="CTA"),TODAY()-$G132,AND($E132&lt;&gt;"",$M132="Pending",$K132="AUR"),TODAY()-$H132,AND($E132&lt;&gt;"",$M132="Pending",$K132="STT"),TODAY()-$I132,OR(K132="Closed",K132=""),"")</f>
        <v>4</v>
      </c>
      <c r="M132" s="461" t="str">
        <f>VLOOKUP(C132,EL!$E$4:$AC$622,9,0)</f>
        <v>Pending</v>
      </c>
      <c r="N132" s="461" t="str">
        <f t="shared" ca="1" si="4"/>
        <v>High</v>
      </c>
      <c r="O132" s="739" t="str">
        <f>EL!O45</f>
        <v>GC</v>
      </c>
      <c r="P132" s="746" t="str">
        <v>NO</v>
      </c>
      <c r="Q132" s="384"/>
    </row>
    <row r="133" spans="1:17" s="385" customFormat="1" ht="27" customHeight="1">
      <c r="A133" s="399">
        <v>40</v>
      </c>
      <c r="B133" s="455" t="s">
        <v>52</v>
      </c>
      <c r="C133" s="646" t="s">
        <v>525</v>
      </c>
      <c r="D133" s="456" t="str">
        <f>_xlfn.XLOOKUP(C133,EL!$E$4:$E$82,EL!$D$4:$D$82)</f>
        <v>LV  Single Line Diagram For Building Load Sheet 6</v>
      </c>
      <c r="E133" s="597">
        <f>IF(VLOOKUP(C133,EL!$E$4:$AC$505,7,0)="","",VLOOKUP(C133,EL!$E$4:$AC$1004,7,0))</f>
        <v>0</v>
      </c>
      <c r="F133" s="457"/>
      <c r="G133" s="458">
        <f>IF(VLOOKUP(C133,EL!$E$4:$AC$514,5,0)="","",VLOOKUP(C133,EL!$E$4:$AC$514,5,0))</f>
        <v>46062</v>
      </c>
      <c r="H133" s="459" t="str">
        <f>IF(ISNA(MATCH($C133,EL!$E$4:$E$1012,0)),"",
IF($E133=0,IF(INDEX(EL!$R$4:$R$1012,MATCH($C133,EL!$E$4:$E$1012,0))="","",INDEX(EL!$R$4:$R$1012,MATCH($C133,EL!$E$4:$E$1012,0))),
IF($E133=1,IF(INDEX(EL!$W$4:$W$1012,MATCH($C133,EL!$E$4:$E$1012,0))="","",INDEX(EL!$W$4:$W$1012,MATCH($C133,EL!$E$4:$E$1012,0))),
IF($E133=2,IF(INDEX(EL!$AB$4:$AB$1012,MATCH($C133,EL!$E$4:$E$1012,0))="","",INDEX(EL!$AB$4:$AB$1012,MATCH($C133,EL!$E$4:$E$1012,0))),
IF($E133=3,IF(INDEX(EL!$AG$4:$AG$1012,MATCH($C133,EL!$E$4:$E$1012,0))="","",INDEX(EL!$AG$4:$AG$1012,MATCH($C133,EL!$E$4:$E$1012,0))),
IF($E133=4,IF(INDEX(EL!$AN$4:$AN$1012,MATCH($C133,EL!$E$4:$E$1012,0))="","",INDEX(EL!$AN$4:$AN$1012,MATCH($C133,EL!$E$4:$E$1012,0))),
IF($E133=5,IF(INDEX(EL!$AS$4:$AS$1012,MATCH($C133,EL!$E$4:$E$1012,0))="","",INDEX(EL!$AS$4:$AS$1012,MATCH($C133,EL!$E$4:$E$1012,0))),"")))))))</f>
        <v/>
      </c>
      <c r="I133" s="459" t="str">
        <f>IF(ISNA(MATCH($C133,EL!$E$4:$E$1012,0)),"",
IF($E133=0,IF(INDEX(EL!$S$4:$S$1012,MATCH($C133,EL!$E$4:$E$1012,0))="","",INDEX(EL!$S$4:$S$1012,MATCH($C133,EL!$E$4:$E$1012,0))),
IF($E133=1,IF(INDEX(EL!$X$4:$X$1012,MATCH($C133,EL!$E$4:$E$1012,0))="","",INDEX(EL!$X$4:$X$1012,MATCH($C133,EL!$E$4:$E$1012,0))),
IF($E133=2,IF(INDEX(EL!$AC$4:$AC$1012,MATCH($C133,EL!$E$4:$E$1012,0))="","",INDEX(EL!$AC$4:$AC$1012,MATCH($C133,EL!$E$4:$E$1012,0))),
IF($E133=3,IF(INDEX(EL!$AH$4:$AH$1012,MATCH($C133,EL!$E$4:$E$1012,0))="","",INDEX(EL!$AH$4:$AH$1012,MATCH($C133,EL!$E$4:$E$1012,0))),
IF($E133=4,IF(INDEX(EL!$AM$4:$AM$1012,MATCH($C133,EL!$E$4:$E$1012,0))="","",INDEX(EL!$AM$4:$AM$1012,MATCH($C133,EL!$E$4:$E$1012,0))),
IF($E133=5,IF(INDEX(EL!$AR$4:$AR$1012,MATCH($C133,EL!$E$4:$E$1012,0))="","",INDEX(EL!$AR$4:$AR$1012,MATCH($C133,EL!$E$4:$E$1012,0))),"")))))))</f>
        <v/>
      </c>
      <c r="J133" s="459" t="str">
        <f>IF(ISNA(MATCH($C133,EL!$E$4:$E$1012,0)),"",
IF($E133=0,IF(INDEX(EL!$T$4:$T$1012,MATCH($C133,EL!$E$4:$E$1012,0))="","",INDEX(EL!$T$4:$T$1012,MATCH($C133,EL!$E$4:$E$1012,0))),
IF($E133=1,IF(INDEX(EL!$Y$4:$Y$1012,MATCH($C133,EL!$E$4:$E$1012,0))="","",INDEX(EL!$Y$4:$Y$1012,MATCH($C133,EL!$E$4:$E$1012,0))),
IF($E133=2,IF(INDEX(EL!$AD$4:$AD$1012,MATCH($C133,EL!$E$4:$E$1012,0))="","",INDEX(EL!$AD$4:$AD$1012,MATCH($C133,EL!$E$4:$E$1012,0))),
IF($E133=3,IF(INDEX(EL!$AI$4:$AI$1012,MATCH($C133,EL!$E$4:$E$1012,0))="","",INDEX(EL!$AI$4:$AI$1012,MATCH($C133,EL!$E$4:$E$1012,0))),
IF($E133=4,IF(INDEX(EL!$AN$4:$AN$1012,MATCH($C133,EL!$E$4:$E$1012,0))="","",INDEX(EL!$AN$4:$AN$1012,MATCH($C133,EL!$E$4:$E$1012,0))),
IF($E133=5,IF(INDEX(EL!$AS$4:$AS$1012,MATCH($C133,EL!$E$4:$E$1012,0))="","",INDEX(EL!$AS$4:$AS$1012,MATCH($C133,EL!$E$4:$E$1012,0))),"")))))))</f>
        <v/>
      </c>
      <c r="K133" s="459" t="str">
        <f>EL!L46</f>
        <v>CTA</v>
      </c>
      <c r="L133" s="460" cm="1">
        <f t="array" aca="1" ref="L133" ca="1">_xlfn.IFS(AND($E133&lt;&gt;"",$M133="Pending",$K133="CTA"),TODAY()-$G133,AND($E133&lt;&gt;"",$M133="Pending",$K133="AUR"),TODAY()-$H133,AND($E133&lt;&gt;"",$M133="Pending",$K133="STT"),TODAY()-$I133,OR(K133="Closed",K133=""),"")</f>
        <v>4</v>
      </c>
      <c r="M133" s="461" t="str">
        <f>VLOOKUP(C133,EL!$E$4:$AC$622,9,0)</f>
        <v>Pending</v>
      </c>
      <c r="N133" s="461" t="str">
        <f t="shared" ca="1" si="4"/>
        <v>High</v>
      </c>
      <c r="O133" s="739" t="str">
        <f>EL!O46</f>
        <v>GC</v>
      </c>
      <c r="P133" s="746" t="str">
        <v>NO</v>
      </c>
      <c r="Q133" s="384"/>
    </row>
    <row r="134" spans="1:17" s="385" customFormat="1" ht="27" hidden="1" customHeight="1">
      <c r="A134" s="399">
        <v>41</v>
      </c>
      <c r="B134" s="455" t="s">
        <v>52</v>
      </c>
      <c r="C134" s="646" t="s">
        <v>528</v>
      </c>
      <c r="D134" s="456" t="str">
        <f>_xlfn.XLOOKUP(C134,EL!$E$4:$E$82,EL!$D$4:$D$82)</f>
        <v>Automatic Fire Detection And Alarm System Schematic</v>
      </c>
      <c r="E134" s="597" t="str">
        <f>IF(VLOOKUP(C134,EL!$E$4:$AC$505,7,0)="","",VLOOKUP(C134,EL!$E$4:$AC$1004,7,0))</f>
        <v/>
      </c>
      <c r="F134" s="466"/>
      <c r="G134" s="458" t="str">
        <f>IF(VLOOKUP(C134,EL!$E$4:$AC$514,5,0)="","",VLOOKUP(C134,EL!$E$4:$AC$514,5,0))</f>
        <v/>
      </c>
      <c r="H134" s="459" t="str">
        <f>IF(ISNA(MATCH($C134,EL!$E$4:$E$1012,0)),"",
IF($E134=0,IF(INDEX(EL!$R$4:$R$1012,MATCH($C134,EL!$E$4:$E$1012,0))="","",INDEX(EL!$R$4:$R$1012,MATCH($C134,EL!$E$4:$E$1012,0))),
IF($E134=1,IF(INDEX(EL!$W$4:$W$1012,MATCH($C134,EL!$E$4:$E$1012,0))="","",INDEX(EL!$W$4:$W$1012,MATCH($C134,EL!$E$4:$E$1012,0))),
IF($E134=2,IF(INDEX(EL!$AB$4:$AB$1012,MATCH($C134,EL!$E$4:$E$1012,0))="","",INDEX(EL!$AB$4:$AB$1012,MATCH($C134,EL!$E$4:$E$1012,0))),
IF($E134=3,IF(INDEX(EL!$AG$4:$AG$1012,MATCH($C134,EL!$E$4:$E$1012,0))="","",INDEX(EL!$AG$4:$AG$1012,MATCH($C134,EL!$E$4:$E$1012,0))),
IF($E134=4,IF(INDEX(EL!$AN$4:$AN$1012,MATCH($C134,EL!$E$4:$E$1012,0))="","",INDEX(EL!$AN$4:$AN$1012,MATCH($C134,EL!$E$4:$E$1012,0))),
IF($E134=5,IF(INDEX(EL!$AS$4:$AS$1012,MATCH($C134,EL!$E$4:$E$1012,0))="","",INDEX(EL!$AS$4:$AS$1012,MATCH($C134,EL!$E$4:$E$1012,0))),"")))))))</f>
        <v/>
      </c>
      <c r="I134" s="459" t="str">
        <f>IF(ISNA(MATCH($C134,EL!$E$4:$E$1012,0)),"",
IF($E134=0,IF(INDEX(EL!$S$4:$S$1012,MATCH($C134,EL!$E$4:$E$1012,0))="","",INDEX(EL!$S$4:$S$1012,MATCH($C134,EL!$E$4:$E$1012,0))),
IF($E134=1,IF(INDEX(EL!$X$4:$X$1012,MATCH($C134,EL!$E$4:$E$1012,0))="","",INDEX(EL!$X$4:$X$1012,MATCH($C134,EL!$E$4:$E$1012,0))),
IF($E134=2,IF(INDEX(EL!$AC$4:$AC$1012,MATCH($C134,EL!$E$4:$E$1012,0))="","",INDEX(EL!$AC$4:$AC$1012,MATCH($C134,EL!$E$4:$E$1012,0))),
IF($E134=3,IF(INDEX(EL!$AH$4:$AH$1012,MATCH($C134,EL!$E$4:$E$1012,0))="","",INDEX(EL!$AH$4:$AH$1012,MATCH($C134,EL!$E$4:$E$1012,0))),
IF($E134=4,IF(INDEX(EL!$AM$4:$AM$1012,MATCH($C134,EL!$E$4:$E$1012,0))="","",INDEX(EL!$AM$4:$AM$1012,MATCH($C134,EL!$E$4:$E$1012,0))),
IF($E134=5,IF(INDEX(EL!$AR$4:$AR$1012,MATCH($C134,EL!$E$4:$E$1012,0))="","",INDEX(EL!$AR$4:$AR$1012,MATCH($C134,EL!$E$4:$E$1012,0))),"")))))))</f>
        <v/>
      </c>
      <c r="J134" s="459" t="str">
        <f>IF(ISNA(MATCH($C134,EL!$E$4:$E$1012,0)),"",
IF($E134=0,IF(INDEX(EL!$T$4:$T$1012,MATCH($C134,EL!$E$4:$E$1012,0))="","",INDEX(EL!$T$4:$T$1012,MATCH($C134,EL!$E$4:$E$1012,0))),
IF($E134=1,IF(INDEX(EL!$Y$4:$Y$1012,MATCH($C134,EL!$E$4:$E$1012,0))="","",INDEX(EL!$Y$4:$Y$1012,MATCH($C134,EL!$E$4:$E$1012,0))),
IF($E134=2,IF(INDEX(EL!$AD$4:$AD$1012,MATCH($C134,EL!$E$4:$E$1012,0))="","",INDEX(EL!$AD$4:$AD$1012,MATCH($C134,EL!$E$4:$E$1012,0))),
IF($E134=3,IF(INDEX(EL!$AI$4:$AI$1012,MATCH($C134,EL!$E$4:$E$1012,0))="","",INDEX(EL!$AI$4:$AI$1012,MATCH($C134,EL!$E$4:$E$1012,0))),
IF($E134=4,IF(INDEX(EL!$AN$4:$AN$1012,MATCH($C134,EL!$E$4:$E$1012,0))="","",INDEX(EL!$AN$4:$AN$1012,MATCH($C134,EL!$E$4:$E$1012,0))),
IF($E134=5,IF(INDEX(EL!$AS$4:$AS$1012,MATCH($C134,EL!$E$4:$E$1012,0))="","",INDEX(EL!$AS$4:$AS$1012,MATCH($C134,EL!$E$4:$E$1012,0))),"")))))))</f>
        <v/>
      </c>
      <c r="K134" s="459">
        <f>EL!L47</f>
        <v>0</v>
      </c>
      <c r="L134" s="460" t="e" cm="1">
        <f t="array" aca="1" ref="L134" ca="1">_xlfn.IFS(AND($E134&lt;&gt;"",$M134="Pending",$K134="CTA"),TODAY()-$G134,AND($E134&lt;&gt;"",$M134="Pending",$K134="AUR"),TODAY()-$H134,AND($E134&lt;&gt;"",$M134="Pending",$K134="STT"),TODAY()-$I134,OR(K134="Closed",K134=""),"")</f>
        <v>#N/A</v>
      </c>
      <c r="M134" s="461">
        <f>VLOOKUP(C134,EL!$E$4:$AC$622,9,0)</f>
        <v>0</v>
      </c>
      <c r="N134" s="461" t="str">
        <f t="shared" si="4"/>
        <v/>
      </c>
      <c r="O134" s="739" t="str">
        <f>EL!O47</f>
        <v>GC</v>
      </c>
      <c r="P134" s="746" t="str">
        <v>NO</v>
      </c>
    </row>
    <row r="135" spans="1:17" s="385" customFormat="1" ht="27" hidden="1" customHeight="1">
      <c r="A135" s="399">
        <v>42</v>
      </c>
      <c r="B135" s="455" t="s">
        <v>52</v>
      </c>
      <c r="C135" s="646" t="s">
        <v>534</v>
      </c>
      <c r="D135" s="456" t="str">
        <f>_xlfn.XLOOKUP(C135,EL!$E$4:$E$82,EL!$D$4:$D$82)</f>
        <v>Public Address And Voice Alarm System Schematic</v>
      </c>
      <c r="E135" s="597" t="str">
        <f>IF(VLOOKUP(C135,EL!$E$4:$AC$505,7,0)="","",VLOOKUP(C135,EL!$E$4:$AC$1004,7,0))</f>
        <v/>
      </c>
      <c r="F135" s="462"/>
      <c r="G135" s="458" t="str">
        <f>IF(VLOOKUP(C135,EL!$E$4:$AC$514,5,0)="","",VLOOKUP(C135,EL!$E$4:$AC$514,5,0))</f>
        <v/>
      </c>
      <c r="H135" s="459" t="str">
        <f>IF(ISNA(MATCH($C135,EL!$E$4:$E$1012,0)),"",
IF($E135=0,IF(INDEX(EL!$R$4:$R$1012,MATCH($C135,EL!$E$4:$E$1012,0))="","",INDEX(EL!$R$4:$R$1012,MATCH($C135,EL!$E$4:$E$1012,0))),
IF($E135=1,IF(INDEX(EL!$W$4:$W$1012,MATCH($C135,EL!$E$4:$E$1012,0))="","",INDEX(EL!$W$4:$W$1012,MATCH($C135,EL!$E$4:$E$1012,0))),
IF($E135=2,IF(INDEX(EL!$AB$4:$AB$1012,MATCH($C135,EL!$E$4:$E$1012,0))="","",INDEX(EL!$AB$4:$AB$1012,MATCH($C135,EL!$E$4:$E$1012,0))),
IF($E135=3,IF(INDEX(EL!$AG$4:$AG$1012,MATCH($C135,EL!$E$4:$E$1012,0))="","",INDEX(EL!$AG$4:$AG$1012,MATCH($C135,EL!$E$4:$E$1012,0))),
IF($E135=4,IF(INDEX(EL!$AN$4:$AN$1012,MATCH($C135,EL!$E$4:$E$1012,0))="","",INDEX(EL!$AN$4:$AN$1012,MATCH($C135,EL!$E$4:$E$1012,0))),
IF($E135=5,IF(INDEX(EL!$AS$4:$AS$1012,MATCH($C135,EL!$E$4:$E$1012,0))="","",INDEX(EL!$AS$4:$AS$1012,MATCH($C135,EL!$E$4:$E$1012,0))),"")))))))</f>
        <v/>
      </c>
      <c r="I135" s="459" t="str">
        <f>IF(ISNA(MATCH($C135,EL!$E$4:$E$1012,0)),"",
IF($E135=0,IF(INDEX(EL!$S$4:$S$1012,MATCH($C135,EL!$E$4:$E$1012,0))="","",INDEX(EL!$S$4:$S$1012,MATCH($C135,EL!$E$4:$E$1012,0))),
IF($E135=1,IF(INDEX(EL!$X$4:$X$1012,MATCH($C135,EL!$E$4:$E$1012,0))="","",INDEX(EL!$X$4:$X$1012,MATCH($C135,EL!$E$4:$E$1012,0))),
IF($E135=2,IF(INDEX(EL!$AC$4:$AC$1012,MATCH($C135,EL!$E$4:$E$1012,0))="","",INDEX(EL!$AC$4:$AC$1012,MATCH($C135,EL!$E$4:$E$1012,0))),
IF($E135=3,IF(INDEX(EL!$AH$4:$AH$1012,MATCH($C135,EL!$E$4:$E$1012,0))="","",INDEX(EL!$AH$4:$AH$1012,MATCH($C135,EL!$E$4:$E$1012,0))),
IF($E135=4,IF(INDEX(EL!$AM$4:$AM$1012,MATCH($C135,EL!$E$4:$E$1012,0))="","",INDEX(EL!$AM$4:$AM$1012,MATCH($C135,EL!$E$4:$E$1012,0))),
IF($E135=5,IF(INDEX(EL!$AR$4:$AR$1012,MATCH($C135,EL!$E$4:$E$1012,0))="","",INDEX(EL!$AR$4:$AR$1012,MATCH($C135,EL!$E$4:$E$1012,0))),"")))))))</f>
        <v/>
      </c>
      <c r="J135" s="459" t="str">
        <f>IF(ISNA(MATCH($C135,EL!$E$4:$E$1012,0)),"",
IF($E135=0,IF(INDEX(EL!$T$4:$T$1012,MATCH($C135,EL!$E$4:$E$1012,0))="","",INDEX(EL!$T$4:$T$1012,MATCH($C135,EL!$E$4:$E$1012,0))),
IF($E135=1,IF(INDEX(EL!$Y$4:$Y$1012,MATCH($C135,EL!$E$4:$E$1012,0))="","",INDEX(EL!$Y$4:$Y$1012,MATCH($C135,EL!$E$4:$E$1012,0))),
IF($E135=2,IF(INDEX(EL!$AD$4:$AD$1012,MATCH($C135,EL!$E$4:$E$1012,0))="","",INDEX(EL!$AD$4:$AD$1012,MATCH($C135,EL!$E$4:$E$1012,0))),
IF($E135=3,IF(INDEX(EL!$AI$4:$AI$1012,MATCH($C135,EL!$E$4:$E$1012,0))="","",INDEX(EL!$AI$4:$AI$1012,MATCH($C135,EL!$E$4:$E$1012,0))),
IF($E135=4,IF(INDEX(EL!$AN$4:$AN$1012,MATCH($C135,EL!$E$4:$E$1012,0))="","",INDEX(EL!$AN$4:$AN$1012,MATCH($C135,EL!$E$4:$E$1012,0))),
IF($E135=5,IF(INDEX(EL!$AS$4:$AS$1012,MATCH($C135,EL!$E$4:$E$1012,0))="","",INDEX(EL!$AS$4:$AS$1012,MATCH($C135,EL!$E$4:$E$1012,0))),"")))))))</f>
        <v/>
      </c>
      <c r="K135" s="459">
        <f>EL!L48</f>
        <v>0</v>
      </c>
      <c r="L135" s="460" t="e" cm="1">
        <f t="array" aca="1" ref="L135" ca="1">_xlfn.IFS(AND($E135&lt;&gt;"",$M135="Pending",$K135="CTA"),TODAY()-$G135,AND($E135&lt;&gt;"",$M135="Pending",$K135="AUR"),TODAY()-$H135,AND($E135&lt;&gt;"",$M135="Pending",$K135="STT"),TODAY()-$I135,OR(K135="Closed",K135=""),"")</f>
        <v>#N/A</v>
      </c>
      <c r="M135" s="461">
        <f>VLOOKUP(C135,EL!$E$4:$AC$622,9,0)</f>
        <v>0</v>
      </c>
      <c r="N135" s="461" t="str">
        <f t="shared" si="4"/>
        <v/>
      </c>
      <c r="O135" s="739" t="str">
        <f>EL!O48</f>
        <v>GC</v>
      </c>
      <c r="P135" s="746" t="str">
        <v>NO</v>
      </c>
    </row>
    <row r="136" spans="1:17" s="385" customFormat="1" ht="27" hidden="1" customHeight="1">
      <c r="A136" s="399">
        <v>43</v>
      </c>
      <c r="B136" s="455" t="s">
        <v>52</v>
      </c>
      <c r="C136" s="646" t="s">
        <v>539</v>
      </c>
      <c r="D136" s="456" t="str">
        <f>_xlfn.XLOOKUP(C136,EL!$E$4:$E$82,EL!$D$4:$D$82)</f>
        <v>Lighting Control System Schematic</v>
      </c>
      <c r="E136" s="597" t="str">
        <f>IF(VLOOKUP(C136,EL!$E$4:$AC$505,7,0)="","",VLOOKUP(C136,EL!$E$4:$AC$1004,7,0))</f>
        <v/>
      </c>
      <c r="F136" s="466"/>
      <c r="G136" s="458" t="str">
        <f>IF(VLOOKUP(C136,EL!$E$4:$AC$514,5,0)="","",VLOOKUP(C136,EL!$E$4:$AC$514,5,0))</f>
        <v/>
      </c>
      <c r="H136" s="459" t="str">
        <f>IF(ISNA(MATCH($C136,EL!$E$4:$E$1012,0)),"",
IF($E136=0,IF(INDEX(EL!$R$4:$R$1012,MATCH($C136,EL!$E$4:$E$1012,0))="","",INDEX(EL!$R$4:$R$1012,MATCH($C136,EL!$E$4:$E$1012,0))),
IF($E136=1,IF(INDEX(EL!$W$4:$W$1012,MATCH($C136,EL!$E$4:$E$1012,0))="","",INDEX(EL!$W$4:$W$1012,MATCH($C136,EL!$E$4:$E$1012,0))),
IF($E136=2,IF(INDEX(EL!$AB$4:$AB$1012,MATCH($C136,EL!$E$4:$E$1012,0))="","",INDEX(EL!$AB$4:$AB$1012,MATCH($C136,EL!$E$4:$E$1012,0))),
IF($E136=3,IF(INDEX(EL!$AG$4:$AG$1012,MATCH($C136,EL!$E$4:$E$1012,0))="","",INDEX(EL!$AG$4:$AG$1012,MATCH($C136,EL!$E$4:$E$1012,0))),
IF($E136=4,IF(INDEX(EL!$AN$4:$AN$1012,MATCH($C136,EL!$E$4:$E$1012,0))="","",INDEX(EL!$AN$4:$AN$1012,MATCH($C136,EL!$E$4:$E$1012,0))),
IF($E136=5,IF(INDEX(EL!$AS$4:$AS$1012,MATCH($C136,EL!$E$4:$E$1012,0))="","",INDEX(EL!$AS$4:$AS$1012,MATCH($C136,EL!$E$4:$E$1012,0))),"")))))))</f>
        <v/>
      </c>
      <c r="I136" s="459" t="str">
        <f>IF(ISNA(MATCH($C136,EL!$E$4:$E$1012,0)),"",
IF($E136=0,IF(INDEX(EL!$S$4:$S$1012,MATCH($C136,EL!$E$4:$E$1012,0))="","",INDEX(EL!$S$4:$S$1012,MATCH($C136,EL!$E$4:$E$1012,0))),
IF($E136=1,IF(INDEX(EL!$X$4:$X$1012,MATCH($C136,EL!$E$4:$E$1012,0))="","",INDEX(EL!$X$4:$X$1012,MATCH($C136,EL!$E$4:$E$1012,0))),
IF($E136=2,IF(INDEX(EL!$AC$4:$AC$1012,MATCH($C136,EL!$E$4:$E$1012,0))="","",INDEX(EL!$AC$4:$AC$1012,MATCH($C136,EL!$E$4:$E$1012,0))),
IF($E136=3,IF(INDEX(EL!$AH$4:$AH$1012,MATCH($C136,EL!$E$4:$E$1012,0))="","",INDEX(EL!$AH$4:$AH$1012,MATCH($C136,EL!$E$4:$E$1012,0))),
IF($E136=4,IF(INDEX(EL!$AM$4:$AM$1012,MATCH($C136,EL!$E$4:$E$1012,0))="","",INDEX(EL!$AM$4:$AM$1012,MATCH($C136,EL!$E$4:$E$1012,0))),
IF($E136=5,IF(INDEX(EL!$AR$4:$AR$1012,MATCH($C136,EL!$E$4:$E$1012,0))="","",INDEX(EL!$AR$4:$AR$1012,MATCH($C136,EL!$E$4:$E$1012,0))),"")))))))</f>
        <v/>
      </c>
      <c r="J136" s="459" t="str">
        <f>IF(ISNA(MATCH($C136,EL!$E$4:$E$1012,0)),"",
IF($E136=0,IF(INDEX(EL!$T$4:$T$1012,MATCH($C136,EL!$E$4:$E$1012,0))="","",INDEX(EL!$T$4:$T$1012,MATCH($C136,EL!$E$4:$E$1012,0))),
IF($E136=1,IF(INDEX(EL!$Y$4:$Y$1012,MATCH($C136,EL!$E$4:$E$1012,0))="","",INDEX(EL!$Y$4:$Y$1012,MATCH($C136,EL!$E$4:$E$1012,0))),
IF($E136=2,IF(INDEX(EL!$AD$4:$AD$1012,MATCH($C136,EL!$E$4:$E$1012,0))="","",INDEX(EL!$AD$4:$AD$1012,MATCH($C136,EL!$E$4:$E$1012,0))),
IF($E136=3,IF(INDEX(EL!$AI$4:$AI$1012,MATCH($C136,EL!$E$4:$E$1012,0))="","",INDEX(EL!$AI$4:$AI$1012,MATCH($C136,EL!$E$4:$E$1012,0))),
IF($E136=4,IF(INDEX(EL!$AN$4:$AN$1012,MATCH($C136,EL!$E$4:$E$1012,0))="","",INDEX(EL!$AN$4:$AN$1012,MATCH($C136,EL!$E$4:$E$1012,0))),
IF($E136=5,IF(INDEX(EL!$AS$4:$AS$1012,MATCH($C136,EL!$E$4:$E$1012,0))="","",INDEX(EL!$AS$4:$AS$1012,MATCH($C136,EL!$E$4:$E$1012,0))),"")))))))</f>
        <v/>
      </c>
      <c r="K136" s="459">
        <f>EL!L49</f>
        <v>0</v>
      </c>
      <c r="L136" s="460" t="e" cm="1">
        <f t="array" aca="1" ref="L136" ca="1">_xlfn.IFS(AND($E136&lt;&gt;"",$M136="Pending",$K136="CTA"),TODAY()-$G136,AND($E136&lt;&gt;"",$M136="Pending",$K136="AUR"),TODAY()-$H136,AND($E136&lt;&gt;"",$M136="Pending",$K136="STT"),TODAY()-$I136,OR(K136="Closed",K136=""),"")</f>
        <v>#N/A</v>
      </c>
      <c r="M136" s="461">
        <f>VLOOKUP(C136,EL!$E$4:$AC$622,9,0)</f>
        <v>0</v>
      </c>
      <c r="N136" s="461" t="str">
        <f t="shared" si="4"/>
        <v/>
      </c>
      <c r="O136" s="739" t="str">
        <f>EL!O49</f>
        <v>GC</v>
      </c>
      <c r="P136" s="746" t="str">
        <v>NO</v>
      </c>
    </row>
    <row r="137" spans="1:17" s="385" customFormat="1" ht="27" customHeight="1">
      <c r="A137" s="399">
        <v>44</v>
      </c>
      <c r="B137" s="455" t="s">
        <v>52</v>
      </c>
      <c r="C137" s="646" t="s">
        <v>545</v>
      </c>
      <c r="D137" s="456" t="str">
        <f>_xlfn.XLOOKUP(C137,EL!$E$4:$E$82,EL!$D$4:$D$82)</f>
        <v>Data Cabling System Schematic</v>
      </c>
      <c r="E137" s="597">
        <f>IF(VLOOKUP(C137,EL!$E$4:$AC$505,7,0)="","",VLOOKUP(C137,EL!$E$4:$AC$1004,7,0))</f>
        <v>0</v>
      </c>
      <c r="F137" s="462"/>
      <c r="G137" s="458">
        <f>IF(VLOOKUP(C137,EL!$E$4:$AC$514,5,0)="","",VLOOKUP(C137,EL!$E$4:$AC$514,5,0))</f>
        <v>46062</v>
      </c>
      <c r="H137" s="459" t="str">
        <f>IF(ISNA(MATCH($C137,EL!$E$4:$E$1012,0)),"",
IF($E137=0,IF(INDEX(EL!$R$4:$R$1012,MATCH($C137,EL!$E$4:$E$1012,0))="","",INDEX(EL!$R$4:$R$1012,MATCH($C137,EL!$E$4:$E$1012,0))),
IF($E137=1,IF(INDEX(EL!$W$4:$W$1012,MATCH($C137,EL!$E$4:$E$1012,0))="","",INDEX(EL!$W$4:$W$1012,MATCH($C137,EL!$E$4:$E$1012,0))),
IF($E137=2,IF(INDEX(EL!$AB$4:$AB$1012,MATCH($C137,EL!$E$4:$E$1012,0))="","",INDEX(EL!$AB$4:$AB$1012,MATCH($C137,EL!$E$4:$E$1012,0))),
IF($E137=3,IF(INDEX(EL!$AG$4:$AG$1012,MATCH($C137,EL!$E$4:$E$1012,0))="","",INDEX(EL!$AG$4:$AG$1012,MATCH($C137,EL!$E$4:$E$1012,0))),
IF($E137=4,IF(INDEX(EL!$AN$4:$AN$1012,MATCH($C137,EL!$E$4:$E$1012,0))="","",INDEX(EL!$AN$4:$AN$1012,MATCH($C137,EL!$E$4:$E$1012,0))),
IF($E137=5,IF(INDEX(EL!$AS$4:$AS$1012,MATCH($C137,EL!$E$4:$E$1012,0))="","",INDEX(EL!$AS$4:$AS$1012,MATCH($C137,EL!$E$4:$E$1012,0))),"")))))))</f>
        <v/>
      </c>
      <c r="I137" s="459" t="str">
        <f>IF(ISNA(MATCH($C137,EL!$E$4:$E$1012,0)),"",
IF($E137=0,IF(INDEX(EL!$S$4:$S$1012,MATCH($C137,EL!$E$4:$E$1012,0))="","",INDEX(EL!$S$4:$S$1012,MATCH($C137,EL!$E$4:$E$1012,0))),
IF($E137=1,IF(INDEX(EL!$X$4:$X$1012,MATCH($C137,EL!$E$4:$E$1012,0))="","",INDEX(EL!$X$4:$X$1012,MATCH($C137,EL!$E$4:$E$1012,0))),
IF($E137=2,IF(INDEX(EL!$AC$4:$AC$1012,MATCH($C137,EL!$E$4:$E$1012,0))="","",INDEX(EL!$AC$4:$AC$1012,MATCH($C137,EL!$E$4:$E$1012,0))),
IF($E137=3,IF(INDEX(EL!$AH$4:$AH$1012,MATCH($C137,EL!$E$4:$E$1012,0))="","",INDEX(EL!$AH$4:$AH$1012,MATCH($C137,EL!$E$4:$E$1012,0))),
IF($E137=4,IF(INDEX(EL!$AM$4:$AM$1012,MATCH($C137,EL!$E$4:$E$1012,0))="","",INDEX(EL!$AM$4:$AM$1012,MATCH($C137,EL!$E$4:$E$1012,0))),
IF($E137=5,IF(INDEX(EL!$AR$4:$AR$1012,MATCH($C137,EL!$E$4:$E$1012,0))="","",INDEX(EL!$AR$4:$AR$1012,MATCH($C137,EL!$E$4:$E$1012,0))),"")))))))</f>
        <v/>
      </c>
      <c r="J137" s="459" t="str">
        <f>IF(ISNA(MATCH($C137,EL!$E$4:$E$1012,0)),"",
IF($E137=0,IF(INDEX(EL!$T$4:$T$1012,MATCH($C137,EL!$E$4:$E$1012,0))="","",INDEX(EL!$T$4:$T$1012,MATCH($C137,EL!$E$4:$E$1012,0))),
IF($E137=1,IF(INDEX(EL!$Y$4:$Y$1012,MATCH($C137,EL!$E$4:$E$1012,0))="","",INDEX(EL!$Y$4:$Y$1012,MATCH($C137,EL!$E$4:$E$1012,0))),
IF($E137=2,IF(INDEX(EL!$AD$4:$AD$1012,MATCH($C137,EL!$E$4:$E$1012,0))="","",INDEX(EL!$AD$4:$AD$1012,MATCH($C137,EL!$E$4:$E$1012,0))),
IF($E137=3,IF(INDEX(EL!$AI$4:$AI$1012,MATCH($C137,EL!$E$4:$E$1012,0))="","",INDEX(EL!$AI$4:$AI$1012,MATCH($C137,EL!$E$4:$E$1012,0))),
IF($E137=4,IF(INDEX(EL!$AN$4:$AN$1012,MATCH($C137,EL!$E$4:$E$1012,0))="","",INDEX(EL!$AN$4:$AN$1012,MATCH($C137,EL!$E$4:$E$1012,0))),
IF($E137=5,IF(INDEX(EL!$AS$4:$AS$1012,MATCH($C137,EL!$E$4:$E$1012,0))="","",INDEX(EL!$AS$4:$AS$1012,MATCH($C137,EL!$E$4:$E$1012,0))),"")))))))</f>
        <v/>
      </c>
      <c r="K137" s="459" t="str">
        <f>EL!L50</f>
        <v>CTA</v>
      </c>
      <c r="L137" s="460" cm="1">
        <f t="array" aca="1" ref="L137" ca="1">_xlfn.IFS(AND($E137&lt;&gt;"",$M137="Pending",$K137="CTA"),TODAY()-$G137,AND($E137&lt;&gt;"",$M137="Pending",$K137="AUR"),TODAY()-$H137,AND($E137&lt;&gt;"",$M137="Pending",$K137="STT"),TODAY()-$I137,OR(K137="Closed",K137=""),"")</f>
        <v>4</v>
      </c>
      <c r="M137" s="461" t="str">
        <f>VLOOKUP(C137,EL!$E$4:$AC$622,9,0)</f>
        <v>Pending</v>
      </c>
      <c r="N137" s="461" t="str">
        <f t="shared" ca="1" si="4"/>
        <v>High</v>
      </c>
      <c r="O137" s="739" t="str">
        <f>EL!O50</f>
        <v>GC</v>
      </c>
      <c r="P137" s="746" t="str">
        <v>YES</v>
      </c>
    </row>
    <row r="138" spans="1:17" s="385" customFormat="1" ht="27" hidden="1" customHeight="1">
      <c r="A138" s="399">
        <v>45</v>
      </c>
      <c r="B138" s="455" t="s">
        <v>52</v>
      </c>
      <c r="C138" s="646" t="s">
        <v>550</v>
      </c>
      <c r="D138" s="456" t="str">
        <f>_xlfn.XLOOKUP(C138,EL!$E$4:$E$82,EL!$D$4:$D$82)</f>
        <v>Overall Security System Schematic</v>
      </c>
      <c r="E138" s="597" t="str">
        <f>IF(VLOOKUP(C138,EL!$E$4:$AC$505,7,0)="","",VLOOKUP(C138,EL!$E$4:$AC$1004,7,0))</f>
        <v/>
      </c>
      <c r="F138" s="466"/>
      <c r="G138" s="458" t="str">
        <f>IF(VLOOKUP(C138,EL!$E$4:$AC$514,5,0)="","",VLOOKUP(C138,EL!$E$4:$AC$514,5,0))</f>
        <v/>
      </c>
      <c r="H138" s="459" t="str">
        <f>IF(ISNA(MATCH($C138,EL!$E$4:$E$1012,0)),"",
IF($E138=0,IF(INDEX(EL!$R$4:$R$1012,MATCH($C138,EL!$E$4:$E$1012,0))="","",INDEX(EL!$R$4:$R$1012,MATCH($C138,EL!$E$4:$E$1012,0))),
IF($E138=1,IF(INDEX(EL!$W$4:$W$1012,MATCH($C138,EL!$E$4:$E$1012,0))="","",INDEX(EL!$W$4:$W$1012,MATCH($C138,EL!$E$4:$E$1012,0))),
IF($E138=2,IF(INDEX(EL!$AB$4:$AB$1012,MATCH($C138,EL!$E$4:$E$1012,0))="","",INDEX(EL!$AB$4:$AB$1012,MATCH($C138,EL!$E$4:$E$1012,0))),
IF($E138=3,IF(INDEX(EL!$AG$4:$AG$1012,MATCH($C138,EL!$E$4:$E$1012,0))="","",INDEX(EL!$AG$4:$AG$1012,MATCH($C138,EL!$E$4:$E$1012,0))),
IF($E138=4,IF(INDEX(EL!$AN$4:$AN$1012,MATCH($C138,EL!$E$4:$E$1012,0))="","",INDEX(EL!$AN$4:$AN$1012,MATCH($C138,EL!$E$4:$E$1012,0))),
IF($E138=5,IF(INDEX(EL!$AS$4:$AS$1012,MATCH($C138,EL!$E$4:$E$1012,0))="","",INDEX(EL!$AS$4:$AS$1012,MATCH($C138,EL!$E$4:$E$1012,0))),"")))))))</f>
        <v/>
      </c>
      <c r="I138" s="459" t="str">
        <f>IF(ISNA(MATCH($C138,EL!$E$4:$E$1012,0)),"",
IF($E138=0,IF(INDEX(EL!$S$4:$S$1012,MATCH($C138,EL!$E$4:$E$1012,0))="","",INDEX(EL!$S$4:$S$1012,MATCH($C138,EL!$E$4:$E$1012,0))),
IF($E138=1,IF(INDEX(EL!$X$4:$X$1012,MATCH($C138,EL!$E$4:$E$1012,0))="","",INDEX(EL!$X$4:$X$1012,MATCH($C138,EL!$E$4:$E$1012,0))),
IF($E138=2,IF(INDEX(EL!$AC$4:$AC$1012,MATCH($C138,EL!$E$4:$E$1012,0))="","",INDEX(EL!$AC$4:$AC$1012,MATCH($C138,EL!$E$4:$E$1012,0))),
IF($E138=3,IF(INDEX(EL!$AH$4:$AH$1012,MATCH($C138,EL!$E$4:$E$1012,0))="","",INDEX(EL!$AH$4:$AH$1012,MATCH($C138,EL!$E$4:$E$1012,0))),
IF($E138=4,IF(INDEX(EL!$AM$4:$AM$1012,MATCH($C138,EL!$E$4:$E$1012,0))="","",INDEX(EL!$AM$4:$AM$1012,MATCH($C138,EL!$E$4:$E$1012,0))),
IF($E138=5,IF(INDEX(EL!$AR$4:$AR$1012,MATCH($C138,EL!$E$4:$E$1012,0))="","",INDEX(EL!$AR$4:$AR$1012,MATCH($C138,EL!$E$4:$E$1012,0))),"")))))))</f>
        <v/>
      </c>
      <c r="J138" s="459" t="str">
        <f>IF(ISNA(MATCH($C138,EL!$E$4:$E$1012,0)),"",
IF($E138=0,IF(INDEX(EL!$T$4:$T$1012,MATCH($C138,EL!$E$4:$E$1012,0))="","",INDEX(EL!$T$4:$T$1012,MATCH($C138,EL!$E$4:$E$1012,0))),
IF($E138=1,IF(INDEX(EL!$Y$4:$Y$1012,MATCH($C138,EL!$E$4:$E$1012,0))="","",INDEX(EL!$Y$4:$Y$1012,MATCH($C138,EL!$E$4:$E$1012,0))),
IF($E138=2,IF(INDEX(EL!$AD$4:$AD$1012,MATCH($C138,EL!$E$4:$E$1012,0))="","",INDEX(EL!$AD$4:$AD$1012,MATCH($C138,EL!$E$4:$E$1012,0))),
IF($E138=3,IF(INDEX(EL!$AI$4:$AI$1012,MATCH($C138,EL!$E$4:$E$1012,0))="","",INDEX(EL!$AI$4:$AI$1012,MATCH($C138,EL!$E$4:$E$1012,0))),
IF($E138=4,IF(INDEX(EL!$AN$4:$AN$1012,MATCH($C138,EL!$E$4:$E$1012,0))="","",INDEX(EL!$AN$4:$AN$1012,MATCH($C138,EL!$E$4:$E$1012,0))),
IF($E138=5,IF(INDEX(EL!$AS$4:$AS$1012,MATCH($C138,EL!$E$4:$E$1012,0))="","",INDEX(EL!$AS$4:$AS$1012,MATCH($C138,EL!$E$4:$E$1012,0))),"")))))))</f>
        <v/>
      </c>
      <c r="K138" s="459">
        <f>EL!L51</f>
        <v>0</v>
      </c>
      <c r="L138" s="460" t="e" cm="1">
        <f t="array" aca="1" ref="L138" ca="1">_xlfn.IFS(AND($E138&lt;&gt;"",$M138="Pending",$K138="CTA"),TODAY()-$G138,AND($E138&lt;&gt;"",$M138="Pending",$K138="AUR"),TODAY()-$H138,AND($E138&lt;&gt;"",$M138="Pending",$K138="STT"),TODAY()-$I138,OR(K138="Closed",K138=""),"")</f>
        <v>#N/A</v>
      </c>
      <c r="M138" s="461">
        <f>VLOOKUP(C138,EL!$E$4:$AC$622,9,0)</f>
        <v>0</v>
      </c>
      <c r="N138" s="461" t="str">
        <f t="shared" si="4"/>
        <v/>
      </c>
      <c r="O138" s="739" t="str">
        <f>EL!O51</f>
        <v>GC</v>
      </c>
      <c r="P138" s="746" t="str">
        <v>YES</v>
      </c>
    </row>
    <row r="139" spans="1:17" s="385" customFormat="1" ht="27" hidden="1" customHeight="1">
      <c r="A139" s="399">
        <v>46</v>
      </c>
      <c r="B139" s="455" t="s">
        <v>52</v>
      </c>
      <c r="C139" s="646" t="s">
        <v>555</v>
      </c>
      <c r="D139" s="456" t="str">
        <f>_xlfn.XLOOKUP(C139,EL!$E$4:$E$82,EL!$D$4:$D$82)</f>
        <v>Lightning Protection And Grounding System Schematic</v>
      </c>
      <c r="E139" s="597" t="str">
        <f>IF(VLOOKUP(C139,EL!$E$4:$AC$505,7,0)="","",VLOOKUP(C139,EL!$E$4:$AC$1004,7,0))</f>
        <v/>
      </c>
      <c r="F139" s="462"/>
      <c r="G139" s="458" t="str">
        <f>IF(VLOOKUP(C139,EL!$E$4:$AC$514,5,0)="","",VLOOKUP(C139,EL!$E$4:$AC$514,5,0))</f>
        <v/>
      </c>
      <c r="H139" s="459" t="str">
        <f>IF(ISNA(MATCH($C139,EL!$E$4:$E$1012,0)),"",
IF($E139=0,IF(INDEX(EL!$R$4:$R$1012,MATCH($C139,EL!$E$4:$E$1012,0))="","",INDEX(EL!$R$4:$R$1012,MATCH($C139,EL!$E$4:$E$1012,0))),
IF($E139=1,IF(INDEX(EL!$W$4:$W$1012,MATCH($C139,EL!$E$4:$E$1012,0))="","",INDEX(EL!$W$4:$W$1012,MATCH($C139,EL!$E$4:$E$1012,0))),
IF($E139=2,IF(INDEX(EL!$AB$4:$AB$1012,MATCH($C139,EL!$E$4:$E$1012,0))="","",INDEX(EL!$AB$4:$AB$1012,MATCH($C139,EL!$E$4:$E$1012,0))),
IF($E139=3,IF(INDEX(EL!$AG$4:$AG$1012,MATCH($C139,EL!$E$4:$E$1012,0))="","",INDEX(EL!$AG$4:$AG$1012,MATCH($C139,EL!$E$4:$E$1012,0))),
IF($E139=4,IF(INDEX(EL!$AN$4:$AN$1012,MATCH($C139,EL!$E$4:$E$1012,0))="","",INDEX(EL!$AN$4:$AN$1012,MATCH($C139,EL!$E$4:$E$1012,0))),
IF($E139=5,IF(INDEX(EL!$AS$4:$AS$1012,MATCH($C139,EL!$E$4:$E$1012,0))="","",INDEX(EL!$AS$4:$AS$1012,MATCH($C139,EL!$E$4:$E$1012,0))),"")))))))</f>
        <v/>
      </c>
      <c r="I139" s="459" t="str">
        <f>IF(ISNA(MATCH($C139,EL!$E$4:$E$1012,0)),"",
IF($E139=0,IF(INDEX(EL!$S$4:$S$1012,MATCH($C139,EL!$E$4:$E$1012,0))="","",INDEX(EL!$S$4:$S$1012,MATCH($C139,EL!$E$4:$E$1012,0))),
IF($E139=1,IF(INDEX(EL!$X$4:$X$1012,MATCH($C139,EL!$E$4:$E$1012,0))="","",INDEX(EL!$X$4:$X$1012,MATCH($C139,EL!$E$4:$E$1012,0))),
IF($E139=2,IF(INDEX(EL!$AC$4:$AC$1012,MATCH($C139,EL!$E$4:$E$1012,0))="","",INDEX(EL!$AC$4:$AC$1012,MATCH($C139,EL!$E$4:$E$1012,0))),
IF($E139=3,IF(INDEX(EL!$AH$4:$AH$1012,MATCH($C139,EL!$E$4:$E$1012,0))="","",INDEX(EL!$AH$4:$AH$1012,MATCH($C139,EL!$E$4:$E$1012,0))),
IF($E139=4,IF(INDEX(EL!$AM$4:$AM$1012,MATCH($C139,EL!$E$4:$E$1012,0))="","",INDEX(EL!$AM$4:$AM$1012,MATCH($C139,EL!$E$4:$E$1012,0))),
IF($E139=5,IF(INDEX(EL!$AR$4:$AR$1012,MATCH($C139,EL!$E$4:$E$1012,0))="","",INDEX(EL!$AR$4:$AR$1012,MATCH($C139,EL!$E$4:$E$1012,0))),"")))))))</f>
        <v/>
      </c>
      <c r="J139" s="459" t="str">
        <f>IF(ISNA(MATCH($C139,EL!$E$4:$E$1012,0)),"",
IF($E139=0,IF(INDEX(EL!$T$4:$T$1012,MATCH($C139,EL!$E$4:$E$1012,0))="","",INDEX(EL!$T$4:$T$1012,MATCH($C139,EL!$E$4:$E$1012,0))),
IF($E139=1,IF(INDEX(EL!$Y$4:$Y$1012,MATCH($C139,EL!$E$4:$E$1012,0))="","",INDEX(EL!$Y$4:$Y$1012,MATCH($C139,EL!$E$4:$E$1012,0))),
IF($E139=2,IF(INDEX(EL!$AD$4:$AD$1012,MATCH($C139,EL!$E$4:$E$1012,0))="","",INDEX(EL!$AD$4:$AD$1012,MATCH($C139,EL!$E$4:$E$1012,0))),
IF($E139=3,IF(INDEX(EL!$AI$4:$AI$1012,MATCH($C139,EL!$E$4:$E$1012,0))="","",INDEX(EL!$AI$4:$AI$1012,MATCH($C139,EL!$E$4:$E$1012,0))),
IF($E139=4,IF(INDEX(EL!$AN$4:$AN$1012,MATCH($C139,EL!$E$4:$E$1012,0))="","",INDEX(EL!$AN$4:$AN$1012,MATCH($C139,EL!$E$4:$E$1012,0))),
IF($E139=5,IF(INDEX(EL!$AS$4:$AS$1012,MATCH($C139,EL!$E$4:$E$1012,0))="","",INDEX(EL!$AS$4:$AS$1012,MATCH($C139,EL!$E$4:$E$1012,0))),"")))))))</f>
        <v/>
      </c>
      <c r="K139" s="459">
        <f>EL!L52</f>
        <v>0</v>
      </c>
      <c r="L139" s="460" t="e" cm="1">
        <f t="array" aca="1" ref="L139" ca="1">_xlfn.IFS(AND($E139&lt;&gt;"",$M139="Pending",$K139="CTA"),TODAY()-$G139,AND($E139&lt;&gt;"",$M139="Pending",$K139="AUR"),TODAY()-$H139,AND($E139&lt;&gt;"",$M139="Pending",$K139="STT"),TODAY()-$I139,OR(K139="Closed",K139=""),"")</f>
        <v>#N/A</v>
      </c>
      <c r="M139" s="461">
        <f>VLOOKUP(C139,EL!$E$4:$AC$622,9,0)</f>
        <v>0</v>
      </c>
      <c r="N139" s="461" t="str">
        <f t="shared" si="4"/>
        <v/>
      </c>
      <c r="O139" s="739" t="str">
        <f>EL!O52</f>
        <v>GC</v>
      </c>
      <c r="P139" s="746" t="str">
        <v>NO</v>
      </c>
    </row>
    <row r="140" spans="1:17" s="385" customFormat="1" ht="27" hidden="1" customHeight="1">
      <c r="A140" s="399">
        <v>47</v>
      </c>
      <c r="B140" s="455" t="s">
        <v>52</v>
      </c>
      <c r="C140" s="646" t="s">
        <v>559</v>
      </c>
      <c r="D140" s="456" t="str">
        <f>_xlfn.XLOOKUP(C140,EL!$E$4:$E$82,EL!$D$4:$D$82)</f>
        <v>Building Management System Schematic</v>
      </c>
      <c r="E140" s="597" t="str">
        <f>IF(VLOOKUP(C140,EL!$E$4:$AC$505,7,0)="","",VLOOKUP(C140,EL!$E$4:$AC$1004,7,0))</f>
        <v/>
      </c>
      <c r="F140" s="466"/>
      <c r="G140" s="458" t="str">
        <f>IF(VLOOKUP(C140,EL!$E$4:$AC$514,5,0)="","",VLOOKUP(C140,EL!$E$4:$AC$514,5,0))</f>
        <v/>
      </c>
      <c r="H140" s="459" t="str">
        <f>IF(ISNA(MATCH($C140,EL!$E$4:$E$1012,0)),"",
IF($E140=0,IF(INDEX(EL!$R$4:$R$1012,MATCH($C140,EL!$E$4:$E$1012,0))="","",INDEX(EL!$R$4:$R$1012,MATCH($C140,EL!$E$4:$E$1012,0))),
IF($E140=1,IF(INDEX(EL!$W$4:$W$1012,MATCH($C140,EL!$E$4:$E$1012,0))="","",INDEX(EL!$W$4:$W$1012,MATCH($C140,EL!$E$4:$E$1012,0))),
IF($E140=2,IF(INDEX(EL!$AB$4:$AB$1012,MATCH($C140,EL!$E$4:$E$1012,0))="","",INDEX(EL!$AB$4:$AB$1012,MATCH($C140,EL!$E$4:$E$1012,0))),
IF($E140=3,IF(INDEX(EL!$AG$4:$AG$1012,MATCH($C140,EL!$E$4:$E$1012,0))="","",INDEX(EL!$AG$4:$AG$1012,MATCH($C140,EL!$E$4:$E$1012,0))),
IF($E140=4,IF(INDEX(EL!$AN$4:$AN$1012,MATCH($C140,EL!$E$4:$E$1012,0))="","",INDEX(EL!$AN$4:$AN$1012,MATCH($C140,EL!$E$4:$E$1012,0))),
IF($E140=5,IF(INDEX(EL!$AS$4:$AS$1012,MATCH($C140,EL!$E$4:$E$1012,0))="","",INDEX(EL!$AS$4:$AS$1012,MATCH($C140,EL!$E$4:$E$1012,0))),"")))))))</f>
        <v/>
      </c>
      <c r="I140" s="459" t="str">
        <f>IF(ISNA(MATCH($C140,EL!$E$4:$E$1012,0)),"",
IF($E140=0,IF(INDEX(EL!$S$4:$S$1012,MATCH($C140,EL!$E$4:$E$1012,0))="","",INDEX(EL!$S$4:$S$1012,MATCH($C140,EL!$E$4:$E$1012,0))),
IF($E140=1,IF(INDEX(EL!$X$4:$X$1012,MATCH($C140,EL!$E$4:$E$1012,0))="","",INDEX(EL!$X$4:$X$1012,MATCH($C140,EL!$E$4:$E$1012,0))),
IF($E140=2,IF(INDEX(EL!$AC$4:$AC$1012,MATCH($C140,EL!$E$4:$E$1012,0))="","",INDEX(EL!$AC$4:$AC$1012,MATCH($C140,EL!$E$4:$E$1012,0))),
IF($E140=3,IF(INDEX(EL!$AH$4:$AH$1012,MATCH($C140,EL!$E$4:$E$1012,0))="","",INDEX(EL!$AH$4:$AH$1012,MATCH($C140,EL!$E$4:$E$1012,0))),
IF($E140=4,IF(INDEX(EL!$AM$4:$AM$1012,MATCH($C140,EL!$E$4:$E$1012,0))="","",INDEX(EL!$AM$4:$AM$1012,MATCH($C140,EL!$E$4:$E$1012,0))),
IF($E140=5,IF(INDEX(EL!$AR$4:$AR$1012,MATCH($C140,EL!$E$4:$E$1012,0))="","",INDEX(EL!$AR$4:$AR$1012,MATCH($C140,EL!$E$4:$E$1012,0))),"")))))))</f>
        <v/>
      </c>
      <c r="J140" s="459" t="str">
        <f>IF(ISNA(MATCH($C140,EL!$E$4:$E$1012,0)),"",
IF($E140=0,IF(INDEX(EL!$T$4:$T$1012,MATCH($C140,EL!$E$4:$E$1012,0))="","",INDEX(EL!$T$4:$T$1012,MATCH($C140,EL!$E$4:$E$1012,0))),
IF($E140=1,IF(INDEX(EL!$Y$4:$Y$1012,MATCH($C140,EL!$E$4:$E$1012,0))="","",INDEX(EL!$Y$4:$Y$1012,MATCH($C140,EL!$E$4:$E$1012,0))),
IF($E140=2,IF(INDEX(EL!$AD$4:$AD$1012,MATCH($C140,EL!$E$4:$E$1012,0))="","",INDEX(EL!$AD$4:$AD$1012,MATCH($C140,EL!$E$4:$E$1012,0))),
IF($E140=3,IF(INDEX(EL!$AI$4:$AI$1012,MATCH($C140,EL!$E$4:$E$1012,0))="","",INDEX(EL!$AI$4:$AI$1012,MATCH($C140,EL!$E$4:$E$1012,0))),
IF($E140=4,IF(INDEX(EL!$AN$4:$AN$1012,MATCH($C140,EL!$E$4:$E$1012,0))="","",INDEX(EL!$AN$4:$AN$1012,MATCH($C140,EL!$E$4:$E$1012,0))),
IF($E140=5,IF(INDEX(EL!$AS$4:$AS$1012,MATCH($C140,EL!$E$4:$E$1012,0))="","",INDEX(EL!$AS$4:$AS$1012,MATCH($C140,EL!$E$4:$E$1012,0))),"")))))))</f>
        <v/>
      </c>
      <c r="K140" s="459">
        <f>EL!L53</f>
        <v>0</v>
      </c>
      <c r="L140" s="460" t="e" cm="1">
        <f t="array" aca="1" ref="L140" ca="1">_xlfn.IFS(AND($E140&lt;&gt;"",$M140="Pending",$K140="CTA"),TODAY()-$G140,AND($E140&lt;&gt;"",$M140="Pending",$K140="AUR"),TODAY()-$H140,AND($E140&lt;&gt;"",$M140="Pending",$K140="STT"),TODAY()-$I140,OR(K140="Closed",K140=""),"")</f>
        <v>#N/A</v>
      </c>
      <c r="M140" s="461">
        <f>VLOOKUP(C140,EL!$E$4:$AC$622,9,0)</f>
        <v>0</v>
      </c>
      <c r="N140" s="461" t="str">
        <f t="shared" si="4"/>
        <v/>
      </c>
      <c r="O140" s="739" t="str">
        <f>EL!O53</f>
        <v>GC</v>
      </c>
      <c r="P140" s="746" t="str">
        <v>YES</v>
      </c>
    </row>
    <row r="141" spans="1:17" s="385" customFormat="1" ht="27" hidden="1" customHeight="1">
      <c r="A141" s="399">
        <v>48</v>
      </c>
      <c r="B141" s="455" t="s">
        <v>52</v>
      </c>
      <c r="C141" s="646" t="s">
        <v>564</v>
      </c>
      <c r="D141" s="456" t="str">
        <f>_xlfn.XLOOKUP(C141,EL!$E$4:$E$82,EL!$D$4:$D$82)</f>
        <v>Electrical Power Monitoring System Schematic</v>
      </c>
      <c r="E141" s="597" t="str">
        <f>IF(VLOOKUP(C141,EL!$E$4:$AC$505,7,0)="","",VLOOKUP(C141,EL!$E$4:$AC$1004,7,0))</f>
        <v/>
      </c>
      <c r="F141" s="462"/>
      <c r="G141" s="458" t="str">
        <f>IF(VLOOKUP(C141,EL!$E$4:$AC$514,5,0)="","",VLOOKUP(C141,EL!$E$4:$AC$514,5,0))</f>
        <v/>
      </c>
      <c r="H141" s="459" t="str">
        <f>IF(ISNA(MATCH($C141,EL!$E$4:$E$1012,0)),"",
IF($E141=0,IF(INDEX(EL!$R$4:$R$1012,MATCH($C141,EL!$E$4:$E$1012,0))="","",INDEX(EL!$R$4:$R$1012,MATCH($C141,EL!$E$4:$E$1012,0))),
IF($E141=1,IF(INDEX(EL!$W$4:$W$1012,MATCH($C141,EL!$E$4:$E$1012,0))="","",INDEX(EL!$W$4:$W$1012,MATCH($C141,EL!$E$4:$E$1012,0))),
IF($E141=2,IF(INDEX(EL!$AB$4:$AB$1012,MATCH($C141,EL!$E$4:$E$1012,0))="","",INDEX(EL!$AB$4:$AB$1012,MATCH($C141,EL!$E$4:$E$1012,0))),
IF($E141=3,IF(INDEX(EL!$AG$4:$AG$1012,MATCH($C141,EL!$E$4:$E$1012,0))="","",INDEX(EL!$AG$4:$AG$1012,MATCH($C141,EL!$E$4:$E$1012,0))),
IF($E141=4,IF(INDEX(EL!$AN$4:$AN$1012,MATCH($C141,EL!$E$4:$E$1012,0))="","",INDEX(EL!$AN$4:$AN$1012,MATCH($C141,EL!$E$4:$E$1012,0))),
IF($E141=5,IF(INDEX(EL!$AS$4:$AS$1012,MATCH($C141,EL!$E$4:$E$1012,0))="","",INDEX(EL!$AS$4:$AS$1012,MATCH($C141,EL!$E$4:$E$1012,0))),"")))))))</f>
        <v/>
      </c>
      <c r="I141" s="459" t="str">
        <f>IF(ISNA(MATCH($C141,EL!$E$4:$E$1012,0)),"",
IF($E141=0,IF(INDEX(EL!$S$4:$S$1012,MATCH($C141,EL!$E$4:$E$1012,0))="","",INDEX(EL!$S$4:$S$1012,MATCH($C141,EL!$E$4:$E$1012,0))),
IF($E141=1,IF(INDEX(EL!$X$4:$X$1012,MATCH($C141,EL!$E$4:$E$1012,0))="","",INDEX(EL!$X$4:$X$1012,MATCH($C141,EL!$E$4:$E$1012,0))),
IF($E141=2,IF(INDEX(EL!$AC$4:$AC$1012,MATCH($C141,EL!$E$4:$E$1012,0))="","",INDEX(EL!$AC$4:$AC$1012,MATCH($C141,EL!$E$4:$E$1012,0))),
IF($E141=3,IF(INDEX(EL!$AH$4:$AH$1012,MATCH($C141,EL!$E$4:$E$1012,0))="","",INDEX(EL!$AH$4:$AH$1012,MATCH($C141,EL!$E$4:$E$1012,0))),
IF($E141=4,IF(INDEX(EL!$AM$4:$AM$1012,MATCH($C141,EL!$E$4:$E$1012,0))="","",INDEX(EL!$AM$4:$AM$1012,MATCH($C141,EL!$E$4:$E$1012,0))),
IF($E141=5,IF(INDEX(EL!$AR$4:$AR$1012,MATCH($C141,EL!$E$4:$E$1012,0))="","",INDEX(EL!$AR$4:$AR$1012,MATCH($C141,EL!$E$4:$E$1012,0))),"")))))))</f>
        <v/>
      </c>
      <c r="J141" s="459" t="str">
        <f>IF(ISNA(MATCH($C141,EL!$E$4:$E$1012,0)),"",
IF($E141=0,IF(INDEX(EL!$T$4:$T$1012,MATCH($C141,EL!$E$4:$E$1012,0))="","",INDEX(EL!$T$4:$T$1012,MATCH($C141,EL!$E$4:$E$1012,0))),
IF($E141=1,IF(INDEX(EL!$Y$4:$Y$1012,MATCH($C141,EL!$E$4:$E$1012,0))="","",INDEX(EL!$Y$4:$Y$1012,MATCH($C141,EL!$E$4:$E$1012,0))),
IF($E141=2,IF(INDEX(EL!$AD$4:$AD$1012,MATCH($C141,EL!$E$4:$E$1012,0))="","",INDEX(EL!$AD$4:$AD$1012,MATCH($C141,EL!$E$4:$E$1012,0))),
IF($E141=3,IF(INDEX(EL!$AI$4:$AI$1012,MATCH($C141,EL!$E$4:$E$1012,0))="","",INDEX(EL!$AI$4:$AI$1012,MATCH($C141,EL!$E$4:$E$1012,0))),
IF($E141=4,IF(INDEX(EL!$AN$4:$AN$1012,MATCH($C141,EL!$E$4:$E$1012,0))="","",INDEX(EL!$AN$4:$AN$1012,MATCH($C141,EL!$E$4:$E$1012,0))),
IF($E141=5,IF(INDEX(EL!$AS$4:$AS$1012,MATCH($C141,EL!$E$4:$E$1012,0))="","",INDEX(EL!$AS$4:$AS$1012,MATCH($C141,EL!$E$4:$E$1012,0))),"")))))))</f>
        <v/>
      </c>
      <c r="K141" s="459">
        <f>EL!L54</f>
        <v>0</v>
      </c>
      <c r="L141" s="460" t="e" cm="1">
        <f t="array" aca="1" ref="L141" ca="1">_xlfn.IFS(AND($E141&lt;&gt;"",$M141="Pending",$K141="CTA"),TODAY()-$G141,AND($E141&lt;&gt;"",$M141="Pending",$K141="AUR"),TODAY()-$H141,AND($E141&lt;&gt;"",$M141="Pending",$K141="STT"),TODAY()-$I141,OR(K141="Closed",K141=""),"")</f>
        <v>#N/A</v>
      </c>
      <c r="M141" s="461">
        <f>VLOOKUP(C141,EL!$E$4:$AC$622,9,0)</f>
        <v>0</v>
      </c>
      <c r="N141" s="461" t="str">
        <f t="shared" si="4"/>
        <v/>
      </c>
      <c r="O141" s="739" t="str">
        <f>EL!O54</f>
        <v>GC</v>
      </c>
      <c r="P141" s="746" t="str">
        <v>YES</v>
      </c>
    </row>
    <row r="142" spans="1:17" s="385" customFormat="1" ht="27" hidden="1" customHeight="1">
      <c r="A142" s="399">
        <v>49</v>
      </c>
      <c r="B142" s="455" t="s">
        <v>52</v>
      </c>
      <c r="C142" s="646" t="s">
        <v>567</v>
      </c>
      <c r="D142" s="456" t="str">
        <f>_xlfn.XLOOKUP(C142,EL!$E$4:$E$82,EL!$D$4:$D$82)</f>
        <v>Chiller Management System Schematic</v>
      </c>
      <c r="E142" s="597" t="str">
        <f>IF(VLOOKUP(C142,EL!$E$4:$AC$505,7,0)="","",VLOOKUP(C142,EL!$E$4:$AC$1004,7,0))</f>
        <v/>
      </c>
      <c r="F142" s="466"/>
      <c r="G142" s="458" t="str">
        <f>IF(VLOOKUP(C142,EL!$E$4:$AC$514,5,0)="","",VLOOKUP(C142,EL!$E$4:$AC$514,5,0))</f>
        <v/>
      </c>
      <c r="H142" s="459" t="str">
        <f>IF(ISNA(MATCH($C142,EL!$E$4:$E$1012,0)),"",
IF($E142=0,IF(INDEX(EL!$R$4:$R$1012,MATCH($C142,EL!$E$4:$E$1012,0))="","",INDEX(EL!$R$4:$R$1012,MATCH($C142,EL!$E$4:$E$1012,0))),
IF($E142=1,IF(INDEX(EL!$W$4:$W$1012,MATCH($C142,EL!$E$4:$E$1012,0))="","",INDEX(EL!$W$4:$W$1012,MATCH($C142,EL!$E$4:$E$1012,0))),
IF($E142=2,IF(INDEX(EL!$AB$4:$AB$1012,MATCH($C142,EL!$E$4:$E$1012,0))="","",INDEX(EL!$AB$4:$AB$1012,MATCH($C142,EL!$E$4:$E$1012,0))),
IF($E142=3,IF(INDEX(EL!$AG$4:$AG$1012,MATCH($C142,EL!$E$4:$E$1012,0))="","",INDEX(EL!$AG$4:$AG$1012,MATCH($C142,EL!$E$4:$E$1012,0))),
IF($E142=4,IF(INDEX(EL!$AN$4:$AN$1012,MATCH($C142,EL!$E$4:$E$1012,0))="","",INDEX(EL!$AN$4:$AN$1012,MATCH($C142,EL!$E$4:$E$1012,0))),
IF($E142=5,IF(INDEX(EL!$AS$4:$AS$1012,MATCH($C142,EL!$E$4:$E$1012,0))="","",INDEX(EL!$AS$4:$AS$1012,MATCH($C142,EL!$E$4:$E$1012,0))),"")))))))</f>
        <v/>
      </c>
      <c r="I142" s="459" t="str">
        <f>IF(ISNA(MATCH($C142,EL!$E$4:$E$1012,0)),"",
IF($E142=0,IF(INDEX(EL!$S$4:$S$1012,MATCH($C142,EL!$E$4:$E$1012,0))="","",INDEX(EL!$S$4:$S$1012,MATCH($C142,EL!$E$4:$E$1012,0))),
IF($E142=1,IF(INDEX(EL!$X$4:$X$1012,MATCH($C142,EL!$E$4:$E$1012,0))="","",INDEX(EL!$X$4:$X$1012,MATCH($C142,EL!$E$4:$E$1012,0))),
IF($E142=2,IF(INDEX(EL!$AC$4:$AC$1012,MATCH($C142,EL!$E$4:$E$1012,0))="","",INDEX(EL!$AC$4:$AC$1012,MATCH($C142,EL!$E$4:$E$1012,0))),
IF($E142=3,IF(INDEX(EL!$AH$4:$AH$1012,MATCH($C142,EL!$E$4:$E$1012,0))="","",INDEX(EL!$AH$4:$AH$1012,MATCH($C142,EL!$E$4:$E$1012,0))),
IF($E142=4,IF(INDEX(EL!$AM$4:$AM$1012,MATCH($C142,EL!$E$4:$E$1012,0))="","",INDEX(EL!$AM$4:$AM$1012,MATCH($C142,EL!$E$4:$E$1012,0))),
IF($E142=5,IF(INDEX(EL!$AR$4:$AR$1012,MATCH($C142,EL!$E$4:$E$1012,0))="","",INDEX(EL!$AR$4:$AR$1012,MATCH($C142,EL!$E$4:$E$1012,0))),"")))))))</f>
        <v/>
      </c>
      <c r="J142" s="459" t="str">
        <f>IF(ISNA(MATCH($C142,EL!$E$4:$E$1012,0)),"",
IF($E142=0,IF(INDEX(EL!$T$4:$T$1012,MATCH($C142,EL!$E$4:$E$1012,0))="","",INDEX(EL!$T$4:$T$1012,MATCH($C142,EL!$E$4:$E$1012,0))),
IF($E142=1,IF(INDEX(EL!$Y$4:$Y$1012,MATCH($C142,EL!$E$4:$E$1012,0))="","",INDEX(EL!$Y$4:$Y$1012,MATCH($C142,EL!$E$4:$E$1012,0))),
IF($E142=2,IF(INDEX(EL!$AD$4:$AD$1012,MATCH($C142,EL!$E$4:$E$1012,0))="","",INDEX(EL!$AD$4:$AD$1012,MATCH($C142,EL!$E$4:$E$1012,0))),
IF($E142=3,IF(INDEX(EL!$AI$4:$AI$1012,MATCH($C142,EL!$E$4:$E$1012,0))="","",INDEX(EL!$AI$4:$AI$1012,MATCH($C142,EL!$E$4:$E$1012,0))),
IF($E142=4,IF(INDEX(EL!$AN$4:$AN$1012,MATCH($C142,EL!$E$4:$E$1012,0))="","",INDEX(EL!$AN$4:$AN$1012,MATCH($C142,EL!$E$4:$E$1012,0))),
IF($E142=5,IF(INDEX(EL!$AS$4:$AS$1012,MATCH($C142,EL!$E$4:$E$1012,0))="","",INDEX(EL!$AS$4:$AS$1012,MATCH($C142,EL!$E$4:$E$1012,0))),"")))))))</f>
        <v/>
      </c>
      <c r="K142" s="459">
        <f>EL!L55</f>
        <v>0</v>
      </c>
      <c r="L142" s="460" t="e" cm="1">
        <f t="array" aca="1" ref="L142" ca="1">_xlfn.IFS(AND($E142&lt;&gt;"",$M142="Pending",$K142="CTA"),TODAY()-$G142,AND($E142&lt;&gt;"",$M142="Pending",$K142="AUR"),TODAY()-$H142,AND($E142&lt;&gt;"",$M142="Pending",$K142="STT"),TODAY()-$I142,OR(K142="Closed",K142=""),"")</f>
        <v>#N/A</v>
      </c>
      <c r="M142" s="461">
        <f>VLOOKUP(C142,EL!$E$4:$AC$622,9,0)</f>
        <v>0</v>
      </c>
      <c r="N142" s="461" t="str">
        <f t="shared" si="4"/>
        <v/>
      </c>
      <c r="O142" s="739" t="str">
        <f>EL!O55</f>
        <v>GC</v>
      </c>
      <c r="P142" s="746" t="str">
        <v>YES</v>
      </c>
    </row>
    <row r="143" spans="1:17" s="385" customFormat="1" ht="27" hidden="1" customHeight="1">
      <c r="A143" s="399">
        <v>50</v>
      </c>
      <c r="B143" s="455" t="s">
        <v>52</v>
      </c>
      <c r="C143" s="646" t="s">
        <v>570</v>
      </c>
      <c r="D143" s="456" t="str">
        <f>_xlfn.XLOOKUP(C143,EL!$E$4:$E$82,EL!$D$4:$D$82)</f>
        <v>Load Schedule For Level 1</v>
      </c>
      <c r="E143" s="597" t="str">
        <f>IF(VLOOKUP(C143,EL!$E$4:$AC$505,7,0)="","",VLOOKUP(C143,EL!$E$4:$AC$1004,7,0))</f>
        <v/>
      </c>
      <c r="F143" s="462"/>
      <c r="G143" s="458" t="str">
        <f>IF(VLOOKUP(C143,EL!$E$4:$AC$514,5,0)="","",VLOOKUP(C143,EL!$E$4:$AC$514,5,0))</f>
        <v/>
      </c>
      <c r="H143" s="459" t="str">
        <f>IF(ISNA(MATCH($C143,EL!$E$4:$E$1012,0)),"",
IF($E143=0,IF(INDEX(EL!$R$4:$R$1012,MATCH($C143,EL!$E$4:$E$1012,0))="","",INDEX(EL!$R$4:$R$1012,MATCH($C143,EL!$E$4:$E$1012,0))),
IF($E143=1,IF(INDEX(EL!$W$4:$W$1012,MATCH($C143,EL!$E$4:$E$1012,0))="","",INDEX(EL!$W$4:$W$1012,MATCH($C143,EL!$E$4:$E$1012,0))),
IF($E143=2,IF(INDEX(EL!$AB$4:$AB$1012,MATCH($C143,EL!$E$4:$E$1012,0))="","",INDEX(EL!$AB$4:$AB$1012,MATCH($C143,EL!$E$4:$E$1012,0))),
IF($E143=3,IF(INDEX(EL!$AG$4:$AG$1012,MATCH($C143,EL!$E$4:$E$1012,0))="","",INDEX(EL!$AG$4:$AG$1012,MATCH($C143,EL!$E$4:$E$1012,0))),
IF($E143=4,IF(INDEX(EL!$AN$4:$AN$1012,MATCH($C143,EL!$E$4:$E$1012,0))="","",INDEX(EL!$AN$4:$AN$1012,MATCH($C143,EL!$E$4:$E$1012,0))),
IF($E143=5,IF(INDEX(EL!$AS$4:$AS$1012,MATCH($C143,EL!$E$4:$E$1012,0))="","",INDEX(EL!$AS$4:$AS$1012,MATCH($C143,EL!$E$4:$E$1012,0))),"")))))))</f>
        <v/>
      </c>
      <c r="I143" s="459" t="str">
        <f>IF(ISNA(MATCH($C143,EL!$E$4:$E$1012,0)),"",
IF($E143=0,IF(INDEX(EL!$S$4:$S$1012,MATCH($C143,EL!$E$4:$E$1012,0))="","",INDEX(EL!$S$4:$S$1012,MATCH($C143,EL!$E$4:$E$1012,0))),
IF($E143=1,IF(INDEX(EL!$X$4:$X$1012,MATCH($C143,EL!$E$4:$E$1012,0))="","",INDEX(EL!$X$4:$X$1012,MATCH($C143,EL!$E$4:$E$1012,0))),
IF($E143=2,IF(INDEX(EL!$AC$4:$AC$1012,MATCH($C143,EL!$E$4:$E$1012,0))="","",INDEX(EL!$AC$4:$AC$1012,MATCH($C143,EL!$E$4:$E$1012,0))),
IF($E143=3,IF(INDEX(EL!$AH$4:$AH$1012,MATCH($C143,EL!$E$4:$E$1012,0))="","",INDEX(EL!$AH$4:$AH$1012,MATCH($C143,EL!$E$4:$E$1012,0))),
IF($E143=4,IF(INDEX(EL!$AM$4:$AM$1012,MATCH($C143,EL!$E$4:$E$1012,0))="","",INDEX(EL!$AM$4:$AM$1012,MATCH($C143,EL!$E$4:$E$1012,0))),
IF($E143=5,IF(INDEX(EL!$AR$4:$AR$1012,MATCH($C143,EL!$E$4:$E$1012,0))="","",INDEX(EL!$AR$4:$AR$1012,MATCH($C143,EL!$E$4:$E$1012,0))),"")))))))</f>
        <v/>
      </c>
      <c r="J143" s="459" t="str">
        <f>IF(ISNA(MATCH($C143,EL!$E$4:$E$1012,0)),"",
IF($E143=0,IF(INDEX(EL!$T$4:$T$1012,MATCH($C143,EL!$E$4:$E$1012,0))="","",INDEX(EL!$T$4:$T$1012,MATCH($C143,EL!$E$4:$E$1012,0))),
IF($E143=1,IF(INDEX(EL!$Y$4:$Y$1012,MATCH($C143,EL!$E$4:$E$1012,0))="","",INDEX(EL!$Y$4:$Y$1012,MATCH($C143,EL!$E$4:$E$1012,0))),
IF($E143=2,IF(INDEX(EL!$AD$4:$AD$1012,MATCH($C143,EL!$E$4:$E$1012,0))="","",INDEX(EL!$AD$4:$AD$1012,MATCH($C143,EL!$E$4:$E$1012,0))),
IF($E143=3,IF(INDEX(EL!$AI$4:$AI$1012,MATCH($C143,EL!$E$4:$E$1012,0))="","",INDEX(EL!$AI$4:$AI$1012,MATCH($C143,EL!$E$4:$E$1012,0))),
IF($E143=4,IF(INDEX(EL!$AN$4:$AN$1012,MATCH($C143,EL!$E$4:$E$1012,0))="","",INDEX(EL!$AN$4:$AN$1012,MATCH($C143,EL!$E$4:$E$1012,0))),
IF($E143=5,IF(INDEX(EL!$AS$4:$AS$1012,MATCH($C143,EL!$E$4:$E$1012,0))="","",INDEX(EL!$AS$4:$AS$1012,MATCH($C143,EL!$E$4:$E$1012,0))),"")))))))</f>
        <v/>
      </c>
      <c r="K143" s="459">
        <f>EL!L56</f>
        <v>0</v>
      </c>
      <c r="L143" s="460" t="e" cm="1">
        <f t="array" aca="1" ref="L143" ca="1">_xlfn.IFS(AND($E143&lt;&gt;"",$M143="Pending",$K143="CTA"),TODAY()-$G143,AND($E143&lt;&gt;"",$M143="Pending",$K143="AUR"),TODAY()-$H143,AND($E143&lt;&gt;"",$M143="Pending",$K143="STT"),TODAY()-$I143,OR(K143="Closed",K143=""),"")</f>
        <v>#N/A</v>
      </c>
      <c r="M143" s="461">
        <f>VLOOKUP(C143,EL!$E$4:$AC$622,9,0)</f>
        <v>0</v>
      </c>
      <c r="N143" s="461" t="str">
        <f t="shared" si="4"/>
        <v/>
      </c>
      <c r="O143" s="739" t="str">
        <f>EL!O56</f>
        <v>GC</v>
      </c>
      <c r="P143" s="746" t="str">
        <v>NO</v>
      </c>
    </row>
    <row r="144" spans="1:17" s="385" customFormat="1" ht="27" hidden="1" customHeight="1">
      <c r="A144" s="399">
        <v>51</v>
      </c>
      <c r="B144" s="455" t="s">
        <v>52</v>
      </c>
      <c r="C144" s="646" t="s">
        <v>575</v>
      </c>
      <c r="D144" s="456" t="str">
        <f>_xlfn.XLOOKUP(C144,EL!$E$4:$E$82,EL!$D$4:$D$82)</f>
        <v>Load Schedule For Level 2</v>
      </c>
      <c r="E144" s="597" t="str">
        <f>IF(VLOOKUP(C144,EL!$E$4:$AC$505,7,0)="","",VLOOKUP(C144,EL!$E$4:$AC$1004,7,0))</f>
        <v/>
      </c>
      <c r="F144" s="466"/>
      <c r="G144" s="458" t="str">
        <f>IF(VLOOKUP(C144,EL!$E$4:$AC$514,5,0)="","",VLOOKUP(C144,EL!$E$4:$AC$514,5,0))</f>
        <v/>
      </c>
      <c r="H144" s="459" t="str">
        <f>IF(ISNA(MATCH($C144,EL!$E$4:$E$1012,0)),"",
IF($E144=0,IF(INDEX(EL!$R$4:$R$1012,MATCH($C144,EL!$E$4:$E$1012,0))="","",INDEX(EL!$R$4:$R$1012,MATCH($C144,EL!$E$4:$E$1012,0))),
IF($E144=1,IF(INDEX(EL!$W$4:$W$1012,MATCH($C144,EL!$E$4:$E$1012,0))="","",INDEX(EL!$W$4:$W$1012,MATCH($C144,EL!$E$4:$E$1012,0))),
IF($E144=2,IF(INDEX(EL!$AB$4:$AB$1012,MATCH($C144,EL!$E$4:$E$1012,0))="","",INDEX(EL!$AB$4:$AB$1012,MATCH($C144,EL!$E$4:$E$1012,0))),
IF($E144=3,IF(INDEX(EL!$AG$4:$AG$1012,MATCH($C144,EL!$E$4:$E$1012,0))="","",INDEX(EL!$AG$4:$AG$1012,MATCH($C144,EL!$E$4:$E$1012,0))),
IF($E144=4,IF(INDEX(EL!$AN$4:$AN$1012,MATCH($C144,EL!$E$4:$E$1012,0))="","",INDEX(EL!$AN$4:$AN$1012,MATCH($C144,EL!$E$4:$E$1012,0))),
IF($E144=5,IF(INDEX(EL!$AS$4:$AS$1012,MATCH($C144,EL!$E$4:$E$1012,0))="","",INDEX(EL!$AS$4:$AS$1012,MATCH($C144,EL!$E$4:$E$1012,0))),"")))))))</f>
        <v/>
      </c>
      <c r="I144" s="459" t="str">
        <f>IF(ISNA(MATCH($C144,EL!$E$4:$E$1012,0)),"",
IF($E144=0,IF(INDEX(EL!$S$4:$S$1012,MATCH($C144,EL!$E$4:$E$1012,0))="","",INDEX(EL!$S$4:$S$1012,MATCH($C144,EL!$E$4:$E$1012,0))),
IF($E144=1,IF(INDEX(EL!$X$4:$X$1012,MATCH($C144,EL!$E$4:$E$1012,0))="","",INDEX(EL!$X$4:$X$1012,MATCH($C144,EL!$E$4:$E$1012,0))),
IF($E144=2,IF(INDEX(EL!$AC$4:$AC$1012,MATCH($C144,EL!$E$4:$E$1012,0))="","",INDEX(EL!$AC$4:$AC$1012,MATCH($C144,EL!$E$4:$E$1012,0))),
IF($E144=3,IF(INDEX(EL!$AH$4:$AH$1012,MATCH($C144,EL!$E$4:$E$1012,0))="","",INDEX(EL!$AH$4:$AH$1012,MATCH($C144,EL!$E$4:$E$1012,0))),
IF($E144=4,IF(INDEX(EL!$AM$4:$AM$1012,MATCH($C144,EL!$E$4:$E$1012,0))="","",INDEX(EL!$AM$4:$AM$1012,MATCH($C144,EL!$E$4:$E$1012,0))),
IF($E144=5,IF(INDEX(EL!$AR$4:$AR$1012,MATCH($C144,EL!$E$4:$E$1012,0))="","",INDEX(EL!$AR$4:$AR$1012,MATCH($C144,EL!$E$4:$E$1012,0))),"")))))))</f>
        <v/>
      </c>
      <c r="J144" s="459" t="str">
        <f>IF(ISNA(MATCH($C144,EL!$E$4:$E$1012,0)),"",
IF($E144=0,IF(INDEX(EL!$T$4:$T$1012,MATCH($C144,EL!$E$4:$E$1012,0))="","",INDEX(EL!$T$4:$T$1012,MATCH($C144,EL!$E$4:$E$1012,0))),
IF($E144=1,IF(INDEX(EL!$Y$4:$Y$1012,MATCH($C144,EL!$E$4:$E$1012,0))="","",INDEX(EL!$Y$4:$Y$1012,MATCH($C144,EL!$E$4:$E$1012,0))),
IF($E144=2,IF(INDEX(EL!$AD$4:$AD$1012,MATCH($C144,EL!$E$4:$E$1012,0))="","",INDEX(EL!$AD$4:$AD$1012,MATCH($C144,EL!$E$4:$E$1012,0))),
IF($E144=3,IF(INDEX(EL!$AI$4:$AI$1012,MATCH($C144,EL!$E$4:$E$1012,0))="","",INDEX(EL!$AI$4:$AI$1012,MATCH($C144,EL!$E$4:$E$1012,0))),
IF($E144=4,IF(INDEX(EL!$AN$4:$AN$1012,MATCH($C144,EL!$E$4:$E$1012,0))="","",INDEX(EL!$AN$4:$AN$1012,MATCH($C144,EL!$E$4:$E$1012,0))),
IF($E144=5,IF(INDEX(EL!$AS$4:$AS$1012,MATCH($C144,EL!$E$4:$E$1012,0))="","",INDEX(EL!$AS$4:$AS$1012,MATCH($C144,EL!$E$4:$E$1012,0))),"")))))))</f>
        <v/>
      </c>
      <c r="K144" s="459">
        <f>EL!L57</f>
        <v>0</v>
      </c>
      <c r="L144" s="460" t="e" cm="1">
        <f t="array" aca="1" ref="L144" ca="1">_xlfn.IFS(AND($E144&lt;&gt;"",$M144="Pending",$K144="CTA"),TODAY()-$G144,AND($E144&lt;&gt;"",$M144="Pending",$K144="AUR"),TODAY()-$H144,AND($E144&lt;&gt;"",$M144="Pending",$K144="STT"),TODAY()-$I144,OR(K144="Closed",K144=""),"")</f>
        <v>#N/A</v>
      </c>
      <c r="M144" s="461">
        <f>VLOOKUP(C144,EL!$E$4:$AC$622,9,0)</f>
        <v>0</v>
      </c>
      <c r="N144" s="461" t="str">
        <f t="shared" si="4"/>
        <v/>
      </c>
      <c r="O144" s="739" t="str">
        <f>EL!O57</f>
        <v>GC</v>
      </c>
      <c r="P144" s="746" t="str">
        <v>NO</v>
      </c>
    </row>
    <row r="145" spans="1:16" s="385" customFormat="1" ht="27" hidden="1" customHeight="1">
      <c r="A145" s="399">
        <v>52</v>
      </c>
      <c r="B145" s="455" t="s">
        <v>52</v>
      </c>
      <c r="C145" s="646" t="s">
        <v>578</v>
      </c>
      <c r="D145" s="456" t="str">
        <f>_xlfn.XLOOKUP(C145,EL!$E$4:$E$82,EL!$D$4:$D$82)</f>
        <v>Load Schedule For Level 6</v>
      </c>
      <c r="E145" s="597" t="str">
        <f>IF(VLOOKUP(C145,EL!$E$4:$AC$505,7,0)="","",VLOOKUP(C145,EL!$E$4:$AC$1004,7,0))</f>
        <v/>
      </c>
      <c r="F145" s="462"/>
      <c r="G145" s="458" t="str">
        <f>IF(VLOOKUP(C145,EL!$E$4:$AC$514,5,0)="","",VLOOKUP(C145,EL!$E$4:$AC$514,5,0))</f>
        <v/>
      </c>
      <c r="H145" s="459" t="str">
        <f>IF(ISNA(MATCH($C145,EL!$E$4:$E$1012,0)),"",
IF($E145=0,IF(INDEX(EL!$R$4:$R$1012,MATCH($C145,EL!$E$4:$E$1012,0))="","",INDEX(EL!$R$4:$R$1012,MATCH($C145,EL!$E$4:$E$1012,0))),
IF($E145=1,IF(INDEX(EL!$W$4:$W$1012,MATCH($C145,EL!$E$4:$E$1012,0))="","",INDEX(EL!$W$4:$W$1012,MATCH($C145,EL!$E$4:$E$1012,0))),
IF($E145=2,IF(INDEX(EL!$AB$4:$AB$1012,MATCH($C145,EL!$E$4:$E$1012,0))="","",INDEX(EL!$AB$4:$AB$1012,MATCH($C145,EL!$E$4:$E$1012,0))),
IF($E145=3,IF(INDEX(EL!$AG$4:$AG$1012,MATCH($C145,EL!$E$4:$E$1012,0))="","",INDEX(EL!$AG$4:$AG$1012,MATCH($C145,EL!$E$4:$E$1012,0))),
IF($E145=4,IF(INDEX(EL!$AN$4:$AN$1012,MATCH($C145,EL!$E$4:$E$1012,0))="","",INDEX(EL!$AN$4:$AN$1012,MATCH($C145,EL!$E$4:$E$1012,0))),
IF($E145=5,IF(INDEX(EL!$AS$4:$AS$1012,MATCH($C145,EL!$E$4:$E$1012,0))="","",INDEX(EL!$AS$4:$AS$1012,MATCH($C145,EL!$E$4:$E$1012,0))),"")))))))</f>
        <v/>
      </c>
      <c r="I145" s="459" t="str">
        <f>IF(ISNA(MATCH($C145,EL!$E$4:$E$1012,0)),"",
IF($E145=0,IF(INDEX(EL!$S$4:$S$1012,MATCH($C145,EL!$E$4:$E$1012,0))="","",INDEX(EL!$S$4:$S$1012,MATCH($C145,EL!$E$4:$E$1012,0))),
IF($E145=1,IF(INDEX(EL!$X$4:$X$1012,MATCH($C145,EL!$E$4:$E$1012,0))="","",INDEX(EL!$X$4:$X$1012,MATCH($C145,EL!$E$4:$E$1012,0))),
IF($E145=2,IF(INDEX(EL!$AC$4:$AC$1012,MATCH($C145,EL!$E$4:$E$1012,0))="","",INDEX(EL!$AC$4:$AC$1012,MATCH($C145,EL!$E$4:$E$1012,0))),
IF($E145=3,IF(INDEX(EL!$AH$4:$AH$1012,MATCH($C145,EL!$E$4:$E$1012,0))="","",INDEX(EL!$AH$4:$AH$1012,MATCH($C145,EL!$E$4:$E$1012,0))),
IF($E145=4,IF(INDEX(EL!$AM$4:$AM$1012,MATCH($C145,EL!$E$4:$E$1012,0))="","",INDEX(EL!$AM$4:$AM$1012,MATCH($C145,EL!$E$4:$E$1012,0))),
IF($E145=5,IF(INDEX(EL!$AR$4:$AR$1012,MATCH($C145,EL!$E$4:$E$1012,0))="","",INDEX(EL!$AR$4:$AR$1012,MATCH($C145,EL!$E$4:$E$1012,0))),"")))))))</f>
        <v/>
      </c>
      <c r="J145" s="459" t="str">
        <f>IF(ISNA(MATCH($C145,EL!$E$4:$E$1012,0)),"",
IF($E145=0,IF(INDEX(EL!$T$4:$T$1012,MATCH($C145,EL!$E$4:$E$1012,0))="","",INDEX(EL!$T$4:$T$1012,MATCH($C145,EL!$E$4:$E$1012,0))),
IF($E145=1,IF(INDEX(EL!$Y$4:$Y$1012,MATCH($C145,EL!$E$4:$E$1012,0))="","",INDEX(EL!$Y$4:$Y$1012,MATCH($C145,EL!$E$4:$E$1012,0))),
IF($E145=2,IF(INDEX(EL!$AD$4:$AD$1012,MATCH($C145,EL!$E$4:$E$1012,0))="","",INDEX(EL!$AD$4:$AD$1012,MATCH($C145,EL!$E$4:$E$1012,0))),
IF($E145=3,IF(INDEX(EL!$AI$4:$AI$1012,MATCH($C145,EL!$E$4:$E$1012,0))="","",INDEX(EL!$AI$4:$AI$1012,MATCH($C145,EL!$E$4:$E$1012,0))),
IF($E145=4,IF(INDEX(EL!$AN$4:$AN$1012,MATCH($C145,EL!$E$4:$E$1012,0))="","",INDEX(EL!$AN$4:$AN$1012,MATCH($C145,EL!$E$4:$E$1012,0))),
IF($E145=5,IF(INDEX(EL!$AS$4:$AS$1012,MATCH($C145,EL!$E$4:$E$1012,0))="","",INDEX(EL!$AS$4:$AS$1012,MATCH($C145,EL!$E$4:$E$1012,0))),"")))))))</f>
        <v/>
      </c>
      <c r="K145" s="459">
        <f>EL!L58</f>
        <v>0</v>
      </c>
      <c r="L145" s="460" t="e" cm="1">
        <f t="array" aca="1" ref="L145" ca="1">_xlfn.IFS(AND($E145&lt;&gt;"",$M145="Pending",$K145="CTA"),TODAY()-$G145,AND($E145&lt;&gt;"",$M145="Pending",$K145="AUR"),TODAY()-$H145,AND($E145&lt;&gt;"",$M145="Pending",$K145="STT"),TODAY()-$I145,OR(K145="Closed",K145=""),"")</f>
        <v>#N/A</v>
      </c>
      <c r="M145" s="461">
        <f>VLOOKUP(C145,EL!$E$4:$AC$622,9,0)</f>
        <v>0</v>
      </c>
      <c r="N145" s="461" t="str">
        <f t="shared" si="4"/>
        <v/>
      </c>
      <c r="O145" s="739" t="str">
        <f>EL!O58</f>
        <v>GC</v>
      </c>
      <c r="P145" s="746" t="str">
        <v>NO</v>
      </c>
    </row>
    <row r="146" spans="1:16" s="385" customFormat="1" ht="27" hidden="1" customHeight="1">
      <c r="A146" s="399">
        <v>53</v>
      </c>
      <c r="B146" s="455" t="s">
        <v>52</v>
      </c>
      <c r="C146" s="646" t="s">
        <v>581</v>
      </c>
      <c r="D146" s="456" t="str">
        <f>_xlfn.XLOOKUP(C146,EL!$E$4:$E$82,EL!$D$4:$D$82)</f>
        <v>Fuel System Schematic</v>
      </c>
      <c r="E146" s="597" t="str">
        <f>IF(VLOOKUP(C146,EL!$E$4:$AC$505,7,0)="","",VLOOKUP(C146,EL!$E$4:$AC$1004,7,0))</f>
        <v/>
      </c>
      <c r="F146" s="466"/>
      <c r="G146" s="458" t="str">
        <f>IF(VLOOKUP(C146,EL!$E$4:$AC$514,5,0)="","",VLOOKUP(C146,EL!$E$4:$AC$514,5,0))</f>
        <v/>
      </c>
      <c r="H146" s="459" t="str">
        <f>IF(ISNA(MATCH($C146,EL!$E$4:$E$1012,0)),"",
IF($E146=0,IF(INDEX(EL!$R$4:$R$1012,MATCH($C146,EL!$E$4:$E$1012,0))="","",INDEX(EL!$R$4:$R$1012,MATCH($C146,EL!$E$4:$E$1012,0))),
IF($E146=1,IF(INDEX(EL!$W$4:$W$1012,MATCH($C146,EL!$E$4:$E$1012,0))="","",INDEX(EL!$W$4:$W$1012,MATCH($C146,EL!$E$4:$E$1012,0))),
IF($E146=2,IF(INDEX(EL!$AB$4:$AB$1012,MATCH($C146,EL!$E$4:$E$1012,0))="","",INDEX(EL!$AB$4:$AB$1012,MATCH($C146,EL!$E$4:$E$1012,0))),
IF($E146=3,IF(INDEX(EL!$AG$4:$AG$1012,MATCH($C146,EL!$E$4:$E$1012,0))="","",INDEX(EL!$AG$4:$AG$1012,MATCH($C146,EL!$E$4:$E$1012,0))),
IF($E146=4,IF(INDEX(EL!$AN$4:$AN$1012,MATCH($C146,EL!$E$4:$E$1012,0))="","",INDEX(EL!$AN$4:$AN$1012,MATCH($C146,EL!$E$4:$E$1012,0))),
IF($E146=5,IF(INDEX(EL!$AS$4:$AS$1012,MATCH($C146,EL!$E$4:$E$1012,0))="","",INDEX(EL!$AS$4:$AS$1012,MATCH($C146,EL!$E$4:$E$1012,0))),"")))))))</f>
        <v/>
      </c>
      <c r="I146" s="459" t="str">
        <f>IF(ISNA(MATCH($C146,EL!$E$4:$E$1012,0)),"",
IF($E146=0,IF(INDEX(EL!$S$4:$S$1012,MATCH($C146,EL!$E$4:$E$1012,0))="","",INDEX(EL!$S$4:$S$1012,MATCH($C146,EL!$E$4:$E$1012,0))),
IF($E146=1,IF(INDEX(EL!$X$4:$X$1012,MATCH($C146,EL!$E$4:$E$1012,0))="","",INDEX(EL!$X$4:$X$1012,MATCH($C146,EL!$E$4:$E$1012,0))),
IF($E146=2,IF(INDEX(EL!$AC$4:$AC$1012,MATCH($C146,EL!$E$4:$E$1012,0))="","",INDEX(EL!$AC$4:$AC$1012,MATCH($C146,EL!$E$4:$E$1012,0))),
IF($E146=3,IF(INDEX(EL!$AH$4:$AH$1012,MATCH($C146,EL!$E$4:$E$1012,0))="","",INDEX(EL!$AH$4:$AH$1012,MATCH($C146,EL!$E$4:$E$1012,0))),
IF($E146=4,IF(INDEX(EL!$AM$4:$AM$1012,MATCH($C146,EL!$E$4:$E$1012,0))="","",INDEX(EL!$AM$4:$AM$1012,MATCH($C146,EL!$E$4:$E$1012,0))),
IF($E146=5,IF(INDEX(EL!$AR$4:$AR$1012,MATCH($C146,EL!$E$4:$E$1012,0))="","",INDEX(EL!$AR$4:$AR$1012,MATCH($C146,EL!$E$4:$E$1012,0))),"")))))))</f>
        <v/>
      </c>
      <c r="J146" s="459" t="str">
        <f>IF(ISNA(MATCH($C146,EL!$E$4:$E$1012,0)),"",
IF($E146=0,IF(INDEX(EL!$T$4:$T$1012,MATCH($C146,EL!$E$4:$E$1012,0))="","",INDEX(EL!$T$4:$T$1012,MATCH($C146,EL!$E$4:$E$1012,0))),
IF($E146=1,IF(INDEX(EL!$Y$4:$Y$1012,MATCH($C146,EL!$E$4:$E$1012,0))="","",INDEX(EL!$Y$4:$Y$1012,MATCH($C146,EL!$E$4:$E$1012,0))),
IF($E146=2,IF(INDEX(EL!$AD$4:$AD$1012,MATCH($C146,EL!$E$4:$E$1012,0))="","",INDEX(EL!$AD$4:$AD$1012,MATCH($C146,EL!$E$4:$E$1012,0))),
IF($E146=3,IF(INDEX(EL!$AI$4:$AI$1012,MATCH($C146,EL!$E$4:$E$1012,0))="","",INDEX(EL!$AI$4:$AI$1012,MATCH($C146,EL!$E$4:$E$1012,0))),
IF($E146=4,IF(INDEX(EL!$AN$4:$AN$1012,MATCH($C146,EL!$E$4:$E$1012,0))="","",INDEX(EL!$AN$4:$AN$1012,MATCH($C146,EL!$E$4:$E$1012,0))),
IF($E146=5,IF(INDEX(EL!$AS$4:$AS$1012,MATCH($C146,EL!$E$4:$E$1012,0))="","",INDEX(EL!$AS$4:$AS$1012,MATCH($C146,EL!$E$4:$E$1012,0))),"")))))))</f>
        <v/>
      </c>
      <c r="K146" s="459">
        <f>EL!L59</f>
        <v>0</v>
      </c>
      <c r="L146" s="460" t="e" cm="1">
        <f t="array" aca="1" ref="L146" ca="1">_xlfn.IFS(AND($E146&lt;&gt;"",$M146="Pending",$K146="CTA"),TODAY()-$G146,AND($E146&lt;&gt;"",$M146="Pending",$K146="AUR"),TODAY()-$H146,AND($E146&lt;&gt;"",$M146="Pending",$K146="STT"),TODAY()-$I146,OR(K146="Closed",K146=""),"")</f>
        <v>#N/A</v>
      </c>
      <c r="M146" s="461">
        <f>VLOOKUP(C146,EL!$E$4:$AC$622,9,0)</f>
        <v>0</v>
      </c>
      <c r="N146" s="461" t="str">
        <f t="shared" si="4"/>
        <v/>
      </c>
      <c r="O146" s="739" t="str">
        <f>EL!O59</f>
        <v>GC</v>
      </c>
      <c r="P146" s="746" t="str">
        <v>YES</v>
      </c>
    </row>
    <row r="147" spans="1:16" s="385" customFormat="1" ht="27" hidden="1" customHeight="1">
      <c r="A147" s="399">
        <v>54</v>
      </c>
      <c r="B147" s="455" t="s">
        <v>52</v>
      </c>
      <c r="C147" s="646" t="s">
        <v>584</v>
      </c>
      <c r="D147" s="456" t="str">
        <f>_xlfn.XLOOKUP(C147,EL!$E$4:$E$82,EL!$D$4:$D$82)</f>
        <v>Ecms (Bms) Point List For Level 1</v>
      </c>
      <c r="E147" s="597" t="str">
        <f>IF(VLOOKUP(C147,EL!$E$4:$AC$505,7,0)="","",VLOOKUP(C147,EL!$E$4:$AC$1004,7,0))</f>
        <v/>
      </c>
      <c r="F147" s="462"/>
      <c r="G147" s="458" t="str">
        <f>IF(VLOOKUP(C147,EL!$E$4:$AC$514,5,0)="","",VLOOKUP(C147,EL!$E$4:$AC$514,5,0))</f>
        <v/>
      </c>
      <c r="H147" s="459" t="str">
        <f>IF(ISNA(MATCH($C147,EL!$E$4:$E$1012,0)),"",
IF($E147=0,IF(INDEX(EL!$R$4:$R$1012,MATCH($C147,EL!$E$4:$E$1012,0))="","",INDEX(EL!$R$4:$R$1012,MATCH($C147,EL!$E$4:$E$1012,0))),
IF($E147=1,IF(INDEX(EL!$W$4:$W$1012,MATCH($C147,EL!$E$4:$E$1012,0))="","",INDEX(EL!$W$4:$W$1012,MATCH($C147,EL!$E$4:$E$1012,0))),
IF($E147=2,IF(INDEX(EL!$AB$4:$AB$1012,MATCH($C147,EL!$E$4:$E$1012,0))="","",INDEX(EL!$AB$4:$AB$1012,MATCH($C147,EL!$E$4:$E$1012,0))),
IF($E147=3,IF(INDEX(EL!$AG$4:$AG$1012,MATCH($C147,EL!$E$4:$E$1012,0))="","",INDEX(EL!$AG$4:$AG$1012,MATCH($C147,EL!$E$4:$E$1012,0))),
IF($E147=4,IF(INDEX(EL!$AN$4:$AN$1012,MATCH($C147,EL!$E$4:$E$1012,0))="","",INDEX(EL!$AN$4:$AN$1012,MATCH($C147,EL!$E$4:$E$1012,0))),
IF($E147=5,IF(INDEX(EL!$AS$4:$AS$1012,MATCH($C147,EL!$E$4:$E$1012,0))="","",INDEX(EL!$AS$4:$AS$1012,MATCH($C147,EL!$E$4:$E$1012,0))),"")))))))</f>
        <v/>
      </c>
      <c r="I147" s="459" t="str">
        <f>IF(ISNA(MATCH($C147,EL!$E$4:$E$1012,0)),"",
IF($E147=0,IF(INDEX(EL!$S$4:$S$1012,MATCH($C147,EL!$E$4:$E$1012,0))="","",INDEX(EL!$S$4:$S$1012,MATCH($C147,EL!$E$4:$E$1012,0))),
IF($E147=1,IF(INDEX(EL!$X$4:$X$1012,MATCH($C147,EL!$E$4:$E$1012,0))="","",INDEX(EL!$X$4:$X$1012,MATCH($C147,EL!$E$4:$E$1012,0))),
IF($E147=2,IF(INDEX(EL!$AC$4:$AC$1012,MATCH($C147,EL!$E$4:$E$1012,0))="","",INDEX(EL!$AC$4:$AC$1012,MATCH($C147,EL!$E$4:$E$1012,0))),
IF($E147=3,IF(INDEX(EL!$AH$4:$AH$1012,MATCH($C147,EL!$E$4:$E$1012,0))="","",INDEX(EL!$AH$4:$AH$1012,MATCH($C147,EL!$E$4:$E$1012,0))),
IF($E147=4,IF(INDEX(EL!$AM$4:$AM$1012,MATCH($C147,EL!$E$4:$E$1012,0))="","",INDEX(EL!$AM$4:$AM$1012,MATCH($C147,EL!$E$4:$E$1012,0))),
IF($E147=5,IF(INDEX(EL!$AR$4:$AR$1012,MATCH($C147,EL!$E$4:$E$1012,0))="","",INDEX(EL!$AR$4:$AR$1012,MATCH($C147,EL!$E$4:$E$1012,0))),"")))))))</f>
        <v/>
      </c>
      <c r="J147" s="459" t="str">
        <f>IF(ISNA(MATCH($C147,EL!$E$4:$E$1012,0)),"",
IF($E147=0,IF(INDEX(EL!$T$4:$T$1012,MATCH($C147,EL!$E$4:$E$1012,0))="","",INDEX(EL!$T$4:$T$1012,MATCH($C147,EL!$E$4:$E$1012,0))),
IF($E147=1,IF(INDEX(EL!$Y$4:$Y$1012,MATCH($C147,EL!$E$4:$E$1012,0))="","",INDEX(EL!$Y$4:$Y$1012,MATCH($C147,EL!$E$4:$E$1012,0))),
IF($E147=2,IF(INDEX(EL!$AD$4:$AD$1012,MATCH($C147,EL!$E$4:$E$1012,0))="","",INDEX(EL!$AD$4:$AD$1012,MATCH($C147,EL!$E$4:$E$1012,0))),
IF($E147=3,IF(INDEX(EL!$AI$4:$AI$1012,MATCH($C147,EL!$E$4:$E$1012,0))="","",INDEX(EL!$AI$4:$AI$1012,MATCH($C147,EL!$E$4:$E$1012,0))),
IF($E147=4,IF(INDEX(EL!$AN$4:$AN$1012,MATCH($C147,EL!$E$4:$E$1012,0))="","",INDEX(EL!$AN$4:$AN$1012,MATCH($C147,EL!$E$4:$E$1012,0))),
IF($E147=5,IF(INDEX(EL!$AS$4:$AS$1012,MATCH($C147,EL!$E$4:$E$1012,0))="","",INDEX(EL!$AS$4:$AS$1012,MATCH($C147,EL!$E$4:$E$1012,0))),"")))))))</f>
        <v/>
      </c>
      <c r="K147" s="459">
        <f>EL!L60</f>
        <v>0</v>
      </c>
      <c r="L147" s="460" t="e" cm="1">
        <f t="array" aca="1" ref="L147" ca="1">_xlfn.IFS(AND($E147&lt;&gt;"",$M147="Pending",$K147="CTA"),TODAY()-$G147,AND($E147&lt;&gt;"",$M147="Pending",$K147="AUR"),TODAY()-$H147,AND($E147&lt;&gt;"",$M147="Pending",$K147="STT"),TODAY()-$I147,OR(K147="Closed",K147=""),"")</f>
        <v>#N/A</v>
      </c>
      <c r="M147" s="461">
        <f>VLOOKUP(C147,EL!$E$4:$AC$622,9,0)</f>
        <v>0</v>
      </c>
      <c r="N147" s="461" t="str">
        <f t="shared" si="4"/>
        <v/>
      </c>
      <c r="O147" s="739" t="str">
        <f>EL!O60</f>
        <v>GC</v>
      </c>
      <c r="P147" s="746" t="str">
        <v>NO</v>
      </c>
    </row>
    <row r="148" spans="1:16" s="385" customFormat="1" ht="27" hidden="1" customHeight="1">
      <c r="A148" s="399">
        <f t="shared" ref="A148:A179" si="5">A147+1</f>
        <v>55</v>
      </c>
      <c r="B148" s="477" t="s">
        <v>52</v>
      </c>
      <c r="C148" s="646" t="s">
        <v>589</v>
      </c>
      <c r="D148" s="456" t="str">
        <f>_xlfn.XLOOKUP(C148,EL!$E$4:$E$82,EL!$D$4:$D$82)</f>
        <v>Ecms (Pms) Point List For Level 1</v>
      </c>
      <c r="E148" s="597" t="str">
        <f>IF(VLOOKUP(C148,EL!$E$4:$AC$505,7,0)="","",VLOOKUP(C148,EL!$E$4:$AC$1004,7,0))</f>
        <v/>
      </c>
      <c r="F148" s="462"/>
      <c r="G148" s="458" t="str">
        <f>IF(VLOOKUP(C148,EL!$E$4:$AC$514,5,0)="","",VLOOKUP(C148,EL!$E$4:$AC$514,5,0))</f>
        <v/>
      </c>
      <c r="H148" s="459" t="str">
        <f>IF(ISNA(MATCH($C148,EL!$E$4:$E$1012,0)),"",
IF($E148=0,IF(INDEX(EL!$R$4:$R$1012,MATCH($C148,EL!$E$4:$E$1012,0))="","",INDEX(EL!$R$4:$R$1012,MATCH($C148,EL!$E$4:$E$1012,0))),
IF($E148=1,IF(INDEX(EL!$W$4:$W$1012,MATCH($C148,EL!$E$4:$E$1012,0))="","",INDEX(EL!$W$4:$W$1012,MATCH($C148,EL!$E$4:$E$1012,0))),
IF($E148=2,IF(INDEX(EL!$AB$4:$AB$1012,MATCH($C148,EL!$E$4:$E$1012,0))="","",INDEX(EL!$AB$4:$AB$1012,MATCH($C148,EL!$E$4:$E$1012,0))),
IF($E148=3,IF(INDEX(EL!$AG$4:$AG$1012,MATCH($C148,EL!$E$4:$E$1012,0))="","",INDEX(EL!$AG$4:$AG$1012,MATCH($C148,EL!$E$4:$E$1012,0))),
IF($E148=4,IF(INDEX(EL!$AN$4:$AN$1012,MATCH($C148,EL!$E$4:$E$1012,0))="","",INDEX(EL!$AN$4:$AN$1012,MATCH($C148,EL!$E$4:$E$1012,0))),
IF($E148=5,IF(INDEX(EL!$AS$4:$AS$1012,MATCH($C148,EL!$E$4:$E$1012,0))="","",INDEX(EL!$AS$4:$AS$1012,MATCH($C148,EL!$E$4:$E$1012,0))),"")))))))</f>
        <v/>
      </c>
      <c r="I148" s="459" t="str">
        <f>IF(ISNA(MATCH($C148,EL!$E$4:$E$1012,0)),"",
IF($E148=0,IF(INDEX(EL!$S$4:$S$1012,MATCH($C148,EL!$E$4:$E$1012,0))="","",INDEX(EL!$S$4:$S$1012,MATCH($C148,EL!$E$4:$E$1012,0))),
IF($E148=1,IF(INDEX(EL!$X$4:$X$1012,MATCH($C148,EL!$E$4:$E$1012,0))="","",INDEX(EL!$X$4:$X$1012,MATCH($C148,EL!$E$4:$E$1012,0))),
IF($E148=2,IF(INDEX(EL!$AC$4:$AC$1012,MATCH($C148,EL!$E$4:$E$1012,0))="","",INDEX(EL!$AC$4:$AC$1012,MATCH($C148,EL!$E$4:$E$1012,0))),
IF($E148=3,IF(INDEX(EL!$AH$4:$AH$1012,MATCH($C148,EL!$E$4:$E$1012,0))="","",INDEX(EL!$AH$4:$AH$1012,MATCH($C148,EL!$E$4:$E$1012,0))),
IF($E148=4,IF(INDEX(EL!$AM$4:$AM$1012,MATCH($C148,EL!$E$4:$E$1012,0))="","",INDEX(EL!$AM$4:$AM$1012,MATCH($C148,EL!$E$4:$E$1012,0))),
IF($E148=5,IF(INDEX(EL!$AR$4:$AR$1012,MATCH($C148,EL!$E$4:$E$1012,0))="","",INDEX(EL!$AR$4:$AR$1012,MATCH($C148,EL!$E$4:$E$1012,0))),"")))))))</f>
        <v/>
      </c>
      <c r="J148" s="459" t="str">
        <f>IF(ISNA(MATCH($C148,EL!$E$4:$E$1012,0)),"",
IF($E148=0,IF(INDEX(EL!$T$4:$T$1012,MATCH($C148,EL!$E$4:$E$1012,0))="","",INDEX(EL!$T$4:$T$1012,MATCH($C148,EL!$E$4:$E$1012,0))),
IF($E148=1,IF(INDEX(EL!$Y$4:$Y$1012,MATCH($C148,EL!$E$4:$E$1012,0))="","",INDEX(EL!$Y$4:$Y$1012,MATCH($C148,EL!$E$4:$E$1012,0))),
IF($E148=2,IF(INDEX(EL!$AD$4:$AD$1012,MATCH($C148,EL!$E$4:$E$1012,0))="","",INDEX(EL!$AD$4:$AD$1012,MATCH($C148,EL!$E$4:$E$1012,0))),
IF($E148=3,IF(INDEX(EL!$AI$4:$AI$1012,MATCH($C148,EL!$E$4:$E$1012,0))="","",INDEX(EL!$AI$4:$AI$1012,MATCH($C148,EL!$E$4:$E$1012,0))),
IF($E148=4,IF(INDEX(EL!$AN$4:$AN$1012,MATCH($C148,EL!$E$4:$E$1012,0))="","",INDEX(EL!$AN$4:$AN$1012,MATCH($C148,EL!$E$4:$E$1012,0))),
IF($E148=5,IF(INDEX(EL!$AS$4:$AS$1012,MATCH($C148,EL!$E$4:$E$1012,0))="","",INDEX(EL!$AS$4:$AS$1012,MATCH($C148,EL!$E$4:$E$1012,0))),"")))))))</f>
        <v/>
      </c>
      <c r="K148" s="459">
        <f>EL!L61</f>
        <v>0</v>
      </c>
      <c r="L148" s="460" t="e" cm="1">
        <f t="array" aca="1" ref="L148" ca="1">_xlfn.IFS(AND($E148&lt;&gt;"",$M148="Pending",$K148="CTA"),TODAY()-$G148,AND($E148&lt;&gt;"",$M148="Pending",$K148="AUR"),TODAY()-$H148,AND($E148&lt;&gt;"",$M148="Pending",$K148="STT"),TODAY()-$I148,OR(K148="Closed",K148=""),"")</f>
        <v>#N/A</v>
      </c>
      <c r="M148" s="461">
        <f>VLOOKUP(C148,EL!$E$4:$AC$622,9,0)</f>
        <v>0</v>
      </c>
      <c r="N148" s="461" t="str">
        <f t="shared" si="4"/>
        <v/>
      </c>
      <c r="O148" s="739" t="str">
        <f>EL!O61</f>
        <v>GC</v>
      </c>
      <c r="P148" s="746" t="str">
        <v>NO</v>
      </c>
    </row>
    <row r="149" spans="1:16" s="385" customFormat="1" ht="27" hidden="1" customHeight="1">
      <c r="A149" s="399">
        <f t="shared" si="5"/>
        <v>56</v>
      </c>
      <c r="B149" s="477" t="s">
        <v>52</v>
      </c>
      <c r="C149" s="646" t="s">
        <v>592</v>
      </c>
      <c r="D149" s="456" t="str">
        <f>_xlfn.XLOOKUP(C149,EL!$E$4:$E$82,EL!$D$4:$D$82)</f>
        <v>Ecms (Ems) Point List For Level 1</v>
      </c>
      <c r="E149" s="597" t="str">
        <f>IF(VLOOKUP(C149,EL!$E$4:$AC$505,7,0)="","",VLOOKUP(C149,EL!$E$4:$AC$1004,7,0))</f>
        <v/>
      </c>
      <c r="F149" s="462"/>
      <c r="G149" s="458" t="str">
        <f>IF(VLOOKUP(C149,EL!$E$4:$AC$514,5,0)="","",VLOOKUP(C149,EL!$E$4:$AC$514,5,0))</f>
        <v/>
      </c>
      <c r="H149" s="459" t="str">
        <f>IF(ISNA(MATCH($C149,EL!$E$4:$E$1012,0)),"",
IF($E149=0,IF(INDEX(EL!$R$4:$R$1012,MATCH($C149,EL!$E$4:$E$1012,0))="","",INDEX(EL!$R$4:$R$1012,MATCH($C149,EL!$E$4:$E$1012,0))),
IF($E149=1,IF(INDEX(EL!$W$4:$W$1012,MATCH($C149,EL!$E$4:$E$1012,0))="","",INDEX(EL!$W$4:$W$1012,MATCH($C149,EL!$E$4:$E$1012,0))),
IF($E149=2,IF(INDEX(EL!$AB$4:$AB$1012,MATCH($C149,EL!$E$4:$E$1012,0))="","",INDEX(EL!$AB$4:$AB$1012,MATCH($C149,EL!$E$4:$E$1012,0))),
IF($E149=3,IF(INDEX(EL!$AG$4:$AG$1012,MATCH($C149,EL!$E$4:$E$1012,0))="","",INDEX(EL!$AG$4:$AG$1012,MATCH($C149,EL!$E$4:$E$1012,0))),
IF($E149=4,IF(INDEX(EL!$AN$4:$AN$1012,MATCH($C149,EL!$E$4:$E$1012,0))="","",INDEX(EL!$AN$4:$AN$1012,MATCH($C149,EL!$E$4:$E$1012,0))),
IF($E149=5,IF(INDEX(EL!$AS$4:$AS$1012,MATCH($C149,EL!$E$4:$E$1012,0))="","",INDEX(EL!$AS$4:$AS$1012,MATCH($C149,EL!$E$4:$E$1012,0))),"")))))))</f>
        <v/>
      </c>
      <c r="I149" s="459" t="str">
        <f>IF(ISNA(MATCH($C149,EL!$E$4:$E$1012,0)),"",
IF($E149=0,IF(INDEX(EL!$S$4:$S$1012,MATCH($C149,EL!$E$4:$E$1012,0))="","",INDEX(EL!$S$4:$S$1012,MATCH($C149,EL!$E$4:$E$1012,0))),
IF($E149=1,IF(INDEX(EL!$X$4:$X$1012,MATCH($C149,EL!$E$4:$E$1012,0))="","",INDEX(EL!$X$4:$X$1012,MATCH($C149,EL!$E$4:$E$1012,0))),
IF($E149=2,IF(INDEX(EL!$AC$4:$AC$1012,MATCH($C149,EL!$E$4:$E$1012,0))="","",INDEX(EL!$AC$4:$AC$1012,MATCH($C149,EL!$E$4:$E$1012,0))),
IF($E149=3,IF(INDEX(EL!$AH$4:$AH$1012,MATCH($C149,EL!$E$4:$E$1012,0))="","",INDEX(EL!$AH$4:$AH$1012,MATCH($C149,EL!$E$4:$E$1012,0))),
IF($E149=4,IF(INDEX(EL!$AM$4:$AM$1012,MATCH($C149,EL!$E$4:$E$1012,0))="","",INDEX(EL!$AM$4:$AM$1012,MATCH($C149,EL!$E$4:$E$1012,0))),
IF($E149=5,IF(INDEX(EL!$AR$4:$AR$1012,MATCH($C149,EL!$E$4:$E$1012,0))="","",INDEX(EL!$AR$4:$AR$1012,MATCH($C149,EL!$E$4:$E$1012,0))),"")))))))</f>
        <v/>
      </c>
      <c r="J149" s="459" t="str">
        <f>IF(ISNA(MATCH($C149,EL!$E$4:$E$1012,0)),"",
IF($E149=0,IF(INDEX(EL!$T$4:$T$1012,MATCH($C149,EL!$E$4:$E$1012,0))="","",INDEX(EL!$T$4:$T$1012,MATCH($C149,EL!$E$4:$E$1012,0))),
IF($E149=1,IF(INDEX(EL!$Y$4:$Y$1012,MATCH($C149,EL!$E$4:$E$1012,0))="","",INDEX(EL!$Y$4:$Y$1012,MATCH($C149,EL!$E$4:$E$1012,0))),
IF($E149=2,IF(INDEX(EL!$AD$4:$AD$1012,MATCH($C149,EL!$E$4:$E$1012,0))="","",INDEX(EL!$AD$4:$AD$1012,MATCH($C149,EL!$E$4:$E$1012,0))),
IF($E149=3,IF(INDEX(EL!$AI$4:$AI$1012,MATCH($C149,EL!$E$4:$E$1012,0))="","",INDEX(EL!$AI$4:$AI$1012,MATCH($C149,EL!$E$4:$E$1012,0))),
IF($E149=4,IF(INDEX(EL!$AN$4:$AN$1012,MATCH($C149,EL!$E$4:$E$1012,0))="","",INDEX(EL!$AN$4:$AN$1012,MATCH($C149,EL!$E$4:$E$1012,0))),
IF($E149=5,IF(INDEX(EL!$AS$4:$AS$1012,MATCH($C149,EL!$E$4:$E$1012,0))="","",INDEX(EL!$AS$4:$AS$1012,MATCH($C149,EL!$E$4:$E$1012,0))),"")))))))</f>
        <v/>
      </c>
      <c r="K149" s="459">
        <f>EL!L62</f>
        <v>0</v>
      </c>
      <c r="L149" s="460" t="e" cm="1">
        <f t="array" aca="1" ref="L149" ca="1">_xlfn.IFS(AND($E149&lt;&gt;"",$M149="Pending",$K149="CTA"),TODAY()-$G149,AND($E149&lt;&gt;"",$M149="Pending",$K149="AUR"),TODAY()-$H149,AND($E149&lt;&gt;"",$M149="Pending",$K149="STT"),TODAY()-$I149,OR(K149="Closed",K149=""),"")</f>
        <v>#N/A</v>
      </c>
      <c r="M149" s="461">
        <f>VLOOKUP(C149,EL!$E$4:$AC$622,9,0)</f>
        <v>0</v>
      </c>
      <c r="N149" s="461" t="str">
        <f t="shared" si="4"/>
        <v/>
      </c>
      <c r="O149" s="739" t="str">
        <f>EL!O62</f>
        <v>GC</v>
      </c>
      <c r="P149" s="746" t="str">
        <v>NO</v>
      </c>
    </row>
    <row r="150" spans="1:16" s="385" customFormat="1" ht="27" hidden="1" customHeight="1">
      <c r="A150" s="399">
        <f t="shared" si="5"/>
        <v>57</v>
      </c>
      <c r="B150" s="477" t="s">
        <v>52</v>
      </c>
      <c r="C150" s="646" t="s">
        <v>595</v>
      </c>
      <c r="D150" s="456" t="str">
        <f>_xlfn.XLOOKUP(C150,EL!$E$4:$E$82,EL!$D$4:$D$82)</f>
        <v>Ecms (Bms) Point List For Level 2</v>
      </c>
      <c r="E150" s="597" t="str">
        <f>IF(VLOOKUP(C150,EL!$E$4:$AC$505,7,0)="","",VLOOKUP(C150,EL!$E$4:$AC$1004,7,0))</f>
        <v/>
      </c>
      <c r="F150" s="462"/>
      <c r="G150" s="458" t="str">
        <f>IF(VLOOKUP(C150,EL!$E$4:$AC$514,5,0)="","",VLOOKUP(C150,EL!$E$4:$AC$514,5,0))</f>
        <v/>
      </c>
      <c r="H150" s="459" t="str">
        <f>IF(ISNA(MATCH($C150,EL!$E$4:$E$1012,0)),"",
IF($E150=0,IF(INDEX(EL!$R$4:$R$1012,MATCH($C150,EL!$E$4:$E$1012,0))="","",INDEX(EL!$R$4:$R$1012,MATCH($C150,EL!$E$4:$E$1012,0))),
IF($E150=1,IF(INDEX(EL!$W$4:$W$1012,MATCH($C150,EL!$E$4:$E$1012,0))="","",INDEX(EL!$W$4:$W$1012,MATCH($C150,EL!$E$4:$E$1012,0))),
IF($E150=2,IF(INDEX(EL!$AB$4:$AB$1012,MATCH($C150,EL!$E$4:$E$1012,0))="","",INDEX(EL!$AB$4:$AB$1012,MATCH($C150,EL!$E$4:$E$1012,0))),
IF($E150=3,IF(INDEX(EL!$AG$4:$AG$1012,MATCH($C150,EL!$E$4:$E$1012,0))="","",INDEX(EL!$AG$4:$AG$1012,MATCH($C150,EL!$E$4:$E$1012,0))),
IF($E150=4,IF(INDEX(EL!$AN$4:$AN$1012,MATCH($C150,EL!$E$4:$E$1012,0))="","",INDEX(EL!$AN$4:$AN$1012,MATCH($C150,EL!$E$4:$E$1012,0))),
IF($E150=5,IF(INDEX(EL!$AS$4:$AS$1012,MATCH($C150,EL!$E$4:$E$1012,0))="","",INDEX(EL!$AS$4:$AS$1012,MATCH($C150,EL!$E$4:$E$1012,0))),"")))))))</f>
        <v/>
      </c>
      <c r="I150" s="459" t="str">
        <f>IF(ISNA(MATCH($C150,EL!$E$4:$E$1012,0)),"",
IF($E150=0,IF(INDEX(EL!$S$4:$S$1012,MATCH($C150,EL!$E$4:$E$1012,0))="","",INDEX(EL!$S$4:$S$1012,MATCH($C150,EL!$E$4:$E$1012,0))),
IF($E150=1,IF(INDEX(EL!$X$4:$X$1012,MATCH($C150,EL!$E$4:$E$1012,0))="","",INDEX(EL!$X$4:$X$1012,MATCH($C150,EL!$E$4:$E$1012,0))),
IF($E150=2,IF(INDEX(EL!$AC$4:$AC$1012,MATCH($C150,EL!$E$4:$E$1012,0))="","",INDEX(EL!$AC$4:$AC$1012,MATCH($C150,EL!$E$4:$E$1012,0))),
IF($E150=3,IF(INDEX(EL!$AH$4:$AH$1012,MATCH($C150,EL!$E$4:$E$1012,0))="","",INDEX(EL!$AH$4:$AH$1012,MATCH($C150,EL!$E$4:$E$1012,0))),
IF($E150=4,IF(INDEX(EL!$AM$4:$AM$1012,MATCH($C150,EL!$E$4:$E$1012,0))="","",INDEX(EL!$AM$4:$AM$1012,MATCH($C150,EL!$E$4:$E$1012,0))),
IF($E150=5,IF(INDEX(EL!$AR$4:$AR$1012,MATCH($C150,EL!$E$4:$E$1012,0))="","",INDEX(EL!$AR$4:$AR$1012,MATCH($C150,EL!$E$4:$E$1012,0))),"")))))))</f>
        <v/>
      </c>
      <c r="J150" s="459" t="str">
        <f>IF(ISNA(MATCH($C150,EL!$E$4:$E$1012,0)),"",
IF($E150=0,IF(INDEX(EL!$T$4:$T$1012,MATCH($C150,EL!$E$4:$E$1012,0))="","",INDEX(EL!$T$4:$T$1012,MATCH($C150,EL!$E$4:$E$1012,0))),
IF($E150=1,IF(INDEX(EL!$Y$4:$Y$1012,MATCH($C150,EL!$E$4:$E$1012,0))="","",INDEX(EL!$Y$4:$Y$1012,MATCH($C150,EL!$E$4:$E$1012,0))),
IF($E150=2,IF(INDEX(EL!$AD$4:$AD$1012,MATCH($C150,EL!$E$4:$E$1012,0))="","",INDEX(EL!$AD$4:$AD$1012,MATCH($C150,EL!$E$4:$E$1012,0))),
IF($E150=3,IF(INDEX(EL!$AI$4:$AI$1012,MATCH($C150,EL!$E$4:$E$1012,0))="","",INDEX(EL!$AI$4:$AI$1012,MATCH($C150,EL!$E$4:$E$1012,0))),
IF($E150=4,IF(INDEX(EL!$AN$4:$AN$1012,MATCH($C150,EL!$E$4:$E$1012,0))="","",INDEX(EL!$AN$4:$AN$1012,MATCH($C150,EL!$E$4:$E$1012,0))),
IF($E150=5,IF(INDEX(EL!$AS$4:$AS$1012,MATCH($C150,EL!$E$4:$E$1012,0))="","",INDEX(EL!$AS$4:$AS$1012,MATCH($C150,EL!$E$4:$E$1012,0))),"")))))))</f>
        <v/>
      </c>
      <c r="K150" s="459">
        <f>EL!L63</f>
        <v>0</v>
      </c>
      <c r="L150" s="460" t="e" cm="1">
        <f t="array" aca="1" ref="L150" ca="1">_xlfn.IFS(AND($E150&lt;&gt;"",$M150="Pending",$K150="CTA"),TODAY()-$G150,AND($E150&lt;&gt;"",$M150="Pending",$K150="AUR"),TODAY()-$H150,AND($E150&lt;&gt;"",$M150="Pending",$K150="STT"),TODAY()-$I150,OR(K150="Closed",K150=""),"")</f>
        <v>#N/A</v>
      </c>
      <c r="M150" s="461">
        <f>VLOOKUP(C150,EL!$E$4:$AC$622,9,0)</f>
        <v>0</v>
      </c>
      <c r="N150" s="461" t="str">
        <f t="shared" si="4"/>
        <v/>
      </c>
      <c r="O150" s="739" t="str">
        <f>EL!O63</f>
        <v>GC</v>
      </c>
      <c r="P150" s="746" t="str">
        <v>NO</v>
      </c>
    </row>
    <row r="151" spans="1:16" s="385" customFormat="1" ht="27" hidden="1" customHeight="1">
      <c r="A151" s="399">
        <f t="shared" si="5"/>
        <v>58</v>
      </c>
      <c r="B151" s="477" t="s">
        <v>52</v>
      </c>
      <c r="C151" s="646" t="s">
        <v>598</v>
      </c>
      <c r="D151" s="456" t="str">
        <f>_xlfn.XLOOKUP(C151,EL!$E$4:$E$82,EL!$D$4:$D$82)</f>
        <v>Ecms (Pms) Point List For Level 2</v>
      </c>
      <c r="E151" s="597" t="str">
        <f>IF(VLOOKUP(C151,EL!$E$4:$AC$505,7,0)="","",VLOOKUP(C151,EL!$E$4:$AC$1004,7,0))</f>
        <v/>
      </c>
      <c r="F151" s="462"/>
      <c r="G151" s="458" t="str">
        <f>IF(VLOOKUP(C151,EL!$E$4:$AC$514,5,0)="","",VLOOKUP(C151,EL!$E$4:$AC$514,5,0))</f>
        <v/>
      </c>
      <c r="H151" s="459" t="str">
        <f>IF(ISNA(MATCH($C151,EL!$E$4:$E$1012,0)),"",
IF($E151=0,IF(INDEX(EL!$R$4:$R$1012,MATCH($C151,EL!$E$4:$E$1012,0))="","",INDEX(EL!$R$4:$R$1012,MATCH($C151,EL!$E$4:$E$1012,0))),
IF($E151=1,IF(INDEX(EL!$W$4:$W$1012,MATCH($C151,EL!$E$4:$E$1012,0))="","",INDEX(EL!$W$4:$W$1012,MATCH($C151,EL!$E$4:$E$1012,0))),
IF($E151=2,IF(INDEX(EL!$AB$4:$AB$1012,MATCH($C151,EL!$E$4:$E$1012,0))="","",INDEX(EL!$AB$4:$AB$1012,MATCH($C151,EL!$E$4:$E$1012,0))),
IF($E151=3,IF(INDEX(EL!$AG$4:$AG$1012,MATCH($C151,EL!$E$4:$E$1012,0))="","",INDEX(EL!$AG$4:$AG$1012,MATCH($C151,EL!$E$4:$E$1012,0))),
IF($E151=4,IF(INDEX(EL!$AN$4:$AN$1012,MATCH($C151,EL!$E$4:$E$1012,0))="","",INDEX(EL!$AN$4:$AN$1012,MATCH($C151,EL!$E$4:$E$1012,0))),
IF($E151=5,IF(INDEX(EL!$AS$4:$AS$1012,MATCH($C151,EL!$E$4:$E$1012,0))="","",INDEX(EL!$AS$4:$AS$1012,MATCH($C151,EL!$E$4:$E$1012,0))),"")))))))</f>
        <v/>
      </c>
      <c r="I151" s="459" t="str">
        <f>IF(ISNA(MATCH($C151,EL!$E$4:$E$1012,0)),"",
IF($E151=0,IF(INDEX(EL!$S$4:$S$1012,MATCH($C151,EL!$E$4:$E$1012,0))="","",INDEX(EL!$S$4:$S$1012,MATCH($C151,EL!$E$4:$E$1012,0))),
IF($E151=1,IF(INDEX(EL!$X$4:$X$1012,MATCH($C151,EL!$E$4:$E$1012,0))="","",INDEX(EL!$X$4:$X$1012,MATCH($C151,EL!$E$4:$E$1012,0))),
IF($E151=2,IF(INDEX(EL!$AC$4:$AC$1012,MATCH($C151,EL!$E$4:$E$1012,0))="","",INDEX(EL!$AC$4:$AC$1012,MATCH($C151,EL!$E$4:$E$1012,0))),
IF($E151=3,IF(INDEX(EL!$AH$4:$AH$1012,MATCH($C151,EL!$E$4:$E$1012,0))="","",INDEX(EL!$AH$4:$AH$1012,MATCH($C151,EL!$E$4:$E$1012,0))),
IF($E151=4,IF(INDEX(EL!$AM$4:$AM$1012,MATCH($C151,EL!$E$4:$E$1012,0))="","",INDEX(EL!$AM$4:$AM$1012,MATCH($C151,EL!$E$4:$E$1012,0))),
IF($E151=5,IF(INDEX(EL!$AR$4:$AR$1012,MATCH($C151,EL!$E$4:$E$1012,0))="","",INDEX(EL!$AR$4:$AR$1012,MATCH($C151,EL!$E$4:$E$1012,0))),"")))))))</f>
        <v/>
      </c>
      <c r="J151" s="459" t="str">
        <f>IF(ISNA(MATCH($C151,EL!$E$4:$E$1012,0)),"",
IF($E151=0,IF(INDEX(EL!$T$4:$T$1012,MATCH($C151,EL!$E$4:$E$1012,0))="","",INDEX(EL!$T$4:$T$1012,MATCH($C151,EL!$E$4:$E$1012,0))),
IF($E151=1,IF(INDEX(EL!$Y$4:$Y$1012,MATCH($C151,EL!$E$4:$E$1012,0))="","",INDEX(EL!$Y$4:$Y$1012,MATCH($C151,EL!$E$4:$E$1012,0))),
IF($E151=2,IF(INDEX(EL!$AD$4:$AD$1012,MATCH($C151,EL!$E$4:$E$1012,0))="","",INDEX(EL!$AD$4:$AD$1012,MATCH($C151,EL!$E$4:$E$1012,0))),
IF($E151=3,IF(INDEX(EL!$AI$4:$AI$1012,MATCH($C151,EL!$E$4:$E$1012,0))="","",INDEX(EL!$AI$4:$AI$1012,MATCH($C151,EL!$E$4:$E$1012,0))),
IF($E151=4,IF(INDEX(EL!$AN$4:$AN$1012,MATCH($C151,EL!$E$4:$E$1012,0))="","",INDEX(EL!$AN$4:$AN$1012,MATCH($C151,EL!$E$4:$E$1012,0))),
IF($E151=5,IF(INDEX(EL!$AS$4:$AS$1012,MATCH($C151,EL!$E$4:$E$1012,0))="","",INDEX(EL!$AS$4:$AS$1012,MATCH($C151,EL!$E$4:$E$1012,0))),"")))))))</f>
        <v/>
      </c>
      <c r="K151" s="459">
        <f>EL!L64</f>
        <v>0</v>
      </c>
      <c r="L151" s="460" t="e" cm="1">
        <f t="array" aca="1" ref="L151" ca="1">_xlfn.IFS(AND($E151&lt;&gt;"",$M151="Pending",$K151="CTA"),TODAY()-$G151,AND($E151&lt;&gt;"",$M151="Pending",$K151="AUR"),TODAY()-$H151,AND($E151&lt;&gt;"",$M151="Pending",$K151="STT"),TODAY()-$I151,OR(K151="Closed",K151=""),"")</f>
        <v>#N/A</v>
      </c>
      <c r="M151" s="461">
        <f>VLOOKUP(C151,EL!$E$4:$AC$622,9,0)</f>
        <v>0</v>
      </c>
      <c r="N151" s="461" t="str">
        <f t="shared" si="4"/>
        <v/>
      </c>
      <c r="O151" s="739" t="str">
        <f>EL!O64</f>
        <v>GC</v>
      </c>
      <c r="P151" s="746" t="str">
        <v>NO</v>
      </c>
    </row>
    <row r="152" spans="1:16" s="385" customFormat="1" ht="27" hidden="1" customHeight="1">
      <c r="A152" s="399">
        <f t="shared" si="5"/>
        <v>59</v>
      </c>
      <c r="B152" s="477" t="s">
        <v>52</v>
      </c>
      <c r="C152" s="646" t="s">
        <v>601</v>
      </c>
      <c r="D152" s="456" t="str">
        <f>_xlfn.XLOOKUP(C152,EL!$E$4:$E$82,EL!$D$4:$D$82)</f>
        <v>Ecms (Ems) Point List For Level 2</v>
      </c>
      <c r="E152" s="597" t="str">
        <f>IF(VLOOKUP(C152,EL!$E$4:$AC$505,7,0)="","",VLOOKUP(C152,EL!$E$4:$AC$1004,7,0))</f>
        <v/>
      </c>
      <c r="F152" s="462"/>
      <c r="G152" s="458" t="str">
        <f>IF(VLOOKUP(C152,EL!$E$4:$AC$514,5,0)="","",VLOOKUP(C152,EL!$E$4:$AC$514,5,0))</f>
        <v/>
      </c>
      <c r="H152" s="459" t="str">
        <f>IF(ISNA(MATCH($C152,EL!$E$4:$E$1012,0)),"",
IF($E152=0,IF(INDEX(EL!$R$4:$R$1012,MATCH($C152,EL!$E$4:$E$1012,0))="","",INDEX(EL!$R$4:$R$1012,MATCH($C152,EL!$E$4:$E$1012,0))),
IF($E152=1,IF(INDEX(EL!$W$4:$W$1012,MATCH($C152,EL!$E$4:$E$1012,0))="","",INDEX(EL!$W$4:$W$1012,MATCH($C152,EL!$E$4:$E$1012,0))),
IF($E152=2,IF(INDEX(EL!$AB$4:$AB$1012,MATCH($C152,EL!$E$4:$E$1012,0))="","",INDEX(EL!$AB$4:$AB$1012,MATCH($C152,EL!$E$4:$E$1012,0))),
IF($E152=3,IF(INDEX(EL!$AG$4:$AG$1012,MATCH($C152,EL!$E$4:$E$1012,0))="","",INDEX(EL!$AG$4:$AG$1012,MATCH($C152,EL!$E$4:$E$1012,0))),
IF($E152=4,IF(INDEX(EL!$AN$4:$AN$1012,MATCH($C152,EL!$E$4:$E$1012,0))="","",INDEX(EL!$AN$4:$AN$1012,MATCH($C152,EL!$E$4:$E$1012,0))),
IF($E152=5,IF(INDEX(EL!$AS$4:$AS$1012,MATCH($C152,EL!$E$4:$E$1012,0))="","",INDEX(EL!$AS$4:$AS$1012,MATCH($C152,EL!$E$4:$E$1012,0))),"")))))))</f>
        <v/>
      </c>
      <c r="I152" s="459" t="str">
        <f>IF(ISNA(MATCH($C152,EL!$E$4:$E$1012,0)),"",
IF($E152=0,IF(INDEX(EL!$S$4:$S$1012,MATCH($C152,EL!$E$4:$E$1012,0))="","",INDEX(EL!$S$4:$S$1012,MATCH($C152,EL!$E$4:$E$1012,0))),
IF($E152=1,IF(INDEX(EL!$X$4:$X$1012,MATCH($C152,EL!$E$4:$E$1012,0))="","",INDEX(EL!$X$4:$X$1012,MATCH($C152,EL!$E$4:$E$1012,0))),
IF($E152=2,IF(INDEX(EL!$AC$4:$AC$1012,MATCH($C152,EL!$E$4:$E$1012,0))="","",INDEX(EL!$AC$4:$AC$1012,MATCH($C152,EL!$E$4:$E$1012,0))),
IF($E152=3,IF(INDEX(EL!$AH$4:$AH$1012,MATCH($C152,EL!$E$4:$E$1012,0))="","",INDEX(EL!$AH$4:$AH$1012,MATCH($C152,EL!$E$4:$E$1012,0))),
IF($E152=4,IF(INDEX(EL!$AM$4:$AM$1012,MATCH($C152,EL!$E$4:$E$1012,0))="","",INDEX(EL!$AM$4:$AM$1012,MATCH($C152,EL!$E$4:$E$1012,0))),
IF($E152=5,IF(INDEX(EL!$AR$4:$AR$1012,MATCH($C152,EL!$E$4:$E$1012,0))="","",INDEX(EL!$AR$4:$AR$1012,MATCH($C152,EL!$E$4:$E$1012,0))),"")))))))</f>
        <v/>
      </c>
      <c r="J152" s="459" t="str">
        <f>IF(ISNA(MATCH($C152,EL!$E$4:$E$1012,0)),"",
IF($E152=0,IF(INDEX(EL!$T$4:$T$1012,MATCH($C152,EL!$E$4:$E$1012,0))="","",INDEX(EL!$T$4:$T$1012,MATCH($C152,EL!$E$4:$E$1012,0))),
IF($E152=1,IF(INDEX(EL!$Y$4:$Y$1012,MATCH($C152,EL!$E$4:$E$1012,0))="","",INDEX(EL!$Y$4:$Y$1012,MATCH($C152,EL!$E$4:$E$1012,0))),
IF($E152=2,IF(INDEX(EL!$AD$4:$AD$1012,MATCH($C152,EL!$E$4:$E$1012,0))="","",INDEX(EL!$AD$4:$AD$1012,MATCH($C152,EL!$E$4:$E$1012,0))),
IF($E152=3,IF(INDEX(EL!$AI$4:$AI$1012,MATCH($C152,EL!$E$4:$E$1012,0))="","",INDEX(EL!$AI$4:$AI$1012,MATCH($C152,EL!$E$4:$E$1012,0))),
IF($E152=4,IF(INDEX(EL!$AN$4:$AN$1012,MATCH($C152,EL!$E$4:$E$1012,0))="","",INDEX(EL!$AN$4:$AN$1012,MATCH($C152,EL!$E$4:$E$1012,0))),
IF($E152=5,IF(INDEX(EL!$AS$4:$AS$1012,MATCH($C152,EL!$E$4:$E$1012,0))="","",INDEX(EL!$AS$4:$AS$1012,MATCH($C152,EL!$E$4:$E$1012,0))),"")))))))</f>
        <v/>
      </c>
      <c r="K152" s="459">
        <f>EL!L65</f>
        <v>0</v>
      </c>
      <c r="L152" s="460" t="e" cm="1">
        <f t="array" aca="1" ref="L152" ca="1">_xlfn.IFS(AND($E152&lt;&gt;"",$M152="Pending",$K152="CTA"),TODAY()-$G152,AND($E152&lt;&gt;"",$M152="Pending",$K152="AUR"),TODAY()-$H152,AND($E152&lt;&gt;"",$M152="Pending",$K152="STT"),TODAY()-$I152,OR(K152="Closed",K152=""),"")</f>
        <v>#N/A</v>
      </c>
      <c r="M152" s="461">
        <f>VLOOKUP(C152,EL!$E$4:$AC$622,9,0)</f>
        <v>0</v>
      </c>
      <c r="N152" s="461" t="str">
        <f t="shared" si="4"/>
        <v/>
      </c>
      <c r="O152" s="739" t="str">
        <f>EL!O65</f>
        <v>GC</v>
      </c>
      <c r="P152" s="746" t="str">
        <v>NO</v>
      </c>
    </row>
    <row r="153" spans="1:16" s="385" customFormat="1" ht="27" hidden="1" customHeight="1">
      <c r="A153" s="399">
        <f t="shared" si="5"/>
        <v>60</v>
      </c>
      <c r="B153" s="477" t="s">
        <v>52</v>
      </c>
      <c r="C153" s="646" t="s">
        <v>604</v>
      </c>
      <c r="D153" s="456" t="str">
        <f>_xlfn.XLOOKUP(C153,EL!$E$4:$E$82,EL!$D$4:$D$82)</f>
        <v>Ecms (Bms) Point List For Level 6</v>
      </c>
      <c r="E153" s="597" t="str">
        <f>IF(VLOOKUP(C153,EL!$E$4:$AC$505,7,0)="","",VLOOKUP(C153,EL!$E$4:$AC$1004,7,0))</f>
        <v/>
      </c>
      <c r="F153" s="462"/>
      <c r="G153" s="458" t="str">
        <f>IF(VLOOKUP(C153,EL!$E$4:$AC$514,5,0)="","",VLOOKUP(C153,EL!$E$4:$AC$514,5,0))</f>
        <v/>
      </c>
      <c r="H153" s="459" t="str">
        <f>IF(ISNA(MATCH($C153,EL!$E$4:$E$1012,0)),"",
IF($E153=0,IF(INDEX(EL!$R$4:$R$1012,MATCH($C153,EL!$E$4:$E$1012,0))="","",INDEX(EL!$R$4:$R$1012,MATCH($C153,EL!$E$4:$E$1012,0))),
IF($E153=1,IF(INDEX(EL!$W$4:$W$1012,MATCH($C153,EL!$E$4:$E$1012,0))="","",INDEX(EL!$W$4:$W$1012,MATCH($C153,EL!$E$4:$E$1012,0))),
IF($E153=2,IF(INDEX(EL!$AB$4:$AB$1012,MATCH($C153,EL!$E$4:$E$1012,0))="","",INDEX(EL!$AB$4:$AB$1012,MATCH($C153,EL!$E$4:$E$1012,0))),
IF($E153=3,IF(INDEX(EL!$AG$4:$AG$1012,MATCH($C153,EL!$E$4:$E$1012,0))="","",INDEX(EL!$AG$4:$AG$1012,MATCH($C153,EL!$E$4:$E$1012,0))),
IF($E153=4,IF(INDEX(EL!$AN$4:$AN$1012,MATCH($C153,EL!$E$4:$E$1012,0))="","",INDEX(EL!$AN$4:$AN$1012,MATCH($C153,EL!$E$4:$E$1012,0))),
IF($E153=5,IF(INDEX(EL!$AS$4:$AS$1012,MATCH($C153,EL!$E$4:$E$1012,0))="","",INDEX(EL!$AS$4:$AS$1012,MATCH($C153,EL!$E$4:$E$1012,0))),"")))))))</f>
        <v/>
      </c>
      <c r="I153" s="459" t="str">
        <f>IF(ISNA(MATCH($C153,EL!$E$4:$E$1012,0)),"",
IF($E153=0,IF(INDEX(EL!$S$4:$S$1012,MATCH($C153,EL!$E$4:$E$1012,0))="","",INDEX(EL!$S$4:$S$1012,MATCH($C153,EL!$E$4:$E$1012,0))),
IF($E153=1,IF(INDEX(EL!$X$4:$X$1012,MATCH($C153,EL!$E$4:$E$1012,0))="","",INDEX(EL!$X$4:$X$1012,MATCH($C153,EL!$E$4:$E$1012,0))),
IF($E153=2,IF(INDEX(EL!$AC$4:$AC$1012,MATCH($C153,EL!$E$4:$E$1012,0))="","",INDEX(EL!$AC$4:$AC$1012,MATCH($C153,EL!$E$4:$E$1012,0))),
IF($E153=3,IF(INDEX(EL!$AH$4:$AH$1012,MATCH($C153,EL!$E$4:$E$1012,0))="","",INDEX(EL!$AH$4:$AH$1012,MATCH($C153,EL!$E$4:$E$1012,0))),
IF($E153=4,IF(INDEX(EL!$AM$4:$AM$1012,MATCH($C153,EL!$E$4:$E$1012,0))="","",INDEX(EL!$AM$4:$AM$1012,MATCH($C153,EL!$E$4:$E$1012,0))),
IF($E153=5,IF(INDEX(EL!$AR$4:$AR$1012,MATCH($C153,EL!$E$4:$E$1012,0))="","",INDEX(EL!$AR$4:$AR$1012,MATCH($C153,EL!$E$4:$E$1012,0))),"")))))))</f>
        <v/>
      </c>
      <c r="J153" s="459" t="str">
        <f>IF(ISNA(MATCH($C153,EL!$E$4:$E$1012,0)),"",
IF($E153=0,IF(INDEX(EL!$T$4:$T$1012,MATCH($C153,EL!$E$4:$E$1012,0))="","",INDEX(EL!$T$4:$T$1012,MATCH($C153,EL!$E$4:$E$1012,0))),
IF($E153=1,IF(INDEX(EL!$Y$4:$Y$1012,MATCH($C153,EL!$E$4:$E$1012,0))="","",INDEX(EL!$Y$4:$Y$1012,MATCH($C153,EL!$E$4:$E$1012,0))),
IF($E153=2,IF(INDEX(EL!$AD$4:$AD$1012,MATCH($C153,EL!$E$4:$E$1012,0))="","",INDEX(EL!$AD$4:$AD$1012,MATCH($C153,EL!$E$4:$E$1012,0))),
IF($E153=3,IF(INDEX(EL!$AI$4:$AI$1012,MATCH($C153,EL!$E$4:$E$1012,0))="","",INDEX(EL!$AI$4:$AI$1012,MATCH($C153,EL!$E$4:$E$1012,0))),
IF($E153=4,IF(INDEX(EL!$AN$4:$AN$1012,MATCH($C153,EL!$E$4:$E$1012,0))="","",INDEX(EL!$AN$4:$AN$1012,MATCH($C153,EL!$E$4:$E$1012,0))),
IF($E153=5,IF(INDEX(EL!$AS$4:$AS$1012,MATCH($C153,EL!$E$4:$E$1012,0))="","",INDEX(EL!$AS$4:$AS$1012,MATCH($C153,EL!$E$4:$E$1012,0))),"")))))))</f>
        <v/>
      </c>
      <c r="K153" s="459">
        <f>EL!L66</f>
        <v>0</v>
      </c>
      <c r="L153" s="460" t="e" cm="1">
        <f t="array" aca="1" ref="L153" ca="1">_xlfn.IFS(AND($E153&lt;&gt;"",$M153="Pending",$K153="CTA"),TODAY()-$G153,AND($E153&lt;&gt;"",$M153="Pending",$K153="AUR"),TODAY()-$H153,AND($E153&lt;&gt;"",$M153="Pending",$K153="STT"),TODAY()-$I153,OR(K153="Closed",K153=""),"")</f>
        <v>#N/A</v>
      </c>
      <c r="M153" s="461">
        <f>VLOOKUP(C153,EL!$E$4:$AC$622,9,0)</f>
        <v>0</v>
      </c>
      <c r="N153" s="461" t="str">
        <f t="shared" si="4"/>
        <v/>
      </c>
      <c r="O153" s="739" t="str">
        <f>EL!O66</f>
        <v>GC</v>
      </c>
      <c r="P153" s="746" t="str">
        <v>NO</v>
      </c>
    </row>
    <row r="154" spans="1:16" s="385" customFormat="1" ht="27" hidden="1" customHeight="1">
      <c r="A154" s="399">
        <f t="shared" si="5"/>
        <v>61</v>
      </c>
      <c r="B154" s="477" t="s">
        <v>52</v>
      </c>
      <c r="C154" s="646" t="s">
        <v>607</v>
      </c>
      <c r="D154" s="456" t="str">
        <f>_xlfn.XLOOKUP(C154,EL!$E$4:$E$82,EL!$D$4:$D$82)</f>
        <v>Ecms (Pms) Point List For Level 6</v>
      </c>
      <c r="E154" s="597" t="str">
        <f>IF(VLOOKUP(C154,EL!$E$4:$AC$505,7,0)="","",VLOOKUP(C154,EL!$E$4:$AC$1004,7,0))</f>
        <v/>
      </c>
      <c r="F154" s="462"/>
      <c r="G154" s="458" t="str">
        <f>IF(VLOOKUP(C154,EL!$E$4:$AC$514,5,0)="","",VLOOKUP(C154,EL!$E$4:$AC$514,5,0))</f>
        <v/>
      </c>
      <c r="H154" s="459" t="str">
        <f>IF(ISNA(MATCH($C154,EL!$E$4:$E$1012,0)),"",
IF($E154=0,IF(INDEX(EL!$R$4:$R$1012,MATCH($C154,EL!$E$4:$E$1012,0))="","",INDEX(EL!$R$4:$R$1012,MATCH($C154,EL!$E$4:$E$1012,0))),
IF($E154=1,IF(INDEX(EL!$W$4:$W$1012,MATCH($C154,EL!$E$4:$E$1012,0))="","",INDEX(EL!$W$4:$W$1012,MATCH($C154,EL!$E$4:$E$1012,0))),
IF($E154=2,IF(INDEX(EL!$AB$4:$AB$1012,MATCH($C154,EL!$E$4:$E$1012,0))="","",INDEX(EL!$AB$4:$AB$1012,MATCH($C154,EL!$E$4:$E$1012,0))),
IF($E154=3,IF(INDEX(EL!$AG$4:$AG$1012,MATCH($C154,EL!$E$4:$E$1012,0))="","",INDEX(EL!$AG$4:$AG$1012,MATCH($C154,EL!$E$4:$E$1012,0))),
IF($E154=4,IF(INDEX(EL!$AN$4:$AN$1012,MATCH($C154,EL!$E$4:$E$1012,0))="","",INDEX(EL!$AN$4:$AN$1012,MATCH($C154,EL!$E$4:$E$1012,0))),
IF($E154=5,IF(INDEX(EL!$AS$4:$AS$1012,MATCH($C154,EL!$E$4:$E$1012,0))="","",INDEX(EL!$AS$4:$AS$1012,MATCH($C154,EL!$E$4:$E$1012,0))),"")))))))</f>
        <v/>
      </c>
      <c r="I154" s="459" t="str">
        <f>IF(ISNA(MATCH($C154,EL!$E$4:$E$1012,0)),"",
IF($E154=0,IF(INDEX(EL!$S$4:$S$1012,MATCH($C154,EL!$E$4:$E$1012,0))="","",INDEX(EL!$S$4:$S$1012,MATCH($C154,EL!$E$4:$E$1012,0))),
IF($E154=1,IF(INDEX(EL!$X$4:$X$1012,MATCH($C154,EL!$E$4:$E$1012,0))="","",INDEX(EL!$X$4:$X$1012,MATCH($C154,EL!$E$4:$E$1012,0))),
IF($E154=2,IF(INDEX(EL!$AC$4:$AC$1012,MATCH($C154,EL!$E$4:$E$1012,0))="","",INDEX(EL!$AC$4:$AC$1012,MATCH($C154,EL!$E$4:$E$1012,0))),
IF($E154=3,IF(INDEX(EL!$AH$4:$AH$1012,MATCH($C154,EL!$E$4:$E$1012,0))="","",INDEX(EL!$AH$4:$AH$1012,MATCH($C154,EL!$E$4:$E$1012,0))),
IF($E154=4,IF(INDEX(EL!$AM$4:$AM$1012,MATCH($C154,EL!$E$4:$E$1012,0))="","",INDEX(EL!$AM$4:$AM$1012,MATCH($C154,EL!$E$4:$E$1012,0))),
IF($E154=5,IF(INDEX(EL!$AR$4:$AR$1012,MATCH($C154,EL!$E$4:$E$1012,0))="","",INDEX(EL!$AR$4:$AR$1012,MATCH($C154,EL!$E$4:$E$1012,0))),"")))))))</f>
        <v/>
      </c>
      <c r="J154" s="459" t="str">
        <f>IF(ISNA(MATCH($C154,EL!$E$4:$E$1012,0)),"",
IF($E154=0,IF(INDEX(EL!$T$4:$T$1012,MATCH($C154,EL!$E$4:$E$1012,0))="","",INDEX(EL!$T$4:$T$1012,MATCH($C154,EL!$E$4:$E$1012,0))),
IF($E154=1,IF(INDEX(EL!$Y$4:$Y$1012,MATCH($C154,EL!$E$4:$E$1012,0))="","",INDEX(EL!$Y$4:$Y$1012,MATCH($C154,EL!$E$4:$E$1012,0))),
IF($E154=2,IF(INDEX(EL!$AD$4:$AD$1012,MATCH($C154,EL!$E$4:$E$1012,0))="","",INDEX(EL!$AD$4:$AD$1012,MATCH($C154,EL!$E$4:$E$1012,0))),
IF($E154=3,IF(INDEX(EL!$AI$4:$AI$1012,MATCH($C154,EL!$E$4:$E$1012,0))="","",INDEX(EL!$AI$4:$AI$1012,MATCH($C154,EL!$E$4:$E$1012,0))),
IF($E154=4,IF(INDEX(EL!$AN$4:$AN$1012,MATCH($C154,EL!$E$4:$E$1012,0))="","",INDEX(EL!$AN$4:$AN$1012,MATCH($C154,EL!$E$4:$E$1012,0))),
IF($E154=5,IF(INDEX(EL!$AS$4:$AS$1012,MATCH($C154,EL!$E$4:$E$1012,0))="","",INDEX(EL!$AS$4:$AS$1012,MATCH($C154,EL!$E$4:$E$1012,0))),"")))))))</f>
        <v/>
      </c>
      <c r="K154" s="459">
        <f>EL!L67</f>
        <v>0</v>
      </c>
      <c r="L154" s="460" t="e" cm="1">
        <f t="array" aca="1" ref="L154" ca="1">_xlfn.IFS(AND($E154&lt;&gt;"",$M154="Pending",$K154="CTA"),TODAY()-$G154,AND($E154&lt;&gt;"",$M154="Pending",$K154="AUR"),TODAY()-$H154,AND($E154&lt;&gt;"",$M154="Pending",$K154="STT"),TODAY()-$I154,OR(K154="Closed",K154=""),"")</f>
        <v>#N/A</v>
      </c>
      <c r="M154" s="461">
        <f>VLOOKUP(C154,EL!$E$4:$AC$622,9,0)</f>
        <v>0</v>
      </c>
      <c r="N154" s="461" t="str">
        <f t="shared" si="4"/>
        <v/>
      </c>
      <c r="O154" s="739" t="str">
        <f>EL!O67</f>
        <v>GC</v>
      </c>
      <c r="P154" s="746" t="str">
        <v>NO</v>
      </c>
    </row>
    <row r="155" spans="1:16" s="385" customFormat="1" ht="27" hidden="1" customHeight="1">
      <c r="A155" s="399">
        <f t="shared" si="5"/>
        <v>62</v>
      </c>
      <c r="B155" s="477" t="s">
        <v>52</v>
      </c>
      <c r="C155" s="646" t="s">
        <v>610</v>
      </c>
      <c r="D155" s="456" t="str">
        <f>_xlfn.XLOOKUP(C155,EL!$E$4:$E$82,EL!$D$4:$D$82)</f>
        <v>Ecms (Ems) Point List For Level 6</v>
      </c>
      <c r="E155" s="597" t="str">
        <f>IF(VLOOKUP(C155,EL!$E$4:$AC$505,7,0)="","",VLOOKUP(C155,EL!$E$4:$AC$1004,7,0))</f>
        <v/>
      </c>
      <c r="F155" s="462"/>
      <c r="G155" s="458" t="str">
        <f>IF(VLOOKUP(C155,EL!$E$4:$AC$514,5,0)="","",VLOOKUP(C155,EL!$E$4:$AC$514,5,0))</f>
        <v/>
      </c>
      <c r="H155" s="459" t="str">
        <f>IF(ISNA(MATCH($C155,EL!$E$4:$E$1012,0)),"",
IF($E155=0,IF(INDEX(EL!$R$4:$R$1012,MATCH($C155,EL!$E$4:$E$1012,0))="","",INDEX(EL!$R$4:$R$1012,MATCH($C155,EL!$E$4:$E$1012,0))),
IF($E155=1,IF(INDEX(EL!$W$4:$W$1012,MATCH($C155,EL!$E$4:$E$1012,0))="","",INDEX(EL!$W$4:$W$1012,MATCH($C155,EL!$E$4:$E$1012,0))),
IF($E155=2,IF(INDEX(EL!$AB$4:$AB$1012,MATCH($C155,EL!$E$4:$E$1012,0))="","",INDEX(EL!$AB$4:$AB$1012,MATCH($C155,EL!$E$4:$E$1012,0))),
IF($E155=3,IF(INDEX(EL!$AG$4:$AG$1012,MATCH($C155,EL!$E$4:$E$1012,0))="","",INDEX(EL!$AG$4:$AG$1012,MATCH($C155,EL!$E$4:$E$1012,0))),
IF($E155=4,IF(INDEX(EL!$AN$4:$AN$1012,MATCH($C155,EL!$E$4:$E$1012,0))="","",INDEX(EL!$AN$4:$AN$1012,MATCH($C155,EL!$E$4:$E$1012,0))),
IF($E155=5,IF(INDEX(EL!$AS$4:$AS$1012,MATCH($C155,EL!$E$4:$E$1012,0))="","",INDEX(EL!$AS$4:$AS$1012,MATCH($C155,EL!$E$4:$E$1012,0))),"")))))))</f>
        <v/>
      </c>
      <c r="I155" s="459" t="str">
        <f>IF(ISNA(MATCH($C155,EL!$E$4:$E$1012,0)),"",
IF($E155=0,IF(INDEX(EL!$S$4:$S$1012,MATCH($C155,EL!$E$4:$E$1012,0))="","",INDEX(EL!$S$4:$S$1012,MATCH($C155,EL!$E$4:$E$1012,0))),
IF($E155=1,IF(INDEX(EL!$X$4:$X$1012,MATCH($C155,EL!$E$4:$E$1012,0))="","",INDEX(EL!$X$4:$X$1012,MATCH($C155,EL!$E$4:$E$1012,0))),
IF($E155=2,IF(INDEX(EL!$AC$4:$AC$1012,MATCH($C155,EL!$E$4:$E$1012,0))="","",INDEX(EL!$AC$4:$AC$1012,MATCH($C155,EL!$E$4:$E$1012,0))),
IF($E155=3,IF(INDEX(EL!$AH$4:$AH$1012,MATCH($C155,EL!$E$4:$E$1012,0))="","",INDEX(EL!$AH$4:$AH$1012,MATCH($C155,EL!$E$4:$E$1012,0))),
IF($E155=4,IF(INDEX(EL!$AM$4:$AM$1012,MATCH($C155,EL!$E$4:$E$1012,0))="","",INDEX(EL!$AM$4:$AM$1012,MATCH($C155,EL!$E$4:$E$1012,0))),
IF($E155=5,IF(INDEX(EL!$AR$4:$AR$1012,MATCH($C155,EL!$E$4:$E$1012,0))="","",INDEX(EL!$AR$4:$AR$1012,MATCH($C155,EL!$E$4:$E$1012,0))),"")))))))</f>
        <v/>
      </c>
      <c r="J155" s="459" t="str">
        <f>IF(ISNA(MATCH($C155,EL!$E$4:$E$1012,0)),"",
IF($E155=0,IF(INDEX(EL!$T$4:$T$1012,MATCH($C155,EL!$E$4:$E$1012,0))="","",INDEX(EL!$T$4:$T$1012,MATCH($C155,EL!$E$4:$E$1012,0))),
IF($E155=1,IF(INDEX(EL!$Y$4:$Y$1012,MATCH($C155,EL!$E$4:$E$1012,0))="","",INDEX(EL!$Y$4:$Y$1012,MATCH($C155,EL!$E$4:$E$1012,0))),
IF($E155=2,IF(INDEX(EL!$AD$4:$AD$1012,MATCH($C155,EL!$E$4:$E$1012,0))="","",INDEX(EL!$AD$4:$AD$1012,MATCH($C155,EL!$E$4:$E$1012,0))),
IF($E155=3,IF(INDEX(EL!$AI$4:$AI$1012,MATCH($C155,EL!$E$4:$E$1012,0))="","",INDEX(EL!$AI$4:$AI$1012,MATCH($C155,EL!$E$4:$E$1012,0))),
IF($E155=4,IF(INDEX(EL!$AN$4:$AN$1012,MATCH($C155,EL!$E$4:$E$1012,0))="","",INDEX(EL!$AN$4:$AN$1012,MATCH($C155,EL!$E$4:$E$1012,0))),
IF($E155=5,IF(INDEX(EL!$AS$4:$AS$1012,MATCH($C155,EL!$E$4:$E$1012,0))="","",INDEX(EL!$AS$4:$AS$1012,MATCH($C155,EL!$E$4:$E$1012,0))),"")))))))</f>
        <v/>
      </c>
      <c r="K155" s="459">
        <f>EL!L68</f>
        <v>0</v>
      </c>
      <c r="L155" s="460" t="e" cm="1">
        <f t="array" aca="1" ref="L155" ca="1">_xlfn.IFS(AND($E155&lt;&gt;"",$M155="Pending",$K155="CTA"),TODAY()-$G155,AND($E155&lt;&gt;"",$M155="Pending",$K155="AUR"),TODAY()-$H155,AND($E155&lt;&gt;"",$M155="Pending",$K155="STT"),TODAY()-$I155,OR(K155="Closed",K155=""),"")</f>
        <v>#N/A</v>
      </c>
      <c r="M155" s="461">
        <f>VLOOKUP(C155,EL!$E$4:$AC$622,9,0)</f>
        <v>0</v>
      </c>
      <c r="N155" s="461" t="str">
        <f t="shared" si="4"/>
        <v/>
      </c>
      <c r="O155" s="739" t="str">
        <f>EL!O68</f>
        <v>GC</v>
      </c>
      <c r="P155" s="746" t="str">
        <v>NO</v>
      </c>
    </row>
    <row r="156" spans="1:16" s="385" customFormat="1" ht="27" hidden="1" customHeight="1">
      <c r="A156" s="399">
        <f t="shared" si="5"/>
        <v>63</v>
      </c>
      <c r="B156" s="477" t="s">
        <v>52</v>
      </c>
      <c r="C156" s="646" t="s">
        <v>613</v>
      </c>
      <c r="D156" s="456" t="str">
        <f>_xlfn.XLOOKUP(C156,EL!$E$4:$E$82,EL!$D$4:$D$82)</f>
        <v>Lighting Control Schematic Diagram For Level 1</v>
      </c>
      <c r="E156" s="597" t="str">
        <f>IF(VLOOKUP(C156,EL!$E$4:$AC$505,7,0)="","",VLOOKUP(C156,EL!$E$4:$AC$1004,7,0))</f>
        <v/>
      </c>
      <c r="F156" s="462"/>
      <c r="G156" s="458" t="str">
        <f>IF(VLOOKUP(C156,EL!$E$4:$AC$514,5,0)="","",VLOOKUP(C156,EL!$E$4:$AC$514,5,0))</f>
        <v/>
      </c>
      <c r="H156" s="459" t="str">
        <f>IF(ISNA(MATCH($C156,EL!$E$4:$E$1012,0)),"",
IF($E156=0,IF(INDEX(EL!$R$4:$R$1012,MATCH($C156,EL!$E$4:$E$1012,0))="","",INDEX(EL!$R$4:$R$1012,MATCH($C156,EL!$E$4:$E$1012,0))),
IF($E156=1,IF(INDEX(EL!$W$4:$W$1012,MATCH($C156,EL!$E$4:$E$1012,0))="","",INDEX(EL!$W$4:$W$1012,MATCH($C156,EL!$E$4:$E$1012,0))),
IF($E156=2,IF(INDEX(EL!$AB$4:$AB$1012,MATCH($C156,EL!$E$4:$E$1012,0))="","",INDEX(EL!$AB$4:$AB$1012,MATCH($C156,EL!$E$4:$E$1012,0))),
IF($E156=3,IF(INDEX(EL!$AG$4:$AG$1012,MATCH($C156,EL!$E$4:$E$1012,0))="","",INDEX(EL!$AG$4:$AG$1012,MATCH($C156,EL!$E$4:$E$1012,0))),
IF($E156=4,IF(INDEX(EL!$AN$4:$AN$1012,MATCH($C156,EL!$E$4:$E$1012,0))="","",INDEX(EL!$AN$4:$AN$1012,MATCH($C156,EL!$E$4:$E$1012,0))),
IF($E156=5,IF(INDEX(EL!$AS$4:$AS$1012,MATCH($C156,EL!$E$4:$E$1012,0))="","",INDEX(EL!$AS$4:$AS$1012,MATCH($C156,EL!$E$4:$E$1012,0))),"")))))))</f>
        <v/>
      </c>
      <c r="I156" s="459" t="str">
        <f>IF(ISNA(MATCH($C156,EL!$E$4:$E$1012,0)),"",
IF($E156=0,IF(INDEX(EL!$S$4:$S$1012,MATCH($C156,EL!$E$4:$E$1012,0))="","",INDEX(EL!$S$4:$S$1012,MATCH($C156,EL!$E$4:$E$1012,0))),
IF($E156=1,IF(INDEX(EL!$X$4:$X$1012,MATCH($C156,EL!$E$4:$E$1012,0))="","",INDEX(EL!$X$4:$X$1012,MATCH($C156,EL!$E$4:$E$1012,0))),
IF($E156=2,IF(INDEX(EL!$AC$4:$AC$1012,MATCH($C156,EL!$E$4:$E$1012,0))="","",INDEX(EL!$AC$4:$AC$1012,MATCH($C156,EL!$E$4:$E$1012,0))),
IF($E156=3,IF(INDEX(EL!$AH$4:$AH$1012,MATCH($C156,EL!$E$4:$E$1012,0))="","",INDEX(EL!$AH$4:$AH$1012,MATCH($C156,EL!$E$4:$E$1012,0))),
IF($E156=4,IF(INDEX(EL!$AM$4:$AM$1012,MATCH($C156,EL!$E$4:$E$1012,0))="","",INDEX(EL!$AM$4:$AM$1012,MATCH($C156,EL!$E$4:$E$1012,0))),
IF($E156=5,IF(INDEX(EL!$AR$4:$AR$1012,MATCH($C156,EL!$E$4:$E$1012,0))="","",INDEX(EL!$AR$4:$AR$1012,MATCH($C156,EL!$E$4:$E$1012,0))),"")))))))</f>
        <v/>
      </c>
      <c r="J156" s="459" t="str">
        <f>IF(ISNA(MATCH($C156,EL!$E$4:$E$1012,0)),"",
IF($E156=0,IF(INDEX(EL!$T$4:$T$1012,MATCH($C156,EL!$E$4:$E$1012,0))="","",INDEX(EL!$T$4:$T$1012,MATCH($C156,EL!$E$4:$E$1012,0))),
IF($E156=1,IF(INDEX(EL!$Y$4:$Y$1012,MATCH($C156,EL!$E$4:$E$1012,0))="","",INDEX(EL!$Y$4:$Y$1012,MATCH($C156,EL!$E$4:$E$1012,0))),
IF($E156=2,IF(INDEX(EL!$AD$4:$AD$1012,MATCH($C156,EL!$E$4:$E$1012,0))="","",INDEX(EL!$AD$4:$AD$1012,MATCH($C156,EL!$E$4:$E$1012,0))),
IF($E156=3,IF(INDEX(EL!$AI$4:$AI$1012,MATCH($C156,EL!$E$4:$E$1012,0))="","",INDEX(EL!$AI$4:$AI$1012,MATCH($C156,EL!$E$4:$E$1012,0))),
IF($E156=4,IF(INDEX(EL!$AN$4:$AN$1012,MATCH($C156,EL!$E$4:$E$1012,0))="","",INDEX(EL!$AN$4:$AN$1012,MATCH($C156,EL!$E$4:$E$1012,0))),
IF($E156=5,IF(INDEX(EL!$AS$4:$AS$1012,MATCH($C156,EL!$E$4:$E$1012,0))="","",INDEX(EL!$AS$4:$AS$1012,MATCH($C156,EL!$E$4:$E$1012,0))),"")))))))</f>
        <v/>
      </c>
      <c r="K156" s="459">
        <f>EL!L69</f>
        <v>0</v>
      </c>
      <c r="L156" s="460" t="e" cm="1">
        <f t="array" aca="1" ref="L156" ca="1">_xlfn.IFS(AND($E156&lt;&gt;"",$M156="Pending",$K156="CTA"),TODAY()-$G156,AND($E156&lt;&gt;"",$M156="Pending",$K156="AUR"),TODAY()-$H156,AND($E156&lt;&gt;"",$M156="Pending",$K156="STT"),TODAY()-$I156,OR(K156="Closed",K156=""),"")</f>
        <v>#N/A</v>
      </c>
      <c r="M156" s="461">
        <f>VLOOKUP(C156,EL!$E$4:$AC$622,9,0)</f>
        <v>0</v>
      </c>
      <c r="N156" s="461" t="str">
        <f t="shared" si="4"/>
        <v/>
      </c>
      <c r="O156" s="739" t="str">
        <f>EL!O69</f>
        <v>GC</v>
      </c>
      <c r="P156" s="746" t="str">
        <v>NO</v>
      </c>
    </row>
    <row r="157" spans="1:16" s="385" customFormat="1" ht="27" hidden="1" customHeight="1">
      <c r="A157" s="399">
        <f t="shared" si="5"/>
        <v>64</v>
      </c>
      <c r="B157" s="477" t="s">
        <v>52</v>
      </c>
      <c r="C157" s="646" t="s">
        <v>616</v>
      </c>
      <c r="D157" s="456" t="str">
        <f>_xlfn.XLOOKUP(C157,EL!$E$4:$E$82,EL!$D$4:$D$82)</f>
        <v>Lighting Control Schematic Diagram For Level 2</v>
      </c>
      <c r="E157" s="597" t="str">
        <f>IF(VLOOKUP(C157,EL!$E$4:$AC$505,7,0)="","",VLOOKUP(C157,EL!$E$4:$AC$1004,7,0))</f>
        <v/>
      </c>
      <c r="F157" s="462"/>
      <c r="G157" s="458" t="str">
        <f>IF(VLOOKUP(C157,EL!$E$4:$AC$514,5,0)="","",VLOOKUP(C157,EL!$E$4:$AC$514,5,0))</f>
        <v/>
      </c>
      <c r="H157" s="459" t="str">
        <f>IF(ISNA(MATCH($C157,EL!$E$4:$E$1012,0)),"",
IF($E157=0,IF(INDEX(EL!$R$4:$R$1012,MATCH($C157,EL!$E$4:$E$1012,0))="","",INDEX(EL!$R$4:$R$1012,MATCH($C157,EL!$E$4:$E$1012,0))),
IF($E157=1,IF(INDEX(EL!$W$4:$W$1012,MATCH($C157,EL!$E$4:$E$1012,0))="","",INDEX(EL!$W$4:$W$1012,MATCH($C157,EL!$E$4:$E$1012,0))),
IF($E157=2,IF(INDEX(EL!$AB$4:$AB$1012,MATCH($C157,EL!$E$4:$E$1012,0))="","",INDEX(EL!$AB$4:$AB$1012,MATCH($C157,EL!$E$4:$E$1012,0))),
IF($E157=3,IF(INDEX(EL!$AG$4:$AG$1012,MATCH($C157,EL!$E$4:$E$1012,0))="","",INDEX(EL!$AG$4:$AG$1012,MATCH($C157,EL!$E$4:$E$1012,0))),
IF($E157=4,IF(INDEX(EL!$AN$4:$AN$1012,MATCH($C157,EL!$E$4:$E$1012,0))="","",INDEX(EL!$AN$4:$AN$1012,MATCH($C157,EL!$E$4:$E$1012,0))),
IF($E157=5,IF(INDEX(EL!$AS$4:$AS$1012,MATCH($C157,EL!$E$4:$E$1012,0))="","",INDEX(EL!$AS$4:$AS$1012,MATCH($C157,EL!$E$4:$E$1012,0))),"")))))))</f>
        <v/>
      </c>
      <c r="I157" s="459" t="str">
        <f>IF(ISNA(MATCH($C157,EL!$E$4:$E$1012,0)),"",
IF($E157=0,IF(INDEX(EL!$S$4:$S$1012,MATCH($C157,EL!$E$4:$E$1012,0))="","",INDEX(EL!$S$4:$S$1012,MATCH($C157,EL!$E$4:$E$1012,0))),
IF($E157=1,IF(INDEX(EL!$X$4:$X$1012,MATCH($C157,EL!$E$4:$E$1012,0))="","",INDEX(EL!$X$4:$X$1012,MATCH($C157,EL!$E$4:$E$1012,0))),
IF($E157=2,IF(INDEX(EL!$AC$4:$AC$1012,MATCH($C157,EL!$E$4:$E$1012,0))="","",INDEX(EL!$AC$4:$AC$1012,MATCH($C157,EL!$E$4:$E$1012,0))),
IF($E157=3,IF(INDEX(EL!$AH$4:$AH$1012,MATCH($C157,EL!$E$4:$E$1012,0))="","",INDEX(EL!$AH$4:$AH$1012,MATCH($C157,EL!$E$4:$E$1012,0))),
IF($E157=4,IF(INDEX(EL!$AM$4:$AM$1012,MATCH($C157,EL!$E$4:$E$1012,0))="","",INDEX(EL!$AM$4:$AM$1012,MATCH($C157,EL!$E$4:$E$1012,0))),
IF($E157=5,IF(INDEX(EL!$AR$4:$AR$1012,MATCH($C157,EL!$E$4:$E$1012,0))="","",INDEX(EL!$AR$4:$AR$1012,MATCH($C157,EL!$E$4:$E$1012,0))),"")))))))</f>
        <v/>
      </c>
      <c r="J157" s="459" t="str">
        <f>IF(ISNA(MATCH($C157,EL!$E$4:$E$1012,0)),"",
IF($E157=0,IF(INDEX(EL!$T$4:$T$1012,MATCH($C157,EL!$E$4:$E$1012,0))="","",INDEX(EL!$T$4:$T$1012,MATCH($C157,EL!$E$4:$E$1012,0))),
IF($E157=1,IF(INDEX(EL!$Y$4:$Y$1012,MATCH($C157,EL!$E$4:$E$1012,0))="","",INDEX(EL!$Y$4:$Y$1012,MATCH($C157,EL!$E$4:$E$1012,0))),
IF($E157=2,IF(INDEX(EL!$AD$4:$AD$1012,MATCH($C157,EL!$E$4:$E$1012,0))="","",INDEX(EL!$AD$4:$AD$1012,MATCH($C157,EL!$E$4:$E$1012,0))),
IF($E157=3,IF(INDEX(EL!$AI$4:$AI$1012,MATCH($C157,EL!$E$4:$E$1012,0))="","",INDEX(EL!$AI$4:$AI$1012,MATCH($C157,EL!$E$4:$E$1012,0))),
IF($E157=4,IF(INDEX(EL!$AN$4:$AN$1012,MATCH($C157,EL!$E$4:$E$1012,0))="","",INDEX(EL!$AN$4:$AN$1012,MATCH($C157,EL!$E$4:$E$1012,0))),
IF($E157=5,IF(INDEX(EL!$AS$4:$AS$1012,MATCH($C157,EL!$E$4:$E$1012,0))="","",INDEX(EL!$AS$4:$AS$1012,MATCH($C157,EL!$E$4:$E$1012,0))),"")))))))</f>
        <v/>
      </c>
      <c r="K157" s="459">
        <f>EL!L70</f>
        <v>0</v>
      </c>
      <c r="L157" s="460" t="e" cm="1">
        <f t="array" aca="1" ref="L157" ca="1">_xlfn.IFS(AND($E157&lt;&gt;"",$M157="Pending",$K157="CTA"),TODAY()-$G157,AND($E157&lt;&gt;"",$M157="Pending",$K157="AUR"),TODAY()-$H157,AND($E157&lt;&gt;"",$M157="Pending",$K157="STT"),TODAY()-$I157,OR(K157="Closed",K157=""),"")</f>
        <v>#N/A</v>
      </c>
      <c r="M157" s="461">
        <f>VLOOKUP(C157,EL!$E$4:$AC$622,9,0)</f>
        <v>0</v>
      </c>
      <c r="N157" s="461" t="str">
        <f t="shared" si="4"/>
        <v/>
      </c>
      <c r="O157" s="739" t="str">
        <f>EL!O70</f>
        <v>GC</v>
      </c>
      <c r="P157" s="746" t="str">
        <v>NO</v>
      </c>
    </row>
    <row r="158" spans="1:16" s="385" customFormat="1" ht="27" hidden="1" customHeight="1">
      <c r="A158" s="399">
        <f t="shared" si="5"/>
        <v>65</v>
      </c>
      <c r="B158" s="477" t="s">
        <v>52</v>
      </c>
      <c r="C158" s="646" t="s">
        <v>619</v>
      </c>
      <c r="D158" s="456" t="str">
        <f>_xlfn.XLOOKUP(C158,EL!$E$4:$E$82,EL!$D$4:$D$82)</f>
        <v>Lighting Control Schematic Diagram For Level 6</v>
      </c>
      <c r="E158" s="597" t="str">
        <f>IF(VLOOKUP(C158,EL!$E$4:$AC$505,7,0)="","",VLOOKUP(C158,EL!$E$4:$AC$1004,7,0))</f>
        <v/>
      </c>
      <c r="F158" s="462"/>
      <c r="G158" s="458" t="str">
        <f>IF(VLOOKUP(C158,EL!$E$4:$AC$514,5,0)="","",VLOOKUP(C158,EL!$E$4:$AC$514,5,0))</f>
        <v/>
      </c>
      <c r="H158" s="459" t="str">
        <f>IF(ISNA(MATCH($C158,EL!$E$4:$E$1012,0)),"",
IF($E158=0,IF(INDEX(EL!$R$4:$R$1012,MATCH($C158,EL!$E$4:$E$1012,0))="","",INDEX(EL!$R$4:$R$1012,MATCH($C158,EL!$E$4:$E$1012,0))),
IF($E158=1,IF(INDEX(EL!$W$4:$W$1012,MATCH($C158,EL!$E$4:$E$1012,0))="","",INDEX(EL!$W$4:$W$1012,MATCH($C158,EL!$E$4:$E$1012,0))),
IF($E158=2,IF(INDEX(EL!$AB$4:$AB$1012,MATCH($C158,EL!$E$4:$E$1012,0))="","",INDEX(EL!$AB$4:$AB$1012,MATCH($C158,EL!$E$4:$E$1012,0))),
IF($E158=3,IF(INDEX(EL!$AG$4:$AG$1012,MATCH($C158,EL!$E$4:$E$1012,0))="","",INDEX(EL!$AG$4:$AG$1012,MATCH($C158,EL!$E$4:$E$1012,0))),
IF($E158=4,IF(INDEX(EL!$AN$4:$AN$1012,MATCH($C158,EL!$E$4:$E$1012,0))="","",INDEX(EL!$AN$4:$AN$1012,MATCH($C158,EL!$E$4:$E$1012,0))),
IF($E158=5,IF(INDEX(EL!$AS$4:$AS$1012,MATCH($C158,EL!$E$4:$E$1012,0))="","",INDEX(EL!$AS$4:$AS$1012,MATCH($C158,EL!$E$4:$E$1012,0))),"")))))))</f>
        <v/>
      </c>
      <c r="I158" s="459" t="str">
        <f>IF(ISNA(MATCH($C158,EL!$E$4:$E$1012,0)),"",
IF($E158=0,IF(INDEX(EL!$S$4:$S$1012,MATCH($C158,EL!$E$4:$E$1012,0))="","",INDEX(EL!$S$4:$S$1012,MATCH($C158,EL!$E$4:$E$1012,0))),
IF($E158=1,IF(INDEX(EL!$X$4:$X$1012,MATCH($C158,EL!$E$4:$E$1012,0))="","",INDEX(EL!$X$4:$X$1012,MATCH($C158,EL!$E$4:$E$1012,0))),
IF($E158=2,IF(INDEX(EL!$AC$4:$AC$1012,MATCH($C158,EL!$E$4:$E$1012,0))="","",INDEX(EL!$AC$4:$AC$1012,MATCH($C158,EL!$E$4:$E$1012,0))),
IF($E158=3,IF(INDEX(EL!$AH$4:$AH$1012,MATCH($C158,EL!$E$4:$E$1012,0))="","",INDEX(EL!$AH$4:$AH$1012,MATCH($C158,EL!$E$4:$E$1012,0))),
IF($E158=4,IF(INDEX(EL!$AM$4:$AM$1012,MATCH($C158,EL!$E$4:$E$1012,0))="","",INDEX(EL!$AM$4:$AM$1012,MATCH($C158,EL!$E$4:$E$1012,0))),
IF($E158=5,IF(INDEX(EL!$AR$4:$AR$1012,MATCH($C158,EL!$E$4:$E$1012,0))="","",INDEX(EL!$AR$4:$AR$1012,MATCH($C158,EL!$E$4:$E$1012,0))),"")))))))</f>
        <v/>
      </c>
      <c r="J158" s="459" t="str">
        <f>IF(ISNA(MATCH($C158,EL!$E$4:$E$1012,0)),"",
IF($E158=0,IF(INDEX(EL!$T$4:$T$1012,MATCH($C158,EL!$E$4:$E$1012,0))="","",INDEX(EL!$T$4:$T$1012,MATCH($C158,EL!$E$4:$E$1012,0))),
IF($E158=1,IF(INDEX(EL!$Y$4:$Y$1012,MATCH($C158,EL!$E$4:$E$1012,0))="","",INDEX(EL!$Y$4:$Y$1012,MATCH($C158,EL!$E$4:$E$1012,0))),
IF($E158=2,IF(INDEX(EL!$AD$4:$AD$1012,MATCH($C158,EL!$E$4:$E$1012,0))="","",INDEX(EL!$AD$4:$AD$1012,MATCH($C158,EL!$E$4:$E$1012,0))),
IF($E158=3,IF(INDEX(EL!$AI$4:$AI$1012,MATCH($C158,EL!$E$4:$E$1012,0))="","",INDEX(EL!$AI$4:$AI$1012,MATCH($C158,EL!$E$4:$E$1012,0))),
IF($E158=4,IF(INDEX(EL!$AN$4:$AN$1012,MATCH($C158,EL!$E$4:$E$1012,0))="","",INDEX(EL!$AN$4:$AN$1012,MATCH($C158,EL!$E$4:$E$1012,0))),
IF($E158=5,IF(INDEX(EL!$AS$4:$AS$1012,MATCH($C158,EL!$E$4:$E$1012,0))="","",INDEX(EL!$AS$4:$AS$1012,MATCH($C158,EL!$E$4:$E$1012,0))),"")))))))</f>
        <v/>
      </c>
      <c r="K158" s="459">
        <f>EL!L71</f>
        <v>0</v>
      </c>
      <c r="L158" s="460" t="e" cm="1">
        <f t="array" aca="1" ref="L158" ca="1">_xlfn.IFS(AND($E158&lt;&gt;"",$M158="Pending",$K158="CTA"),TODAY()-$G158,AND($E158&lt;&gt;"",$M158="Pending",$K158="AUR"),TODAY()-$H158,AND($E158&lt;&gt;"",$M158="Pending",$K158="STT"),TODAY()-$I158,OR(K158="Closed",K158=""),"")</f>
        <v>#N/A</v>
      </c>
      <c r="M158" s="461">
        <f>VLOOKUP(C158,EL!$E$4:$AC$622,9,0)</f>
        <v>0</v>
      </c>
      <c r="N158" s="461" t="str">
        <f t="shared" si="4"/>
        <v/>
      </c>
      <c r="O158" s="739" t="str">
        <f>EL!O71</f>
        <v>GC</v>
      </c>
      <c r="P158" s="746" t="str">
        <v>NO</v>
      </c>
    </row>
    <row r="159" spans="1:16" s="385" customFormat="1" ht="27" hidden="1" customHeight="1">
      <c r="A159" s="399">
        <f t="shared" si="5"/>
        <v>66</v>
      </c>
      <c r="B159" s="477" t="s">
        <v>52</v>
      </c>
      <c r="C159" s="646" t="s">
        <v>622</v>
      </c>
      <c r="D159" s="456" t="str">
        <f>_xlfn.XLOOKUP(C159,EL!$E$4:$E$82,EL!$D$4:$D$82)</f>
        <v>Data Schematic Diagram For Level 1</v>
      </c>
      <c r="E159" s="597" t="str">
        <f>IF(VLOOKUP(C159,EL!$E$4:$AC$505,7,0)="","",VLOOKUP(C159,EL!$E$4:$AC$1004,7,0))</f>
        <v/>
      </c>
      <c r="F159" s="462"/>
      <c r="G159" s="458" t="str">
        <f>IF(VLOOKUP(C159,EL!$E$4:$AC$514,5,0)="","",VLOOKUP(C159,EL!$E$4:$AC$514,5,0))</f>
        <v/>
      </c>
      <c r="H159" s="459" t="str">
        <f>IF(ISNA(MATCH($C159,EL!$E$4:$E$1012,0)),"",
IF($E159=0,IF(INDEX(EL!$R$4:$R$1012,MATCH($C159,EL!$E$4:$E$1012,0))="","",INDEX(EL!$R$4:$R$1012,MATCH($C159,EL!$E$4:$E$1012,0))),
IF($E159=1,IF(INDEX(EL!$W$4:$W$1012,MATCH($C159,EL!$E$4:$E$1012,0))="","",INDEX(EL!$W$4:$W$1012,MATCH($C159,EL!$E$4:$E$1012,0))),
IF($E159=2,IF(INDEX(EL!$AB$4:$AB$1012,MATCH($C159,EL!$E$4:$E$1012,0))="","",INDEX(EL!$AB$4:$AB$1012,MATCH($C159,EL!$E$4:$E$1012,0))),
IF($E159=3,IF(INDEX(EL!$AG$4:$AG$1012,MATCH($C159,EL!$E$4:$E$1012,0))="","",INDEX(EL!$AG$4:$AG$1012,MATCH($C159,EL!$E$4:$E$1012,0))),
IF($E159=4,IF(INDEX(EL!$AN$4:$AN$1012,MATCH($C159,EL!$E$4:$E$1012,0))="","",INDEX(EL!$AN$4:$AN$1012,MATCH($C159,EL!$E$4:$E$1012,0))),
IF($E159=5,IF(INDEX(EL!$AS$4:$AS$1012,MATCH($C159,EL!$E$4:$E$1012,0))="","",INDEX(EL!$AS$4:$AS$1012,MATCH($C159,EL!$E$4:$E$1012,0))),"")))))))</f>
        <v/>
      </c>
      <c r="I159" s="459" t="str">
        <f>IF(ISNA(MATCH($C159,EL!$E$4:$E$1012,0)),"",
IF($E159=0,IF(INDEX(EL!$S$4:$S$1012,MATCH($C159,EL!$E$4:$E$1012,0))="","",INDEX(EL!$S$4:$S$1012,MATCH($C159,EL!$E$4:$E$1012,0))),
IF($E159=1,IF(INDEX(EL!$X$4:$X$1012,MATCH($C159,EL!$E$4:$E$1012,0))="","",INDEX(EL!$X$4:$X$1012,MATCH($C159,EL!$E$4:$E$1012,0))),
IF($E159=2,IF(INDEX(EL!$AC$4:$AC$1012,MATCH($C159,EL!$E$4:$E$1012,0))="","",INDEX(EL!$AC$4:$AC$1012,MATCH($C159,EL!$E$4:$E$1012,0))),
IF($E159=3,IF(INDEX(EL!$AH$4:$AH$1012,MATCH($C159,EL!$E$4:$E$1012,0))="","",INDEX(EL!$AH$4:$AH$1012,MATCH($C159,EL!$E$4:$E$1012,0))),
IF($E159=4,IF(INDEX(EL!$AM$4:$AM$1012,MATCH($C159,EL!$E$4:$E$1012,0))="","",INDEX(EL!$AM$4:$AM$1012,MATCH($C159,EL!$E$4:$E$1012,0))),
IF($E159=5,IF(INDEX(EL!$AR$4:$AR$1012,MATCH($C159,EL!$E$4:$E$1012,0))="","",INDEX(EL!$AR$4:$AR$1012,MATCH($C159,EL!$E$4:$E$1012,0))),"")))))))</f>
        <v/>
      </c>
      <c r="J159" s="459" t="str">
        <f>IF(ISNA(MATCH($C159,EL!$E$4:$E$1012,0)),"",
IF($E159=0,IF(INDEX(EL!$T$4:$T$1012,MATCH($C159,EL!$E$4:$E$1012,0))="","",INDEX(EL!$T$4:$T$1012,MATCH($C159,EL!$E$4:$E$1012,0))),
IF($E159=1,IF(INDEX(EL!$Y$4:$Y$1012,MATCH($C159,EL!$E$4:$E$1012,0))="","",INDEX(EL!$Y$4:$Y$1012,MATCH($C159,EL!$E$4:$E$1012,0))),
IF($E159=2,IF(INDEX(EL!$AD$4:$AD$1012,MATCH($C159,EL!$E$4:$E$1012,0))="","",INDEX(EL!$AD$4:$AD$1012,MATCH($C159,EL!$E$4:$E$1012,0))),
IF($E159=3,IF(INDEX(EL!$AI$4:$AI$1012,MATCH($C159,EL!$E$4:$E$1012,0))="","",INDEX(EL!$AI$4:$AI$1012,MATCH($C159,EL!$E$4:$E$1012,0))),
IF($E159=4,IF(INDEX(EL!$AN$4:$AN$1012,MATCH($C159,EL!$E$4:$E$1012,0))="","",INDEX(EL!$AN$4:$AN$1012,MATCH($C159,EL!$E$4:$E$1012,0))),
IF($E159=5,IF(INDEX(EL!$AS$4:$AS$1012,MATCH($C159,EL!$E$4:$E$1012,0))="","",INDEX(EL!$AS$4:$AS$1012,MATCH($C159,EL!$E$4:$E$1012,0))),"")))))))</f>
        <v/>
      </c>
      <c r="K159" s="459">
        <f>EL!L72</f>
        <v>0</v>
      </c>
      <c r="L159" s="460" t="e" cm="1">
        <f t="array" aca="1" ref="L159" ca="1">_xlfn.IFS(AND($E159&lt;&gt;"",$M159="Pending",$K159="CTA"),TODAY()-$G159,AND($E159&lt;&gt;"",$M159="Pending",$K159="AUR"),TODAY()-$H159,AND($E159&lt;&gt;"",$M159="Pending",$K159="STT"),TODAY()-$I159,OR(K159="Closed",K159=""),"")</f>
        <v>#N/A</v>
      </c>
      <c r="M159" s="461">
        <f>VLOOKUP(C159,EL!$E$4:$AC$622,9,0)</f>
        <v>0</v>
      </c>
      <c r="N159" s="461" t="str">
        <f t="shared" si="4"/>
        <v/>
      </c>
      <c r="O159" s="739" t="str">
        <f>EL!O72</f>
        <v>GC</v>
      </c>
      <c r="P159" s="746" t="str">
        <v>NO</v>
      </c>
    </row>
    <row r="160" spans="1:16" s="385" customFormat="1" ht="27" customHeight="1">
      <c r="A160" s="399">
        <f t="shared" si="5"/>
        <v>67</v>
      </c>
      <c r="B160" s="477" t="s">
        <v>52</v>
      </c>
      <c r="C160" s="646" t="s">
        <v>625</v>
      </c>
      <c r="D160" s="456" t="str">
        <f>_xlfn.XLOOKUP(C160,EL!$E$4:$E$82,EL!$D$4:$D$82)</f>
        <v>Data Schematic Diagram For Level 2</v>
      </c>
      <c r="E160" s="597">
        <f>IF(VLOOKUP(C160,EL!$E$4:$AC$505,7,0)="","",VLOOKUP(C160,EL!$E$4:$AC$1004,7,0))</f>
        <v>0</v>
      </c>
      <c r="F160" s="462"/>
      <c r="G160" s="458">
        <f>IF(VLOOKUP(C160,EL!$E$4:$AC$514,5,0)="","",VLOOKUP(C160,EL!$E$4:$AC$514,5,0))</f>
        <v>46062</v>
      </c>
      <c r="H160" s="459" t="str">
        <f>IF(ISNA(MATCH($C160,EL!$E$4:$E$1012,0)),"",
IF($E160=0,IF(INDEX(EL!$R$4:$R$1012,MATCH($C160,EL!$E$4:$E$1012,0))="","",INDEX(EL!$R$4:$R$1012,MATCH($C160,EL!$E$4:$E$1012,0))),
IF($E160=1,IF(INDEX(EL!$W$4:$W$1012,MATCH($C160,EL!$E$4:$E$1012,0))="","",INDEX(EL!$W$4:$W$1012,MATCH($C160,EL!$E$4:$E$1012,0))),
IF($E160=2,IF(INDEX(EL!$AB$4:$AB$1012,MATCH($C160,EL!$E$4:$E$1012,0))="","",INDEX(EL!$AB$4:$AB$1012,MATCH($C160,EL!$E$4:$E$1012,0))),
IF($E160=3,IF(INDEX(EL!$AG$4:$AG$1012,MATCH($C160,EL!$E$4:$E$1012,0))="","",INDEX(EL!$AG$4:$AG$1012,MATCH($C160,EL!$E$4:$E$1012,0))),
IF($E160=4,IF(INDEX(EL!$AN$4:$AN$1012,MATCH($C160,EL!$E$4:$E$1012,0))="","",INDEX(EL!$AN$4:$AN$1012,MATCH($C160,EL!$E$4:$E$1012,0))),
IF($E160=5,IF(INDEX(EL!$AS$4:$AS$1012,MATCH($C160,EL!$E$4:$E$1012,0))="","",INDEX(EL!$AS$4:$AS$1012,MATCH($C160,EL!$E$4:$E$1012,0))),"")))))))</f>
        <v/>
      </c>
      <c r="I160" s="459" t="str">
        <f>IF(ISNA(MATCH($C160,EL!$E$4:$E$1012,0)),"",
IF($E160=0,IF(INDEX(EL!$S$4:$S$1012,MATCH($C160,EL!$E$4:$E$1012,0))="","",INDEX(EL!$S$4:$S$1012,MATCH($C160,EL!$E$4:$E$1012,0))),
IF($E160=1,IF(INDEX(EL!$X$4:$X$1012,MATCH($C160,EL!$E$4:$E$1012,0))="","",INDEX(EL!$X$4:$X$1012,MATCH($C160,EL!$E$4:$E$1012,0))),
IF($E160=2,IF(INDEX(EL!$AC$4:$AC$1012,MATCH($C160,EL!$E$4:$E$1012,0))="","",INDEX(EL!$AC$4:$AC$1012,MATCH($C160,EL!$E$4:$E$1012,0))),
IF($E160=3,IF(INDEX(EL!$AH$4:$AH$1012,MATCH($C160,EL!$E$4:$E$1012,0))="","",INDEX(EL!$AH$4:$AH$1012,MATCH($C160,EL!$E$4:$E$1012,0))),
IF($E160=4,IF(INDEX(EL!$AM$4:$AM$1012,MATCH($C160,EL!$E$4:$E$1012,0))="","",INDEX(EL!$AM$4:$AM$1012,MATCH($C160,EL!$E$4:$E$1012,0))),
IF($E160=5,IF(INDEX(EL!$AR$4:$AR$1012,MATCH($C160,EL!$E$4:$E$1012,0))="","",INDEX(EL!$AR$4:$AR$1012,MATCH($C160,EL!$E$4:$E$1012,0))),"")))))))</f>
        <v/>
      </c>
      <c r="J160" s="459" t="str">
        <f>IF(ISNA(MATCH($C160,EL!$E$4:$E$1012,0)),"",
IF($E160=0,IF(INDEX(EL!$T$4:$T$1012,MATCH($C160,EL!$E$4:$E$1012,0))="","",INDEX(EL!$T$4:$T$1012,MATCH($C160,EL!$E$4:$E$1012,0))),
IF($E160=1,IF(INDEX(EL!$Y$4:$Y$1012,MATCH($C160,EL!$E$4:$E$1012,0))="","",INDEX(EL!$Y$4:$Y$1012,MATCH($C160,EL!$E$4:$E$1012,0))),
IF($E160=2,IF(INDEX(EL!$AD$4:$AD$1012,MATCH($C160,EL!$E$4:$E$1012,0))="","",INDEX(EL!$AD$4:$AD$1012,MATCH($C160,EL!$E$4:$E$1012,0))),
IF($E160=3,IF(INDEX(EL!$AI$4:$AI$1012,MATCH($C160,EL!$E$4:$E$1012,0))="","",INDEX(EL!$AI$4:$AI$1012,MATCH($C160,EL!$E$4:$E$1012,0))),
IF($E160=4,IF(INDEX(EL!$AN$4:$AN$1012,MATCH($C160,EL!$E$4:$E$1012,0))="","",INDEX(EL!$AN$4:$AN$1012,MATCH($C160,EL!$E$4:$E$1012,0))),
IF($E160=5,IF(INDEX(EL!$AS$4:$AS$1012,MATCH($C160,EL!$E$4:$E$1012,0))="","",INDEX(EL!$AS$4:$AS$1012,MATCH($C160,EL!$E$4:$E$1012,0))),"")))))))</f>
        <v/>
      </c>
      <c r="K160" s="459" t="str">
        <f>EL!L73</f>
        <v>CTA</v>
      </c>
      <c r="L160" s="460" cm="1">
        <f t="array" aca="1" ref="L160" ca="1">_xlfn.IFS(AND($E160&lt;&gt;"",$M160="Pending",$K160="CTA"),TODAY()-$G160,AND($E160&lt;&gt;"",$M160="Pending",$K160="AUR"),TODAY()-$H160,AND($E160&lt;&gt;"",$M160="Pending",$K160="STT"),TODAY()-$I160,OR(K160="Closed",K160=""),"")</f>
        <v>4</v>
      </c>
      <c r="M160" s="461" t="str">
        <f>VLOOKUP(C160,EL!$E$4:$AC$622,9,0)</f>
        <v>Pending</v>
      </c>
      <c r="N160" s="461" t="str">
        <f t="shared" ca="1" si="4"/>
        <v>High</v>
      </c>
      <c r="O160" s="739" t="str">
        <f>EL!O73</f>
        <v>GC</v>
      </c>
      <c r="P160" s="746" t="str">
        <v>NO</v>
      </c>
    </row>
    <row r="161" spans="1:16" s="385" customFormat="1" ht="27" hidden="1" customHeight="1">
      <c r="A161" s="399">
        <f t="shared" si="5"/>
        <v>68</v>
      </c>
      <c r="B161" s="477" t="s">
        <v>52</v>
      </c>
      <c r="C161" s="646" t="s">
        <v>628</v>
      </c>
      <c r="D161" s="456" t="str">
        <f>_xlfn.XLOOKUP(C161,EL!$E$4:$E$82,EL!$D$4:$D$82)</f>
        <v>Data Schematic Diagram For Level 6</v>
      </c>
      <c r="E161" s="597" t="str">
        <f>IF(VLOOKUP(C161,EL!$E$4:$AC$505,7,0)="","",VLOOKUP(C161,EL!$E$4:$AC$1004,7,0))</f>
        <v/>
      </c>
      <c r="F161" s="462"/>
      <c r="G161" s="458" t="str">
        <f>IF(VLOOKUP(C161,EL!$E$4:$AC$514,5,0)="","",VLOOKUP(C161,EL!$E$4:$AC$514,5,0))</f>
        <v/>
      </c>
      <c r="H161" s="459" t="str">
        <f>IF(ISNA(MATCH($C161,EL!$E$4:$E$1012,0)),"",
IF($E161=0,IF(INDEX(EL!$R$4:$R$1012,MATCH($C161,EL!$E$4:$E$1012,0))="","",INDEX(EL!$R$4:$R$1012,MATCH($C161,EL!$E$4:$E$1012,0))),
IF($E161=1,IF(INDEX(EL!$W$4:$W$1012,MATCH($C161,EL!$E$4:$E$1012,0))="","",INDEX(EL!$W$4:$W$1012,MATCH($C161,EL!$E$4:$E$1012,0))),
IF($E161=2,IF(INDEX(EL!$AB$4:$AB$1012,MATCH($C161,EL!$E$4:$E$1012,0))="","",INDEX(EL!$AB$4:$AB$1012,MATCH($C161,EL!$E$4:$E$1012,0))),
IF($E161=3,IF(INDEX(EL!$AG$4:$AG$1012,MATCH($C161,EL!$E$4:$E$1012,0))="","",INDEX(EL!$AG$4:$AG$1012,MATCH($C161,EL!$E$4:$E$1012,0))),
IF($E161=4,IF(INDEX(EL!$AN$4:$AN$1012,MATCH($C161,EL!$E$4:$E$1012,0))="","",INDEX(EL!$AN$4:$AN$1012,MATCH($C161,EL!$E$4:$E$1012,0))),
IF($E161=5,IF(INDEX(EL!$AS$4:$AS$1012,MATCH($C161,EL!$E$4:$E$1012,0))="","",INDEX(EL!$AS$4:$AS$1012,MATCH($C161,EL!$E$4:$E$1012,0))),"")))))))</f>
        <v/>
      </c>
      <c r="I161" s="459" t="str">
        <f>IF(ISNA(MATCH($C161,EL!$E$4:$E$1012,0)),"",
IF($E161=0,IF(INDEX(EL!$S$4:$S$1012,MATCH($C161,EL!$E$4:$E$1012,0))="","",INDEX(EL!$S$4:$S$1012,MATCH($C161,EL!$E$4:$E$1012,0))),
IF($E161=1,IF(INDEX(EL!$X$4:$X$1012,MATCH($C161,EL!$E$4:$E$1012,0))="","",INDEX(EL!$X$4:$X$1012,MATCH($C161,EL!$E$4:$E$1012,0))),
IF($E161=2,IF(INDEX(EL!$AC$4:$AC$1012,MATCH($C161,EL!$E$4:$E$1012,0))="","",INDEX(EL!$AC$4:$AC$1012,MATCH($C161,EL!$E$4:$E$1012,0))),
IF($E161=3,IF(INDEX(EL!$AH$4:$AH$1012,MATCH($C161,EL!$E$4:$E$1012,0))="","",INDEX(EL!$AH$4:$AH$1012,MATCH($C161,EL!$E$4:$E$1012,0))),
IF($E161=4,IF(INDEX(EL!$AM$4:$AM$1012,MATCH($C161,EL!$E$4:$E$1012,0))="","",INDEX(EL!$AM$4:$AM$1012,MATCH($C161,EL!$E$4:$E$1012,0))),
IF($E161=5,IF(INDEX(EL!$AR$4:$AR$1012,MATCH($C161,EL!$E$4:$E$1012,0))="","",INDEX(EL!$AR$4:$AR$1012,MATCH($C161,EL!$E$4:$E$1012,0))),"")))))))</f>
        <v/>
      </c>
      <c r="J161" s="459" t="str">
        <f>IF(ISNA(MATCH($C161,EL!$E$4:$E$1012,0)),"",
IF($E161=0,IF(INDEX(EL!$T$4:$T$1012,MATCH($C161,EL!$E$4:$E$1012,0))="","",INDEX(EL!$T$4:$T$1012,MATCH($C161,EL!$E$4:$E$1012,0))),
IF($E161=1,IF(INDEX(EL!$Y$4:$Y$1012,MATCH($C161,EL!$E$4:$E$1012,0))="","",INDEX(EL!$Y$4:$Y$1012,MATCH($C161,EL!$E$4:$E$1012,0))),
IF($E161=2,IF(INDEX(EL!$AD$4:$AD$1012,MATCH($C161,EL!$E$4:$E$1012,0))="","",INDEX(EL!$AD$4:$AD$1012,MATCH($C161,EL!$E$4:$E$1012,0))),
IF($E161=3,IF(INDEX(EL!$AI$4:$AI$1012,MATCH($C161,EL!$E$4:$E$1012,0))="","",INDEX(EL!$AI$4:$AI$1012,MATCH($C161,EL!$E$4:$E$1012,0))),
IF($E161=4,IF(INDEX(EL!$AN$4:$AN$1012,MATCH($C161,EL!$E$4:$E$1012,0))="","",INDEX(EL!$AN$4:$AN$1012,MATCH($C161,EL!$E$4:$E$1012,0))),
IF($E161=5,IF(INDEX(EL!$AS$4:$AS$1012,MATCH($C161,EL!$E$4:$E$1012,0))="","",INDEX(EL!$AS$4:$AS$1012,MATCH($C161,EL!$E$4:$E$1012,0))),"")))))))</f>
        <v/>
      </c>
      <c r="K161" s="459">
        <f>EL!L74</f>
        <v>0</v>
      </c>
      <c r="L161" s="460" t="e" cm="1">
        <f t="array" aca="1" ref="L161" ca="1">_xlfn.IFS(AND($E161&lt;&gt;"",$M161="Pending",$K161="CTA"),TODAY()-$G161,AND($E161&lt;&gt;"",$M161="Pending",$K161="AUR"),TODAY()-$H161,AND($E161&lt;&gt;"",$M161="Pending",$K161="STT"),TODAY()-$I161,OR(K161="Closed",K161=""),"")</f>
        <v>#N/A</v>
      </c>
      <c r="M161" s="461">
        <f>VLOOKUP(C161,EL!$E$4:$AC$622,9,0)</f>
        <v>0</v>
      </c>
      <c r="N161" s="461" t="str">
        <f t="shared" si="4"/>
        <v/>
      </c>
      <c r="O161" s="739" t="str">
        <f>EL!O74</f>
        <v>GC</v>
      </c>
      <c r="P161" s="746" t="str">
        <v>NO</v>
      </c>
    </row>
    <row r="162" spans="1:16" s="385" customFormat="1" ht="27" hidden="1" customHeight="1">
      <c r="A162" s="399">
        <f t="shared" si="5"/>
        <v>69</v>
      </c>
      <c r="B162" s="477" t="s">
        <v>52</v>
      </c>
      <c r="C162" s="646" t="s">
        <v>638</v>
      </c>
      <c r="D162" s="456" t="str">
        <f>_xlfn.XLOOKUP(C162,EL!$E$4:$E$82,EL!$D$4:$D$82)</f>
        <v>Fire Alarm Schematic Diagram For Level 1</v>
      </c>
      <c r="E162" s="597" t="str">
        <f>IF(VLOOKUP(C162,EL!$E$4:$AC$505,7,0)="","",VLOOKUP(C162,EL!$E$4:$AC$1004,7,0))</f>
        <v/>
      </c>
      <c r="F162" s="457"/>
      <c r="G162" s="458" t="str">
        <f>IF(VLOOKUP(C162,EL!$E$4:$AC$514,5,0)="","",VLOOKUP(C162,EL!$E$4:$AC$514,5,0))</f>
        <v/>
      </c>
      <c r="H162" s="459" t="str">
        <f>IF(ISNA(MATCH($C162,EL!$E$4:$E$1012,0)),"",
IF($E162=0,IF(INDEX(EL!$R$4:$R$1012,MATCH($C162,EL!$E$4:$E$1012,0))="","",INDEX(EL!$R$4:$R$1012,MATCH($C162,EL!$E$4:$E$1012,0))),
IF($E162=1,IF(INDEX(EL!$W$4:$W$1012,MATCH($C162,EL!$E$4:$E$1012,0))="","",INDEX(EL!$W$4:$W$1012,MATCH($C162,EL!$E$4:$E$1012,0))),
IF($E162=2,IF(INDEX(EL!$AB$4:$AB$1012,MATCH($C162,EL!$E$4:$E$1012,0))="","",INDEX(EL!$AB$4:$AB$1012,MATCH($C162,EL!$E$4:$E$1012,0))),
IF($E162=3,IF(INDEX(EL!$AG$4:$AG$1012,MATCH($C162,EL!$E$4:$E$1012,0))="","",INDEX(EL!$AG$4:$AG$1012,MATCH($C162,EL!$E$4:$E$1012,0))),
IF($E162=4,IF(INDEX(EL!$AN$4:$AN$1012,MATCH($C162,EL!$E$4:$E$1012,0))="","",INDEX(EL!$AN$4:$AN$1012,MATCH($C162,EL!$E$4:$E$1012,0))),
IF($E162=5,IF(INDEX(EL!$AS$4:$AS$1012,MATCH($C162,EL!$E$4:$E$1012,0))="","",INDEX(EL!$AS$4:$AS$1012,MATCH($C162,EL!$E$4:$E$1012,0))),"")))))))</f>
        <v/>
      </c>
      <c r="I162" s="459" t="str">
        <f>IF(ISNA(MATCH($C162,EL!$E$4:$E$1012,0)),"",
IF($E162=0,IF(INDEX(EL!$S$4:$S$1012,MATCH($C162,EL!$E$4:$E$1012,0))="","",INDEX(EL!$S$4:$S$1012,MATCH($C162,EL!$E$4:$E$1012,0))),
IF($E162=1,IF(INDEX(EL!$X$4:$X$1012,MATCH($C162,EL!$E$4:$E$1012,0))="","",INDEX(EL!$X$4:$X$1012,MATCH($C162,EL!$E$4:$E$1012,0))),
IF($E162=2,IF(INDEX(EL!$AC$4:$AC$1012,MATCH($C162,EL!$E$4:$E$1012,0))="","",INDEX(EL!$AC$4:$AC$1012,MATCH($C162,EL!$E$4:$E$1012,0))),
IF($E162=3,IF(INDEX(EL!$AH$4:$AH$1012,MATCH($C162,EL!$E$4:$E$1012,0))="","",INDEX(EL!$AH$4:$AH$1012,MATCH($C162,EL!$E$4:$E$1012,0))),
IF($E162=4,IF(INDEX(EL!$AM$4:$AM$1012,MATCH($C162,EL!$E$4:$E$1012,0))="","",INDEX(EL!$AM$4:$AM$1012,MATCH($C162,EL!$E$4:$E$1012,0))),
IF($E162=5,IF(INDEX(EL!$AR$4:$AR$1012,MATCH($C162,EL!$E$4:$E$1012,0))="","",INDEX(EL!$AR$4:$AR$1012,MATCH($C162,EL!$E$4:$E$1012,0))),"")))))))</f>
        <v/>
      </c>
      <c r="J162" s="459" t="str">
        <f>IF(ISNA(MATCH($C162,EL!$E$4:$E$1012,0)),"",
IF($E162=0,IF(INDEX(EL!$T$4:$T$1012,MATCH($C162,EL!$E$4:$E$1012,0))="","",INDEX(EL!$T$4:$T$1012,MATCH($C162,EL!$E$4:$E$1012,0))),
IF($E162=1,IF(INDEX(EL!$Y$4:$Y$1012,MATCH($C162,EL!$E$4:$E$1012,0))="","",INDEX(EL!$Y$4:$Y$1012,MATCH($C162,EL!$E$4:$E$1012,0))),
IF($E162=2,IF(INDEX(EL!$AD$4:$AD$1012,MATCH($C162,EL!$E$4:$E$1012,0))="","",INDEX(EL!$AD$4:$AD$1012,MATCH($C162,EL!$E$4:$E$1012,0))),
IF($E162=3,IF(INDEX(EL!$AI$4:$AI$1012,MATCH($C162,EL!$E$4:$E$1012,0))="","",INDEX(EL!$AI$4:$AI$1012,MATCH($C162,EL!$E$4:$E$1012,0))),
IF($E162=4,IF(INDEX(EL!$AN$4:$AN$1012,MATCH($C162,EL!$E$4:$E$1012,0))="","",INDEX(EL!$AN$4:$AN$1012,MATCH($C162,EL!$E$4:$E$1012,0))),
IF($E162=5,IF(INDEX(EL!$AS$4:$AS$1012,MATCH($C162,EL!$E$4:$E$1012,0))="","",INDEX(EL!$AS$4:$AS$1012,MATCH($C162,EL!$E$4:$E$1012,0))),"")))))))</f>
        <v/>
      </c>
      <c r="K162" s="459">
        <f>EL!L77</f>
        <v>0</v>
      </c>
      <c r="L162" s="460" t="e" cm="1">
        <f t="array" aca="1" ref="L162" ca="1">_xlfn.IFS(AND($E162&lt;&gt;"",$M162="Pending",$K162="CTA"),TODAY()-$G162,AND($E162&lt;&gt;"",$M162="Pending",$K162="AUR"),TODAY()-$H162,AND($E162&lt;&gt;"",$M162="Pending",$K162="STT"),TODAY()-$I162,OR(K162="Closed",K162=""),"")</f>
        <v>#N/A</v>
      </c>
      <c r="M162" s="461">
        <f>VLOOKUP(C162,EL!$E$4:$AC$622,9,0)</f>
        <v>0</v>
      </c>
      <c r="N162" s="461" t="str">
        <f t="shared" si="4"/>
        <v/>
      </c>
      <c r="O162" s="739" t="str">
        <f>EL!O77</f>
        <v>GC</v>
      </c>
      <c r="P162" s="746" t="str">
        <v>NO</v>
      </c>
    </row>
    <row r="163" spans="1:16" s="385" customFormat="1" ht="27" hidden="1" customHeight="1">
      <c r="A163" s="399">
        <f t="shared" si="5"/>
        <v>70</v>
      </c>
      <c r="B163" s="477" t="s">
        <v>52</v>
      </c>
      <c r="C163" s="646" t="s">
        <v>631</v>
      </c>
      <c r="D163" s="456" t="str">
        <f>_xlfn.XLOOKUP(C163,EL!$E$4:$E$82,EL!$D$4:$D$82)</f>
        <v>Fire Alarm Schematic Diagram For Level 2</v>
      </c>
      <c r="E163" s="597" t="str">
        <f>IF(VLOOKUP(C163,EL!$E$4:$AC$505,7,0)="","",VLOOKUP(C163,EL!$E$4:$AC$1004,7,0))</f>
        <v/>
      </c>
      <c r="F163" s="462"/>
      <c r="G163" s="458" t="str">
        <f>IF(VLOOKUP(C163,EL!$E$4:$AC$514,5,0)="","",VLOOKUP(C163,EL!$E$4:$AC$514,5,0))</f>
        <v/>
      </c>
      <c r="H163" s="459" t="str">
        <f>IF(ISNA(MATCH($C163,EL!$E$4:$E$1012,0)),"",
IF($E163=0,IF(INDEX(EL!$R$4:$R$1012,MATCH($C163,EL!$E$4:$E$1012,0))="","",INDEX(EL!$R$4:$R$1012,MATCH($C163,EL!$E$4:$E$1012,0))),
IF($E163=1,IF(INDEX(EL!$W$4:$W$1012,MATCH($C163,EL!$E$4:$E$1012,0))="","",INDEX(EL!$W$4:$W$1012,MATCH($C163,EL!$E$4:$E$1012,0))),
IF($E163=2,IF(INDEX(EL!$AB$4:$AB$1012,MATCH($C163,EL!$E$4:$E$1012,0))="","",INDEX(EL!$AB$4:$AB$1012,MATCH($C163,EL!$E$4:$E$1012,0))),
IF($E163=3,IF(INDEX(EL!$AG$4:$AG$1012,MATCH($C163,EL!$E$4:$E$1012,0))="","",INDEX(EL!$AG$4:$AG$1012,MATCH($C163,EL!$E$4:$E$1012,0))),
IF($E163=4,IF(INDEX(EL!$AN$4:$AN$1012,MATCH($C163,EL!$E$4:$E$1012,0))="","",INDEX(EL!$AN$4:$AN$1012,MATCH($C163,EL!$E$4:$E$1012,0))),
IF($E163=5,IF(INDEX(EL!$AS$4:$AS$1012,MATCH($C163,EL!$E$4:$E$1012,0))="","",INDEX(EL!$AS$4:$AS$1012,MATCH($C163,EL!$E$4:$E$1012,0))),"")))))))</f>
        <v/>
      </c>
      <c r="I163" s="459" t="str">
        <f>IF(ISNA(MATCH($C163,EL!$E$4:$E$1012,0)),"",
IF($E163=0,IF(INDEX(EL!$S$4:$S$1012,MATCH($C163,EL!$E$4:$E$1012,0))="","",INDEX(EL!$S$4:$S$1012,MATCH($C163,EL!$E$4:$E$1012,0))),
IF($E163=1,IF(INDEX(EL!$X$4:$X$1012,MATCH($C163,EL!$E$4:$E$1012,0))="","",INDEX(EL!$X$4:$X$1012,MATCH($C163,EL!$E$4:$E$1012,0))),
IF($E163=2,IF(INDEX(EL!$AC$4:$AC$1012,MATCH($C163,EL!$E$4:$E$1012,0))="","",INDEX(EL!$AC$4:$AC$1012,MATCH($C163,EL!$E$4:$E$1012,0))),
IF($E163=3,IF(INDEX(EL!$AH$4:$AH$1012,MATCH($C163,EL!$E$4:$E$1012,0))="","",INDEX(EL!$AH$4:$AH$1012,MATCH($C163,EL!$E$4:$E$1012,0))),
IF($E163=4,IF(INDEX(EL!$AM$4:$AM$1012,MATCH($C163,EL!$E$4:$E$1012,0))="","",INDEX(EL!$AM$4:$AM$1012,MATCH($C163,EL!$E$4:$E$1012,0))),
IF($E163=5,IF(INDEX(EL!$AR$4:$AR$1012,MATCH($C163,EL!$E$4:$E$1012,0))="","",INDEX(EL!$AR$4:$AR$1012,MATCH($C163,EL!$E$4:$E$1012,0))),"")))))))</f>
        <v/>
      </c>
      <c r="J163" s="459" t="str">
        <f>IF(ISNA(MATCH($C163,EL!$E$4:$E$1012,0)),"",
IF($E163=0,IF(INDEX(EL!$T$4:$T$1012,MATCH($C163,EL!$E$4:$E$1012,0))="","",INDEX(EL!$T$4:$T$1012,MATCH($C163,EL!$E$4:$E$1012,0))),
IF($E163=1,IF(INDEX(EL!$Y$4:$Y$1012,MATCH($C163,EL!$E$4:$E$1012,0))="","",INDEX(EL!$Y$4:$Y$1012,MATCH($C163,EL!$E$4:$E$1012,0))),
IF($E163=2,IF(INDEX(EL!$AD$4:$AD$1012,MATCH($C163,EL!$E$4:$E$1012,0))="","",INDEX(EL!$AD$4:$AD$1012,MATCH($C163,EL!$E$4:$E$1012,0))),
IF($E163=3,IF(INDEX(EL!$AI$4:$AI$1012,MATCH($C163,EL!$E$4:$E$1012,0))="","",INDEX(EL!$AI$4:$AI$1012,MATCH($C163,EL!$E$4:$E$1012,0))),
IF($E163=4,IF(INDEX(EL!$AN$4:$AN$1012,MATCH($C163,EL!$E$4:$E$1012,0))="","",INDEX(EL!$AN$4:$AN$1012,MATCH($C163,EL!$E$4:$E$1012,0))),
IF($E163=5,IF(INDEX(EL!$AS$4:$AS$1012,MATCH($C163,EL!$E$4:$E$1012,0))="","",INDEX(EL!$AS$4:$AS$1012,MATCH($C163,EL!$E$4:$E$1012,0))),"")))))))</f>
        <v/>
      </c>
      <c r="K163" s="459">
        <f>EL!L75</f>
        <v>0</v>
      </c>
      <c r="L163" s="460" t="e" cm="1">
        <f t="array" aca="1" ref="L163" ca="1">_xlfn.IFS(AND($E163&lt;&gt;"",$M163="Pending",$K163="CTA"),TODAY()-$G163,AND($E163&lt;&gt;"",$M163="Pending",$K163="AUR"),TODAY()-$H163,AND($E163&lt;&gt;"",$M163="Pending",$K163="STT"),TODAY()-$I163,OR(K163="Closed",K163=""),"")</f>
        <v>#N/A</v>
      </c>
      <c r="M163" s="461">
        <f>VLOOKUP(C163,EL!$E$4:$AC$622,9,0)</f>
        <v>0</v>
      </c>
      <c r="N163" s="461" t="str">
        <f t="shared" si="4"/>
        <v/>
      </c>
      <c r="O163" s="739" t="str">
        <f>EL!O75</f>
        <v>GC</v>
      </c>
      <c r="P163" s="746" t="str">
        <v>NO</v>
      </c>
    </row>
    <row r="164" spans="1:16" s="385" customFormat="1" ht="27" hidden="1" customHeight="1">
      <c r="A164" s="399">
        <f t="shared" si="5"/>
        <v>71</v>
      </c>
      <c r="B164" s="477" t="s">
        <v>52</v>
      </c>
      <c r="C164" s="646" t="s">
        <v>635</v>
      </c>
      <c r="D164" s="456" t="str">
        <f>_xlfn.XLOOKUP(C164,EL!$E$4:$E$82,EL!$D$4:$D$82)</f>
        <v>Fire Alarm Schematic Diagram For Level 6</v>
      </c>
      <c r="E164" s="597" t="str">
        <f>IF(VLOOKUP(C164,EL!$E$4:$AC$505,7,0)="","",VLOOKUP(C164,EL!$E$4:$AC$1004,7,0))</f>
        <v/>
      </c>
      <c r="F164" s="462"/>
      <c r="G164" s="458" t="str">
        <f>IF(VLOOKUP(C164,EL!$E$4:$AC$514,5,0)="","",VLOOKUP(C164,EL!$E$4:$AC$514,5,0))</f>
        <v/>
      </c>
      <c r="H164" s="459" t="str">
        <f>IF(ISNA(MATCH($C164,EL!$E$4:$E$1012,0)),"",
IF($E164=0,IF(INDEX(EL!$R$4:$R$1012,MATCH($C164,EL!$E$4:$E$1012,0))="","",INDEX(EL!$R$4:$R$1012,MATCH($C164,EL!$E$4:$E$1012,0))),
IF($E164=1,IF(INDEX(EL!$W$4:$W$1012,MATCH($C164,EL!$E$4:$E$1012,0))="","",INDEX(EL!$W$4:$W$1012,MATCH($C164,EL!$E$4:$E$1012,0))),
IF($E164=2,IF(INDEX(EL!$AB$4:$AB$1012,MATCH($C164,EL!$E$4:$E$1012,0))="","",INDEX(EL!$AB$4:$AB$1012,MATCH($C164,EL!$E$4:$E$1012,0))),
IF($E164=3,IF(INDEX(EL!$AG$4:$AG$1012,MATCH($C164,EL!$E$4:$E$1012,0))="","",INDEX(EL!$AG$4:$AG$1012,MATCH($C164,EL!$E$4:$E$1012,0))),
IF($E164=4,IF(INDEX(EL!$AN$4:$AN$1012,MATCH($C164,EL!$E$4:$E$1012,0))="","",INDEX(EL!$AN$4:$AN$1012,MATCH($C164,EL!$E$4:$E$1012,0))),
IF($E164=5,IF(INDEX(EL!$AS$4:$AS$1012,MATCH($C164,EL!$E$4:$E$1012,0))="","",INDEX(EL!$AS$4:$AS$1012,MATCH($C164,EL!$E$4:$E$1012,0))),"")))))))</f>
        <v/>
      </c>
      <c r="I164" s="459" t="str">
        <f>IF(ISNA(MATCH($C164,EL!$E$4:$E$1012,0)),"",
IF($E164=0,IF(INDEX(EL!$S$4:$S$1012,MATCH($C164,EL!$E$4:$E$1012,0))="","",INDEX(EL!$S$4:$S$1012,MATCH($C164,EL!$E$4:$E$1012,0))),
IF($E164=1,IF(INDEX(EL!$X$4:$X$1012,MATCH($C164,EL!$E$4:$E$1012,0))="","",INDEX(EL!$X$4:$X$1012,MATCH($C164,EL!$E$4:$E$1012,0))),
IF($E164=2,IF(INDEX(EL!$AC$4:$AC$1012,MATCH($C164,EL!$E$4:$E$1012,0))="","",INDEX(EL!$AC$4:$AC$1012,MATCH($C164,EL!$E$4:$E$1012,0))),
IF($E164=3,IF(INDEX(EL!$AH$4:$AH$1012,MATCH($C164,EL!$E$4:$E$1012,0))="","",INDEX(EL!$AH$4:$AH$1012,MATCH($C164,EL!$E$4:$E$1012,0))),
IF($E164=4,IF(INDEX(EL!$AM$4:$AM$1012,MATCH($C164,EL!$E$4:$E$1012,0))="","",INDEX(EL!$AM$4:$AM$1012,MATCH($C164,EL!$E$4:$E$1012,0))),
IF($E164=5,IF(INDEX(EL!$AR$4:$AR$1012,MATCH($C164,EL!$E$4:$E$1012,0))="","",INDEX(EL!$AR$4:$AR$1012,MATCH($C164,EL!$E$4:$E$1012,0))),"")))))))</f>
        <v/>
      </c>
      <c r="J164" s="459" t="str">
        <f>IF(ISNA(MATCH($C164,EL!$E$4:$E$1012,0)),"",
IF($E164=0,IF(INDEX(EL!$T$4:$T$1012,MATCH($C164,EL!$E$4:$E$1012,0))="","",INDEX(EL!$T$4:$T$1012,MATCH($C164,EL!$E$4:$E$1012,0))),
IF($E164=1,IF(INDEX(EL!$Y$4:$Y$1012,MATCH($C164,EL!$E$4:$E$1012,0))="","",INDEX(EL!$Y$4:$Y$1012,MATCH($C164,EL!$E$4:$E$1012,0))),
IF($E164=2,IF(INDEX(EL!$AD$4:$AD$1012,MATCH($C164,EL!$E$4:$E$1012,0))="","",INDEX(EL!$AD$4:$AD$1012,MATCH($C164,EL!$E$4:$E$1012,0))),
IF($E164=3,IF(INDEX(EL!$AI$4:$AI$1012,MATCH($C164,EL!$E$4:$E$1012,0))="","",INDEX(EL!$AI$4:$AI$1012,MATCH($C164,EL!$E$4:$E$1012,0))),
IF($E164=4,IF(INDEX(EL!$AN$4:$AN$1012,MATCH($C164,EL!$E$4:$E$1012,0))="","",INDEX(EL!$AN$4:$AN$1012,MATCH($C164,EL!$E$4:$E$1012,0))),
IF($E164=5,IF(INDEX(EL!$AS$4:$AS$1012,MATCH($C164,EL!$E$4:$E$1012,0))="","",INDEX(EL!$AS$4:$AS$1012,MATCH($C164,EL!$E$4:$E$1012,0))),"")))))))</f>
        <v/>
      </c>
      <c r="K164" s="459">
        <f>EL!L76</f>
        <v>0</v>
      </c>
      <c r="L164" s="460" t="e" cm="1">
        <f t="array" aca="1" ref="L164" ca="1">_xlfn.IFS(AND($E164&lt;&gt;"",$M164="Pending",$K164="CTA"),TODAY()-$G164,AND($E164&lt;&gt;"",$M164="Pending",$K164="AUR"),TODAY()-$H164,AND($E164&lt;&gt;"",$M164="Pending",$K164="STT"),TODAY()-$I164,OR(K164="Closed",K164=""),"")</f>
        <v>#N/A</v>
      </c>
      <c r="M164" s="461">
        <f>VLOOKUP(C164,EL!$E$4:$AC$622,9,0)</f>
        <v>0</v>
      </c>
      <c r="N164" s="461" t="str">
        <f t="shared" si="4"/>
        <v/>
      </c>
      <c r="O164" s="739" t="str">
        <f>EL!O76</f>
        <v>GC</v>
      </c>
      <c r="P164" s="746" t="str">
        <v>NO</v>
      </c>
    </row>
    <row r="165" spans="1:16" s="385" customFormat="1" ht="27" hidden="1" customHeight="1">
      <c r="A165" s="399">
        <f t="shared" si="5"/>
        <v>72</v>
      </c>
      <c r="B165" s="477" t="s">
        <v>52</v>
      </c>
      <c r="C165" s="646" t="s">
        <v>641</v>
      </c>
      <c r="D165" s="456" t="str">
        <f>_xlfn.XLOOKUP(C165,EL!$E$4:$E$82,EL!$D$4:$D$82)</f>
        <v>Fire Alarm Temincal Box Diagram For Level 1</v>
      </c>
      <c r="E165" s="597" t="str">
        <f>IF(VLOOKUP(C165,EL!$E$4:$AC$505,7,0)="","",VLOOKUP(C165,EL!$E$4:$AC$1004,7,0))</f>
        <v/>
      </c>
      <c r="F165" s="462"/>
      <c r="G165" s="458" t="str">
        <f>IF(VLOOKUP(C165,EL!$E$4:$AC$514,5,0)="","",VLOOKUP(C165,EL!$E$4:$AC$514,5,0))</f>
        <v/>
      </c>
      <c r="H165" s="459" t="str">
        <f>IF(ISNA(MATCH($C165,EL!$E$4:$E$1012,0)),"",
IF($E165=0,IF(INDEX(EL!$R$4:$R$1012,MATCH($C165,EL!$E$4:$E$1012,0))="","",INDEX(EL!$R$4:$R$1012,MATCH($C165,EL!$E$4:$E$1012,0))),
IF($E165=1,IF(INDEX(EL!$W$4:$W$1012,MATCH($C165,EL!$E$4:$E$1012,0))="","",INDEX(EL!$W$4:$W$1012,MATCH($C165,EL!$E$4:$E$1012,0))),
IF($E165=2,IF(INDEX(EL!$AB$4:$AB$1012,MATCH($C165,EL!$E$4:$E$1012,0))="","",INDEX(EL!$AB$4:$AB$1012,MATCH($C165,EL!$E$4:$E$1012,0))),
IF($E165=3,IF(INDEX(EL!$AG$4:$AG$1012,MATCH($C165,EL!$E$4:$E$1012,0))="","",INDEX(EL!$AG$4:$AG$1012,MATCH($C165,EL!$E$4:$E$1012,0))),
IF($E165=4,IF(INDEX(EL!$AN$4:$AN$1012,MATCH($C165,EL!$E$4:$E$1012,0))="","",INDEX(EL!$AN$4:$AN$1012,MATCH($C165,EL!$E$4:$E$1012,0))),
IF($E165=5,IF(INDEX(EL!$AS$4:$AS$1012,MATCH($C165,EL!$E$4:$E$1012,0))="","",INDEX(EL!$AS$4:$AS$1012,MATCH($C165,EL!$E$4:$E$1012,0))),"")))))))</f>
        <v/>
      </c>
      <c r="I165" s="459" t="str">
        <f>IF(ISNA(MATCH($C165,EL!$E$4:$E$1012,0)),"",
IF($E165=0,IF(INDEX(EL!$S$4:$S$1012,MATCH($C165,EL!$E$4:$E$1012,0))="","",INDEX(EL!$S$4:$S$1012,MATCH($C165,EL!$E$4:$E$1012,0))),
IF($E165=1,IF(INDEX(EL!$X$4:$X$1012,MATCH($C165,EL!$E$4:$E$1012,0))="","",INDEX(EL!$X$4:$X$1012,MATCH($C165,EL!$E$4:$E$1012,0))),
IF($E165=2,IF(INDEX(EL!$AC$4:$AC$1012,MATCH($C165,EL!$E$4:$E$1012,0))="","",INDEX(EL!$AC$4:$AC$1012,MATCH($C165,EL!$E$4:$E$1012,0))),
IF($E165=3,IF(INDEX(EL!$AH$4:$AH$1012,MATCH($C165,EL!$E$4:$E$1012,0))="","",INDEX(EL!$AH$4:$AH$1012,MATCH($C165,EL!$E$4:$E$1012,0))),
IF($E165=4,IF(INDEX(EL!$AM$4:$AM$1012,MATCH($C165,EL!$E$4:$E$1012,0))="","",INDEX(EL!$AM$4:$AM$1012,MATCH($C165,EL!$E$4:$E$1012,0))),
IF($E165=5,IF(INDEX(EL!$AR$4:$AR$1012,MATCH($C165,EL!$E$4:$E$1012,0))="","",INDEX(EL!$AR$4:$AR$1012,MATCH($C165,EL!$E$4:$E$1012,0))),"")))))))</f>
        <v/>
      </c>
      <c r="J165" s="459" t="str">
        <f>IF(ISNA(MATCH($C165,EL!$E$4:$E$1012,0)),"",
IF($E165=0,IF(INDEX(EL!$T$4:$T$1012,MATCH($C165,EL!$E$4:$E$1012,0))="","",INDEX(EL!$T$4:$T$1012,MATCH($C165,EL!$E$4:$E$1012,0))),
IF($E165=1,IF(INDEX(EL!$Y$4:$Y$1012,MATCH($C165,EL!$E$4:$E$1012,0))="","",INDEX(EL!$Y$4:$Y$1012,MATCH($C165,EL!$E$4:$E$1012,0))),
IF($E165=2,IF(INDEX(EL!$AD$4:$AD$1012,MATCH($C165,EL!$E$4:$E$1012,0))="","",INDEX(EL!$AD$4:$AD$1012,MATCH($C165,EL!$E$4:$E$1012,0))),
IF($E165=3,IF(INDEX(EL!$AI$4:$AI$1012,MATCH($C165,EL!$E$4:$E$1012,0))="","",INDEX(EL!$AI$4:$AI$1012,MATCH($C165,EL!$E$4:$E$1012,0))),
IF($E165=4,IF(INDEX(EL!$AN$4:$AN$1012,MATCH($C165,EL!$E$4:$E$1012,0))="","",INDEX(EL!$AN$4:$AN$1012,MATCH($C165,EL!$E$4:$E$1012,0))),
IF($E165=5,IF(INDEX(EL!$AS$4:$AS$1012,MATCH($C165,EL!$E$4:$E$1012,0))="","",INDEX(EL!$AS$4:$AS$1012,MATCH($C165,EL!$E$4:$E$1012,0))),"")))))))</f>
        <v/>
      </c>
      <c r="K165" s="459">
        <f>EL!L78</f>
        <v>0</v>
      </c>
      <c r="L165" s="460" t="e" cm="1">
        <f t="array" aca="1" ref="L165" ca="1">_xlfn.IFS(AND($E165&lt;&gt;"",$M165="Pending",$K165="CTA"),TODAY()-$G165,AND($E165&lt;&gt;"",$M165="Pending",$K165="AUR"),TODAY()-$H165,AND($E165&lt;&gt;"",$M165="Pending",$K165="STT"),TODAY()-$I165,OR(K165="Closed",K165=""),"")</f>
        <v>#N/A</v>
      </c>
      <c r="M165" s="461">
        <f>VLOOKUP(C165,EL!$E$4:$AC$622,9,0)</f>
        <v>0</v>
      </c>
      <c r="N165" s="461" t="str">
        <f t="shared" si="4"/>
        <v/>
      </c>
      <c r="O165" s="739" t="str">
        <f>EL!O78</f>
        <v>GC</v>
      </c>
      <c r="P165" s="746" t="str">
        <v>NO</v>
      </c>
    </row>
    <row r="166" spans="1:16" s="385" customFormat="1" ht="27" hidden="1" customHeight="1">
      <c r="A166" s="399">
        <f t="shared" si="5"/>
        <v>73</v>
      </c>
      <c r="B166" s="477" t="s">
        <v>52</v>
      </c>
      <c r="C166" s="646" t="s">
        <v>645</v>
      </c>
      <c r="D166" s="456" t="str">
        <f>_xlfn.XLOOKUP(C166,EL!$E$4:$E$82,EL!$D$4:$D$82)</f>
        <v>Fire Alarm Temincal Box Diagram For Level 2</v>
      </c>
      <c r="E166" s="597" t="str">
        <f>IF(VLOOKUP(C166,EL!$E$4:$AC$505,7,0)="","",VLOOKUP(C166,EL!$E$4:$AC$1004,7,0))</f>
        <v/>
      </c>
      <c r="F166" s="462"/>
      <c r="G166" s="458" t="str">
        <f>IF(VLOOKUP(C166,EL!$E$4:$AC$514,5,0)="","",VLOOKUP(C166,EL!$E$4:$AC$514,5,0))</f>
        <v/>
      </c>
      <c r="H166" s="459" t="str">
        <f>IF(ISNA(MATCH($C166,EL!$E$4:$E$1012,0)),"",
IF($E166=0,IF(INDEX(EL!$R$4:$R$1012,MATCH($C166,EL!$E$4:$E$1012,0))="","",INDEX(EL!$R$4:$R$1012,MATCH($C166,EL!$E$4:$E$1012,0))),
IF($E166=1,IF(INDEX(EL!$W$4:$W$1012,MATCH($C166,EL!$E$4:$E$1012,0))="","",INDEX(EL!$W$4:$W$1012,MATCH($C166,EL!$E$4:$E$1012,0))),
IF($E166=2,IF(INDEX(EL!$AB$4:$AB$1012,MATCH($C166,EL!$E$4:$E$1012,0))="","",INDEX(EL!$AB$4:$AB$1012,MATCH($C166,EL!$E$4:$E$1012,0))),
IF($E166=3,IF(INDEX(EL!$AG$4:$AG$1012,MATCH($C166,EL!$E$4:$E$1012,0))="","",INDEX(EL!$AG$4:$AG$1012,MATCH($C166,EL!$E$4:$E$1012,0))),
IF($E166=4,IF(INDEX(EL!$AN$4:$AN$1012,MATCH($C166,EL!$E$4:$E$1012,0))="","",INDEX(EL!$AN$4:$AN$1012,MATCH($C166,EL!$E$4:$E$1012,0))),
IF($E166=5,IF(INDEX(EL!$AS$4:$AS$1012,MATCH($C166,EL!$E$4:$E$1012,0))="","",INDEX(EL!$AS$4:$AS$1012,MATCH($C166,EL!$E$4:$E$1012,0))),"")))))))</f>
        <v/>
      </c>
      <c r="I166" s="459" t="str">
        <f>IF(ISNA(MATCH($C166,EL!$E$4:$E$1012,0)),"",
IF($E166=0,IF(INDEX(EL!$S$4:$S$1012,MATCH($C166,EL!$E$4:$E$1012,0))="","",INDEX(EL!$S$4:$S$1012,MATCH($C166,EL!$E$4:$E$1012,0))),
IF($E166=1,IF(INDEX(EL!$X$4:$X$1012,MATCH($C166,EL!$E$4:$E$1012,0))="","",INDEX(EL!$X$4:$X$1012,MATCH($C166,EL!$E$4:$E$1012,0))),
IF($E166=2,IF(INDEX(EL!$AC$4:$AC$1012,MATCH($C166,EL!$E$4:$E$1012,0))="","",INDEX(EL!$AC$4:$AC$1012,MATCH($C166,EL!$E$4:$E$1012,0))),
IF($E166=3,IF(INDEX(EL!$AH$4:$AH$1012,MATCH($C166,EL!$E$4:$E$1012,0))="","",INDEX(EL!$AH$4:$AH$1012,MATCH($C166,EL!$E$4:$E$1012,0))),
IF($E166=4,IF(INDEX(EL!$AM$4:$AM$1012,MATCH($C166,EL!$E$4:$E$1012,0))="","",INDEX(EL!$AM$4:$AM$1012,MATCH($C166,EL!$E$4:$E$1012,0))),
IF($E166=5,IF(INDEX(EL!$AR$4:$AR$1012,MATCH($C166,EL!$E$4:$E$1012,0))="","",INDEX(EL!$AR$4:$AR$1012,MATCH($C166,EL!$E$4:$E$1012,0))),"")))))))</f>
        <v/>
      </c>
      <c r="J166" s="459" t="str">
        <f>IF(ISNA(MATCH($C166,EL!$E$4:$E$1012,0)),"",
IF($E166=0,IF(INDEX(EL!$T$4:$T$1012,MATCH($C166,EL!$E$4:$E$1012,0))="","",INDEX(EL!$T$4:$T$1012,MATCH($C166,EL!$E$4:$E$1012,0))),
IF($E166=1,IF(INDEX(EL!$Y$4:$Y$1012,MATCH($C166,EL!$E$4:$E$1012,0))="","",INDEX(EL!$Y$4:$Y$1012,MATCH($C166,EL!$E$4:$E$1012,0))),
IF($E166=2,IF(INDEX(EL!$AD$4:$AD$1012,MATCH($C166,EL!$E$4:$E$1012,0))="","",INDEX(EL!$AD$4:$AD$1012,MATCH($C166,EL!$E$4:$E$1012,0))),
IF($E166=3,IF(INDEX(EL!$AI$4:$AI$1012,MATCH($C166,EL!$E$4:$E$1012,0))="","",INDEX(EL!$AI$4:$AI$1012,MATCH($C166,EL!$E$4:$E$1012,0))),
IF($E166=4,IF(INDEX(EL!$AN$4:$AN$1012,MATCH($C166,EL!$E$4:$E$1012,0))="","",INDEX(EL!$AN$4:$AN$1012,MATCH($C166,EL!$E$4:$E$1012,0))),
IF($E166=5,IF(INDEX(EL!$AS$4:$AS$1012,MATCH($C166,EL!$E$4:$E$1012,0))="","",INDEX(EL!$AS$4:$AS$1012,MATCH($C166,EL!$E$4:$E$1012,0))),"")))))))</f>
        <v/>
      </c>
      <c r="K166" s="459">
        <f>EL!L79</f>
        <v>0</v>
      </c>
      <c r="L166" s="460" t="e" cm="1">
        <f t="array" aca="1" ref="L166" ca="1">_xlfn.IFS(AND($E166&lt;&gt;"",$M166="Pending",$K166="CTA"),TODAY()-$G166,AND($E166&lt;&gt;"",$M166="Pending",$K166="AUR"),TODAY()-$H166,AND($E166&lt;&gt;"",$M166="Pending",$K166="STT"),TODAY()-$I166,OR(K166="Closed",K166=""),"")</f>
        <v>#N/A</v>
      </c>
      <c r="M166" s="461">
        <f>VLOOKUP(C166,EL!$E$4:$AC$622,9,0)</f>
        <v>0</v>
      </c>
      <c r="N166" s="461" t="str">
        <f t="shared" si="4"/>
        <v/>
      </c>
      <c r="O166" s="739" t="str">
        <f>EL!O79</f>
        <v>GC</v>
      </c>
      <c r="P166" s="746" t="str">
        <v>NO</v>
      </c>
    </row>
    <row r="167" spans="1:16" s="385" customFormat="1" ht="27" hidden="1" customHeight="1">
      <c r="A167" s="399">
        <f t="shared" si="5"/>
        <v>74</v>
      </c>
      <c r="B167" s="477" t="s">
        <v>52</v>
      </c>
      <c r="C167" s="646" t="s">
        <v>648</v>
      </c>
      <c r="D167" s="456" t="str">
        <f>_xlfn.XLOOKUP(C167,EL!$E$4:$E$82,EL!$D$4:$D$82)</f>
        <v>Fire Alarm Temincal Box Diagram For Level 6</v>
      </c>
      <c r="E167" s="597" t="str">
        <f>IF(VLOOKUP(C167,EL!$E$4:$AC$505,7,0)="","",VLOOKUP(C167,EL!$E$4:$AC$1004,7,0))</f>
        <v/>
      </c>
      <c r="F167" s="462"/>
      <c r="G167" s="458" t="str">
        <f>IF(VLOOKUP(C167,EL!$E$4:$AC$514,5,0)="","",VLOOKUP(C167,EL!$E$4:$AC$514,5,0))</f>
        <v/>
      </c>
      <c r="H167" s="459" t="str">
        <f>IF(ISNA(MATCH($C167,EL!$E$4:$E$1012,0)),"",
IF($E167=0,IF(INDEX(EL!$R$4:$R$1012,MATCH($C167,EL!$E$4:$E$1012,0))="","",INDEX(EL!$R$4:$R$1012,MATCH($C167,EL!$E$4:$E$1012,0))),
IF($E167=1,IF(INDEX(EL!$W$4:$W$1012,MATCH($C167,EL!$E$4:$E$1012,0))="","",INDEX(EL!$W$4:$W$1012,MATCH($C167,EL!$E$4:$E$1012,0))),
IF($E167=2,IF(INDEX(EL!$AB$4:$AB$1012,MATCH($C167,EL!$E$4:$E$1012,0))="","",INDEX(EL!$AB$4:$AB$1012,MATCH($C167,EL!$E$4:$E$1012,0))),
IF($E167=3,IF(INDEX(EL!$AG$4:$AG$1012,MATCH($C167,EL!$E$4:$E$1012,0))="","",INDEX(EL!$AG$4:$AG$1012,MATCH($C167,EL!$E$4:$E$1012,0))),
IF($E167=4,IF(INDEX(EL!$AN$4:$AN$1012,MATCH($C167,EL!$E$4:$E$1012,0))="","",INDEX(EL!$AN$4:$AN$1012,MATCH($C167,EL!$E$4:$E$1012,0))),
IF($E167=5,IF(INDEX(EL!$AS$4:$AS$1012,MATCH($C167,EL!$E$4:$E$1012,0))="","",INDEX(EL!$AS$4:$AS$1012,MATCH($C167,EL!$E$4:$E$1012,0))),"")))))))</f>
        <v/>
      </c>
      <c r="I167" s="459" t="str">
        <f>IF(ISNA(MATCH($C167,EL!$E$4:$E$1012,0)),"",
IF($E167=0,IF(INDEX(EL!$S$4:$S$1012,MATCH($C167,EL!$E$4:$E$1012,0))="","",INDEX(EL!$S$4:$S$1012,MATCH($C167,EL!$E$4:$E$1012,0))),
IF($E167=1,IF(INDEX(EL!$X$4:$X$1012,MATCH($C167,EL!$E$4:$E$1012,0))="","",INDEX(EL!$X$4:$X$1012,MATCH($C167,EL!$E$4:$E$1012,0))),
IF($E167=2,IF(INDEX(EL!$AC$4:$AC$1012,MATCH($C167,EL!$E$4:$E$1012,0))="","",INDEX(EL!$AC$4:$AC$1012,MATCH($C167,EL!$E$4:$E$1012,0))),
IF($E167=3,IF(INDEX(EL!$AH$4:$AH$1012,MATCH($C167,EL!$E$4:$E$1012,0))="","",INDEX(EL!$AH$4:$AH$1012,MATCH($C167,EL!$E$4:$E$1012,0))),
IF($E167=4,IF(INDEX(EL!$AM$4:$AM$1012,MATCH($C167,EL!$E$4:$E$1012,0))="","",INDEX(EL!$AM$4:$AM$1012,MATCH($C167,EL!$E$4:$E$1012,0))),
IF($E167=5,IF(INDEX(EL!$AR$4:$AR$1012,MATCH($C167,EL!$E$4:$E$1012,0))="","",INDEX(EL!$AR$4:$AR$1012,MATCH($C167,EL!$E$4:$E$1012,0))),"")))))))</f>
        <v/>
      </c>
      <c r="J167" s="459" t="str">
        <f>IF(ISNA(MATCH($C167,EL!$E$4:$E$1012,0)),"",
IF($E167=0,IF(INDEX(EL!$T$4:$T$1012,MATCH($C167,EL!$E$4:$E$1012,0))="","",INDEX(EL!$T$4:$T$1012,MATCH($C167,EL!$E$4:$E$1012,0))),
IF($E167=1,IF(INDEX(EL!$Y$4:$Y$1012,MATCH($C167,EL!$E$4:$E$1012,0))="","",INDEX(EL!$Y$4:$Y$1012,MATCH($C167,EL!$E$4:$E$1012,0))),
IF($E167=2,IF(INDEX(EL!$AD$4:$AD$1012,MATCH($C167,EL!$E$4:$E$1012,0))="","",INDEX(EL!$AD$4:$AD$1012,MATCH($C167,EL!$E$4:$E$1012,0))),
IF($E167=3,IF(INDEX(EL!$AI$4:$AI$1012,MATCH($C167,EL!$E$4:$E$1012,0))="","",INDEX(EL!$AI$4:$AI$1012,MATCH($C167,EL!$E$4:$E$1012,0))),
IF($E167=4,IF(INDEX(EL!$AN$4:$AN$1012,MATCH($C167,EL!$E$4:$E$1012,0))="","",INDEX(EL!$AN$4:$AN$1012,MATCH($C167,EL!$E$4:$E$1012,0))),
IF($E167=5,IF(INDEX(EL!$AS$4:$AS$1012,MATCH($C167,EL!$E$4:$E$1012,0))="","",INDEX(EL!$AS$4:$AS$1012,MATCH($C167,EL!$E$4:$E$1012,0))),"")))))))</f>
        <v/>
      </c>
      <c r="K167" s="459">
        <f>EL!L80</f>
        <v>0</v>
      </c>
      <c r="L167" s="460" t="e" cm="1">
        <f t="array" aca="1" ref="L167" ca="1">_xlfn.IFS(AND($E167&lt;&gt;"",$M167="Pending",$K167="CTA"),TODAY()-$G167,AND($E167&lt;&gt;"",$M167="Pending",$K167="AUR"),TODAY()-$H167,AND($E167&lt;&gt;"",$M167="Pending",$K167="STT"),TODAY()-$I167,OR(K167="Closed",K167=""),"")</f>
        <v>#N/A</v>
      </c>
      <c r="M167" s="461">
        <f>VLOOKUP(C167,EL!$E$4:$AC$622,9,0)</f>
        <v>0</v>
      </c>
      <c r="N167" s="461" t="str">
        <f t="shared" si="4"/>
        <v/>
      </c>
      <c r="O167" s="739" t="str">
        <f>EL!O80</f>
        <v>GC</v>
      </c>
      <c r="P167" s="746" t="str">
        <v>NO</v>
      </c>
    </row>
    <row r="168" spans="1:16" s="385" customFormat="1" ht="27" hidden="1" customHeight="1">
      <c r="A168" s="399">
        <f t="shared" si="5"/>
        <v>75</v>
      </c>
      <c r="B168" s="477" t="s">
        <v>52</v>
      </c>
      <c r="C168" s="646" t="s">
        <v>651</v>
      </c>
      <c r="D168" s="456" t="str">
        <f>_xlfn.XLOOKUP(C168,EL!$E$4:$E$82,EL!$D$4:$D$82)</f>
        <v>Public Address Schematic Diagram For Level 1</v>
      </c>
      <c r="E168" s="597" t="str">
        <f>IF(VLOOKUP(C168,EL!$E$4:$AC$505,7,0)="","",VLOOKUP(C168,EL!$E$4:$AC$1004,7,0))</f>
        <v/>
      </c>
      <c r="F168" s="462"/>
      <c r="G168" s="458" t="str">
        <f>IF(VLOOKUP(C168,EL!$E$4:$AC$514,5,0)="","",VLOOKUP(C168,EL!$E$4:$AC$514,5,0))</f>
        <v/>
      </c>
      <c r="H168" s="459" t="str">
        <f>IF(ISNA(MATCH($C168,EL!$E$4:$E$1012,0)),"",
IF($E168=0,IF(INDEX(EL!$R$4:$R$1012,MATCH($C168,EL!$E$4:$E$1012,0))="","",INDEX(EL!$R$4:$R$1012,MATCH($C168,EL!$E$4:$E$1012,0))),
IF($E168=1,IF(INDEX(EL!$W$4:$W$1012,MATCH($C168,EL!$E$4:$E$1012,0))="","",INDEX(EL!$W$4:$W$1012,MATCH($C168,EL!$E$4:$E$1012,0))),
IF($E168=2,IF(INDEX(EL!$AB$4:$AB$1012,MATCH($C168,EL!$E$4:$E$1012,0))="","",INDEX(EL!$AB$4:$AB$1012,MATCH($C168,EL!$E$4:$E$1012,0))),
IF($E168=3,IF(INDEX(EL!$AG$4:$AG$1012,MATCH($C168,EL!$E$4:$E$1012,0))="","",INDEX(EL!$AG$4:$AG$1012,MATCH($C168,EL!$E$4:$E$1012,0))),
IF($E168=4,IF(INDEX(EL!$AN$4:$AN$1012,MATCH($C168,EL!$E$4:$E$1012,0))="","",INDEX(EL!$AN$4:$AN$1012,MATCH($C168,EL!$E$4:$E$1012,0))),
IF($E168=5,IF(INDEX(EL!$AS$4:$AS$1012,MATCH($C168,EL!$E$4:$E$1012,0))="","",INDEX(EL!$AS$4:$AS$1012,MATCH($C168,EL!$E$4:$E$1012,0))),"")))))))</f>
        <v/>
      </c>
      <c r="I168" s="459" t="str">
        <f>IF(ISNA(MATCH($C168,EL!$E$4:$E$1012,0)),"",
IF($E168=0,IF(INDEX(EL!$S$4:$S$1012,MATCH($C168,EL!$E$4:$E$1012,0))="","",INDEX(EL!$S$4:$S$1012,MATCH($C168,EL!$E$4:$E$1012,0))),
IF($E168=1,IF(INDEX(EL!$X$4:$X$1012,MATCH($C168,EL!$E$4:$E$1012,0))="","",INDEX(EL!$X$4:$X$1012,MATCH($C168,EL!$E$4:$E$1012,0))),
IF($E168=2,IF(INDEX(EL!$AC$4:$AC$1012,MATCH($C168,EL!$E$4:$E$1012,0))="","",INDEX(EL!$AC$4:$AC$1012,MATCH($C168,EL!$E$4:$E$1012,0))),
IF($E168=3,IF(INDEX(EL!$AH$4:$AH$1012,MATCH($C168,EL!$E$4:$E$1012,0))="","",INDEX(EL!$AH$4:$AH$1012,MATCH($C168,EL!$E$4:$E$1012,0))),
IF($E168=4,IF(INDEX(EL!$AM$4:$AM$1012,MATCH($C168,EL!$E$4:$E$1012,0))="","",INDEX(EL!$AM$4:$AM$1012,MATCH($C168,EL!$E$4:$E$1012,0))),
IF($E168=5,IF(INDEX(EL!$AR$4:$AR$1012,MATCH($C168,EL!$E$4:$E$1012,0))="","",INDEX(EL!$AR$4:$AR$1012,MATCH($C168,EL!$E$4:$E$1012,0))),"")))))))</f>
        <v/>
      </c>
      <c r="J168" s="459" t="str">
        <f>IF(ISNA(MATCH($C168,EL!$E$4:$E$1012,0)),"",
IF($E168=0,IF(INDEX(EL!$T$4:$T$1012,MATCH($C168,EL!$E$4:$E$1012,0))="","",INDEX(EL!$T$4:$T$1012,MATCH($C168,EL!$E$4:$E$1012,0))),
IF($E168=1,IF(INDEX(EL!$Y$4:$Y$1012,MATCH($C168,EL!$E$4:$E$1012,0))="","",INDEX(EL!$Y$4:$Y$1012,MATCH($C168,EL!$E$4:$E$1012,0))),
IF($E168=2,IF(INDEX(EL!$AD$4:$AD$1012,MATCH($C168,EL!$E$4:$E$1012,0))="","",INDEX(EL!$AD$4:$AD$1012,MATCH($C168,EL!$E$4:$E$1012,0))),
IF($E168=3,IF(INDEX(EL!$AI$4:$AI$1012,MATCH($C168,EL!$E$4:$E$1012,0))="","",INDEX(EL!$AI$4:$AI$1012,MATCH($C168,EL!$E$4:$E$1012,0))),
IF($E168=4,IF(INDEX(EL!$AN$4:$AN$1012,MATCH($C168,EL!$E$4:$E$1012,0))="","",INDEX(EL!$AN$4:$AN$1012,MATCH($C168,EL!$E$4:$E$1012,0))),
IF($E168=5,IF(INDEX(EL!$AS$4:$AS$1012,MATCH($C168,EL!$E$4:$E$1012,0))="","",INDEX(EL!$AS$4:$AS$1012,MATCH($C168,EL!$E$4:$E$1012,0))),"")))))))</f>
        <v/>
      </c>
      <c r="K168" s="459">
        <f>EL!L81</f>
        <v>0</v>
      </c>
      <c r="L168" s="460" t="e" cm="1">
        <f t="array" aca="1" ref="L168" ca="1">_xlfn.IFS(AND($E168&lt;&gt;"",$M168="Pending",$K168="CTA"),TODAY()-$G168,AND($E168&lt;&gt;"",$M168="Pending",$K168="AUR"),TODAY()-$H168,AND($E168&lt;&gt;"",$M168="Pending",$K168="STT"),TODAY()-$I168,OR(K168="Closed",K168=""),"")</f>
        <v>#N/A</v>
      </c>
      <c r="M168" s="461">
        <f>VLOOKUP(C168,EL!$E$4:$AC$622,9,0)</f>
        <v>0</v>
      </c>
      <c r="N168" s="461" t="str">
        <f t="shared" si="4"/>
        <v/>
      </c>
      <c r="O168" s="739" t="str">
        <f>EL!O81</f>
        <v>GC</v>
      </c>
      <c r="P168" s="746" t="str">
        <v>NO</v>
      </c>
    </row>
    <row r="169" spans="1:16" s="385" customFormat="1" ht="27" customHeight="1">
      <c r="A169" s="399">
        <f t="shared" si="5"/>
        <v>76</v>
      </c>
      <c r="B169" s="477" t="s">
        <v>52</v>
      </c>
      <c r="C169" s="646" t="s">
        <v>654</v>
      </c>
      <c r="D169" s="456" t="str">
        <f>_xlfn.XLOOKUP(C169,EL!$E$4:$E$82,EL!$D$4:$D$82)</f>
        <v>Public Address Schematic Diagram For Level 2</v>
      </c>
      <c r="E169" s="597">
        <f>IF(VLOOKUP(C169,EL!$E$4:$AC$505,7,0)="","",VLOOKUP(C169,EL!$E$4:$AC$1004,7,0))</f>
        <v>0</v>
      </c>
      <c r="F169" s="462"/>
      <c r="G169" s="458">
        <f>IF(VLOOKUP(C169,EL!$E$4:$AC$514,5,0)="","",VLOOKUP(C169,EL!$E$4:$AC$514,5,0))</f>
        <v>46065</v>
      </c>
      <c r="H169" s="459" t="str">
        <f>IF(ISNA(MATCH($C169,EL!$E$4:$E$1012,0)),"",
IF($E169=0,IF(INDEX(EL!$R$4:$R$1012,MATCH($C169,EL!$E$4:$E$1012,0))="","",INDEX(EL!$R$4:$R$1012,MATCH($C169,EL!$E$4:$E$1012,0))),
IF($E169=1,IF(INDEX(EL!$W$4:$W$1012,MATCH($C169,EL!$E$4:$E$1012,0))="","",INDEX(EL!$W$4:$W$1012,MATCH($C169,EL!$E$4:$E$1012,0))),
IF($E169=2,IF(INDEX(EL!$AB$4:$AB$1012,MATCH($C169,EL!$E$4:$E$1012,0))="","",INDEX(EL!$AB$4:$AB$1012,MATCH($C169,EL!$E$4:$E$1012,0))),
IF($E169=3,IF(INDEX(EL!$AG$4:$AG$1012,MATCH($C169,EL!$E$4:$E$1012,0))="","",INDEX(EL!$AG$4:$AG$1012,MATCH($C169,EL!$E$4:$E$1012,0))),
IF($E169=4,IF(INDEX(EL!$AN$4:$AN$1012,MATCH($C169,EL!$E$4:$E$1012,0))="","",INDEX(EL!$AN$4:$AN$1012,MATCH($C169,EL!$E$4:$E$1012,0))),
IF($E169=5,IF(INDEX(EL!$AS$4:$AS$1012,MATCH($C169,EL!$E$4:$E$1012,0))="","",INDEX(EL!$AS$4:$AS$1012,MATCH($C169,EL!$E$4:$E$1012,0))),"")))))))</f>
        <v/>
      </c>
      <c r="I169" s="459" t="str">
        <f>IF(ISNA(MATCH($C169,EL!$E$4:$E$1012,0)),"",
IF($E169=0,IF(INDEX(EL!$S$4:$S$1012,MATCH($C169,EL!$E$4:$E$1012,0))="","",INDEX(EL!$S$4:$S$1012,MATCH($C169,EL!$E$4:$E$1012,0))),
IF($E169=1,IF(INDEX(EL!$X$4:$X$1012,MATCH($C169,EL!$E$4:$E$1012,0))="","",INDEX(EL!$X$4:$X$1012,MATCH($C169,EL!$E$4:$E$1012,0))),
IF($E169=2,IF(INDEX(EL!$AC$4:$AC$1012,MATCH($C169,EL!$E$4:$E$1012,0))="","",INDEX(EL!$AC$4:$AC$1012,MATCH($C169,EL!$E$4:$E$1012,0))),
IF($E169=3,IF(INDEX(EL!$AH$4:$AH$1012,MATCH($C169,EL!$E$4:$E$1012,0))="","",INDEX(EL!$AH$4:$AH$1012,MATCH($C169,EL!$E$4:$E$1012,0))),
IF($E169=4,IF(INDEX(EL!$AM$4:$AM$1012,MATCH($C169,EL!$E$4:$E$1012,0))="","",INDEX(EL!$AM$4:$AM$1012,MATCH($C169,EL!$E$4:$E$1012,0))),
IF($E169=5,IF(INDEX(EL!$AR$4:$AR$1012,MATCH($C169,EL!$E$4:$E$1012,0))="","",INDEX(EL!$AR$4:$AR$1012,MATCH($C169,EL!$E$4:$E$1012,0))),"")))))))</f>
        <v/>
      </c>
      <c r="J169" s="459" t="str">
        <f>IF(ISNA(MATCH($C169,EL!$E$4:$E$1012,0)),"",
IF($E169=0,IF(INDEX(EL!$T$4:$T$1012,MATCH($C169,EL!$E$4:$E$1012,0))="","",INDEX(EL!$T$4:$T$1012,MATCH($C169,EL!$E$4:$E$1012,0))),
IF($E169=1,IF(INDEX(EL!$Y$4:$Y$1012,MATCH($C169,EL!$E$4:$E$1012,0))="","",INDEX(EL!$Y$4:$Y$1012,MATCH($C169,EL!$E$4:$E$1012,0))),
IF($E169=2,IF(INDEX(EL!$AD$4:$AD$1012,MATCH($C169,EL!$E$4:$E$1012,0))="","",INDEX(EL!$AD$4:$AD$1012,MATCH($C169,EL!$E$4:$E$1012,0))),
IF($E169=3,IF(INDEX(EL!$AI$4:$AI$1012,MATCH($C169,EL!$E$4:$E$1012,0))="","",INDEX(EL!$AI$4:$AI$1012,MATCH($C169,EL!$E$4:$E$1012,0))),
IF($E169=4,IF(INDEX(EL!$AN$4:$AN$1012,MATCH($C169,EL!$E$4:$E$1012,0))="","",INDEX(EL!$AN$4:$AN$1012,MATCH($C169,EL!$E$4:$E$1012,0))),
IF($E169=5,IF(INDEX(EL!$AS$4:$AS$1012,MATCH($C169,EL!$E$4:$E$1012,0))="","",INDEX(EL!$AS$4:$AS$1012,MATCH($C169,EL!$E$4:$E$1012,0))),"")))))))</f>
        <v/>
      </c>
      <c r="K169" s="459" t="str">
        <f>EL!L82</f>
        <v>CTA</v>
      </c>
      <c r="L169" s="460" cm="1">
        <f t="array" aca="1" ref="L169" ca="1">_xlfn.IFS(AND($E169&lt;&gt;"",$M169="Pending",$K169="CTA"),TODAY()-$G169,AND($E169&lt;&gt;"",$M169="Pending",$K169="AUR"),TODAY()-$H169,AND($E169&lt;&gt;"",$M169="Pending",$K169="STT"),TODAY()-$I169,OR(K169="Closed",K169=""),"")</f>
        <v>1</v>
      </c>
      <c r="M169" s="461" t="str">
        <f>VLOOKUP(C169,EL!$E$4:$AC$622,9,0)</f>
        <v>Pending</v>
      </c>
      <c r="N169" s="461" t="str">
        <f t="shared" ca="1" si="4"/>
        <v/>
      </c>
      <c r="O169" s="739" t="str">
        <f>EL!O82</f>
        <v>GC</v>
      </c>
      <c r="P169" s="746" t="str">
        <v>NO</v>
      </c>
    </row>
    <row r="170" spans="1:16" s="385" customFormat="1" ht="27" hidden="1" customHeight="1">
      <c r="A170" s="399">
        <f t="shared" si="5"/>
        <v>77</v>
      </c>
      <c r="B170" s="477" t="s">
        <v>52</v>
      </c>
      <c r="C170" s="646" t="s">
        <v>657</v>
      </c>
      <c r="D170" s="456" t="str">
        <f>_xlfn.XLOOKUP(C170,EL!$E$4:$E$183,EL!$D$4:$D$183)</f>
        <v>Public Address Schematic Diagram For Level 6</v>
      </c>
      <c r="E170" s="597" t="str">
        <f>IF(VLOOKUP(C170,EL!$E$4:$AC$505,7,0)="","",VLOOKUP(C170,EL!$E$4:$AC$1004,7,0))</f>
        <v/>
      </c>
      <c r="F170" s="462"/>
      <c r="G170" s="458" t="str">
        <f>IF(VLOOKUP(C170,EL!$E$4:$AC$514,5,0)="","",VLOOKUP(C170,EL!$E$4:$AC$514,5,0))</f>
        <v/>
      </c>
      <c r="H170" s="459" t="str">
        <f>IF(ISNA(MATCH($C170,EL!$E$4:$E$1012,0)),"",
IF($E170=0,IF(INDEX(EL!$R$4:$R$1012,MATCH($C170,EL!$E$4:$E$1012,0))="","",INDEX(EL!$R$4:$R$1012,MATCH($C170,EL!$E$4:$E$1012,0))),
IF($E170=1,IF(INDEX(EL!$W$4:$W$1012,MATCH($C170,EL!$E$4:$E$1012,0))="","",INDEX(EL!$W$4:$W$1012,MATCH($C170,EL!$E$4:$E$1012,0))),
IF($E170=2,IF(INDEX(EL!$AB$4:$AB$1012,MATCH($C170,EL!$E$4:$E$1012,0))="","",INDEX(EL!$AB$4:$AB$1012,MATCH($C170,EL!$E$4:$E$1012,0))),
IF($E170=3,IF(INDEX(EL!$AG$4:$AG$1012,MATCH($C170,EL!$E$4:$E$1012,0))="","",INDEX(EL!$AG$4:$AG$1012,MATCH($C170,EL!$E$4:$E$1012,0))),
IF($E170=4,IF(INDEX(EL!$AN$4:$AN$1012,MATCH($C170,EL!$E$4:$E$1012,0))="","",INDEX(EL!$AN$4:$AN$1012,MATCH($C170,EL!$E$4:$E$1012,0))),
IF($E170=5,IF(INDEX(EL!$AS$4:$AS$1012,MATCH($C170,EL!$E$4:$E$1012,0))="","",INDEX(EL!$AS$4:$AS$1012,MATCH($C170,EL!$E$4:$E$1012,0))),"")))))))</f>
        <v/>
      </c>
      <c r="I170" s="459" t="str">
        <f>IF(ISNA(MATCH($C170,EL!$E$4:$E$1012,0)),"",
IF($E170=0,IF(INDEX(EL!$S$4:$S$1012,MATCH($C170,EL!$E$4:$E$1012,0))="","",INDEX(EL!$S$4:$S$1012,MATCH($C170,EL!$E$4:$E$1012,0))),
IF($E170=1,IF(INDEX(EL!$X$4:$X$1012,MATCH($C170,EL!$E$4:$E$1012,0))="","",INDEX(EL!$X$4:$X$1012,MATCH($C170,EL!$E$4:$E$1012,0))),
IF($E170=2,IF(INDEX(EL!$AC$4:$AC$1012,MATCH($C170,EL!$E$4:$E$1012,0))="","",INDEX(EL!$AC$4:$AC$1012,MATCH($C170,EL!$E$4:$E$1012,0))),
IF($E170=3,IF(INDEX(EL!$AH$4:$AH$1012,MATCH($C170,EL!$E$4:$E$1012,0))="","",INDEX(EL!$AH$4:$AH$1012,MATCH($C170,EL!$E$4:$E$1012,0))),
IF($E170=4,IF(INDEX(EL!$AM$4:$AM$1012,MATCH($C170,EL!$E$4:$E$1012,0))="","",INDEX(EL!$AM$4:$AM$1012,MATCH($C170,EL!$E$4:$E$1012,0))),
IF($E170=5,IF(INDEX(EL!$AR$4:$AR$1012,MATCH($C170,EL!$E$4:$E$1012,0))="","",INDEX(EL!$AR$4:$AR$1012,MATCH($C170,EL!$E$4:$E$1012,0))),"")))))))</f>
        <v/>
      </c>
      <c r="J170" s="459" t="str">
        <f>IF(ISNA(MATCH($C170,EL!$E$4:$E$1012,0)),"",
IF($E170=0,IF(INDEX(EL!$T$4:$T$1012,MATCH($C170,EL!$E$4:$E$1012,0))="","",INDEX(EL!$T$4:$T$1012,MATCH($C170,EL!$E$4:$E$1012,0))),
IF($E170=1,IF(INDEX(EL!$Y$4:$Y$1012,MATCH($C170,EL!$E$4:$E$1012,0))="","",INDEX(EL!$Y$4:$Y$1012,MATCH($C170,EL!$E$4:$E$1012,0))),
IF($E170=2,IF(INDEX(EL!$AD$4:$AD$1012,MATCH($C170,EL!$E$4:$E$1012,0))="","",INDEX(EL!$AD$4:$AD$1012,MATCH($C170,EL!$E$4:$E$1012,0))),
IF($E170=3,IF(INDEX(EL!$AI$4:$AI$1012,MATCH($C170,EL!$E$4:$E$1012,0))="","",INDEX(EL!$AI$4:$AI$1012,MATCH($C170,EL!$E$4:$E$1012,0))),
IF($E170=4,IF(INDEX(EL!$AN$4:$AN$1012,MATCH($C170,EL!$E$4:$E$1012,0))="","",INDEX(EL!$AN$4:$AN$1012,MATCH($C170,EL!$E$4:$E$1012,0))),
IF($E170=5,IF(INDEX(EL!$AS$4:$AS$1012,MATCH($C170,EL!$E$4:$E$1012,0))="","",INDEX(EL!$AS$4:$AS$1012,MATCH($C170,EL!$E$4:$E$1012,0))),"")))))))</f>
        <v/>
      </c>
      <c r="K170" s="459">
        <f>EL!L83</f>
        <v>0</v>
      </c>
      <c r="L170" s="460" t="e" cm="1">
        <f t="array" aca="1" ref="L170" ca="1">_xlfn.IFS(AND($E170&lt;&gt;"",$M170="Pending",$K170="CTA"),TODAY()-$G170,AND($E170&lt;&gt;"",$M170="Pending",$K170="AUR"),TODAY()-$H170,AND($E170&lt;&gt;"",$M170="Pending",$K170="STT"),TODAY()-$I170,OR(K170="Closed",K170=""),"")</f>
        <v>#N/A</v>
      </c>
      <c r="M170" s="461">
        <f>VLOOKUP(C170,EL!$E$4:$AC$622,9,0)</f>
        <v>0</v>
      </c>
      <c r="N170" s="461" t="str">
        <f t="shared" si="4"/>
        <v/>
      </c>
      <c r="O170" s="739" t="str">
        <f>EL!O83</f>
        <v>GC</v>
      </c>
      <c r="P170" s="746" t="str">
        <v>NO</v>
      </c>
    </row>
    <row r="171" spans="1:16" s="385" customFormat="1" ht="27" hidden="1" customHeight="1">
      <c r="A171" s="399">
        <f t="shared" si="5"/>
        <v>78</v>
      </c>
      <c r="B171" s="477" t="s">
        <v>52</v>
      </c>
      <c r="C171" s="646" t="s">
        <v>660</v>
      </c>
      <c r="D171" s="456" t="str">
        <f>_xlfn.XLOOKUP(C171,EL!$E$4:$E$183,EL!$D$4:$D$183)</f>
        <v>Pre-Action Schematic Diagram For Level 1</v>
      </c>
      <c r="E171" s="597" t="str">
        <f>IF(VLOOKUP(C171,EL!$E$4:$AC$505,7,0)="","",VLOOKUP(C171,EL!$E$4:$AC$1004,7,0))</f>
        <v/>
      </c>
      <c r="F171" s="462"/>
      <c r="G171" s="458" t="str">
        <f>IF(VLOOKUP(C171,EL!$E$4:$AC$514,5,0)="","",VLOOKUP(C171,EL!$E$4:$AC$514,5,0))</f>
        <v/>
      </c>
      <c r="H171" s="459" t="str">
        <f>IF(ISNA(MATCH($C171,EL!$E$4:$E$1012,0)),"",
IF($E171=0,IF(INDEX(EL!$R$4:$R$1012,MATCH($C171,EL!$E$4:$E$1012,0))="","",INDEX(EL!$R$4:$R$1012,MATCH($C171,EL!$E$4:$E$1012,0))),
IF($E171=1,IF(INDEX(EL!$W$4:$W$1012,MATCH($C171,EL!$E$4:$E$1012,0))="","",INDEX(EL!$W$4:$W$1012,MATCH($C171,EL!$E$4:$E$1012,0))),
IF($E171=2,IF(INDEX(EL!$AB$4:$AB$1012,MATCH($C171,EL!$E$4:$E$1012,0))="","",INDEX(EL!$AB$4:$AB$1012,MATCH($C171,EL!$E$4:$E$1012,0))),
IF($E171=3,IF(INDEX(EL!$AG$4:$AG$1012,MATCH($C171,EL!$E$4:$E$1012,0))="","",INDEX(EL!$AG$4:$AG$1012,MATCH($C171,EL!$E$4:$E$1012,0))),
IF($E171=4,IF(INDEX(EL!$AN$4:$AN$1012,MATCH($C171,EL!$E$4:$E$1012,0))="","",INDEX(EL!$AN$4:$AN$1012,MATCH($C171,EL!$E$4:$E$1012,0))),
IF($E171=5,IF(INDEX(EL!$AS$4:$AS$1012,MATCH($C171,EL!$E$4:$E$1012,0))="","",INDEX(EL!$AS$4:$AS$1012,MATCH($C171,EL!$E$4:$E$1012,0))),"")))))))</f>
        <v/>
      </c>
      <c r="I171" s="459" t="str">
        <f>IF(ISNA(MATCH($C171,EL!$E$4:$E$1012,0)),"",
IF($E171=0,IF(INDEX(EL!$S$4:$S$1012,MATCH($C171,EL!$E$4:$E$1012,0))="","",INDEX(EL!$S$4:$S$1012,MATCH($C171,EL!$E$4:$E$1012,0))),
IF($E171=1,IF(INDEX(EL!$X$4:$X$1012,MATCH($C171,EL!$E$4:$E$1012,0))="","",INDEX(EL!$X$4:$X$1012,MATCH($C171,EL!$E$4:$E$1012,0))),
IF($E171=2,IF(INDEX(EL!$AC$4:$AC$1012,MATCH($C171,EL!$E$4:$E$1012,0))="","",INDEX(EL!$AC$4:$AC$1012,MATCH($C171,EL!$E$4:$E$1012,0))),
IF($E171=3,IF(INDEX(EL!$AH$4:$AH$1012,MATCH($C171,EL!$E$4:$E$1012,0))="","",INDEX(EL!$AH$4:$AH$1012,MATCH($C171,EL!$E$4:$E$1012,0))),
IF($E171=4,IF(INDEX(EL!$AM$4:$AM$1012,MATCH($C171,EL!$E$4:$E$1012,0))="","",INDEX(EL!$AM$4:$AM$1012,MATCH($C171,EL!$E$4:$E$1012,0))),
IF($E171=5,IF(INDEX(EL!$AR$4:$AR$1012,MATCH($C171,EL!$E$4:$E$1012,0))="","",INDEX(EL!$AR$4:$AR$1012,MATCH($C171,EL!$E$4:$E$1012,0))),"")))))))</f>
        <v/>
      </c>
      <c r="J171" s="459" t="str">
        <f>IF(ISNA(MATCH($C171,EL!$E$4:$E$1012,0)),"",
IF($E171=0,IF(INDEX(EL!$T$4:$T$1012,MATCH($C171,EL!$E$4:$E$1012,0))="","",INDEX(EL!$T$4:$T$1012,MATCH($C171,EL!$E$4:$E$1012,0))),
IF($E171=1,IF(INDEX(EL!$Y$4:$Y$1012,MATCH($C171,EL!$E$4:$E$1012,0))="","",INDEX(EL!$Y$4:$Y$1012,MATCH($C171,EL!$E$4:$E$1012,0))),
IF($E171=2,IF(INDEX(EL!$AD$4:$AD$1012,MATCH($C171,EL!$E$4:$E$1012,0))="","",INDEX(EL!$AD$4:$AD$1012,MATCH($C171,EL!$E$4:$E$1012,0))),
IF($E171=3,IF(INDEX(EL!$AI$4:$AI$1012,MATCH($C171,EL!$E$4:$E$1012,0))="","",INDEX(EL!$AI$4:$AI$1012,MATCH($C171,EL!$E$4:$E$1012,0))),
IF($E171=4,IF(INDEX(EL!$AN$4:$AN$1012,MATCH($C171,EL!$E$4:$E$1012,0))="","",INDEX(EL!$AN$4:$AN$1012,MATCH($C171,EL!$E$4:$E$1012,0))),
IF($E171=5,IF(INDEX(EL!$AS$4:$AS$1012,MATCH($C171,EL!$E$4:$E$1012,0))="","",INDEX(EL!$AS$4:$AS$1012,MATCH($C171,EL!$E$4:$E$1012,0))),"")))))))</f>
        <v/>
      </c>
      <c r="K171" s="459">
        <f>EL!L84</f>
        <v>0</v>
      </c>
      <c r="L171" s="460" t="e" cm="1">
        <f t="array" aca="1" ref="L171" ca="1">_xlfn.IFS(AND($E171&lt;&gt;"",$M171="Pending",$K171="CTA"),TODAY()-$G171,AND($E171&lt;&gt;"",$M171="Pending",$K171="AUR"),TODAY()-$H171,AND($E171&lt;&gt;"",$M171="Pending",$K171="STT"),TODAY()-$I171,OR(K171="Closed",K171=""),"")</f>
        <v>#N/A</v>
      </c>
      <c r="M171" s="461">
        <f>VLOOKUP(C171,EL!$E$4:$AC$622,9,0)</f>
        <v>0</v>
      </c>
      <c r="N171" s="461" t="str">
        <f t="shared" si="4"/>
        <v/>
      </c>
      <c r="O171" s="739" t="str">
        <f>EL!O84</f>
        <v>GC</v>
      </c>
      <c r="P171" s="746" t="str">
        <v>NO</v>
      </c>
    </row>
    <row r="172" spans="1:16" s="385" customFormat="1" ht="27" hidden="1" customHeight="1">
      <c r="A172" s="399">
        <f t="shared" si="5"/>
        <v>79</v>
      </c>
      <c r="B172" s="477" t="s">
        <v>52</v>
      </c>
      <c r="C172" s="646" t="s">
        <v>665</v>
      </c>
      <c r="D172" s="456" t="str">
        <f>_xlfn.XLOOKUP(C172,EL!$E$4:$E$183,EL!$D$4:$D$183)</f>
        <v>Pre-Action Schematic Diagram For Level 2</v>
      </c>
      <c r="E172" s="597" t="str">
        <f>IF(VLOOKUP(C172,EL!$E$4:$AC$505,7,0)="","",VLOOKUP(C172,EL!$E$4:$AC$1004,7,0))</f>
        <v/>
      </c>
      <c r="F172" s="462"/>
      <c r="G172" s="458" t="str">
        <f>IF(VLOOKUP(C172,EL!$E$4:$AC$514,5,0)="","",VLOOKUP(C172,EL!$E$4:$AC$514,5,0))</f>
        <v/>
      </c>
      <c r="H172" s="459" t="str">
        <f>IF(ISNA(MATCH($C172,EL!$E$4:$E$1012,0)),"",
IF($E172=0,IF(INDEX(EL!$R$4:$R$1012,MATCH($C172,EL!$E$4:$E$1012,0))="","",INDEX(EL!$R$4:$R$1012,MATCH($C172,EL!$E$4:$E$1012,0))),
IF($E172=1,IF(INDEX(EL!$W$4:$W$1012,MATCH($C172,EL!$E$4:$E$1012,0))="","",INDEX(EL!$W$4:$W$1012,MATCH($C172,EL!$E$4:$E$1012,0))),
IF($E172=2,IF(INDEX(EL!$AB$4:$AB$1012,MATCH($C172,EL!$E$4:$E$1012,0))="","",INDEX(EL!$AB$4:$AB$1012,MATCH($C172,EL!$E$4:$E$1012,0))),
IF($E172=3,IF(INDEX(EL!$AG$4:$AG$1012,MATCH($C172,EL!$E$4:$E$1012,0))="","",INDEX(EL!$AG$4:$AG$1012,MATCH($C172,EL!$E$4:$E$1012,0))),
IF($E172=4,IF(INDEX(EL!$AN$4:$AN$1012,MATCH($C172,EL!$E$4:$E$1012,0))="","",INDEX(EL!$AN$4:$AN$1012,MATCH($C172,EL!$E$4:$E$1012,0))),
IF($E172=5,IF(INDEX(EL!$AS$4:$AS$1012,MATCH($C172,EL!$E$4:$E$1012,0))="","",INDEX(EL!$AS$4:$AS$1012,MATCH($C172,EL!$E$4:$E$1012,0))),"")))))))</f>
        <v/>
      </c>
      <c r="I172" s="459" t="str">
        <f>IF(ISNA(MATCH($C172,EL!$E$4:$E$1012,0)),"",
IF($E172=0,IF(INDEX(EL!$S$4:$S$1012,MATCH($C172,EL!$E$4:$E$1012,0))="","",INDEX(EL!$S$4:$S$1012,MATCH($C172,EL!$E$4:$E$1012,0))),
IF($E172=1,IF(INDEX(EL!$X$4:$X$1012,MATCH($C172,EL!$E$4:$E$1012,0))="","",INDEX(EL!$X$4:$X$1012,MATCH($C172,EL!$E$4:$E$1012,0))),
IF($E172=2,IF(INDEX(EL!$AC$4:$AC$1012,MATCH($C172,EL!$E$4:$E$1012,0))="","",INDEX(EL!$AC$4:$AC$1012,MATCH($C172,EL!$E$4:$E$1012,0))),
IF($E172=3,IF(INDEX(EL!$AH$4:$AH$1012,MATCH($C172,EL!$E$4:$E$1012,0))="","",INDEX(EL!$AH$4:$AH$1012,MATCH($C172,EL!$E$4:$E$1012,0))),
IF($E172=4,IF(INDEX(EL!$AM$4:$AM$1012,MATCH($C172,EL!$E$4:$E$1012,0))="","",INDEX(EL!$AM$4:$AM$1012,MATCH($C172,EL!$E$4:$E$1012,0))),
IF($E172=5,IF(INDEX(EL!$AR$4:$AR$1012,MATCH($C172,EL!$E$4:$E$1012,0))="","",INDEX(EL!$AR$4:$AR$1012,MATCH($C172,EL!$E$4:$E$1012,0))),"")))))))</f>
        <v/>
      </c>
      <c r="J172" s="459" t="str">
        <f>IF(ISNA(MATCH($C172,EL!$E$4:$E$1012,0)),"",
IF($E172=0,IF(INDEX(EL!$T$4:$T$1012,MATCH($C172,EL!$E$4:$E$1012,0))="","",INDEX(EL!$T$4:$T$1012,MATCH($C172,EL!$E$4:$E$1012,0))),
IF($E172=1,IF(INDEX(EL!$Y$4:$Y$1012,MATCH($C172,EL!$E$4:$E$1012,0))="","",INDEX(EL!$Y$4:$Y$1012,MATCH($C172,EL!$E$4:$E$1012,0))),
IF($E172=2,IF(INDEX(EL!$AD$4:$AD$1012,MATCH($C172,EL!$E$4:$E$1012,0))="","",INDEX(EL!$AD$4:$AD$1012,MATCH($C172,EL!$E$4:$E$1012,0))),
IF($E172=3,IF(INDEX(EL!$AI$4:$AI$1012,MATCH($C172,EL!$E$4:$E$1012,0))="","",INDEX(EL!$AI$4:$AI$1012,MATCH($C172,EL!$E$4:$E$1012,0))),
IF($E172=4,IF(INDEX(EL!$AN$4:$AN$1012,MATCH($C172,EL!$E$4:$E$1012,0))="","",INDEX(EL!$AN$4:$AN$1012,MATCH($C172,EL!$E$4:$E$1012,0))),
IF($E172=5,IF(INDEX(EL!$AS$4:$AS$1012,MATCH($C172,EL!$E$4:$E$1012,0))="","",INDEX(EL!$AS$4:$AS$1012,MATCH($C172,EL!$E$4:$E$1012,0))),"")))))))</f>
        <v/>
      </c>
      <c r="K172" s="459">
        <f>EL!L85</f>
        <v>0</v>
      </c>
      <c r="L172" s="460" t="e" cm="1">
        <f t="array" aca="1" ref="L172" ca="1">_xlfn.IFS(AND($E172&lt;&gt;"",$M172="Pending",$K172="CTA"),TODAY()-$G172,AND($E172&lt;&gt;"",$M172="Pending",$K172="AUR"),TODAY()-$H172,AND($E172&lt;&gt;"",$M172="Pending",$K172="STT"),TODAY()-$I172,OR(K172="Closed",K172=""),"")</f>
        <v>#N/A</v>
      </c>
      <c r="M172" s="461">
        <f>VLOOKUP(C172,EL!$E$4:$AC$622,9,0)</f>
        <v>0</v>
      </c>
      <c r="N172" s="461" t="str">
        <f t="shared" si="4"/>
        <v/>
      </c>
      <c r="O172" s="739" t="str">
        <f>EL!O85</f>
        <v>GC</v>
      </c>
      <c r="P172" s="746" t="str">
        <v>NO</v>
      </c>
    </row>
    <row r="173" spans="1:16" s="385" customFormat="1" ht="27" hidden="1" customHeight="1">
      <c r="A173" s="399">
        <f t="shared" si="5"/>
        <v>80</v>
      </c>
      <c r="B173" s="477" t="s">
        <v>52</v>
      </c>
      <c r="C173" s="646" t="s">
        <v>668</v>
      </c>
      <c r="D173" s="456" t="str">
        <f>_xlfn.XLOOKUP(C173,EL!$E$4:$E$183,EL!$D$4:$D$183)</f>
        <v>Pre-Action Schematic Diagram For Level 6</v>
      </c>
      <c r="E173" s="597" t="str">
        <f>IF(VLOOKUP(C173,EL!$E$4:$AC$505,7,0)="","",VLOOKUP(C173,EL!$E$4:$AC$1004,7,0))</f>
        <v/>
      </c>
      <c r="F173" s="462"/>
      <c r="G173" s="458" t="str">
        <f>IF(VLOOKUP(C173,EL!$E$4:$AC$514,5,0)="","",VLOOKUP(C173,EL!$E$4:$AC$514,5,0))</f>
        <v/>
      </c>
      <c r="H173" s="459" t="str">
        <f>IF(ISNA(MATCH($C173,EL!$E$4:$E$1012,0)),"",
IF($E173=0,IF(INDEX(EL!$R$4:$R$1012,MATCH($C173,EL!$E$4:$E$1012,0))="","",INDEX(EL!$R$4:$R$1012,MATCH($C173,EL!$E$4:$E$1012,0))),
IF($E173=1,IF(INDEX(EL!$W$4:$W$1012,MATCH($C173,EL!$E$4:$E$1012,0))="","",INDEX(EL!$W$4:$W$1012,MATCH($C173,EL!$E$4:$E$1012,0))),
IF($E173=2,IF(INDEX(EL!$AB$4:$AB$1012,MATCH($C173,EL!$E$4:$E$1012,0))="","",INDEX(EL!$AB$4:$AB$1012,MATCH($C173,EL!$E$4:$E$1012,0))),
IF($E173=3,IF(INDEX(EL!$AG$4:$AG$1012,MATCH($C173,EL!$E$4:$E$1012,0))="","",INDEX(EL!$AG$4:$AG$1012,MATCH($C173,EL!$E$4:$E$1012,0))),
IF($E173=4,IF(INDEX(EL!$AN$4:$AN$1012,MATCH($C173,EL!$E$4:$E$1012,0))="","",INDEX(EL!$AN$4:$AN$1012,MATCH($C173,EL!$E$4:$E$1012,0))),
IF($E173=5,IF(INDEX(EL!$AS$4:$AS$1012,MATCH($C173,EL!$E$4:$E$1012,0))="","",INDEX(EL!$AS$4:$AS$1012,MATCH($C173,EL!$E$4:$E$1012,0))),"")))))))</f>
        <v/>
      </c>
      <c r="I173" s="459" t="str">
        <f>IF(ISNA(MATCH($C173,EL!$E$4:$E$1012,0)),"",
IF($E173=0,IF(INDEX(EL!$S$4:$S$1012,MATCH($C173,EL!$E$4:$E$1012,0))="","",INDEX(EL!$S$4:$S$1012,MATCH($C173,EL!$E$4:$E$1012,0))),
IF($E173=1,IF(INDEX(EL!$X$4:$X$1012,MATCH($C173,EL!$E$4:$E$1012,0))="","",INDEX(EL!$X$4:$X$1012,MATCH($C173,EL!$E$4:$E$1012,0))),
IF($E173=2,IF(INDEX(EL!$AC$4:$AC$1012,MATCH($C173,EL!$E$4:$E$1012,0))="","",INDEX(EL!$AC$4:$AC$1012,MATCH($C173,EL!$E$4:$E$1012,0))),
IF($E173=3,IF(INDEX(EL!$AH$4:$AH$1012,MATCH($C173,EL!$E$4:$E$1012,0))="","",INDEX(EL!$AH$4:$AH$1012,MATCH($C173,EL!$E$4:$E$1012,0))),
IF($E173=4,IF(INDEX(EL!$AM$4:$AM$1012,MATCH($C173,EL!$E$4:$E$1012,0))="","",INDEX(EL!$AM$4:$AM$1012,MATCH($C173,EL!$E$4:$E$1012,0))),
IF($E173=5,IF(INDEX(EL!$AR$4:$AR$1012,MATCH($C173,EL!$E$4:$E$1012,0))="","",INDEX(EL!$AR$4:$AR$1012,MATCH($C173,EL!$E$4:$E$1012,0))),"")))))))</f>
        <v/>
      </c>
      <c r="J173" s="459" t="str">
        <f>IF(ISNA(MATCH($C173,EL!$E$4:$E$1012,0)),"",
IF($E173=0,IF(INDEX(EL!$T$4:$T$1012,MATCH($C173,EL!$E$4:$E$1012,0))="","",INDEX(EL!$T$4:$T$1012,MATCH($C173,EL!$E$4:$E$1012,0))),
IF($E173=1,IF(INDEX(EL!$Y$4:$Y$1012,MATCH($C173,EL!$E$4:$E$1012,0))="","",INDEX(EL!$Y$4:$Y$1012,MATCH($C173,EL!$E$4:$E$1012,0))),
IF($E173=2,IF(INDEX(EL!$AD$4:$AD$1012,MATCH($C173,EL!$E$4:$E$1012,0))="","",INDEX(EL!$AD$4:$AD$1012,MATCH($C173,EL!$E$4:$E$1012,0))),
IF($E173=3,IF(INDEX(EL!$AI$4:$AI$1012,MATCH($C173,EL!$E$4:$E$1012,0))="","",INDEX(EL!$AI$4:$AI$1012,MATCH($C173,EL!$E$4:$E$1012,0))),
IF($E173=4,IF(INDEX(EL!$AN$4:$AN$1012,MATCH($C173,EL!$E$4:$E$1012,0))="","",INDEX(EL!$AN$4:$AN$1012,MATCH($C173,EL!$E$4:$E$1012,0))),
IF($E173=5,IF(INDEX(EL!$AS$4:$AS$1012,MATCH($C173,EL!$E$4:$E$1012,0))="","",INDEX(EL!$AS$4:$AS$1012,MATCH($C173,EL!$E$4:$E$1012,0))),"")))))))</f>
        <v/>
      </c>
      <c r="K173" s="459">
        <f>EL!L86</f>
        <v>0</v>
      </c>
      <c r="L173" s="460" t="e" cm="1">
        <f t="array" aca="1" ref="L173" ca="1">_xlfn.IFS(AND($E173&lt;&gt;"",$M173="Pending",$K173="CTA"),TODAY()-$G173,AND($E173&lt;&gt;"",$M173="Pending",$K173="AUR"),TODAY()-$H173,AND($E173&lt;&gt;"",$M173="Pending",$K173="STT"),TODAY()-$I173,OR(K173="Closed",K173=""),"")</f>
        <v>#N/A</v>
      </c>
      <c r="M173" s="461">
        <f>VLOOKUP(C173,EL!$E$4:$AC$622,9,0)</f>
        <v>0</v>
      </c>
      <c r="N173" s="461" t="str">
        <f t="shared" si="4"/>
        <v/>
      </c>
      <c r="O173" s="739" t="str">
        <f>EL!O86</f>
        <v>GC</v>
      </c>
      <c r="P173" s="746" t="str">
        <v>NO</v>
      </c>
    </row>
    <row r="174" spans="1:16" s="385" customFormat="1" ht="27" hidden="1" customHeight="1">
      <c r="A174" s="399">
        <f t="shared" si="5"/>
        <v>81</v>
      </c>
      <c r="B174" s="477" t="s">
        <v>52</v>
      </c>
      <c r="C174" s="646" t="s">
        <v>671</v>
      </c>
      <c r="D174" s="456" t="str">
        <f>_xlfn.XLOOKUP(C174,EL!$E$4:$E$183,EL!$D$4:$D$183)</f>
        <v>Aspirated Smoke Detection System Diagram For Level 1</v>
      </c>
      <c r="E174" s="597" t="str">
        <f>IF(VLOOKUP(C174,EL!$E$4:$AC$505,7,0)="","",VLOOKUP(C174,EL!$E$4:$AC$1004,7,0))</f>
        <v/>
      </c>
      <c r="F174" s="462"/>
      <c r="G174" s="458" t="str">
        <f>IF(VLOOKUP(C174,EL!$E$4:$AC$514,5,0)="","",VLOOKUP(C174,EL!$E$4:$AC$514,5,0))</f>
        <v/>
      </c>
      <c r="H174" s="459" t="str">
        <f>IF(ISNA(MATCH($C174,EL!$E$4:$E$1012,0)),"",
IF($E174=0,IF(INDEX(EL!$R$4:$R$1012,MATCH($C174,EL!$E$4:$E$1012,0))="","",INDEX(EL!$R$4:$R$1012,MATCH($C174,EL!$E$4:$E$1012,0))),
IF($E174=1,IF(INDEX(EL!$W$4:$W$1012,MATCH($C174,EL!$E$4:$E$1012,0))="","",INDEX(EL!$W$4:$W$1012,MATCH($C174,EL!$E$4:$E$1012,0))),
IF($E174=2,IF(INDEX(EL!$AB$4:$AB$1012,MATCH($C174,EL!$E$4:$E$1012,0))="","",INDEX(EL!$AB$4:$AB$1012,MATCH($C174,EL!$E$4:$E$1012,0))),
IF($E174=3,IF(INDEX(EL!$AG$4:$AG$1012,MATCH($C174,EL!$E$4:$E$1012,0))="","",INDEX(EL!$AG$4:$AG$1012,MATCH($C174,EL!$E$4:$E$1012,0))),
IF($E174=4,IF(INDEX(EL!$AN$4:$AN$1012,MATCH($C174,EL!$E$4:$E$1012,0))="","",INDEX(EL!$AN$4:$AN$1012,MATCH($C174,EL!$E$4:$E$1012,0))),
IF($E174=5,IF(INDEX(EL!$AS$4:$AS$1012,MATCH($C174,EL!$E$4:$E$1012,0))="","",INDEX(EL!$AS$4:$AS$1012,MATCH($C174,EL!$E$4:$E$1012,0))),"")))))))</f>
        <v/>
      </c>
      <c r="I174" s="459" t="str">
        <f>IF(ISNA(MATCH($C174,EL!$E$4:$E$1012,0)),"",
IF($E174=0,IF(INDEX(EL!$S$4:$S$1012,MATCH($C174,EL!$E$4:$E$1012,0))="","",INDEX(EL!$S$4:$S$1012,MATCH($C174,EL!$E$4:$E$1012,0))),
IF($E174=1,IF(INDEX(EL!$X$4:$X$1012,MATCH($C174,EL!$E$4:$E$1012,0))="","",INDEX(EL!$X$4:$X$1012,MATCH($C174,EL!$E$4:$E$1012,0))),
IF($E174=2,IF(INDEX(EL!$AC$4:$AC$1012,MATCH($C174,EL!$E$4:$E$1012,0))="","",INDEX(EL!$AC$4:$AC$1012,MATCH($C174,EL!$E$4:$E$1012,0))),
IF($E174=3,IF(INDEX(EL!$AH$4:$AH$1012,MATCH($C174,EL!$E$4:$E$1012,0))="","",INDEX(EL!$AH$4:$AH$1012,MATCH($C174,EL!$E$4:$E$1012,0))),
IF($E174=4,IF(INDEX(EL!$AM$4:$AM$1012,MATCH($C174,EL!$E$4:$E$1012,0))="","",INDEX(EL!$AM$4:$AM$1012,MATCH($C174,EL!$E$4:$E$1012,0))),
IF($E174=5,IF(INDEX(EL!$AR$4:$AR$1012,MATCH($C174,EL!$E$4:$E$1012,0))="","",INDEX(EL!$AR$4:$AR$1012,MATCH($C174,EL!$E$4:$E$1012,0))),"")))))))</f>
        <v/>
      </c>
      <c r="J174" s="459" t="str">
        <f>IF(ISNA(MATCH($C174,EL!$E$4:$E$1012,0)),"",
IF($E174=0,IF(INDEX(EL!$T$4:$T$1012,MATCH($C174,EL!$E$4:$E$1012,0))="","",INDEX(EL!$T$4:$T$1012,MATCH($C174,EL!$E$4:$E$1012,0))),
IF($E174=1,IF(INDEX(EL!$Y$4:$Y$1012,MATCH($C174,EL!$E$4:$E$1012,0))="","",INDEX(EL!$Y$4:$Y$1012,MATCH($C174,EL!$E$4:$E$1012,0))),
IF($E174=2,IF(INDEX(EL!$AD$4:$AD$1012,MATCH($C174,EL!$E$4:$E$1012,0))="","",INDEX(EL!$AD$4:$AD$1012,MATCH($C174,EL!$E$4:$E$1012,0))),
IF($E174=3,IF(INDEX(EL!$AI$4:$AI$1012,MATCH($C174,EL!$E$4:$E$1012,0))="","",INDEX(EL!$AI$4:$AI$1012,MATCH($C174,EL!$E$4:$E$1012,0))),
IF($E174=4,IF(INDEX(EL!$AN$4:$AN$1012,MATCH($C174,EL!$E$4:$E$1012,0))="","",INDEX(EL!$AN$4:$AN$1012,MATCH($C174,EL!$E$4:$E$1012,0))),
IF($E174=5,IF(INDEX(EL!$AS$4:$AS$1012,MATCH($C174,EL!$E$4:$E$1012,0))="","",INDEX(EL!$AS$4:$AS$1012,MATCH($C174,EL!$E$4:$E$1012,0))),"")))))))</f>
        <v/>
      </c>
      <c r="K174" s="459">
        <f>EL!L87</f>
        <v>0</v>
      </c>
      <c r="L174" s="460" t="e" cm="1">
        <f t="array" aca="1" ref="L174" ca="1">_xlfn.IFS(AND($E174&lt;&gt;"",$M174="Pending",$K174="CTA"),TODAY()-$G174,AND($E174&lt;&gt;"",$M174="Pending",$K174="AUR"),TODAY()-$H174,AND($E174&lt;&gt;"",$M174="Pending",$K174="STT"),TODAY()-$I174,OR(K174="Closed",K174=""),"")</f>
        <v>#N/A</v>
      </c>
      <c r="M174" s="461">
        <f>VLOOKUP(C174,EL!$E$4:$AC$622,9,0)</f>
        <v>0</v>
      </c>
      <c r="N174" s="461" t="str">
        <f t="shared" si="4"/>
        <v/>
      </c>
      <c r="O174" s="739" t="str">
        <f>EL!O87</f>
        <v>GC</v>
      </c>
      <c r="P174" s="746" t="str">
        <v>NO</v>
      </c>
    </row>
    <row r="175" spans="1:16" s="385" customFormat="1" ht="27" hidden="1" customHeight="1">
      <c r="A175" s="399">
        <f t="shared" si="5"/>
        <v>82</v>
      </c>
      <c r="B175" s="477" t="s">
        <v>52</v>
      </c>
      <c r="C175" s="646" t="s">
        <v>675</v>
      </c>
      <c r="D175" s="456" t="str">
        <f>_xlfn.XLOOKUP(C175,EL!$E$4:$E$183,EL!$D$4:$D$183)</f>
        <v>Aspirated Smoke Detection System Diagram For Level 2</v>
      </c>
      <c r="E175" s="597" t="str">
        <f>IF(VLOOKUP(C175,EL!$E$4:$AC$505,7,0)="","",VLOOKUP(C175,EL!$E$4:$AC$1004,7,0))</f>
        <v/>
      </c>
      <c r="F175" s="462"/>
      <c r="G175" s="458" t="str">
        <f>IF(VLOOKUP(C175,EL!$E$4:$AC$514,5,0)="","",VLOOKUP(C175,EL!$E$4:$AC$514,5,0))</f>
        <v/>
      </c>
      <c r="H175" s="459" t="str">
        <f>IF(ISNA(MATCH($C175,EL!$E$4:$E$1012,0)),"",
IF($E175=0,IF(INDEX(EL!$R$4:$R$1012,MATCH($C175,EL!$E$4:$E$1012,0))="","",INDEX(EL!$R$4:$R$1012,MATCH($C175,EL!$E$4:$E$1012,0))),
IF($E175=1,IF(INDEX(EL!$W$4:$W$1012,MATCH($C175,EL!$E$4:$E$1012,0))="","",INDEX(EL!$W$4:$W$1012,MATCH($C175,EL!$E$4:$E$1012,0))),
IF($E175=2,IF(INDEX(EL!$AB$4:$AB$1012,MATCH($C175,EL!$E$4:$E$1012,0))="","",INDEX(EL!$AB$4:$AB$1012,MATCH($C175,EL!$E$4:$E$1012,0))),
IF($E175=3,IF(INDEX(EL!$AG$4:$AG$1012,MATCH($C175,EL!$E$4:$E$1012,0))="","",INDEX(EL!$AG$4:$AG$1012,MATCH($C175,EL!$E$4:$E$1012,0))),
IF($E175=4,IF(INDEX(EL!$AN$4:$AN$1012,MATCH($C175,EL!$E$4:$E$1012,0))="","",INDEX(EL!$AN$4:$AN$1012,MATCH($C175,EL!$E$4:$E$1012,0))),
IF($E175=5,IF(INDEX(EL!$AS$4:$AS$1012,MATCH($C175,EL!$E$4:$E$1012,0))="","",INDEX(EL!$AS$4:$AS$1012,MATCH($C175,EL!$E$4:$E$1012,0))),"")))))))</f>
        <v/>
      </c>
      <c r="I175" s="459" t="str">
        <f>IF(ISNA(MATCH($C175,EL!$E$4:$E$1012,0)),"",
IF($E175=0,IF(INDEX(EL!$S$4:$S$1012,MATCH($C175,EL!$E$4:$E$1012,0))="","",INDEX(EL!$S$4:$S$1012,MATCH($C175,EL!$E$4:$E$1012,0))),
IF($E175=1,IF(INDEX(EL!$X$4:$X$1012,MATCH($C175,EL!$E$4:$E$1012,0))="","",INDEX(EL!$X$4:$X$1012,MATCH($C175,EL!$E$4:$E$1012,0))),
IF($E175=2,IF(INDEX(EL!$AC$4:$AC$1012,MATCH($C175,EL!$E$4:$E$1012,0))="","",INDEX(EL!$AC$4:$AC$1012,MATCH($C175,EL!$E$4:$E$1012,0))),
IF($E175=3,IF(INDEX(EL!$AH$4:$AH$1012,MATCH($C175,EL!$E$4:$E$1012,0))="","",INDEX(EL!$AH$4:$AH$1012,MATCH($C175,EL!$E$4:$E$1012,0))),
IF($E175=4,IF(INDEX(EL!$AM$4:$AM$1012,MATCH($C175,EL!$E$4:$E$1012,0))="","",INDEX(EL!$AM$4:$AM$1012,MATCH($C175,EL!$E$4:$E$1012,0))),
IF($E175=5,IF(INDEX(EL!$AR$4:$AR$1012,MATCH($C175,EL!$E$4:$E$1012,0))="","",INDEX(EL!$AR$4:$AR$1012,MATCH($C175,EL!$E$4:$E$1012,0))),"")))))))</f>
        <v/>
      </c>
      <c r="J175" s="459" t="str">
        <f>IF(ISNA(MATCH($C175,EL!$E$4:$E$1012,0)),"",
IF($E175=0,IF(INDEX(EL!$T$4:$T$1012,MATCH($C175,EL!$E$4:$E$1012,0))="","",INDEX(EL!$T$4:$T$1012,MATCH($C175,EL!$E$4:$E$1012,0))),
IF($E175=1,IF(INDEX(EL!$Y$4:$Y$1012,MATCH($C175,EL!$E$4:$E$1012,0))="","",INDEX(EL!$Y$4:$Y$1012,MATCH($C175,EL!$E$4:$E$1012,0))),
IF($E175=2,IF(INDEX(EL!$AD$4:$AD$1012,MATCH($C175,EL!$E$4:$E$1012,0))="","",INDEX(EL!$AD$4:$AD$1012,MATCH($C175,EL!$E$4:$E$1012,0))),
IF($E175=3,IF(INDEX(EL!$AI$4:$AI$1012,MATCH($C175,EL!$E$4:$E$1012,0))="","",INDEX(EL!$AI$4:$AI$1012,MATCH($C175,EL!$E$4:$E$1012,0))),
IF($E175=4,IF(INDEX(EL!$AN$4:$AN$1012,MATCH($C175,EL!$E$4:$E$1012,0))="","",INDEX(EL!$AN$4:$AN$1012,MATCH($C175,EL!$E$4:$E$1012,0))),
IF($E175=5,IF(INDEX(EL!$AS$4:$AS$1012,MATCH($C175,EL!$E$4:$E$1012,0))="","",INDEX(EL!$AS$4:$AS$1012,MATCH($C175,EL!$E$4:$E$1012,0))),"")))))))</f>
        <v/>
      </c>
      <c r="K175" s="459">
        <f>EL!L88</f>
        <v>0</v>
      </c>
      <c r="L175" s="460" t="e" cm="1">
        <f t="array" aca="1" ref="L175" ca="1">_xlfn.IFS(AND($E175&lt;&gt;"",$M175="Pending",$K175="CTA"),TODAY()-$G175,AND($E175&lt;&gt;"",$M175="Pending",$K175="AUR"),TODAY()-$H175,AND($E175&lt;&gt;"",$M175="Pending",$K175="STT"),TODAY()-$I175,OR(K175="Closed",K175=""),"")</f>
        <v>#N/A</v>
      </c>
      <c r="M175" s="461">
        <f>VLOOKUP(C175,EL!$E$4:$AC$622,9,0)</f>
        <v>0</v>
      </c>
      <c r="N175" s="461" t="str">
        <f t="shared" si="4"/>
        <v/>
      </c>
      <c r="O175" s="739" t="str">
        <f>EL!O88</f>
        <v>GC</v>
      </c>
      <c r="P175" s="746" t="str">
        <v>NO</v>
      </c>
    </row>
    <row r="176" spans="1:16" s="385" customFormat="1" ht="27" hidden="1" customHeight="1">
      <c r="A176" s="399">
        <f t="shared" si="5"/>
        <v>83</v>
      </c>
      <c r="B176" s="477" t="s">
        <v>52</v>
      </c>
      <c r="C176" s="646" t="s">
        <v>677</v>
      </c>
      <c r="D176" s="456" t="str">
        <f>_xlfn.XLOOKUP(C176,EL!$E$4:$E$183,EL!$D$4:$D$183)</f>
        <v>Aspirated Smoke Detection System Diagram For Level 3</v>
      </c>
      <c r="E176" s="597" t="str">
        <f>IF(VLOOKUP(C176,EL!$E$4:$AC$505,7,0)="","",VLOOKUP(C176,EL!$E$4:$AC$1004,7,0))</f>
        <v/>
      </c>
      <c r="F176" s="462"/>
      <c r="G176" s="458" t="str">
        <f>IF(VLOOKUP(C176,EL!$E$4:$AC$514,5,0)="","",VLOOKUP(C176,EL!$E$4:$AC$514,5,0))</f>
        <v/>
      </c>
      <c r="H176" s="459" t="str">
        <f>IF(ISNA(MATCH($C176,EL!$E$4:$E$1012,0)),"",
IF($E176=0,IF(INDEX(EL!$R$4:$R$1012,MATCH($C176,EL!$E$4:$E$1012,0))="","",INDEX(EL!$R$4:$R$1012,MATCH($C176,EL!$E$4:$E$1012,0))),
IF($E176=1,IF(INDEX(EL!$W$4:$W$1012,MATCH($C176,EL!$E$4:$E$1012,0))="","",INDEX(EL!$W$4:$W$1012,MATCH($C176,EL!$E$4:$E$1012,0))),
IF($E176=2,IF(INDEX(EL!$AB$4:$AB$1012,MATCH($C176,EL!$E$4:$E$1012,0))="","",INDEX(EL!$AB$4:$AB$1012,MATCH($C176,EL!$E$4:$E$1012,0))),
IF($E176=3,IF(INDEX(EL!$AG$4:$AG$1012,MATCH($C176,EL!$E$4:$E$1012,0))="","",INDEX(EL!$AG$4:$AG$1012,MATCH($C176,EL!$E$4:$E$1012,0))),
IF($E176=4,IF(INDEX(EL!$AN$4:$AN$1012,MATCH($C176,EL!$E$4:$E$1012,0))="","",INDEX(EL!$AN$4:$AN$1012,MATCH($C176,EL!$E$4:$E$1012,0))),
IF($E176=5,IF(INDEX(EL!$AS$4:$AS$1012,MATCH($C176,EL!$E$4:$E$1012,0))="","",INDEX(EL!$AS$4:$AS$1012,MATCH($C176,EL!$E$4:$E$1012,0))),"")))))))</f>
        <v/>
      </c>
      <c r="I176" s="459" t="str">
        <f>IF(ISNA(MATCH($C176,EL!$E$4:$E$1012,0)),"",
IF($E176=0,IF(INDEX(EL!$S$4:$S$1012,MATCH($C176,EL!$E$4:$E$1012,0))="","",INDEX(EL!$S$4:$S$1012,MATCH($C176,EL!$E$4:$E$1012,0))),
IF($E176=1,IF(INDEX(EL!$X$4:$X$1012,MATCH($C176,EL!$E$4:$E$1012,0))="","",INDEX(EL!$X$4:$X$1012,MATCH($C176,EL!$E$4:$E$1012,0))),
IF($E176=2,IF(INDEX(EL!$AC$4:$AC$1012,MATCH($C176,EL!$E$4:$E$1012,0))="","",INDEX(EL!$AC$4:$AC$1012,MATCH($C176,EL!$E$4:$E$1012,0))),
IF($E176=3,IF(INDEX(EL!$AH$4:$AH$1012,MATCH($C176,EL!$E$4:$E$1012,0))="","",INDEX(EL!$AH$4:$AH$1012,MATCH($C176,EL!$E$4:$E$1012,0))),
IF($E176=4,IF(INDEX(EL!$AM$4:$AM$1012,MATCH($C176,EL!$E$4:$E$1012,0))="","",INDEX(EL!$AM$4:$AM$1012,MATCH($C176,EL!$E$4:$E$1012,0))),
IF($E176=5,IF(INDEX(EL!$AR$4:$AR$1012,MATCH($C176,EL!$E$4:$E$1012,0))="","",INDEX(EL!$AR$4:$AR$1012,MATCH($C176,EL!$E$4:$E$1012,0))),"")))))))</f>
        <v/>
      </c>
      <c r="J176" s="459" t="str">
        <f>IF(ISNA(MATCH($C176,EL!$E$4:$E$1012,0)),"",
IF($E176=0,IF(INDEX(EL!$T$4:$T$1012,MATCH($C176,EL!$E$4:$E$1012,0))="","",INDEX(EL!$T$4:$T$1012,MATCH($C176,EL!$E$4:$E$1012,0))),
IF($E176=1,IF(INDEX(EL!$Y$4:$Y$1012,MATCH($C176,EL!$E$4:$E$1012,0))="","",INDEX(EL!$Y$4:$Y$1012,MATCH($C176,EL!$E$4:$E$1012,0))),
IF($E176=2,IF(INDEX(EL!$AD$4:$AD$1012,MATCH($C176,EL!$E$4:$E$1012,0))="","",INDEX(EL!$AD$4:$AD$1012,MATCH($C176,EL!$E$4:$E$1012,0))),
IF($E176=3,IF(INDEX(EL!$AI$4:$AI$1012,MATCH($C176,EL!$E$4:$E$1012,0))="","",INDEX(EL!$AI$4:$AI$1012,MATCH($C176,EL!$E$4:$E$1012,0))),
IF($E176=4,IF(INDEX(EL!$AN$4:$AN$1012,MATCH($C176,EL!$E$4:$E$1012,0))="","",INDEX(EL!$AN$4:$AN$1012,MATCH($C176,EL!$E$4:$E$1012,0))),
IF($E176=5,IF(INDEX(EL!$AS$4:$AS$1012,MATCH($C176,EL!$E$4:$E$1012,0))="","",INDEX(EL!$AS$4:$AS$1012,MATCH($C176,EL!$E$4:$E$1012,0))),"")))))))</f>
        <v/>
      </c>
      <c r="K176" s="459">
        <f>EL!L89</f>
        <v>0</v>
      </c>
      <c r="L176" s="460" t="e" cm="1">
        <f t="array" aca="1" ref="L176" ca="1">_xlfn.IFS(AND($E176&lt;&gt;"",$M176="Pending",$K176="CTA"),TODAY()-$G176,AND($E176&lt;&gt;"",$M176="Pending",$K176="AUR"),TODAY()-$H176,AND($E176&lt;&gt;"",$M176="Pending",$K176="STT"),TODAY()-$I176,OR(K176="Closed",K176=""),"")</f>
        <v>#N/A</v>
      </c>
      <c r="M176" s="461">
        <f>VLOOKUP(C176,EL!$E$4:$AC$622,9,0)</f>
        <v>0</v>
      </c>
      <c r="N176" s="461" t="str">
        <f t="shared" si="4"/>
        <v/>
      </c>
      <c r="O176" s="739" t="str">
        <f>EL!O89</f>
        <v>GC</v>
      </c>
      <c r="P176" s="746" t="str">
        <v>NO</v>
      </c>
    </row>
    <row r="177" spans="1:16" s="385" customFormat="1" ht="27" hidden="1" customHeight="1">
      <c r="A177" s="399">
        <f t="shared" si="5"/>
        <v>84</v>
      </c>
      <c r="B177" s="477" t="s">
        <v>52</v>
      </c>
      <c r="C177" s="646" t="s">
        <v>680</v>
      </c>
      <c r="D177" s="456" t="str">
        <f>_xlfn.XLOOKUP(C177,EL!$E$4:$E$183,EL!$D$4:$D$183)</f>
        <v>Aspirated Smoke Detection System Diagram For Level 6</v>
      </c>
      <c r="E177" s="597" t="str">
        <f>IF(VLOOKUP(C177,EL!$E$4:$AC$505,7,0)="","",VLOOKUP(C177,EL!$E$4:$AC$1004,7,0))</f>
        <v/>
      </c>
      <c r="F177" s="462"/>
      <c r="G177" s="458" t="str">
        <f>IF(VLOOKUP(C177,EL!$E$4:$AC$514,5,0)="","",VLOOKUP(C177,EL!$E$4:$AC$514,5,0))</f>
        <v/>
      </c>
      <c r="H177" s="459" t="str">
        <f>IF(ISNA(MATCH($C177,EL!$E$4:$E$1012,0)),"",
IF($E177=0,IF(INDEX(EL!$R$4:$R$1012,MATCH($C177,EL!$E$4:$E$1012,0))="","",INDEX(EL!$R$4:$R$1012,MATCH($C177,EL!$E$4:$E$1012,0))),
IF($E177=1,IF(INDEX(EL!$W$4:$W$1012,MATCH($C177,EL!$E$4:$E$1012,0))="","",INDEX(EL!$W$4:$W$1012,MATCH($C177,EL!$E$4:$E$1012,0))),
IF($E177=2,IF(INDEX(EL!$AB$4:$AB$1012,MATCH($C177,EL!$E$4:$E$1012,0))="","",INDEX(EL!$AB$4:$AB$1012,MATCH($C177,EL!$E$4:$E$1012,0))),
IF($E177=3,IF(INDEX(EL!$AG$4:$AG$1012,MATCH($C177,EL!$E$4:$E$1012,0))="","",INDEX(EL!$AG$4:$AG$1012,MATCH($C177,EL!$E$4:$E$1012,0))),
IF($E177=4,IF(INDEX(EL!$AN$4:$AN$1012,MATCH($C177,EL!$E$4:$E$1012,0))="","",INDEX(EL!$AN$4:$AN$1012,MATCH($C177,EL!$E$4:$E$1012,0))),
IF($E177=5,IF(INDEX(EL!$AS$4:$AS$1012,MATCH($C177,EL!$E$4:$E$1012,0))="","",INDEX(EL!$AS$4:$AS$1012,MATCH($C177,EL!$E$4:$E$1012,0))),"")))))))</f>
        <v/>
      </c>
      <c r="I177" s="459" t="str">
        <f>IF(ISNA(MATCH($C177,EL!$E$4:$E$1012,0)),"",
IF($E177=0,IF(INDEX(EL!$S$4:$S$1012,MATCH($C177,EL!$E$4:$E$1012,0))="","",INDEX(EL!$S$4:$S$1012,MATCH($C177,EL!$E$4:$E$1012,0))),
IF($E177=1,IF(INDEX(EL!$X$4:$X$1012,MATCH($C177,EL!$E$4:$E$1012,0))="","",INDEX(EL!$X$4:$X$1012,MATCH($C177,EL!$E$4:$E$1012,0))),
IF($E177=2,IF(INDEX(EL!$AC$4:$AC$1012,MATCH($C177,EL!$E$4:$E$1012,0))="","",INDEX(EL!$AC$4:$AC$1012,MATCH($C177,EL!$E$4:$E$1012,0))),
IF($E177=3,IF(INDEX(EL!$AH$4:$AH$1012,MATCH($C177,EL!$E$4:$E$1012,0))="","",INDEX(EL!$AH$4:$AH$1012,MATCH($C177,EL!$E$4:$E$1012,0))),
IF($E177=4,IF(INDEX(EL!$AM$4:$AM$1012,MATCH($C177,EL!$E$4:$E$1012,0))="","",INDEX(EL!$AM$4:$AM$1012,MATCH($C177,EL!$E$4:$E$1012,0))),
IF($E177=5,IF(INDEX(EL!$AR$4:$AR$1012,MATCH($C177,EL!$E$4:$E$1012,0))="","",INDEX(EL!$AR$4:$AR$1012,MATCH($C177,EL!$E$4:$E$1012,0))),"")))))))</f>
        <v/>
      </c>
      <c r="J177" s="459" t="str">
        <f>IF(ISNA(MATCH($C177,EL!$E$4:$E$1012,0)),"",
IF($E177=0,IF(INDEX(EL!$T$4:$T$1012,MATCH($C177,EL!$E$4:$E$1012,0))="","",INDEX(EL!$T$4:$T$1012,MATCH($C177,EL!$E$4:$E$1012,0))),
IF($E177=1,IF(INDEX(EL!$Y$4:$Y$1012,MATCH($C177,EL!$E$4:$E$1012,0))="","",INDEX(EL!$Y$4:$Y$1012,MATCH($C177,EL!$E$4:$E$1012,0))),
IF($E177=2,IF(INDEX(EL!$AD$4:$AD$1012,MATCH($C177,EL!$E$4:$E$1012,0))="","",INDEX(EL!$AD$4:$AD$1012,MATCH($C177,EL!$E$4:$E$1012,0))),
IF($E177=3,IF(INDEX(EL!$AI$4:$AI$1012,MATCH($C177,EL!$E$4:$E$1012,0))="","",INDEX(EL!$AI$4:$AI$1012,MATCH($C177,EL!$E$4:$E$1012,0))),
IF($E177=4,IF(INDEX(EL!$AN$4:$AN$1012,MATCH($C177,EL!$E$4:$E$1012,0))="","",INDEX(EL!$AN$4:$AN$1012,MATCH($C177,EL!$E$4:$E$1012,0))),
IF($E177=5,IF(INDEX(EL!$AS$4:$AS$1012,MATCH($C177,EL!$E$4:$E$1012,0))="","",INDEX(EL!$AS$4:$AS$1012,MATCH($C177,EL!$E$4:$E$1012,0))),"")))))))</f>
        <v/>
      </c>
      <c r="K177" s="459">
        <f>EL!L90</f>
        <v>0</v>
      </c>
      <c r="L177" s="460" t="e" cm="1">
        <f t="array" aca="1" ref="L177" ca="1">_xlfn.IFS(AND($E177&lt;&gt;"",$M177="Pending",$K177="CTA"),TODAY()-$G177,AND($E177&lt;&gt;"",$M177="Pending",$K177="AUR"),TODAY()-$H177,AND($E177&lt;&gt;"",$M177="Pending",$K177="STT"),TODAY()-$I177,OR(K177="Closed",K177=""),"")</f>
        <v>#N/A</v>
      </c>
      <c r="M177" s="461">
        <f>VLOOKUP(C177,EL!$E$4:$AC$622,9,0)</f>
        <v>0</v>
      </c>
      <c r="N177" s="461" t="str">
        <f t="shared" si="4"/>
        <v/>
      </c>
      <c r="O177" s="739" t="str">
        <f>EL!O90</f>
        <v>GC</v>
      </c>
      <c r="P177" s="746" t="str">
        <v>NO</v>
      </c>
    </row>
    <row r="178" spans="1:16" s="385" customFormat="1" ht="27" hidden="1" customHeight="1">
      <c r="A178" s="399">
        <f t="shared" si="5"/>
        <v>85</v>
      </c>
      <c r="B178" s="477" t="s">
        <v>52</v>
      </c>
      <c r="C178" s="646" t="s">
        <v>683</v>
      </c>
      <c r="D178" s="456" t="str">
        <f>_xlfn.XLOOKUP(C178,EL!$E$4:$E$183,EL!$D$4:$D$183)</f>
        <v>Security (Cctv) Schematic Diagram For Level 1</v>
      </c>
      <c r="E178" s="597" t="str">
        <f>IF(VLOOKUP(C178,EL!$E$4:$AC$505,7,0)="","",VLOOKUP(C178,EL!$E$4:$AC$1004,7,0))</f>
        <v/>
      </c>
      <c r="F178" s="462"/>
      <c r="G178" s="458" t="str">
        <f>IF(VLOOKUP(C178,EL!$E$4:$AC$514,5,0)="","",VLOOKUP(C178,EL!$E$4:$AC$514,5,0))</f>
        <v/>
      </c>
      <c r="H178" s="459" t="str">
        <f>IF(ISNA(MATCH($C178,EL!$E$4:$E$1012,0)),"",
IF($E178=0,IF(INDEX(EL!$R$4:$R$1012,MATCH($C178,EL!$E$4:$E$1012,0))="","",INDEX(EL!$R$4:$R$1012,MATCH($C178,EL!$E$4:$E$1012,0))),
IF($E178=1,IF(INDEX(EL!$W$4:$W$1012,MATCH($C178,EL!$E$4:$E$1012,0))="","",INDEX(EL!$W$4:$W$1012,MATCH($C178,EL!$E$4:$E$1012,0))),
IF($E178=2,IF(INDEX(EL!$AB$4:$AB$1012,MATCH($C178,EL!$E$4:$E$1012,0))="","",INDEX(EL!$AB$4:$AB$1012,MATCH($C178,EL!$E$4:$E$1012,0))),
IF($E178=3,IF(INDEX(EL!$AG$4:$AG$1012,MATCH($C178,EL!$E$4:$E$1012,0))="","",INDEX(EL!$AG$4:$AG$1012,MATCH($C178,EL!$E$4:$E$1012,0))),
IF($E178=4,IF(INDEX(EL!$AN$4:$AN$1012,MATCH($C178,EL!$E$4:$E$1012,0))="","",INDEX(EL!$AN$4:$AN$1012,MATCH($C178,EL!$E$4:$E$1012,0))),
IF($E178=5,IF(INDEX(EL!$AS$4:$AS$1012,MATCH($C178,EL!$E$4:$E$1012,0))="","",INDEX(EL!$AS$4:$AS$1012,MATCH($C178,EL!$E$4:$E$1012,0))),"")))))))</f>
        <v/>
      </c>
      <c r="I178" s="459" t="str">
        <f>IF(ISNA(MATCH($C178,EL!$E$4:$E$1012,0)),"",
IF($E178=0,IF(INDEX(EL!$S$4:$S$1012,MATCH($C178,EL!$E$4:$E$1012,0))="","",INDEX(EL!$S$4:$S$1012,MATCH($C178,EL!$E$4:$E$1012,0))),
IF($E178=1,IF(INDEX(EL!$X$4:$X$1012,MATCH($C178,EL!$E$4:$E$1012,0))="","",INDEX(EL!$X$4:$X$1012,MATCH($C178,EL!$E$4:$E$1012,0))),
IF($E178=2,IF(INDEX(EL!$AC$4:$AC$1012,MATCH($C178,EL!$E$4:$E$1012,0))="","",INDEX(EL!$AC$4:$AC$1012,MATCH($C178,EL!$E$4:$E$1012,0))),
IF($E178=3,IF(INDEX(EL!$AH$4:$AH$1012,MATCH($C178,EL!$E$4:$E$1012,0))="","",INDEX(EL!$AH$4:$AH$1012,MATCH($C178,EL!$E$4:$E$1012,0))),
IF($E178=4,IF(INDEX(EL!$AM$4:$AM$1012,MATCH($C178,EL!$E$4:$E$1012,0))="","",INDEX(EL!$AM$4:$AM$1012,MATCH($C178,EL!$E$4:$E$1012,0))),
IF($E178=5,IF(INDEX(EL!$AR$4:$AR$1012,MATCH($C178,EL!$E$4:$E$1012,0))="","",INDEX(EL!$AR$4:$AR$1012,MATCH($C178,EL!$E$4:$E$1012,0))),"")))))))</f>
        <v/>
      </c>
      <c r="J178" s="459" t="str">
        <f>IF(ISNA(MATCH($C178,EL!$E$4:$E$1012,0)),"",
IF($E178=0,IF(INDEX(EL!$T$4:$T$1012,MATCH($C178,EL!$E$4:$E$1012,0))="","",INDEX(EL!$T$4:$T$1012,MATCH($C178,EL!$E$4:$E$1012,0))),
IF($E178=1,IF(INDEX(EL!$Y$4:$Y$1012,MATCH($C178,EL!$E$4:$E$1012,0))="","",INDEX(EL!$Y$4:$Y$1012,MATCH($C178,EL!$E$4:$E$1012,0))),
IF($E178=2,IF(INDEX(EL!$AD$4:$AD$1012,MATCH($C178,EL!$E$4:$E$1012,0))="","",INDEX(EL!$AD$4:$AD$1012,MATCH($C178,EL!$E$4:$E$1012,0))),
IF($E178=3,IF(INDEX(EL!$AI$4:$AI$1012,MATCH($C178,EL!$E$4:$E$1012,0))="","",INDEX(EL!$AI$4:$AI$1012,MATCH($C178,EL!$E$4:$E$1012,0))),
IF($E178=4,IF(INDEX(EL!$AN$4:$AN$1012,MATCH($C178,EL!$E$4:$E$1012,0))="","",INDEX(EL!$AN$4:$AN$1012,MATCH($C178,EL!$E$4:$E$1012,0))),
IF($E178=5,IF(INDEX(EL!$AS$4:$AS$1012,MATCH($C178,EL!$E$4:$E$1012,0))="","",INDEX(EL!$AS$4:$AS$1012,MATCH($C178,EL!$E$4:$E$1012,0))),"")))))))</f>
        <v/>
      </c>
      <c r="K178" s="459">
        <f>EL!L91</f>
        <v>0</v>
      </c>
      <c r="L178" s="460" t="e" cm="1">
        <f t="array" aca="1" ref="L178" ca="1">_xlfn.IFS(AND($E178&lt;&gt;"",$M178="Pending",$K178="CTA"),TODAY()-$G178,AND($E178&lt;&gt;"",$M178="Pending",$K178="AUR"),TODAY()-$H178,AND($E178&lt;&gt;"",$M178="Pending",$K178="STT"),TODAY()-$I178,OR(K178="Closed",K178=""),"")</f>
        <v>#N/A</v>
      </c>
      <c r="M178" s="461">
        <f>VLOOKUP(C178,EL!$E$4:$AC$622,9,0)</f>
        <v>0</v>
      </c>
      <c r="N178" s="461" t="str">
        <f t="shared" si="4"/>
        <v/>
      </c>
      <c r="O178" s="739" t="str">
        <f>EL!O91</f>
        <v>GC</v>
      </c>
      <c r="P178" s="746" t="str">
        <v>NO</v>
      </c>
    </row>
    <row r="179" spans="1:16" s="385" customFormat="1" ht="27" hidden="1" customHeight="1">
      <c r="A179" s="399">
        <f t="shared" si="5"/>
        <v>86</v>
      </c>
      <c r="B179" s="477" t="s">
        <v>52</v>
      </c>
      <c r="C179" s="646" t="s">
        <v>687</v>
      </c>
      <c r="D179" s="456" t="str">
        <f>_xlfn.XLOOKUP(C179,EL!$E$4:$E$183,EL!$D$4:$D$183)</f>
        <v>Security (Cctv) Schematic Diagram For Level 2</v>
      </c>
      <c r="E179" s="597" t="str">
        <f>IF(VLOOKUP(C179,EL!$E$4:$AC$505,7,0)="","",VLOOKUP(C179,EL!$E$4:$AC$1004,7,0))</f>
        <v/>
      </c>
      <c r="F179" s="462"/>
      <c r="G179" s="458" t="str">
        <f>IF(VLOOKUP(C179,EL!$E$4:$AC$514,5,0)="","",VLOOKUP(C179,EL!$E$4:$AC$514,5,0))</f>
        <v/>
      </c>
      <c r="H179" s="459" t="str">
        <f>IF(ISNA(MATCH($C179,EL!$E$4:$E$1012,0)),"",
IF($E179=0,IF(INDEX(EL!$R$4:$R$1012,MATCH($C179,EL!$E$4:$E$1012,0))="","",INDEX(EL!$R$4:$R$1012,MATCH($C179,EL!$E$4:$E$1012,0))),
IF($E179=1,IF(INDEX(EL!$W$4:$W$1012,MATCH($C179,EL!$E$4:$E$1012,0))="","",INDEX(EL!$W$4:$W$1012,MATCH($C179,EL!$E$4:$E$1012,0))),
IF($E179=2,IF(INDEX(EL!$AB$4:$AB$1012,MATCH($C179,EL!$E$4:$E$1012,0))="","",INDEX(EL!$AB$4:$AB$1012,MATCH($C179,EL!$E$4:$E$1012,0))),
IF($E179=3,IF(INDEX(EL!$AG$4:$AG$1012,MATCH($C179,EL!$E$4:$E$1012,0))="","",INDEX(EL!$AG$4:$AG$1012,MATCH($C179,EL!$E$4:$E$1012,0))),
IF($E179=4,IF(INDEX(EL!$AN$4:$AN$1012,MATCH($C179,EL!$E$4:$E$1012,0))="","",INDEX(EL!$AN$4:$AN$1012,MATCH($C179,EL!$E$4:$E$1012,0))),
IF($E179=5,IF(INDEX(EL!$AS$4:$AS$1012,MATCH($C179,EL!$E$4:$E$1012,0))="","",INDEX(EL!$AS$4:$AS$1012,MATCH($C179,EL!$E$4:$E$1012,0))),"")))))))</f>
        <v/>
      </c>
      <c r="I179" s="459" t="str">
        <f>IF(ISNA(MATCH($C179,EL!$E$4:$E$1012,0)),"",
IF($E179=0,IF(INDEX(EL!$S$4:$S$1012,MATCH($C179,EL!$E$4:$E$1012,0))="","",INDEX(EL!$S$4:$S$1012,MATCH($C179,EL!$E$4:$E$1012,0))),
IF($E179=1,IF(INDEX(EL!$X$4:$X$1012,MATCH($C179,EL!$E$4:$E$1012,0))="","",INDEX(EL!$X$4:$X$1012,MATCH($C179,EL!$E$4:$E$1012,0))),
IF($E179=2,IF(INDEX(EL!$AC$4:$AC$1012,MATCH($C179,EL!$E$4:$E$1012,0))="","",INDEX(EL!$AC$4:$AC$1012,MATCH($C179,EL!$E$4:$E$1012,0))),
IF($E179=3,IF(INDEX(EL!$AH$4:$AH$1012,MATCH($C179,EL!$E$4:$E$1012,0))="","",INDEX(EL!$AH$4:$AH$1012,MATCH($C179,EL!$E$4:$E$1012,0))),
IF($E179=4,IF(INDEX(EL!$AM$4:$AM$1012,MATCH($C179,EL!$E$4:$E$1012,0))="","",INDEX(EL!$AM$4:$AM$1012,MATCH($C179,EL!$E$4:$E$1012,0))),
IF($E179=5,IF(INDEX(EL!$AR$4:$AR$1012,MATCH($C179,EL!$E$4:$E$1012,0))="","",INDEX(EL!$AR$4:$AR$1012,MATCH($C179,EL!$E$4:$E$1012,0))),"")))))))</f>
        <v/>
      </c>
      <c r="J179" s="459" t="str">
        <f>IF(ISNA(MATCH($C179,EL!$E$4:$E$1012,0)),"",
IF($E179=0,IF(INDEX(EL!$T$4:$T$1012,MATCH($C179,EL!$E$4:$E$1012,0))="","",INDEX(EL!$T$4:$T$1012,MATCH($C179,EL!$E$4:$E$1012,0))),
IF($E179=1,IF(INDEX(EL!$Y$4:$Y$1012,MATCH($C179,EL!$E$4:$E$1012,0))="","",INDEX(EL!$Y$4:$Y$1012,MATCH($C179,EL!$E$4:$E$1012,0))),
IF($E179=2,IF(INDEX(EL!$AD$4:$AD$1012,MATCH($C179,EL!$E$4:$E$1012,0))="","",INDEX(EL!$AD$4:$AD$1012,MATCH($C179,EL!$E$4:$E$1012,0))),
IF($E179=3,IF(INDEX(EL!$AI$4:$AI$1012,MATCH($C179,EL!$E$4:$E$1012,0))="","",INDEX(EL!$AI$4:$AI$1012,MATCH($C179,EL!$E$4:$E$1012,0))),
IF($E179=4,IF(INDEX(EL!$AN$4:$AN$1012,MATCH($C179,EL!$E$4:$E$1012,0))="","",INDEX(EL!$AN$4:$AN$1012,MATCH($C179,EL!$E$4:$E$1012,0))),
IF($E179=5,IF(INDEX(EL!$AS$4:$AS$1012,MATCH($C179,EL!$E$4:$E$1012,0))="","",INDEX(EL!$AS$4:$AS$1012,MATCH($C179,EL!$E$4:$E$1012,0))),"")))))))</f>
        <v/>
      </c>
      <c r="K179" s="459">
        <f>EL!L92</f>
        <v>0</v>
      </c>
      <c r="L179" s="460" t="e" cm="1">
        <f t="array" aca="1" ref="L179" ca="1">_xlfn.IFS(AND($E179&lt;&gt;"",$M179="Pending",$K179="CTA"),TODAY()-$G179,AND($E179&lt;&gt;"",$M179="Pending",$K179="AUR"),TODAY()-$H179,AND($E179&lt;&gt;"",$M179="Pending",$K179="STT"),TODAY()-$I179,OR(K179="Closed",K179=""),"")</f>
        <v>#N/A</v>
      </c>
      <c r="M179" s="461">
        <f>VLOOKUP(C179,EL!$E$4:$AC$622,9,0)</f>
        <v>0</v>
      </c>
      <c r="N179" s="461" t="str">
        <f t="shared" si="4"/>
        <v/>
      </c>
      <c r="O179" s="739" t="str">
        <f>EL!O92</f>
        <v>GC</v>
      </c>
      <c r="P179" s="746" t="str">
        <v>NO</v>
      </c>
    </row>
    <row r="180" spans="1:16" s="385" customFormat="1" ht="27" hidden="1" customHeight="1">
      <c r="A180" s="399">
        <f t="shared" ref="A180:A211" si="6">A179+1</f>
        <v>87</v>
      </c>
      <c r="B180" s="477" t="s">
        <v>52</v>
      </c>
      <c r="C180" s="646" t="s">
        <v>690</v>
      </c>
      <c r="D180" s="456" t="str">
        <f>_xlfn.XLOOKUP(C180,EL!$E$4:$E$183,EL!$D$4:$D$183)</f>
        <v>Security (Cctv) Schematic Diagram For Level 6</v>
      </c>
      <c r="E180" s="597" t="str">
        <f>IF(VLOOKUP(C180,EL!$E$4:$AC$505,7,0)="","",VLOOKUP(C180,EL!$E$4:$AC$1004,7,0))</f>
        <v/>
      </c>
      <c r="F180" s="462"/>
      <c r="G180" s="458" t="str">
        <f>IF(VLOOKUP(C180,EL!$E$4:$AC$514,5,0)="","",VLOOKUP(C180,EL!$E$4:$AC$514,5,0))</f>
        <v/>
      </c>
      <c r="H180" s="459" t="str">
        <f>IF(ISNA(MATCH($C180,EL!$E$4:$E$1012,0)),"",
IF($E180=0,IF(INDEX(EL!$R$4:$R$1012,MATCH($C180,EL!$E$4:$E$1012,0))="","",INDEX(EL!$R$4:$R$1012,MATCH($C180,EL!$E$4:$E$1012,0))),
IF($E180=1,IF(INDEX(EL!$W$4:$W$1012,MATCH($C180,EL!$E$4:$E$1012,0))="","",INDEX(EL!$W$4:$W$1012,MATCH($C180,EL!$E$4:$E$1012,0))),
IF($E180=2,IF(INDEX(EL!$AB$4:$AB$1012,MATCH($C180,EL!$E$4:$E$1012,0))="","",INDEX(EL!$AB$4:$AB$1012,MATCH($C180,EL!$E$4:$E$1012,0))),
IF($E180=3,IF(INDEX(EL!$AG$4:$AG$1012,MATCH($C180,EL!$E$4:$E$1012,0))="","",INDEX(EL!$AG$4:$AG$1012,MATCH($C180,EL!$E$4:$E$1012,0))),
IF($E180=4,IF(INDEX(EL!$AN$4:$AN$1012,MATCH($C180,EL!$E$4:$E$1012,0))="","",INDEX(EL!$AN$4:$AN$1012,MATCH($C180,EL!$E$4:$E$1012,0))),
IF($E180=5,IF(INDEX(EL!$AS$4:$AS$1012,MATCH($C180,EL!$E$4:$E$1012,0))="","",INDEX(EL!$AS$4:$AS$1012,MATCH($C180,EL!$E$4:$E$1012,0))),"")))))))</f>
        <v/>
      </c>
      <c r="I180" s="459" t="str">
        <f>IF(ISNA(MATCH($C180,EL!$E$4:$E$1012,0)),"",
IF($E180=0,IF(INDEX(EL!$S$4:$S$1012,MATCH($C180,EL!$E$4:$E$1012,0))="","",INDEX(EL!$S$4:$S$1012,MATCH($C180,EL!$E$4:$E$1012,0))),
IF($E180=1,IF(INDEX(EL!$X$4:$X$1012,MATCH($C180,EL!$E$4:$E$1012,0))="","",INDEX(EL!$X$4:$X$1012,MATCH($C180,EL!$E$4:$E$1012,0))),
IF($E180=2,IF(INDEX(EL!$AC$4:$AC$1012,MATCH($C180,EL!$E$4:$E$1012,0))="","",INDEX(EL!$AC$4:$AC$1012,MATCH($C180,EL!$E$4:$E$1012,0))),
IF($E180=3,IF(INDEX(EL!$AH$4:$AH$1012,MATCH($C180,EL!$E$4:$E$1012,0))="","",INDEX(EL!$AH$4:$AH$1012,MATCH($C180,EL!$E$4:$E$1012,0))),
IF($E180=4,IF(INDEX(EL!$AM$4:$AM$1012,MATCH($C180,EL!$E$4:$E$1012,0))="","",INDEX(EL!$AM$4:$AM$1012,MATCH($C180,EL!$E$4:$E$1012,0))),
IF($E180=5,IF(INDEX(EL!$AR$4:$AR$1012,MATCH($C180,EL!$E$4:$E$1012,0))="","",INDEX(EL!$AR$4:$AR$1012,MATCH($C180,EL!$E$4:$E$1012,0))),"")))))))</f>
        <v/>
      </c>
      <c r="J180" s="459" t="str">
        <f>IF(ISNA(MATCH($C180,EL!$E$4:$E$1012,0)),"",
IF($E180=0,IF(INDEX(EL!$T$4:$T$1012,MATCH($C180,EL!$E$4:$E$1012,0))="","",INDEX(EL!$T$4:$T$1012,MATCH($C180,EL!$E$4:$E$1012,0))),
IF($E180=1,IF(INDEX(EL!$Y$4:$Y$1012,MATCH($C180,EL!$E$4:$E$1012,0))="","",INDEX(EL!$Y$4:$Y$1012,MATCH($C180,EL!$E$4:$E$1012,0))),
IF($E180=2,IF(INDEX(EL!$AD$4:$AD$1012,MATCH($C180,EL!$E$4:$E$1012,0))="","",INDEX(EL!$AD$4:$AD$1012,MATCH($C180,EL!$E$4:$E$1012,0))),
IF($E180=3,IF(INDEX(EL!$AI$4:$AI$1012,MATCH($C180,EL!$E$4:$E$1012,0))="","",INDEX(EL!$AI$4:$AI$1012,MATCH($C180,EL!$E$4:$E$1012,0))),
IF($E180=4,IF(INDEX(EL!$AN$4:$AN$1012,MATCH($C180,EL!$E$4:$E$1012,0))="","",INDEX(EL!$AN$4:$AN$1012,MATCH($C180,EL!$E$4:$E$1012,0))),
IF($E180=5,IF(INDEX(EL!$AS$4:$AS$1012,MATCH($C180,EL!$E$4:$E$1012,0))="","",INDEX(EL!$AS$4:$AS$1012,MATCH($C180,EL!$E$4:$E$1012,0))),"")))))))</f>
        <v/>
      </c>
      <c r="K180" s="459">
        <f>EL!L93</f>
        <v>0</v>
      </c>
      <c r="L180" s="460" t="e" cm="1">
        <f t="array" aca="1" ref="L180" ca="1">_xlfn.IFS(AND($E180&lt;&gt;"",$M180="Pending",$K180="CTA"),TODAY()-$G180,AND($E180&lt;&gt;"",$M180="Pending",$K180="AUR"),TODAY()-$H180,AND($E180&lt;&gt;"",$M180="Pending",$K180="STT"),TODAY()-$I180,OR(K180="Closed",K180=""),"")</f>
        <v>#N/A</v>
      </c>
      <c r="M180" s="461">
        <f>VLOOKUP(C180,EL!$E$4:$AC$622,9,0)</f>
        <v>0</v>
      </c>
      <c r="N180" s="461" t="str">
        <f t="shared" si="4"/>
        <v/>
      </c>
      <c r="O180" s="739" t="str">
        <f>EL!O93</f>
        <v>GC</v>
      </c>
      <c r="P180" s="746" t="str">
        <v>NO</v>
      </c>
    </row>
    <row r="181" spans="1:16" s="385" customFormat="1" ht="27" hidden="1" customHeight="1">
      <c r="A181" s="399">
        <f t="shared" si="6"/>
        <v>88</v>
      </c>
      <c r="B181" s="477" t="s">
        <v>52</v>
      </c>
      <c r="C181" s="646" t="s">
        <v>693</v>
      </c>
      <c r="D181" s="456" t="str">
        <f>_xlfn.XLOOKUP(C181,EL!$E$4:$E$183,EL!$D$4:$D$183)</f>
        <v>Security (Cctv) Schematic Diagram For Level Roof</v>
      </c>
      <c r="E181" s="597" t="str">
        <f>IF(VLOOKUP(C181,EL!$E$4:$AC$505,7,0)="","",VLOOKUP(C181,EL!$E$4:$AC$1004,7,0))</f>
        <v/>
      </c>
      <c r="F181" s="462"/>
      <c r="G181" s="458" t="str">
        <f>IF(VLOOKUP(C181,EL!$E$4:$AC$514,5,0)="","",VLOOKUP(C181,EL!$E$4:$AC$514,5,0))</f>
        <v/>
      </c>
      <c r="H181" s="459" t="str">
        <f>IF(ISNA(MATCH($C181,EL!$E$4:$E$1012,0)),"",
IF($E181=0,IF(INDEX(EL!$R$4:$R$1012,MATCH($C181,EL!$E$4:$E$1012,0))="","",INDEX(EL!$R$4:$R$1012,MATCH($C181,EL!$E$4:$E$1012,0))),
IF($E181=1,IF(INDEX(EL!$W$4:$W$1012,MATCH($C181,EL!$E$4:$E$1012,0))="","",INDEX(EL!$W$4:$W$1012,MATCH($C181,EL!$E$4:$E$1012,0))),
IF($E181=2,IF(INDEX(EL!$AB$4:$AB$1012,MATCH($C181,EL!$E$4:$E$1012,0))="","",INDEX(EL!$AB$4:$AB$1012,MATCH($C181,EL!$E$4:$E$1012,0))),
IF($E181=3,IF(INDEX(EL!$AG$4:$AG$1012,MATCH($C181,EL!$E$4:$E$1012,0))="","",INDEX(EL!$AG$4:$AG$1012,MATCH($C181,EL!$E$4:$E$1012,0))),
IF($E181=4,IF(INDEX(EL!$AN$4:$AN$1012,MATCH($C181,EL!$E$4:$E$1012,0))="","",INDEX(EL!$AN$4:$AN$1012,MATCH($C181,EL!$E$4:$E$1012,0))),
IF($E181=5,IF(INDEX(EL!$AS$4:$AS$1012,MATCH($C181,EL!$E$4:$E$1012,0))="","",INDEX(EL!$AS$4:$AS$1012,MATCH($C181,EL!$E$4:$E$1012,0))),"")))))))</f>
        <v/>
      </c>
      <c r="I181" s="459" t="str">
        <f>IF(ISNA(MATCH($C181,EL!$E$4:$E$1012,0)),"",
IF($E181=0,IF(INDEX(EL!$S$4:$S$1012,MATCH($C181,EL!$E$4:$E$1012,0))="","",INDEX(EL!$S$4:$S$1012,MATCH($C181,EL!$E$4:$E$1012,0))),
IF($E181=1,IF(INDEX(EL!$X$4:$X$1012,MATCH($C181,EL!$E$4:$E$1012,0))="","",INDEX(EL!$X$4:$X$1012,MATCH($C181,EL!$E$4:$E$1012,0))),
IF($E181=2,IF(INDEX(EL!$AC$4:$AC$1012,MATCH($C181,EL!$E$4:$E$1012,0))="","",INDEX(EL!$AC$4:$AC$1012,MATCH($C181,EL!$E$4:$E$1012,0))),
IF($E181=3,IF(INDEX(EL!$AH$4:$AH$1012,MATCH($C181,EL!$E$4:$E$1012,0))="","",INDEX(EL!$AH$4:$AH$1012,MATCH($C181,EL!$E$4:$E$1012,0))),
IF($E181=4,IF(INDEX(EL!$AM$4:$AM$1012,MATCH($C181,EL!$E$4:$E$1012,0))="","",INDEX(EL!$AM$4:$AM$1012,MATCH($C181,EL!$E$4:$E$1012,0))),
IF($E181=5,IF(INDEX(EL!$AR$4:$AR$1012,MATCH($C181,EL!$E$4:$E$1012,0))="","",INDEX(EL!$AR$4:$AR$1012,MATCH($C181,EL!$E$4:$E$1012,0))),"")))))))</f>
        <v/>
      </c>
      <c r="J181" s="459" t="str">
        <f>IF(ISNA(MATCH($C181,EL!$E$4:$E$1012,0)),"",
IF($E181=0,IF(INDEX(EL!$T$4:$T$1012,MATCH($C181,EL!$E$4:$E$1012,0))="","",INDEX(EL!$T$4:$T$1012,MATCH($C181,EL!$E$4:$E$1012,0))),
IF($E181=1,IF(INDEX(EL!$Y$4:$Y$1012,MATCH($C181,EL!$E$4:$E$1012,0))="","",INDEX(EL!$Y$4:$Y$1012,MATCH($C181,EL!$E$4:$E$1012,0))),
IF($E181=2,IF(INDEX(EL!$AD$4:$AD$1012,MATCH($C181,EL!$E$4:$E$1012,0))="","",INDEX(EL!$AD$4:$AD$1012,MATCH($C181,EL!$E$4:$E$1012,0))),
IF($E181=3,IF(INDEX(EL!$AI$4:$AI$1012,MATCH($C181,EL!$E$4:$E$1012,0))="","",INDEX(EL!$AI$4:$AI$1012,MATCH($C181,EL!$E$4:$E$1012,0))),
IF($E181=4,IF(INDEX(EL!$AN$4:$AN$1012,MATCH($C181,EL!$E$4:$E$1012,0))="","",INDEX(EL!$AN$4:$AN$1012,MATCH($C181,EL!$E$4:$E$1012,0))),
IF($E181=5,IF(INDEX(EL!$AS$4:$AS$1012,MATCH($C181,EL!$E$4:$E$1012,0))="","",INDEX(EL!$AS$4:$AS$1012,MATCH($C181,EL!$E$4:$E$1012,0))),"")))))))</f>
        <v/>
      </c>
      <c r="K181" s="459">
        <f>EL!L94</f>
        <v>0</v>
      </c>
      <c r="L181" s="460" t="e" cm="1">
        <f t="array" aca="1" ref="L181" ca="1">_xlfn.IFS(AND($E181&lt;&gt;"",$M181="Pending",$K181="CTA"),TODAY()-$G181,AND($E181&lt;&gt;"",$M181="Pending",$K181="AUR"),TODAY()-$H181,AND($E181&lt;&gt;"",$M181="Pending",$K181="STT"),TODAY()-$I181,OR(K181="Closed",K181=""),"")</f>
        <v>#N/A</v>
      </c>
      <c r="M181" s="461">
        <f>VLOOKUP(C181,EL!$E$4:$AC$622,9,0)</f>
        <v>0</v>
      </c>
      <c r="N181" s="461" t="str">
        <f t="shared" si="4"/>
        <v/>
      </c>
      <c r="O181" s="739" t="str">
        <f>EL!O94</f>
        <v>GC</v>
      </c>
      <c r="P181" s="746" t="str">
        <v>NO</v>
      </c>
    </row>
    <row r="182" spans="1:16" s="385" customFormat="1" ht="27" hidden="1" customHeight="1">
      <c r="A182" s="399">
        <f t="shared" si="6"/>
        <v>89</v>
      </c>
      <c r="B182" s="477" t="s">
        <v>52</v>
      </c>
      <c r="C182" s="646" t="s">
        <v>696</v>
      </c>
      <c r="D182" s="456" t="str">
        <f>_xlfn.XLOOKUP(C182,EL!$E$4:$E$183,EL!$D$4:$D$183)</f>
        <v>Security (Acs) Schematic Diagram For Level 1</v>
      </c>
      <c r="E182" s="597" t="str">
        <f>IF(VLOOKUP(C182,EL!$E$4:$AC$505,7,0)="","",VLOOKUP(C182,EL!$E$4:$AC$1004,7,0))</f>
        <v/>
      </c>
      <c r="F182" s="462"/>
      <c r="G182" s="458" t="str">
        <f>IF(VLOOKUP(C182,EL!$E$4:$AC$514,5,0)="","",VLOOKUP(C182,EL!$E$4:$AC$514,5,0))</f>
        <v/>
      </c>
      <c r="H182" s="459" t="str">
        <f>IF(ISNA(MATCH($C182,EL!$E$4:$E$1012,0)),"",
IF($E182=0,IF(INDEX(EL!$R$4:$R$1012,MATCH($C182,EL!$E$4:$E$1012,0))="","",INDEX(EL!$R$4:$R$1012,MATCH($C182,EL!$E$4:$E$1012,0))),
IF($E182=1,IF(INDEX(EL!$W$4:$W$1012,MATCH($C182,EL!$E$4:$E$1012,0))="","",INDEX(EL!$W$4:$W$1012,MATCH($C182,EL!$E$4:$E$1012,0))),
IF($E182=2,IF(INDEX(EL!$AB$4:$AB$1012,MATCH($C182,EL!$E$4:$E$1012,0))="","",INDEX(EL!$AB$4:$AB$1012,MATCH($C182,EL!$E$4:$E$1012,0))),
IF($E182=3,IF(INDEX(EL!$AG$4:$AG$1012,MATCH($C182,EL!$E$4:$E$1012,0))="","",INDEX(EL!$AG$4:$AG$1012,MATCH($C182,EL!$E$4:$E$1012,0))),
IF($E182=4,IF(INDEX(EL!$AN$4:$AN$1012,MATCH($C182,EL!$E$4:$E$1012,0))="","",INDEX(EL!$AN$4:$AN$1012,MATCH($C182,EL!$E$4:$E$1012,0))),
IF($E182=5,IF(INDEX(EL!$AS$4:$AS$1012,MATCH($C182,EL!$E$4:$E$1012,0))="","",INDEX(EL!$AS$4:$AS$1012,MATCH($C182,EL!$E$4:$E$1012,0))),"")))))))</f>
        <v/>
      </c>
      <c r="I182" s="459" t="str">
        <f>IF(ISNA(MATCH($C182,EL!$E$4:$E$1012,0)),"",
IF($E182=0,IF(INDEX(EL!$S$4:$S$1012,MATCH($C182,EL!$E$4:$E$1012,0))="","",INDEX(EL!$S$4:$S$1012,MATCH($C182,EL!$E$4:$E$1012,0))),
IF($E182=1,IF(INDEX(EL!$X$4:$X$1012,MATCH($C182,EL!$E$4:$E$1012,0))="","",INDEX(EL!$X$4:$X$1012,MATCH($C182,EL!$E$4:$E$1012,0))),
IF($E182=2,IF(INDEX(EL!$AC$4:$AC$1012,MATCH($C182,EL!$E$4:$E$1012,0))="","",INDEX(EL!$AC$4:$AC$1012,MATCH($C182,EL!$E$4:$E$1012,0))),
IF($E182=3,IF(INDEX(EL!$AH$4:$AH$1012,MATCH($C182,EL!$E$4:$E$1012,0))="","",INDEX(EL!$AH$4:$AH$1012,MATCH($C182,EL!$E$4:$E$1012,0))),
IF($E182=4,IF(INDEX(EL!$AM$4:$AM$1012,MATCH($C182,EL!$E$4:$E$1012,0))="","",INDEX(EL!$AM$4:$AM$1012,MATCH($C182,EL!$E$4:$E$1012,0))),
IF($E182=5,IF(INDEX(EL!$AR$4:$AR$1012,MATCH($C182,EL!$E$4:$E$1012,0))="","",INDEX(EL!$AR$4:$AR$1012,MATCH($C182,EL!$E$4:$E$1012,0))),"")))))))</f>
        <v/>
      </c>
      <c r="J182" s="459" t="str">
        <f>IF(ISNA(MATCH($C182,EL!$E$4:$E$1012,0)),"",
IF($E182=0,IF(INDEX(EL!$T$4:$T$1012,MATCH($C182,EL!$E$4:$E$1012,0))="","",INDEX(EL!$T$4:$T$1012,MATCH($C182,EL!$E$4:$E$1012,0))),
IF($E182=1,IF(INDEX(EL!$Y$4:$Y$1012,MATCH($C182,EL!$E$4:$E$1012,0))="","",INDEX(EL!$Y$4:$Y$1012,MATCH($C182,EL!$E$4:$E$1012,0))),
IF($E182=2,IF(INDEX(EL!$AD$4:$AD$1012,MATCH($C182,EL!$E$4:$E$1012,0))="","",INDEX(EL!$AD$4:$AD$1012,MATCH($C182,EL!$E$4:$E$1012,0))),
IF($E182=3,IF(INDEX(EL!$AI$4:$AI$1012,MATCH($C182,EL!$E$4:$E$1012,0))="","",INDEX(EL!$AI$4:$AI$1012,MATCH($C182,EL!$E$4:$E$1012,0))),
IF($E182=4,IF(INDEX(EL!$AN$4:$AN$1012,MATCH($C182,EL!$E$4:$E$1012,0))="","",INDEX(EL!$AN$4:$AN$1012,MATCH($C182,EL!$E$4:$E$1012,0))),
IF($E182=5,IF(INDEX(EL!$AS$4:$AS$1012,MATCH($C182,EL!$E$4:$E$1012,0))="","",INDEX(EL!$AS$4:$AS$1012,MATCH($C182,EL!$E$4:$E$1012,0))),"")))))))</f>
        <v/>
      </c>
      <c r="K182" s="459">
        <f>EL!L95</f>
        <v>0</v>
      </c>
      <c r="L182" s="460" t="e" cm="1">
        <f t="array" aca="1" ref="L182" ca="1">_xlfn.IFS(AND($E182&lt;&gt;"",$M182="Pending",$K182="CTA"),TODAY()-$G182,AND($E182&lt;&gt;"",$M182="Pending",$K182="AUR"),TODAY()-$H182,AND($E182&lt;&gt;"",$M182="Pending",$K182="STT"),TODAY()-$I182,OR(K182="Closed",K182=""),"")</f>
        <v>#N/A</v>
      </c>
      <c r="M182" s="461">
        <f>VLOOKUP(C182,EL!$E$4:$AC$622,9,0)</f>
        <v>0</v>
      </c>
      <c r="N182" s="461" t="str">
        <f t="shared" si="4"/>
        <v/>
      </c>
      <c r="O182" s="739" t="str">
        <f>EL!O95</f>
        <v>GC</v>
      </c>
      <c r="P182" s="746" t="str">
        <v>NO</v>
      </c>
    </row>
    <row r="183" spans="1:16" s="385" customFormat="1" ht="27" hidden="1" customHeight="1">
      <c r="A183" s="399">
        <f t="shared" si="6"/>
        <v>90</v>
      </c>
      <c r="B183" s="477" t="s">
        <v>52</v>
      </c>
      <c r="C183" s="646" t="s">
        <v>699</v>
      </c>
      <c r="D183" s="456" t="str">
        <f>_xlfn.XLOOKUP(C183,EL!$E$4:$E$183,EL!$D$4:$D$183)</f>
        <v>Security (Acs) Schematic Diagram For Level 2</v>
      </c>
      <c r="E183" s="597" t="str">
        <f>IF(VLOOKUP(C183,EL!$E$4:$AC$505,7,0)="","",VLOOKUP(C183,EL!$E$4:$AC$1004,7,0))</f>
        <v/>
      </c>
      <c r="F183" s="462"/>
      <c r="G183" s="458" t="str">
        <f>IF(VLOOKUP(C183,EL!$E$4:$AC$514,5,0)="","",VLOOKUP(C183,EL!$E$4:$AC$514,5,0))</f>
        <v/>
      </c>
      <c r="H183" s="459" t="str">
        <f>IF(ISNA(MATCH($C183,EL!$E$4:$E$1012,0)),"",
IF($E183=0,IF(INDEX(EL!$R$4:$R$1012,MATCH($C183,EL!$E$4:$E$1012,0))="","",INDEX(EL!$R$4:$R$1012,MATCH($C183,EL!$E$4:$E$1012,0))),
IF($E183=1,IF(INDEX(EL!$W$4:$W$1012,MATCH($C183,EL!$E$4:$E$1012,0))="","",INDEX(EL!$W$4:$W$1012,MATCH($C183,EL!$E$4:$E$1012,0))),
IF($E183=2,IF(INDEX(EL!$AB$4:$AB$1012,MATCH($C183,EL!$E$4:$E$1012,0))="","",INDEX(EL!$AB$4:$AB$1012,MATCH($C183,EL!$E$4:$E$1012,0))),
IF($E183=3,IF(INDEX(EL!$AG$4:$AG$1012,MATCH($C183,EL!$E$4:$E$1012,0))="","",INDEX(EL!$AG$4:$AG$1012,MATCH($C183,EL!$E$4:$E$1012,0))),
IF($E183=4,IF(INDEX(EL!$AN$4:$AN$1012,MATCH($C183,EL!$E$4:$E$1012,0))="","",INDEX(EL!$AN$4:$AN$1012,MATCH($C183,EL!$E$4:$E$1012,0))),
IF($E183=5,IF(INDEX(EL!$AS$4:$AS$1012,MATCH($C183,EL!$E$4:$E$1012,0))="","",INDEX(EL!$AS$4:$AS$1012,MATCH($C183,EL!$E$4:$E$1012,0))),"")))))))</f>
        <v/>
      </c>
      <c r="I183" s="459" t="str">
        <f>IF(ISNA(MATCH($C183,EL!$E$4:$E$1012,0)),"",
IF($E183=0,IF(INDEX(EL!$S$4:$S$1012,MATCH($C183,EL!$E$4:$E$1012,0))="","",INDEX(EL!$S$4:$S$1012,MATCH($C183,EL!$E$4:$E$1012,0))),
IF($E183=1,IF(INDEX(EL!$X$4:$X$1012,MATCH($C183,EL!$E$4:$E$1012,0))="","",INDEX(EL!$X$4:$X$1012,MATCH($C183,EL!$E$4:$E$1012,0))),
IF($E183=2,IF(INDEX(EL!$AC$4:$AC$1012,MATCH($C183,EL!$E$4:$E$1012,0))="","",INDEX(EL!$AC$4:$AC$1012,MATCH($C183,EL!$E$4:$E$1012,0))),
IF($E183=3,IF(INDEX(EL!$AH$4:$AH$1012,MATCH($C183,EL!$E$4:$E$1012,0))="","",INDEX(EL!$AH$4:$AH$1012,MATCH($C183,EL!$E$4:$E$1012,0))),
IF($E183=4,IF(INDEX(EL!$AM$4:$AM$1012,MATCH($C183,EL!$E$4:$E$1012,0))="","",INDEX(EL!$AM$4:$AM$1012,MATCH($C183,EL!$E$4:$E$1012,0))),
IF($E183=5,IF(INDEX(EL!$AR$4:$AR$1012,MATCH($C183,EL!$E$4:$E$1012,0))="","",INDEX(EL!$AR$4:$AR$1012,MATCH($C183,EL!$E$4:$E$1012,0))),"")))))))</f>
        <v/>
      </c>
      <c r="J183" s="459" t="str">
        <f>IF(ISNA(MATCH($C183,EL!$E$4:$E$1012,0)),"",
IF($E183=0,IF(INDEX(EL!$T$4:$T$1012,MATCH($C183,EL!$E$4:$E$1012,0))="","",INDEX(EL!$T$4:$T$1012,MATCH($C183,EL!$E$4:$E$1012,0))),
IF($E183=1,IF(INDEX(EL!$Y$4:$Y$1012,MATCH($C183,EL!$E$4:$E$1012,0))="","",INDEX(EL!$Y$4:$Y$1012,MATCH($C183,EL!$E$4:$E$1012,0))),
IF($E183=2,IF(INDEX(EL!$AD$4:$AD$1012,MATCH($C183,EL!$E$4:$E$1012,0))="","",INDEX(EL!$AD$4:$AD$1012,MATCH($C183,EL!$E$4:$E$1012,0))),
IF($E183=3,IF(INDEX(EL!$AI$4:$AI$1012,MATCH($C183,EL!$E$4:$E$1012,0))="","",INDEX(EL!$AI$4:$AI$1012,MATCH($C183,EL!$E$4:$E$1012,0))),
IF($E183=4,IF(INDEX(EL!$AN$4:$AN$1012,MATCH($C183,EL!$E$4:$E$1012,0))="","",INDEX(EL!$AN$4:$AN$1012,MATCH($C183,EL!$E$4:$E$1012,0))),
IF($E183=5,IF(INDEX(EL!$AS$4:$AS$1012,MATCH($C183,EL!$E$4:$E$1012,0))="","",INDEX(EL!$AS$4:$AS$1012,MATCH($C183,EL!$E$4:$E$1012,0))),"")))))))</f>
        <v/>
      </c>
      <c r="K183" s="459">
        <f>EL!L96</f>
        <v>0</v>
      </c>
      <c r="L183" s="460" t="e" cm="1">
        <f t="array" aca="1" ref="L183" ca="1">_xlfn.IFS(AND($E183&lt;&gt;"",$M183="Pending",$K183="CTA"),TODAY()-$G183,AND($E183&lt;&gt;"",$M183="Pending",$K183="AUR"),TODAY()-$H183,AND($E183&lt;&gt;"",$M183="Pending",$K183="STT"),TODAY()-$I183,OR(K183="Closed",K183=""),"")</f>
        <v>#N/A</v>
      </c>
      <c r="M183" s="461">
        <f>VLOOKUP(C183,EL!$E$4:$AC$622,9,0)</f>
        <v>0</v>
      </c>
      <c r="N183" s="461" t="str">
        <f t="shared" si="4"/>
        <v/>
      </c>
      <c r="O183" s="739" t="str">
        <f>EL!O96</f>
        <v>GC</v>
      </c>
      <c r="P183" s="746" t="str">
        <v>NO</v>
      </c>
    </row>
    <row r="184" spans="1:16" s="385" customFormat="1" ht="27" hidden="1" customHeight="1">
      <c r="A184" s="399">
        <f t="shared" si="6"/>
        <v>91</v>
      </c>
      <c r="B184" s="477" t="s">
        <v>52</v>
      </c>
      <c r="C184" s="646" t="s">
        <v>702</v>
      </c>
      <c r="D184" s="456" t="str">
        <f>_xlfn.XLOOKUP(C184,EL!$E$4:$E$183,EL!$D$4:$D$183)</f>
        <v>Security (Acs) Schematic Diagram For Level 6</v>
      </c>
      <c r="E184" s="597" t="str">
        <f>IF(VLOOKUP(C184,EL!$E$4:$AC$505,7,0)="","",VLOOKUP(C184,EL!$E$4:$AC$1004,7,0))</f>
        <v/>
      </c>
      <c r="F184" s="462"/>
      <c r="G184" s="458" t="str">
        <f>IF(VLOOKUP(C184,EL!$E$4:$AC$514,5,0)="","",VLOOKUP(C184,EL!$E$4:$AC$514,5,0))</f>
        <v/>
      </c>
      <c r="H184" s="459" t="str">
        <f>IF(ISNA(MATCH($C184,EL!$E$4:$E$1012,0)),"",
IF($E184=0,IF(INDEX(EL!$R$4:$R$1012,MATCH($C184,EL!$E$4:$E$1012,0))="","",INDEX(EL!$R$4:$R$1012,MATCH($C184,EL!$E$4:$E$1012,0))),
IF($E184=1,IF(INDEX(EL!$W$4:$W$1012,MATCH($C184,EL!$E$4:$E$1012,0))="","",INDEX(EL!$W$4:$W$1012,MATCH($C184,EL!$E$4:$E$1012,0))),
IF($E184=2,IF(INDEX(EL!$AB$4:$AB$1012,MATCH($C184,EL!$E$4:$E$1012,0))="","",INDEX(EL!$AB$4:$AB$1012,MATCH($C184,EL!$E$4:$E$1012,0))),
IF($E184=3,IF(INDEX(EL!$AG$4:$AG$1012,MATCH($C184,EL!$E$4:$E$1012,0))="","",INDEX(EL!$AG$4:$AG$1012,MATCH($C184,EL!$E$4:$E$1012,0))),
IF($E184=4,IF(INDEX(EL!$AN$4:$AN$1012,MATCH($C184,EL!$E$4:$E$1012,0))="","",INDEX(EL!$AN$4:$AN$1012,MATCH($C184,EL!$E$4:$E$1012,0))),
IF($E184=5,IF(INDEX(EL!$AS$4:$AS$1012,MATCH($C184,EL!$E$4:$E$1012,0))="","",INDEX(EL!$AS$4:$AS$1012,MATCH($C184,EL!$E$4:$E$1012,0))),"")))))))</f>
        <v/>
      </c>
      <c r="I184" s="459" t="str">
        <f>IF(ISNA(MATCH($C184,EL!$E$4:$E$1012,0)),"",
IF($E184=0,IF(INDEX(EL!$S$4:$S$1012,MATCH($C184,EL!$E$4:$E$1012,0))="","",INDEX(EL!$S$4:$S$1012,MATCH($C184,EL!$E$4:$E$1012,0))),
IF($E184=1,IF(INDEX(EL!$X$4:$X$1012,MATCH($C184,EL!$E$4:$E$1012,0))="","",INDEX(EL!$X$4:$X$1012,MATCH($C184,EL!$E$4:$E$1012,0))),
IF($E184=2,IF(INDEX(EL!$AC$4:$AC$1012,MATCH($C184,EL!$E$4:$E$1012,0))="","",INDEX(EL!$AC$4:$AC$1012,MATCH($C184,EL!$E$4:$E$1012,0))),
IF($E184=3,IF(INDEX(EL!$AH$4:$AH$1012,MATCH($C184,EL!$E$4:$E$1012,0))="","",INDEX(EL!$AH$4:$AH$1012,MATCH($C184,EL!$E$4:$E$1012,0))),
IF($E184=4,IF(INDEX(EL!$AM$4:$AM$1012,MATCH($C184,EL!$E$4:$E$1012,0))="","",INDEX(EL!$AM$4:$AM$1012,MATCH($C184,EL!$E$4:$E$1012,0))),
IF($E184=5,IF(INDEX(EL!$AR$4:$AR$1012,MATCH($C184,EL!$E$4:$E$1012,0))="","",INDEX(EL!$AR$4:$AR$1012,MATCH($C184,EL!$E$4:$E$1012,0))),"")))))))</f>
        <v/>
      </c>
      <c r="J184" s="459" t="str">
        <f>IF(ISNA(MATCH($C184,EL!$E$4:$E$1012,0)),"",
IF($E184=0,IF(INDEX(EL!$T$4:$T$1012,MATCH($C184,EL!$E$4:$E$1012,0))="","",INDEX(EL!$T$4:$T$1012,MATCH($C184,EL!$E$4:$E$1012,0))),
IF($E184=1,IF(INDEX(EL!$Y$4:$Y$1012,MATCH($C184,EL!$E$4:$E$1012,0))="","",INDEX(EL!$Y$4:$Y$1012,MATCH($C184,EL!$E$4:$E$1012,0))),
IF($E184=2,IF(INDEX(EL!$AD$4:$AD$1012,MATCH($C184,EL!$E$4:$E$1012,0))="","",INDEX(EL!$AD$4:$AD$1012,MATCH($C184,EL!$E$4:$E$1012,0))),
IF($E184=3,IF(INDEX(EL!$AI$4:$AI$1012,MATCH($C184,EL!$E$4:$E$1012,0))="","",INDEX(EL!$AI$4:$AI$1012,MATCH($C184,EL!$E$4:$E$1012,0))),
IF($E184=4,IF(INDEX(EL!$AN$4:$AN$1012,MATCH($C184,EL!$E$4:$E$1012,0))="","",INDEX(EL!$AN$4:$AN$1012,MATCH($C184,EL!$E$4:$E$1012,0))),
IF($E184=5,IF(INDEX(EL!$AS$4:$AS$1012,MATCH($C184,EL!$E$4:$E$1012,0))="","",INDEX(EL!$AS$4:$AS$1012,MATCH($C184,EL!$E$4:$E$1012,0))),"")))))))</f>
        <v/>
      </c>
      <c r="K184" s="459">
        <f>EL!L97</f>
        <v>0</v>
      </c>
      <c r="L184" s="460" t="e" cm="1">
        <f t="array" aca="1" ref="L184" ca="1">_xlfn.IFS(AND($E184&lt;&gt;"",$M184="Pending",$K184="CTA"),TODAY()-$G184,AND($E184&lt;&gt;"",$M184="Pending",$K184="AUR"),TODAY()-$H184,AND($E184&lt;&gt;"",$M184="Pending",$K184="STT"),TODAY()-$I184,OR(K184="Closed",K184=""),"")</f>
        <v>#N/A</v>
      </c>
      <c r="M184" s="461">
        <f>VLOOKUP(C184,EL!$E$4:$AC$622,9,0)</f>
        <v>0</v>
      </c>
      <c r="N184" s="461" t="str">
        <f t="shared" si="4"/>
        <v/>
      </c>
      <c r="O184" s="739" t="str">
        <f>EL!O97</f>
        <v>GC</v>
      </c>
      <c r="P184" s="746" t="str">
        <v>NO</v>
      </c>
    </row>
    <row r="185" spans="1:16" s="385" customFormat="1" ht="27" hidden="1" customHeight="1">
      <c r="A185" s="399">
        <f t="shared" si="6"/>
        <v>92</v>
      </c>
      <c r="B185" s="477" t="s">
        <v>52</v>
      </c>
      <c r="C185" s="646" t="s">
        <v>705</v>
      </c>
      <c r="D185" s="456" t="str">
        <f>_xlfn.XLOOKUP(C185,EL!$E$4:$E$183,EL!$D$4:$D$183)</f>
        <v>Security (Acs) Schematic Diagram For Level Roof</v>
      </c>
      <c r="E185" s="597" t="str">
        <f>IF(VLOOKUP(C185,EL!$E$4:$AC$505,7,0)="","",VLOOKUP(C185,EL!$E$4:$AC$1004,7,0))</f>
        <v/>
      </c>
      <c r="F185" s="462"/>
      <c r="G185" s="458" t="str">
        <f>IF(VLOOKUP(C185,EL!$E$4:$AC$514,5,0)="","",VLOOKUP(C185,EL!$E$4:$AC$514,5,0))</f>
        <v/>
      </c>
      <c r="H185" s="459" t="str">
        <f>IF(ISNA(MATCH($C185,EL!$E$4:$E$1012,0)),"",
IF($E185=0,IF(INDEX(EL!$R$4:$R$1012,MATCH($C185,EL!$E$4:$E$1012,0))="","",INDEX(EL!$R$4:$R$1012,MATCH($C185,EL!$E$4:$E$1012,0))),
IF($E185=1,IF(INDEX(EL!$W$4:$W$1012,MATCH($C185,EL!$E$4:$E$1012,0))="","",INDEX(EL!$W$4:$W$1012,MATCH($C185,EL!$E$4:$E$1012,0))),
IF($E185=2,IF(INDEX(EL!$AB$4:$AB$1012,MATCH($C185,EL!$E$4:$E$1012,0))="","",INDEX(EL!$AB$4:$AB$1012,MATCH($C185,EL!$E$4:$E$1012,0))),
IF($E185=3,IF(INDEX(EL!$AG$4:$AG$1012,MATCH($C185,EL!$E$4:$E$1012,0))="","",INDEX(EL!$AG$4:$AG$1012,MATCH($C185,EL!$E$4:$E$1012,0))),
IF($E185=4,IF(INDEX(EL!$AN$4:$AN$1012,MATCH($C185,EL!$E$4:$E$1012,0))="","",INDEX(EL!$AN$4:$AN$1012,MATCH($C185,EL!$E$4:$E$1012,0))),
IF($E185=5,IF(INDEX(EL!$AS$4:$AS$1012,MATCH($C185,EL!$E$4:$E$1012,0))="","",INDEX(EL!$AS$4:$AS$1012,MATCH($C185,EL!$E$4:$E$1012,0))),"")))))))</f>
        <v/>
      </c>
      <c r="I185" s="459" t="str">
        <f>IF(ISNA(MATCH($C185,EL!$E$4:$E$1012,0)),"",
IF($E185=0,IF(INDEX(EL!$S$4:$S$1012,MATCH($C185,EL!$E$4:$E$1012,0))="","",INDEX(EL!$S$4:$S$1012,MATCH($C185,EL!$E$4:$E$1012,0))),
IF($E185=1,IF(INDEX(EL!$X$4:$X$1012,MATCH($C185,EL!$E$4:$E$1012,0))="","",INDEX(EL!$X$4:$X$1012,MATCH($C185,EL!$E$4:$E$1012,0))),
IF($E185=2,IF(INDEX(EL!$AC$4:$AC$1012,MATCH($C185,EL!$E$4:$E$1012,0))="","",INDEX(EL!$AC$4:$AC$1012,MATCH($C185,EL!$E$4:$E$1012,0))),
IF($E185=3,IF(INDEX(EL!$AH$4:$AH$1012,MATCH($C185,EL!$E$4:$E$1012,0))="","",INDEX(EL!$AH$4:$AH$1012,MATCH($C185,EL!$E$4:$E$1012,0))),
IF($E185=4,IF(INDEX(EL!$AM$4:$AM$1012,MATCH($C185,EL!$E$4:$E$1012,0))="","",INDEX(EL!$AM$4:$AM$1012,MATCH($C185,EL!$E$4:$E$1012,0))),
IF($E185=5,IF(INDEX(EL!$AR$4:$AR$1012,MATCH($C185,EL!$E$4:$E$1012,0))="","",INDEX(EL!$AR$4:$AR$1012,MATCH($C185,EL!$E$4:$E$1012,0))),"")))))))</f>
        <v/>
      </c>
      <c r="J185" s="459" t="str">
        <f>IF(ISNA(MATCH($C185,EL!$E$4:$E$1012,0)),"",
IF($E185=0,IF(INDEX(EL!$T$4:$T$1012,MATCH($C185,EL!$E$4:$E$1012,0))="","",INDEX(EL!$T$4:$T$1012,MATCH($C185,EL!$E$4:$E$1012,0))),
IF($E185=1,IF(INDEX(EL!$Y$4:$Y$1012,MATCH($C185,EL!$E$4:$E$1012,0))="","",INDEX(EL!$Y$4:$Y$1012,MATCH($C185,EL!$E$4:$E$1012,0))),
IF($E185=2,IF(INDEX(EL!$AD$4:$AD$1012,MATCH($C185,EL!$E$4:$E$1012,0))="","",INDEX(EL!$AD$4:$AD$1012,MATCH($C185,EL!$E$4:$E$1012,0))),
IF($E185=3,IF(INDEX(EL!$AI$4:$AI$1012,MATCH($C185,EL!$E$4:$E$1012,0))="","",INDEX(EL!$AI$4:$AI$1012,MATCH($C185,EL!$E$4:$E$1012,0))),
IF($E185=4,IF(INDEX(EL!$AN$4:$AN$1012,MATCH($C185,EL!$E$4:$E$1012,0))="","",INDEX(EL!$AN$4:$AN$1012,MATCH($C185,EL!$E$4:$E$1012,0))),
IF($E185=5,IF(INDEX(EL!$AS$4:$AS$1012,MATCH($C185,EL!$E$4:$E$1012,0))="","",INDEX(EL!$AS$4:$AS$1012,MATCH($C185,EL!$E$4:$E$1012,0))),"")))))))</f>
        <v/>
      </c>
      <c r="K185" s="459">
        <f>EL!L98</f>
        <v>0</v>
      </c>
      <c r="L185" s="460" t="e" cm="1">
        <f t="array" aca="1" ref="L185" ca="1">_xlfn.IFS(AND($E185&lt;&gt;"",$M185="Pending",$K185="CTA"),TODAY()-$G185,AND($E185&lt;&gt;"",$M185="Pending",$K185="AUR"),TODAY()-$H185,AND($E185&lt;&gt;"",$M185="Pending",$K185="STT"),TODAY()-$I185,OR(K185="Closed",K185=""),"")</f>
        <v>#N/A</v>
      </c>
      <c r="M185" s="461">
        <f>VLOOKUP(C185,EL!$E$4:$AC$622,9,0)</f>
        <v>0</v>
      </c>
      <c r="N185" s="461" t="str">
        <f t="shared" si="4"/>
        <v/>
      </c>
      <c r="O185" s="739" t="str">
        <f>EL!O98</f>
        <v>GC</v>
      </c>
      <c r="P185" s="746" t="str">
        <v>NO</v>
      </c>
    </row>
    <row r="186" spans="1:16" s="385" customFormat="1" ht="27" hidden="1" customHeight="1">
      <c r="A186" s="399">
        <f t="shared" si="6"/>
        <v>93</v>
      </c>
      <c r="B186" s="477" t="s">
        <v>52</v>
      </c>
      <c r="C186" s="646" t="s">
        <v>708</v>
      </c>
      <c r="D186" s="456" t="str">
        <f>_xlfn.XLOOKUP(C186,EL!$E$4:$E$183,EL!$D$4:$D$183)</f>
        <v xml:space="preserve">TX </v>
      </c>
      <c r="E186" s="597" t="str">
        <f>IF(VLOOKUP(C186,EL!$E$4:$AC$505,7,0)="","",VLOOKUP(C186,EL!$E$4:$AC$1004,7,0))</f>
        <v/>
      </c>
      <c r="F186" s="462"/>
      <c r="G186" s="458" t="str">
        <f>IF(VLOOKUP(C186,EL!$E$4:$AC$514,5,0)="","",VLOOKUP(C186,EL!$E$4:$AC$514,5,0))</f>
        <v/>
      </c>
      <c r="H186" s="459" t="str">
        <f>IF(ISNA(MATCH($C186,EL!$E$4:$E$1012,0)),"",
IF($E186=0,IF(INDEX(EL!$R$4:$R$1012,MATCH($C186,EL!$E$4:$E$1012,0))="","",INDEX(EL!$R$4:$R$1012,MATCH($C186,EL!$E$4:$E$1012,0))),
IF($E186=1,IF(INDEX(EL!$W$4:$W$1012,MATCH($C186,EL!$E$4:$E$1012,0))="","",INDEX(EL!$W$4:$W$1012,MATCH($C186,EL!$E$4:$E$1012,0))),
IF($E186=2,IF(INDEX(EL!$AB$4:$AB$1012,MATCH($C186,EL!$E$4:$E$1012,0))="","",INDEX(EL!$AB$4:$AB$1012,MATCH($C186,EL!$E$4:$E$1012,0))),
IF($E186=3,IF(INDEX(EL!$AG$4:$AG$1012,MATCH($C186,EL!$E$4:$E$1012,0))="","",INDEX(EL!$AG$4:$AG$1012,MATCH($C186,EL!$E$4:$E$1012,0))),
IF($E186=4,IF(INDEX(EL!$AN$4:$AN$1012,MATCH($C186,EL!$E$4:$E$1012,0))="","",INDEX(EL!$AN$4:$AN$1012,MATCH($C186,EL!$E$4:$E$1012,0))),
IF($E186=5,IF(INDEX(EL!$AS$4:$AS$1012,MATCH($C186,EL!$E$4:$E$1012,0))="","",INDEX(EL!$AS$4:$AS$1012,MATCH($C186,EL!$E$4:$E$1012,0))),"")))))))</f>
        <v/>
      </c>
      <c r="I186" s="459" t="str">
        <f>IF(ISNA(MATCH($C186,EL!$E$4:$E$1012,0)),"",
IF($E186=0,IF(INDEX(EL!$S$4:$S$1012,MATCH($C186,EL!$E$4:$E$1012,0))="","",INDEX(EL!$S$4:$S$1012,MATCH($C186,EL!$E$4:$E$1012,0))),
IF($E186=1,IF(INDEX(EL!$X$4:$X$1012,MATCH($C186,EL!$E$4:$E$1012,0))="","",INDEX(EL!$X$4:$X$1012,MATCH($C186,EL!$E$4:$E$1012,0))),
IF($E186=2,IF(INDEX(EL!$AC$4:$AC$1012,MATCH($C186,EL!$E$4:$E$1012,0))="","",INDEX(EL!$AC$4:$AC$1012,MATCH($C186,EL!$E$4:$E$1012,0))),
IF($E186=3,IF(INDEX(EL!$AH$4:$AH$1012,MATCH($C186,EL!$E$4:$E$1012,0))="","",INDEX(EL!$AH$4:$AH$1012,MATCH($C186,EL!$E$4:$E$1012,0))),
IF($E186=4,IF(INDEX(EL!$AM$4:$AM$1012,MATCH($C186,EL!$E$4:$E$1012,0))="","",INDEX(EL!$AM$4:$AM$1012,MATCH($C186,EL!$E$4:$E$1012,0))),
IF($E186=5,IF(INDEX(EL!$AR$4:$AR$1012,MATCH($C186,EL!$E$4:$E$1012,0))="","",INDEX(EL!$AR$4:$AR$1012,MATCH($C186,EL!$E$4:$E$1012,0))),"")))))))</f>
        <v/>
      </c>
      <c r="J186" s="459" t="str">
        <f>IF(ISNA(MATCH($C186,EL!$E$4:$E$1012,0)),"",
IF($E186=0,IF(INDEX(EL!$T$4:$T$1012,MATCH($C186,EL!$E$4:$E$1012,0))="","",INDEX(EL!$T$4:$T$1012,MATCH($C186,EL!$E$4:$E$1012,0))),
IF($E186=1,IF(INDEX(EL!$Y$4:$Y$1012,MATCH($C186,EL!$E$4:$E$1012,0))="","",INDEX(EL!$Y$4:$Y$1012,MATCH($C186,EL!$E$4:$E$1012,0))),
IF($E186=2,IF(INDEX(EL!$AD$4:$AD$1012,MATCH($C186,EL!$E$4:$E$1012,0))="","",INDEX(EL!$AD$4:$AD$1012,MATCH($C186,EL!$E$4:$E$1012,0))),
IF($E186=3,IF(INDEX(EL!$AI$4:$AI$1012,MATCH($C186,EL!$E$4:$E$1012,0))="","",INDEX(EL!$AI$4:$AI$1012,MATCH($C186,EL!$E$4:$E$1012,0))),
IF($E186=4,IF(INDEX(EL!$AN$4:$AN$1012,MATCH($C186,EL!$E$4:$E$1012,0))="","",INDEX(EL!$AN$4:$AN$1012,MATCH($C186,EL!$E$4:$E$1012,0))),
IF($E186=5,IF(INDEX(EL!$AS$4:$AS$1012,MATCH($C186,EL!$E$4:$E$1012,0))="","",INDEX(EL!$AS$4:$AS$1012,MATCH($C186,EL!$E$4:$E$1012,0))),"")))))))</f>
        <v/>
      </c>
      <c r="K186" s="459">
        <f>EL!L99</f>
        <v>0</v>
      </c>
      <c r="L186" s="460" t="e" cm="1">
        <f t="array" aca="1" ref="L186" ca="1">_xlfn.IFS(AND($E186&lt;&gt;"",$M186="Pending",$K186="CTA"),TODAY()-$G186,AND($E186&lt;&gt;"",$M186="Pending",$K186="AUR"),TODAY()-$H186,AND($E186&lt;&gt;"",$M186="Pending",$K186="STT"),TODAY()-$I186,OR(K186="Closed",K186=""),"")</f>
        <v>#N/A</v>
      </c>
      <c r="M186" s="461">
        <f>VLOOKUP(C186,EL!$E$4:$AC$622,9,0)</f>
        <v>0</v>
      </c>
      <c r="N186" s="461" t="str">
        <f t="shared" si="4"/>
        <v/>
      </c>
      <c r="O186" s="739" t="str">
        <f>EL!O99</f>
        <v>LLE</v>
      </c>
      <c r="P186" s="746" t="str">
        <v>YES</v>
      </c>
    </row>
    <row r="187" spans="1:16" s="385" customFormat="1" ht="27" hidden="1" customHeight="1">
      <c r="A187" s="399">
        <f t="shared" si="6"/>
        <v>94</v>
      </c>
      <c r="B187" s="477" t="s">
        <v>52</v>
      </c>
      <c r="C187" s="646" t="s">
        <v>715</v>
      </c>
      <c r="D187" s="456" t="str">
        <f>_xlfn.XLOOKUP(C187,EL!$E$4:$E$183,EL!$D$4:$D$183)</f>
        <v>HVSB</v>
      </c>
      <c r="E187" s="597" t="str">
        <f>IF(VLOOKUP(C187,EL!$E$4:$AC$505,7,0)="","",VLOOKUP(C187,EL!$E$4:$AC$1004,7,0))</f>
        <v/>
      </c>
      <c r="F187" s="462"/>
      <c r="G187" s="458" t="str">
        <f>IF(VLOOKUP(C187,EL!$E$4:$AC$514,5,0)="","",VLOOKUP(C187,EL!$E$4:$AC$514,5,0))</f>
        <v/>
      </c>
      <c r="H187" s="459" t="str">
        <f>IF(ISNA(MATCH($C187,EL!$E$4:$E$1012,0)),"",
IF($E187=0,IF(INDEX(EL!$R$4:$R$1012,MATCH($C187,EL!$E$4:$E$1012,0))="","",INDEX(EL!$R$4:$R$1012,MATCH($C187,EL!$E$4:$E$1012,0))),
IF($E187=1,IF(INDEX(EL!$W$4:$W$1012,MATCH($C187,EL!$E$4:$E$1012,0))="","",INDEX(EL!$W$4:$W$1012,MATCH($C187,EL!$E$4:$E$1012,0))),
IF($E187=2,IF(INDEX(EL!$AB$4:$AB$1012,MATCH($C187,EL!$E$4:$E$1012,0))="","",INDEX(EL!$AB$4:$AB$1012,MATCH($C187,EL!$E$4:$E$1012,0))),
IF($E187=3,IF(INDEX(EL!$AG$4:$AG$1012,MATCH($C187,EL!$E$4:$E$1012,0))="","",INDEX(EL!$AG$4:$AG$1012,MATCH($C187,EL!$E$4:$E$1012,0))),
IF($E187=4,IF(INDEX(EL!$AN$4:$AN$1012,MATCH($C187,EL!$E$4:$E$1012,0))="","",INDEX(EL!$AN$4:$AN$1012,MATCH($C187,EL!$E$4:$E$1012,0))),
IF($E187=5,IF(INDEX(EL!$AS$4:$AS$1012,MATCH($C187,EL!$E$4:$E$1012,0))="","",INDEX(EL!$AS$4:$AS$1012,MATCH($C187,EL!$E$4:$E$1012,0))),"")))))))</f>
        <v/>
      </c>
      <c r="I187" s="459" t="str">
        <f>IF(ISNA(MATCH($C187,EL!$E$4:$E$1012,0)),"",
IF($E187=0,IF(INDEX(EL!$S$4:$S$1012,MATCH($C187,EL!$E$4:$E$1012,0))="","",INDEX(EL!$S$4:$S$1012,MATCH($C187,EL!$E$4:$E$1012,0))),
IF($E187=1,IF(INDEX(EL!$X$4:$X$1012,MATCH($C187,EL!$E$4:$E$1012,0))="","",INDEX(EL!$X$4:$X$1012,MATCH($C187,EL!$E$4:$E$1012,0))),
IF($E187=2,IF(INDEX(EL!$AC$4:$AC$1012,MATCH($C187,EL!$E$4:$E$1012,0))="","",INDEX(EL!$AC$4:$AC$1012,MATCH($C187,EL!$E$4:$E$1012,0))),
IF($E187=3,IF(INDEX(EL!$AH$4:$AH$1012,MATCH($C187,EL!$E$4:$E$1012,0))="","",INDEX(EL!$AH$4:$AH$1012,MATCH($C187,EL!$E$4:$E$1012,0))),
IF($E187=4,IF(INDEX(EL!$AM$4:$AM$1012,MATCH($C187,EL!$E$4:$E$1012,0))="","",INDEX(EL!$AM$4:$AM$1012,MATCH($C187,EL!$E$4:$E$1012,0))),
IF($E187=5,IF(INDEX(EL!$AR$4:$AR$1012,MATCH($C187,EL!$E$4:$E$1012,0))="","",INDEX(EL!$AR$4:$AR$1012,MATCH($C187,EL!$E$4:$E$1012,0))),"")))))))</f>
        <v/>
      </c>
      <c r="J187" s="459" t="str">
        <f>IF(ISNA(MATCH($C187,EL!$E$4:$E$1012,0)),"",
IF($E187=0,IF(INDEX(EL!$T$4:$T$1012,MATCH($C187,EL!$E$4:$E$1012,0))="","",INDEX(EL!$T$4:$T$1012,MATCH($C187,EL!$E$4:$E$1012,0))),
IF($E187=1,IF(INDEX(EL!$Y$4:$Y$1012,MATCH($C187,EL!$E$4:$E$1012,0))="","",INDEX(EL!$Y$4:$Y$1012,MATCH($C187,EL!$E$4:$E$1012,0))),
IF($E187=2,IF(INDEX(EL!$AD$4:$AD$1012,MATCH($C187,EL!$E$4:$E$1012,0))="","",INDEX(EL!$AD$4:$AD$1012,MATCH($C187,EL!$E$4:$E$1012,0))),
IF($E187=3,IF(INDEX(EL!$AI$4:$AI$1012,MATCH($C187,EL!$E$4:$E$1012,0))="","",INDEX(EL!$AI$4:$AI$1012,MATCH($C187,EL!$E$4:$E$1012,0))),
IF($E187=4,IF(INDEX(EL!$AN$4:$AN$1012,MATCH($C187,EL!$E$4:$E$1012,0))="","",INDEX(EL!$AN$4:$AN$1012,MATCH($C187,EL!$E$4:$E$1012,0))),
IF($E187=5,IF(INDEX(EL!$AS$4:$AS$1012,MATCH($C187,EL!$E$4:$E$1012,0))="","",INDEX(EL!$AS$4:$AS$1012,MATCH($C187,EL!$E$4:$E$1012,0))),"")))))))</f>
        <v/>
      </c>
      <c r="K187" s="459">
        <f>EL!L100</f>
        <v>0</v>
      </c>
      <c r="L187" s="460" t="e" cm="1">
        <f t="array" aca="1" ref="L187" ca="1">_xlfn.IFS(AND($E187&lt;&gt;"",$M187="Pending",$K187="CTA"),TODAY()-$G187,AND($E187&lt;&gt;"",$M187="Pending",$K187="AUR"),TODAY()-$H187,AND($E187&lt;&gt;"",$M187="Pending",$K187="STT"),TODAY()-$I187,OR(K187="Closed",K187=""),"")</f>
        <v>#N/A</v>
      </c>
      <c r="M187" s="461">
        <f>VLOOKUP(C187,EL!$E$4:$AC$622,9,0)</f>
        <v>0</v>
      </c>
      <c r="N187" s="461" t="str">
        <f t="shared" si="4"/>
        <v/>
      </c>
      <c r="O187" s="739" t="str">
        <f>EL!O100</f>
        <v>LLE</v>
      </c>
      <c r="P187" s="746" t="str">
        <v>YES</v>
      </c>
    </row>
    <row r="188" spans="1:16" s="385" customFormat="1" ht="27" hidden="1" customHeight="1">
      <c r="A188" s="399">
        <f t="shared" si="6"/>
        <v>95</v>
      </c>
      <c r="B188" s="477" t="s">
        <v>52</v>
      </c>
      <c r="C188" s="646" t="s">
        <v>718</v>
      </c>
      <c r="D188" s="456" t="str">
        <f>_xlfn.XLOOKUP(C188,EL!$E$4:$E$183,EL!$D$4:$D$183)</f>
        <v>RMU</v>
      </c>
      <c r="E188" s="597" t="str">
        <f>IF(VLOOKUP(C188,EL!$E$4:$AC$505,7,0)="","",VLOOKUP(C188,EL!$E$4:$AC$1004,7,0))</f>
        <v/>
      </c>
      <c r="F188" s="462"/>
      <c r="G188" s="458" t="str">
        <f>IF(VLOOKUP(C188,EL!$E$4:$AC$514,5,0)="","",VLOOKUP(C188,EL!$E$4:$AC$514,5,0))</f>
        <v/>
      </c>
      <c r="H188" s="459" t="str">
        <f>IF(ISNA(MATCH($C188,EL!$E$4:$E$1012,0)),"",
IF($E188=0,IF(INDEX(EL!$R$4:$R$1012,MATCH($C188,EL!$E$4:$E$1012,0))="","",INDEX(EL!$R$4:$R$1012,MATCH($C188,EL!$E$4:$E$1012,0))),
IF($E188=1,IF(INDEX(EL!$W$4:$W$1012,MATCH($C188,EL!$E$4:$E$1012,0))="","",INDEX(EL!$W$4:$W$1012,MATCH($C188,EL!$E$4:$E$1012,0))),
IF($E188=2,IF(INDEX(EL!$AB$4:$AB$1012,MATCH($C188,EL!$E$4:$E$1012,0))="","",INDEX(EL!$AB$4:$AB$1012,MATCH($C188,EL!$E$4:$E$1012,0))),
IF($E188=3,IF(INDEX(EL!$AG$4:$AG$1012,MATCH($C188,EL!$E$4:$E$1012,0))="","",INDEX(EL!$AG$4:$AG$1012,MATCH($C188,EL!$E$4:$E$1012,0))),
IF($E188=4,IF(INDEX(EL!$AN$4:$AN$1012,MATCH($C188,EL!$E$4:$E$1012,0))="","",INDEX(EL!$AN$4:$AN$1012,MATCH($C188,EL!$E$4:$E$1012,0))),
IF($E188=5,IF(INDEX(EL!$AS$4:$AS$1012,MATCH($C188,EL!$E$4:$E$1012,0))="","",INDEX(EL!$AS$4:$AS$1012,MATCH($C188,EL!$E$4:$E$1012,0))),"")))))))</f>
        <v/>
      </c>
      <c r="I188" s="459" t="str">
        <f>IF(ISNA(MATCH($C188,EL!$E$4:$E$1012,0)),"",
IF($E188=0,IF(INDEX(EL!$S$4:$S$1012,MATCH($C188,EL!$E$4:$E$1012,0))="","",INDEX(EL!$S$4:$S$1012,MATCH($C188,EL!$E$4:$E$1012,0))),
IF($E188=1,IF(INDEX(EL!$X$4:$X$1012,MATCH($C188,EL!$E$4:$E$1012,0))="","",INDEX(EL!$X$4:$X$1012,MATCH($C188,EL!$E$4:$E$1012,0))),
IF($E188=2,IF(INDEX(EL!$AC$4:$AC$1012,MATCH($C188,EL!$E$4:$E$1012,0))="","",INDEX(EL!$AC$4:$AC$1012,MATCH($C188,EL!$E$4:$E$1012,0))),
IF($E188=3,IF(INDEX(EL!$AH$4:$AH$1012,MATCH($C188,EL!$E$4:$E$1012,0))="","",INDEX(EL!$AH$4:$AH$1012,MATCH($C188,EL!$E$4:$E$1012,0))),
IF($E188=4,IF(INDEX(EL!$AM$4:$AM$1012,MATCH($C188,EL!$E$4:$E$1012,0))="","",INDEX(EL!$AM$4:$AM$1012,MATCH($C188,EL!$E$4:$E$1012,0))),
IF($E188=5,IF(INDEX(EL!$AR$4:$AR$1012,MATCH($C188,EL!$E$4:$E$1012,0))="","",INDEX(EL!$AR$4:$AR$1012,MATCH($C188,EL!$E$4:$E$1012,0))),"")))))))</f>
        <v/>
      </c>
      <c r="J188" s="459" t="str">
        <f>IF(ISNA(MATCH($C188,EL!$E$4:$E$1012,0)),"",
IF($E188=0,IF(INDEX(EL!$T$4:$T$1012,MATCH($C188,EL!$E$4:$E$1012,0))="","",INDEX(EL!$T$4:$T$1012,MATCH($C188,EL!$E$4:$E$1012,0))),
IF($E188=1,IF(INDEX(EL!$Y$4:$Y$1012,MATCH($C188,EL!$E$4:$E$1012,0))="","",INDEX(EL!$Y$4:$Y$1012,MATCH($C188,EL!$E$4:$E$1012,0))),
IF($E188=2,IF(INDEX(EL!$AD$4:$AD$1012,MATCH($C188,EL!$E$4:$E$1012,0))="","",INDEX(EL!$AD$4:$AD$1012,MATCH($C188,EL!$E$4:$E$1012,0))),
IF($E188=3,IF(INDEX(EL!$AI$4:$AI$1012,MATCH($C188,EL!$E$4:$E$1012,0))="","",INDEX(EL!$AI$4:$AI$1012,MATCH($C188,EL!$E$4:$E$1012,0))),
IF($E188=4,IF(INDEX(EL!$AN$4:$AN$1012,MATCH($C188,EL!$E$4:$E$1012,0))="","",INDEX(EL!$AN$4:$AN$1012,MATCH($C188,EL!$E$4:$E$1012,0))),
IF($E188=5,IF(INDEX(EL!$AS$4:$AS$1012,MATCH($C188,EL!$E$4:$E$1012,0))="","",INDEX(EL!$AS$4:$AS$1012,MATCH($C188,EL!$E$4:$E$1012,0))),"")))))))</f>
        <v/>
      </c>
      <c r="K188" s="459">
        <f>EL!L101</f>
        <v>0</v>
      </c>
      <c r="L188" s="460" t="e" cm="1">
        <f t="array" aca="1" ref="L188" ca="1">_xlfn.IFS(AND($E188&lt;&gt;"",$M188="Pending",$K188="CTA"),TODAY()-$G188,AND($E188&lt;&gt;"",$M188="Pending",$K188="AUR"),TODAY()-$H188,AND($E188&lt;&gt;"",$M188="Pending",$K188="STT"),TODAY()-$I188,OR(K188="Closed",K188=""),"")</f>
        <v>#N/A</v>
      </c>
      <c r="M188" s="461">
        <f>VLOOKUP(C188,EL!$E$4:$AC$622,9,0)</f>
        <v>0</v>
      </c>
      <c r="N188" s="461" t="str">
        <f t="shared" si="4"/>
        <v/>
      </c>
      <c r="O188" s="739" t="str">
        <f>EL!O101</f>
        <v>LLE</v>
      </c>
      <c r="P188" s="746" t="str">
        <v>YES</v>
      </c>
    </row>
    <row r="189" spans="1:16" s="385" customFormat="1" ht="27" customHeight="1">
      <c r="A189" s="399">
        <f t="shared" si="6"/>
        <v>96</v>
      </c>
      <c r="B189" s="477" t="s">
        <v>52</v>
      </c>
      <c r="C189" s="646" t="s">
        <v>721</v>
      </c>
      <c r="D189" s="456" t="str">
        <f>_xlfn.XLOOKUP(C189,EL!$E$4:$E$183,EL!$D$4:$D$183)</f>
        <v>MVBTU and MVBATT Details</v>
      </c>
      <c r="E189" s="597">
        <f>IF(VLOOKUP(C189,EL!$E$4:$AC$505,7,0)="","",VLOOKUP(C189,EL!$E$4:$AC$1004,7,0))</f>
        <v>0</v>
      </c>
      <c r="F189" s="462"/>
      <c r="G189" s="458">
        <f>IF(VLOOKUP(C189,EL!$E$4:$AC$514,5,0)="","",VLOOKUP(C189,EL!$E$4:$AC$514,5,0))</f>
        <v>46049</v>
      </c>
      <c r="H189" s="459">
        <f>IF(ISNA(MATCH($C189,EL!$E$4:$E$1012,0)),"",
IF($E189=0,IF(INDEX(EL!$R$4:$R$1012,MATCH($C189,EL!$E$4:$E$1012,0))="","",INDEX(EL!$R$4:$R$1012,MATCH($C189,EL!$E$4:$E$1012,0))),
IF($E189=1,IF(INDEX(EL!$W$4:$W$1012,MATCH($C189,EL!$E$4:$E$1012,0))="","",INDEX(EL!$W$4:$W$1012,MATCH($C189,EL!$E$4:$E$1012,0))),
IF($E189=2,IF(INDEX(EL!$AB$4:$AB$1012,MATCH($C189,EL!$E$4:$E$1012,0))="","",INDEX(EL!$AB$4:$AB$1012,MATCH($C189,EL!$E$4:$E$1012,0))),
IF($E189=3,IF(INDEX(EL!$AG$4:$AG$1012,MATCH($C189,EL!$E$4:$E$1012,0))="","",INDEX(EL!$AG$4:$AG$1012,MATCH($C189,EL!$E$4:$E$1012,0))),
IF($E189=4,IF(INDEX(EL!$AN$4:$AN$1012,MATCH($C189,EL!$E$4:$E$1012,0))="","",INDEX(EL!$AN$4:$AN$1012,MATCH($C189,EL!$E$4:$E$1012,0))),
IF($E189=5,IF(INDEX(EL!$AS$4:$AS$1012,MATCH($C189,EL!$E$4:$E$1012,0))="","",INDEX(EL!$AS$4:$AS$1012,MATCH($C189,EL!$E$4:$E$1012,0))),"")))))))</f>
        <v>46049</v>
      </c>
      <c r="I189" s="459">
        <f>IF(ISNA(MATCH($C189,EL!$E$4:$E$1012,0)),"",
IF($E189=0,IF(INDEX(EL!$S$4:$S$1012,MATCH($C189,EL!$E$4:$E$1012,0))="","",INDEX(EL!$S$4:$S$1012,MATCH($C189,EL!$E$4:$E$1012,0))),
IF($E189=1,IF(INDEX(EL!$X$4:$X$1012,MATCH($C189,EL!$E$4:$E$1012,0))="","",INDEX(EL!$X$4:$X$1012,MATCH($C189,EL!$E$4:$E$1012,0))),
IF($E189=2,IF(INDEX(EL!$AC$4:$AC$1012,MATCH($C189,EL!$E$4:$E$1012,0))="","",INDEX(EL!$AC$4:$AC$1012,MATCH($C189,EL!$E$4:$E$1012,0))),
IF($E189=3,IF(INDEX(EL!$AH$4:$AH$1012,MATCH($C189,EL!$E$4:$E$1012,0))="","",INDEX(EL!$AH$4:$AH$1012,MATCH($C189,EL!$E$4:$E$1012,0))),
IF($E189=4,IF(INDEX(EL!$AM$4:$AM$1012,MATCH($C189,EL!$E$4:$E$1012,0))="","",INDEX(EL!$AM$4:$AM$1012,MATCH($C189,EL!$E$4:$E$1012,0))),
IF($E189=5,IF(INDEX(EL!$AR$4:$AR$1012,MATCH($C189,EL!$E$4:$E$1012,0))="","",INDEX(EL!$AR$4:$AR$1012,MATCH($C189,EL!$E$4:$E$1012,0))),"")))))))</f>
        <v>46055</v>
      </c>
      <c r="J189" s="459" t="str">
        <f>IF(ISNA(MATCH($C189,EL!$E$4:$E$1012,0)),"",
IF($E189=0,IF(INDEX(EL!$T$4:$T$1012,MATCH($C189,EL!$E$4:$E$1012,0))="","",INDEX(EL!$T$4:$T$1012,MATCH($C189,EL!$E$4:$E$1012,0))),
IF($E189=1,IF(INDEX(EL!$Y$4:$Y$1012,MATCH($C189,EL!$E$4:$E$1012,0))="","",INDEX(EL!$Y$4:$Y$1012,MATCH($C189,EL!$E$4:$E$1012,0))),
IF($E189=2,IF(INDEX(EL!$AD$4:$AD$1012,MATCH($C189,EL!$E$4:$E$1012,0))="","",INDEX(EL!$AD$4:$AD$1012,MATCH($C189,EL!$E$4:$E$1012,0))),
IF($E189=3,IF(INDEX(EL!$AI$4:$AI$1012,MATCH($C189,EL!$E$4:$E$1012,0))="","",INDEX(EL!$AI$4:$AI$1012,MATCH($C189,EL!$E$4:$E$1012,0))),
IF($E189=4,IF(INDEX(EL!$AN$4:$AN$1012,MATCH($C189,EL!$E$4:$E$1012,0))="","",INDEX(EL!$AN$4:$AN$1012,MATCH($C189,EL!$E$4:$E$1012,0))),
IF($E189=5,IF(INDEX(EL!$AS$4:$AS$1012,MATCH($C189,EL!$E$4:$E$1012,0))="","",INDEX(EL!$AS$4:$AS$1012,MATCH($C189,EL!$E$4:$E$1012,0))),"")))))))</f>
        <v/>
      </c>
      <c r="K189" s="459" t="str">
        <f>EL!L102</f>
        <v>STT</v>
      </c>
      <c r="L189" s="460" cm="1">
        <f t="array" aca="1" ref="L189" ca="1">_xlfn.IFS(AND($E189&lt;&gt;"",$M189="Pending",$K189="CTA"),TODAY()-$G189,AND($E189&lt;&gt;"",$M189="Pending",$K189="AUR"),TODAY()-$H189,AND($E189&lt;&gt;"",$M189="Pending",$K189="STT"),TODAY()-$I189,OR(K189="Closed",K189=""),"")</f>
        <v>11</v>
      </c>
      <c r="M189" s="461" t="str">
        <f>VLOOKUP(C189,EL!$E$4:$AC$622,9,0)</f>
        <v>Pending</v>
      </c>
      <c r="N189" s="461" t="str">
        <f t="shared" ca="1" si="4"/>
        <v>Overdue</v>
      </c>
      <c r="O189" s="739" t="str">
        <f>EL!O102</f>
        <v>LLE</v>
      </c>
      <c r="P189" s="746" t="str">
        <v>YES</v>
      </c>
    </row>
    <row r="190" spans="1:16" s="385" customFormat="1" ht="27" hidden="1" customHeight="1">
      <c r="A190" s="399">
        <f t="shared" si="6"/>
        <v>97</v>
      </c>
      <c r="B190" s="477" t="s">
        <v>52</v>
      </c>
      <c r="C190" s="646" t="s">
        <v>725</v>
      </c>
      <c r="D190" s="456" t="str">
        <f>_xlfn.XLOOKUP(C190,EL!$E$4:$E$183,EL!$D$4:$D$183)</f>
        <v>RCP</v>
      </c>
      <c r="E190" s="597" t="str">
        <f>IF(VLOOKUP(C190,EL!$E$4:$AC$505,7,0)="","",VLOOKUP(C190,EL!$E$4:$AC$1004,7,0))</f>
        <v/>
      </c>
      <c r="F190" s="462"/>
      <c r="G190" s="458" t="str">
        <f>IF(VLOOKUP(C190,EL!$E$4:$AC$514,5,0)="","",VLOOKUP(C190,EL!$E$4:$AC$514,5,0))</f>
        <v/>
      </c>
      <c r="H190" s="459" t="str">
        <f>IF(ISNA(MATCH($C190,EL!$E$4:$E$1012,0)),"",
IF($E190=0,IF(INDEX(EL!$R$4:$R$1012,MATCH($C190,EL!$E$4:$E$1012,0))="","",INDEX(EL!$R$4:$R$1012,MATCH($C190,EL!$E$4:$E$1012,0))),
IF($E190=1,IF(INDEX(EL!$W$4:$W$1012,MATCH($C190,EL!$E$4:$E$1012,0))="","",INDEX(EL!$W$4:$W$1012,MATCH($C190,EL!$E$4:$E$1012,0))),
IF($E190=2,IF(INDEX(EL!$AB$4:$AB$1012,MATCH($C190,EL!$E$4:$E$1012,0))="","",INDEX(EL!$AB$4:$AB$1012,MATCH($C190,EL!$E$4:$E$1012,0))),
IF($E190=3,IF(INDEX(EL!$AG$4:$AG$1012,MATCH($C190,EL!$E$4:$E$1012,0))="","",INDEX(EL!$AG$4:$AG$1012,MATCH($C190,EL!$E$4:$E$1012,0))),
IF($E190=4,IF(INDEX(EL!$AN$4:$AN$1012,MATCH($C190,EL!$E$4:$E$1012,0))="","",INDEX(EL!$AN$4:$AN$1012,MATCH($C190,EL!$E$4:$E$1012,0))),
IF($E190=5,IF(INDEX(EL!$AS$4:$AS$1012,MATCH($C190,EL!$E$4:$E$1012,0))="","",INDEX(EL!$AS$4:$AS$1012,MATCH($C190,EL!$E$4:$E$1012,0))),"")))))))</f>
        <v/>
      </c>
      <c r="I190" s="459" t="str">
        <f>IF(ISNA(MATCH($C190,EL!$E$4:$E$1012,0)),"",
IF($E190=0,IF(INDEX(EL!$S$4:$S$1012,MATCH($C190,EL!$E$4:$E$1012,0))="","",INDEX(EL!$S$4:$S$1012,MATCH($C190,EL!$E$4:$E$1012,0))),
IF($E190=1,IF(INDEX(EL!$X$4:$X$1012,MATCH($C190,EL!$E$4:$E$1012,0))="","",INDEX(EL!$X$4:$X$1012,MATCH($C190,EL!$E$4:$E$1012,0))),
IF($E190=2,IF(INDEX(EL!$AC$4:$AC$1012,MATCH($C190,EL!$E$4:$E$1012,0))="","",INDEX(EL!$AC$4:$AC$1012,MATCH($C190,EL!$E$4:$E$1012,0))),
IF($E190=3,IF(INDEX(EL!$AH$4:$AH$1012,MATCH($C190,EL!$E$4:$E$1012,0))="","",INDEX(EL!$AH$4:$AH$1012,MATCH($C190,EL!$E$4:$E$1012,0))),
IF($E190=4,IF(INDEX(EL!$AM$4:$AM$1012,MATCH($C190,EL!$E$4:$E$1012,0))="","",INDEX(EL!$AM$4:$AM$1012,MATCH($C190,EL!$E$4:$E$1012,0))),
IF($E190=5,IF(INDEX(EL!$AR$4:$AR$1012,MATCH($C190,EL!$E$4:$E$1012,0))="","",INDEX(EL!$AR$4:$AR$1012,MATCH($C190,EL!$E$4:$E$1012,0))),"")))))))</f>
        <v/>
      </c>
      <c r="J190" s="459" t="str">
        <f>IF(ISNA(MATCH($C190,EL!$E$4:$E$1012,0)),"",
IF($E190=0,IF(INDEX(EL!$T$4:$T$1012,MATCH($C190,EL!$E$4:$E$1012,0))="","",INDEX(EL!$T$4:$T$1012,MATCH($C190,EL!$E$4:$E$1012,0))),
IF($E190=1,IF(INDEX(EL!$Y$4:$Y$1012,MATCH($C190,EL!$E$4:$E$1012,0))="","",INDEX(EL!$Y$4:$Y$1012,MATCH($C190,EL!$E$4:$E$1012,0))),
IF($E190=2,IF(INDEX(EL!$AD$4:$AD$1012,MATCH($C190,EL!$E$4:$E$1012,0))="","",INDEX(EL!$AD$4:$AD$1012,MATCH($C190,EL!$E$4:$E$1012,0))),
IF($E190=3,IF(INDEX(EL!$AI$4:$AI$1012,MATCH($C190,EL!$E$4:$E$1012,0))="","",INDEX(EL!$AI$4:$AI$1012,MATCH($C190,EL!$E$4:$E$1012,0))),
IF($E190=4,IF(INDEX(EL!$AN$4:$AN$1012,MATCH($C190,EL!$E$4:$E$1012,0))="","",INDEX(EL!$AN$4:$AN$1012,MATCH($C190,EL!$E$4:$E$1012,0))),
IF($E190=5,IF(INDEX(EL!$AS$4:$AS$1012,MATCH($C190,EL!$E$4:$E$1012,0))="","",INDEX(EL!$AS$4:$AS$1012,MATCH($C190,EL!$E$4:$E$1012,0))),"")))))))</f>
        <v/>
      </c>
      <c r="K190" s="459">
        <f>EL!L103</f>
        <v>0</v>
      </c>
      <c r="L190" s="460" t="e" cm="1">
        <f t="array" aca="1" ref="L190" ca="1">_xlfn.IFS(AND($E190&lt;&gt;"",$M190="Pending",$K190="CTA"),TODAY()-$G190,AND($E190&lt;&gt;"",$M190="Pending",$K190="AUR"),TODAY()-$H190,AND($E190&lt;&gt;"",$M190="Pending",$K190="STT"),TODAY()-$I190,OR(K190="Closed",K190=""),"")</f>
        <v>#N/A</v>
      </c>
      <c r="M190" s="461">
        <f>VLOOKUP(C190,EL!$E$4:$AC$622,9,0)</f>
        <v>0</v>
      </c>
      <c r="N190" s="461" t="str">
        <f t="shared" ref="N190:N253" si="7">IF(AND(E190&lt;&gt;"",M190="Pending"),IF(L190&gt;=5,"Overdue",IF(L190&gt;=3,"High","")),"")</f>
        <v/>
      </c>
      <c r="O190" s="739" t="str">
        <f>EL!O103</f>
        <v>LLE</v>
      </c>
      <c r="P190" s="746" t="str">
        <v>YES</v>
      </c>
    </row>
    <row r="191" spans="1:16" s="385" customFormat="1" ht="27" customHeight="1">
      <c r="A191" s="399">
        <f t="shared" si="6"/>
        <v>98</v>
      </c>
      <c r="B191" s="477" t="s">
        <v>52</v>
      </c>
      <c r="C191" s="646" t="s">
        <v>728</v>
      </c>
      <c r="D191" s="456" t="str">
        <f>_xlfn.XLOOKUP(C191,EL!$E$4:$E$183,EL!$D$4:$D$183)</f>
        <v>Schematic Diagram For AIS Switchgear</v>
      </c>
      <c r="E191" s="597">
        <f>IF(VLOOKUP(C191,EL!$E$4:$AC$505,7,0)="","",VLOOKUP(C191,EL!$E$4:$AC$1004,7,0))</f>
        <v>0</v>
      </c>
      <c r="F191" s="462"/>
      <c r="G191" s="458">
        <f>IF(VLOOKUP(C191,EL!$E$4:$AC$514,5,0)="","",VLOOKUP(C191,EL!$E$4:$AC$514,5,0))</f>
        <v>46049</v>
      </c>
      <c r="H191" s="459">
        <f>IF(ISNA(MATCH($C191,EL!$E$4:$E$1012,0)),"",
IF($E191=0,IF(INDEX(EL!$R$4:$R$1012,MATCH($C191,EL!$E$4:$E$1012,0))="","",INDEX(EL!$R$4:$R$1012,MATCH($C191,EL!$E$4:$E$1012,0))),
IF($E191=1,IF(INDEX(EL!$W$4:$W$1012,MATCH($C191,EL!$E$4:$E$1012,0))="","",INDEX(EL!$W$4:$W$1012,MATCH($C191,EL!$E$4:$E$1012,0))),
IF($E191=2,IF(INDEX(EL!$AB$4:$AB$1012,MATCH($C191,EL!$E$4:$E$1012,0))="","",INDEX(EL!$AB$4:$AB$1012,MATCH($C191,EL!$E$4:$E$1012,0))),
IF($E191=3,IF(INDEX(EL!$AG$4:$AG$1012,MATCH($C191,EL!$E$4:$E$1012,0))="","",INDEX(EL!$AG$4:$AG$1012,MATCH($C191,EL!$E$4:$E$1012,0))),
IF($E191=4,IF(INDEX(EL!$AN$4:$AN$1012,MATCH($C191,EL!$E$4:$E$1012,0))="","",INDEX(EL!$AN$4:$AN$1012,MATCH($C191,EL!$E$4:$E$1012,0))),
IF($E191=5,IF(INDEX(EL!$AS$4:$AS$1012,MATCH($C191,EL!$E$4:$E$1012,0))="","",INDEX(EL!$AS$4:$AS$1012,MATCH($C191,EL!$E$4:$E$1012,0))),"")))))))</f>
        <v>46049</v>
      </c>
      <c r="I191" s="459">
        <f>IF(ISNA(MATCH($C191,EL!$E$4:$E$1012,0)),"",
IF($E191=0,IF(INDEX(EL!$S$4:$S$1012,MATCH($C191,EL!$E$4:$E$1012,0))="","",INDEX(EL!$S$4:$S$1012,MATCH($C191,EL!$E$4:$E$1012,0))),
IF($E191=1,IF(INDEX(EL!$X$4:$X$1012,MATCH($C191,EL!$E$4:$E$1012,0))="","",INDEX(EL!$X$4:$X$1012,MATCH($C191,EL!$E$4:$E$1012,0))),
IF($E191=2,IF(INDEX(EL!$AC$4:$AC$1012,MATCH($C191,EL!$E$4:$E$1012,0))="","",INDEX(EL!$AC$4:$AC$1012,MATCH($C191,EL!$E$4:$E$1012,0))),
IF($E191=3,IF(INDEX(EL!$AH$4:$AH$1012,MATCH($C191,EL!$E$4:$E$1012,0))="","",INDEX(EL!$AH$4:$AH$1012,MATCH($C191,EL!$E$4:$E$1012,0))),
IF($E191=4,IF(INDEX(EL!$AM$4:$AM$1012,MATCH($C191,EL!$E$4:$E$1012,0))="","",INDEX(EL!$AM$4:$AM$1012,MATCH($C191,EL!$E$4:$E$1012,0))),
IF($E191=5,IF(INDEX(EL!$AR$4:$AR$1012,MATCH($C191,EL!$E$4:$E$1012,0))="","",INDEX(EL!$AR$4:$AR$1012,MATCH($C191,EL!$E$4:$E$1012,0))),"")))))))</f>
        <v>46055</v>
      </c>
      <c r="J191" s="459" t="str">
        <f>IF(ISNA(MATCH($C191,EL!$E$4:$E$1012,0)),"",
IF($E191=0,IF(INDEX(EL!$T$4:$T$1012,MATCH($C191,EL!$E$4:$E$1012,0))="","",INDEX(EL!$T$4:$T$1012,MATCH($C191,EL!$E$4:$E$1012,0))),
IF($E191=1,IF(INDEX(EL!$Y$4:$Y$1012,MATCH($C191,EL!$E$4:$E$1012,0))="","",INDEX(EL!$Y$4:$Y$1012,MATCH($C191,EL!$E$4:$E$1012,0))),
IF($E191=2,IF(INDEX(EL!$AD$4:$AD$1012,MATCH($C191,EL!$E$4:$E$1012,0))="","",INDEX(EL!$AD$4:$AD$1012,MATCH($C191,EL!$E$4:$E$1012,0))),
IF($E191=3,IF(INDEX(EL!$AI$4:$AI$1012,MATCH($C191,EL!$E$4:$E$1012,0))="","",INDEX(EL!$AI$4:$AI$1012,MATCH($C191,EL!$E$4:$E$1012,0))),
IF($E191=4,IF(INDEX(EL!$AN$4:$AN$1012,MATCH($C191,EL!$E$4:$E$1012,0))="","",INDEX(EL!$AN$4:$AN$1012,MATCH($C191,EL!$E$4:$E$1012,0))),
IF($E191=5,IF(INDEX(EL!$AS$4:$AS$1012,MATCH($C191,EL!$E$4:$E$1012,0))="","",INDEX(EL!$AS$4:$AS$1012,MATCH($C191,EL!$E$4:$E$1012,0))),"")))))))</f>
        <v/>
      </c>
      <c r="K191" s="459" t="str">
        <f>EL!L104</f>
        <v>STT</v>
      </c>
      <c r="L191" s="460" cm="1">
        <f t="array" aca="1" ref="L191" ca="1">_xlfn.IFS(AND($E191&lt;&gt;"",$M191="Pending",$K191="CTA"),TODAY()-$G191,AND($E191&lt;&gt;"",$M191="Pending",$K191="AUR"),TODAY()-$H191,AND($E191&lt;&gt;"",$M191="Pending",$K191="STT"),TODAY()-$I191,OR(K191="Closed",K191=""),"")</f>
        <v>11</v>
      </c>
      <c r="M191" s="461" t="str">
        <f>VLOOKUP(C191,EL!$E$4:$AC$622,9,0)</f>
        <v>Pending</v>
      </c>
      <c r="N191" s="461" t="str">
        <f t="shared" ca="1" si="7"/>
        <v>Overdue</v>
      </c>
      <c r="O191" s="739" t="str">
        <f>EL!O104</f>
        <v>LLE</v>
      </c>
      <c r="P191" s="746" t="str">
        <v>YES</v>
      </c>
    </row>
    <row r="192" spans="1:16" s="385" customFormat="1" ht="27" customHeight="1">
      <c r="A192" s="399">
        <f t="shared" si="6"/>
        <v>99</v>
      </c>
      <c r="B192" s="477" t="s">
        <v>52</v>
      </c>
      <c r="C192" s="646" t="s">
        <v>732</v>
      </c>
      <c r="D192" s="456" t="str">
        <f>_xlfn.XLOOKUP(C192,EL!$E$4:$E$183,EL!$D$4:$D$183)</f>
        <v>Schematic Diagram for RMU</v>
      </c>
      <c r="E192" s="597">
        <f>IF(VLOOKUP(C192,EL!$E$4:$AC$505,7,0)="","",VLOOKUP(C192,EL!$E$4:$AC$1004,7,0))</f>
        <v>0</v>
      </c>
      <c r="F192" s="462"/>
      <c r="G192" s="458">
        <f>IF(VLOOKUP(C192,EL!$E$4:$AC$514,5,0)="","",VLOOKUP(C192,EL!$E$4:$AC$514,5,0))</f>
        <v>46052</v>
      </c>
      <c r="H192" s="459">
        <f>IF(ISNA(MATCH($C192,EL!$E$4:$E$1012,0)),"",
IF($E192=0,IF(INDEX(EL!$R$4:$R$1012,MATCH($C192,EL!$E$4:$E$1012,0))="","",INDEX(EL!$R$4:$R$1012,MATCH($C192,EL!$E$4:$E$1012,0))),
IF($E192=1,IF(INDEX(EL!$W$4:$W$1012,MATCH($C192,EL!$E$4:$E$1012,0))="","",INDEX(EL!$W$4:$W$1012,MATCH($C192,EL!$E$4:$E$1012,0))),
IF($E192=2,IF(INDEX(EL!$AB$4:$AB$1012,MATCH($C192,EL!$E$4:$E$1012,0))="","",INDEX(EL!$AB$4:$AB$1012,MATCH($C192,EL!$E$4:$E$1012,0))),
IF($E192=3,IF(INDEX(EL!$AG$4:$AG$1012,MATCH($C192,EL!$E$4:$E$1012,0))="","",INDEX(EL!$AG$4:$AG$1012,MATCH($C192,EL!$E$4:$E$1012,0))),
IF($E192=4,IF(INDEX(EL!$AN$4:$AN$1012,MATCH($C192,EL!$E$4:$E$1012,0))="","",INDEX(EL!$AN$4:$AN$1012,MATCH($C192,EL!$E$4:$E$1012,0))),
IF($E192=5,IF(INDEX(EL!$AS$4:$AS$1012,MATCH($C192,EL!$E$4:$E$1012,0))="","",INDEX(EL!$AS$4:$AS$1012,MATCH($C192,EL!$E$4:$E$1012,0))),"")))))))</f>
        <v>46055</v>
      </c>
      <c r="I192" s="459" t="str">
        <f>IF(ISNA(MATCH($C192,EL!$E$4:$E$1012,0)),"",
IF($E192=0,IF(INDEX(EL!$S$4:$S$1012,MATCH($C192,EL!$E$4:$E$1012,0))="","",INDEX(EL!$S$4:$S$1012,MATCH($C192,EL!$E$4:$E$1012,0))),
IF($E192=1,IF(INDEX(EL!$X$4:$X$1012,MATCH($C192,EL!$E$4:$E$1012,0))="","",INDEX(EL!$X$4:$X$1012,MATCH($C192,EL!$E$4:$E$1012,0))),
IF($E192=2,IF(INDEX(EL!$AC$4:$AC$1012,MATCH($C192,EL!$E$4:$E$1012,0))="","",INDEX(EL!$AC$4:$AC$1012,MATCH($C192,EL!$E$4:$E$1012,0))),
IF($E192=3,IF(INDEX(EL!$AH$4:$AH$1012,MATCH($C192,EL!$E$4:$E$1012,0))="","",INDEX(EL!$AH$4:$AH$1012,MATCH($C192,EL!$E$4:$E$1012,0))),
IF($E192=4,IF(INDEX(EL!$AM$4:$AM$1012,MATCH($C192,EL!$E$4:$E$1012,0))="","",INDEX(EL!$AM$4:$AM$1012,MATCH($C192,EL!$E$4:$E$1012,0))),
IF($E192=5,IF(INDEX(EL!$AR$4:$AR$1012,MATCH($C192,EL!$E$4:$E$1012,0))="","",INDEX(EL!$AR$4:$AR$1012,MATCH($C192,EL!$E$4:$E$1012,0))),"")))))))</f>
        <v/>
      </c>
      <c r="J192" s="459" t="str">
        <f>IF(ISNA(MATCH($C192,EL!$E$4:$E$1012,0)),"",
IF($E192=0,IF(INDEX(EL!$T$4:$T$1012,MATCH($C192,EL!$E$4:$E$1012,0))="","",INDEX(EL!$T$4:$T$1012,MATCH($C192,EL!$E$4:$E$1012,0))),
IF($E192=1,IF(INDEX(EL!$Y$4:$Y$1012,MATCH($C192,EL!$E$4:$E$1012,0))="","",INDEX(EL!$Y$4:$Y$1012,MATCH($C192,EL!$E$4:$E$1012,0))),
IF($E192=2,IF(INDEX(EL!$AD$4:$AD$1012,MATCH($C192,EL!$E$4:$E$1012,0))="","",INDEX(EL!$AD$4:$AD$1012,MATCH($C192,EL!$E$4:$E$1012,0))),
IF($E192=3,IF(INDEX(EL!$AI$4:$AI$1012,MATCH($C192,EL!$E$4:$E$1012,0))="","",INDEX(EL!$AI$4:$AI$1012,MATCH($C192,EL!$E$4:$E$1012,0))),
IF($E192=4,IF(INDEX(EL!$AN$4:$AN$1012,MATCH($C192,EL!$E$4:$E$1012,0))="","",INDEX(EL!$AN$4:$AN$1012,MATCH($C192,EL!$E$4:$E$1012,0))),
IF($E192=5,IF(INDEX(EL!$AS$4:$AS$1012,MATCH($C192,EL!$E$4:$E$1012,0))="","",INDEX(EL!$AS$4:$AS$1012,MATCH($C192,EL!$E$4:$E$1012,0))),"")))))))</f>
        <v/>
      </c>
      <c r="K192" s="459" t="str">
        <f>EL!L105</f>
        <v>AUR</v>
      </c>
      <c r="L192" s="460" cm="1">
        <f t="array" aca="1" ref="L192" ca="1">_xlfn.IFS(AND($E192&lt;&gt;"",$M192="Pending",$K192="CTA"),TODAY()-$G192,AND($E192&lt;&gt;"",$M192="Pending",$K192="AUR"),TODAY()-$H192,AND($E192&lt;&gt;"",$M192="Pending",$K192="STT"),TODAY()-$I192,OR(K192="Closed",K192=""),"")</f>
        <v>11</v>
      </c>
      <c r="M192" s="461" t="str">
        <f>VLOOKUP(C192,EL!$E$4:$AC$622,9,0)</f>
        <v>Pending</v>
      </c>
      <c r="N192" s="461" t="str">
        <f t="shared" ca="1" si="7"/>
        <v>Overdue</v>
      </c>
      <c r="O192" s="739" t="str">
        <f>EL!O105</f>
        <v>LLE</v>
      </c>
      <c r="P192" s="746" t="str">
        <v>YES</v>
      </c>
    </row>
    <row r="193" spans="1:16" s="385" customFormat="1" ht="27" customHeight="1">
      <c r="A193" s="399">
        <f t="shared" si="6"/>
        <v>100</v>
      </c>
      <c r="B193" s="477" t="s">
        <v>52</v>
      </c>
      <c r="C193" s="646" t="s">
        <v>735</v>
      </c>
      <c r="D193" s="456" t="str">
        <f>_xlfn.XLOOKUP(C193,EL!$E$4:$E$183,EL!$D$4:$D$183)</f>
        <v>Control Logic for AIS Switchgear</v>
      </c>
      <c r="E193" s="597">
        <f>IF(VLOOKUP(C193,EL!$E$4:$AC$505,7,0)="","",VLOOKUP(C193,EL!$E$4:$AC$1004,7,0))</f>
        <v>1</v>
      </c>
      <c r="F193" s="462"/>
      <c r="G193" s="458">
        <f>IF(VLOOKUP(C193,EL!$E$4:$AC$514,5,0)="","",VLOOKUP(C193,EL!$E$4:$AC$514,5,0))</f>
        <v>46058</v>
      </c>
      <c r="H193" s="459">
        <f>IF(ISNA(MATCH($C193,EL!$E$4:$E$1012,0)),"",
IF($E193=0,IF(INDEX(EL!$R$4:$R$1012,MATCH($C193,EL!$E$4:$E$1012,0))="","",INDEX(EL!$R$4:$R$1012,MATCH($C193,EL!$E$4:$E$1012,0))),
IF($E193=1,IF(INDEX(EL!$W$4:$W$1012,MATCH($C193,EL!$E$4:$E$1012,0))="","",INDEX(EL!$W$4:$W$1012,MATCH($C193,EL!$E$4:$E$1012,0))),
IF($E193=2,IF(INDEX(EL!$AB$4:$AB$1012,MATCH($C193,EL!$E$4:$E$1012,0))="","",INDEX(EL!$AB$4:$AB$1012,MATCH($C193,EL!$E$4:$E$1012,0))),
IF($E193=3,IF(INDEX(EL!$AG$4:$AG$1012,MATCH($C193,EL!$E$4:$E$1012,0))="","",INDEX(EL!$AG$4:$AG$1012,MATCH($C193,EL!$E$4:$E$1012,0))),
IF($E193=4,IF(INDEX(EL!$AN$4:$AN$1012,MATCH($C193,EL!$E$4:$E$1012,0))="","",INDEX(EL!$AN$4:$AN$1012,MATCH($C193,EL!$E$4:$E$1012,0))),
IF($E193=5,IF(INDEX(EL!$AS$4:$AS$1012,MATCH($C193,EL!$E$4:$E$1012,0))="","",INDEX(EL!$AS$4:$AS$1012,MATCH($C193,EL!$E$4:$E$1012,0))),"")))))))</f>
        <v>46065</v>
      </c>
      <c r="I193" s="459" t="str">
        <f>IF(ISNA(MATCH($C193,EL!$E$4:$E$1012,0)),"",
IF($E193=0,IF(INDEX(EL!$S$4:$S$1012,MATCH($C193,EL!$E$4:$E$1012,0))="","",INDEX(EL!$S$4:$S$1012,MATCH($C193,EL!$E$4:$E$1012,0))),
IF($E193=1,IF(INDEX(EL!$X$4:$X$1012,MATCH($C193,EL!$E$4:$E$1012,0))="","",INDEX(EL!$X$4:$X$1012,MATCH($C193,EL!$E$4:$E$1012,0))),
IF($E193=2,IF(INDEX(EL!$AC$4:$AC$1012,MATCH($C193,EL!$E$4:$E$1012,0))="","",INDEX(EL!$AC$4:$AC$1012,MATCH($C193,EL!$E$4:$E$1012,0))),
IF($E193=3,IF(INDEX(EL!$AH$4:$AH$1012,MATCH($C193,EL!$E$4:$E$1012,0))="","",INDEX(EL!$AH$4:$AH$1012,MATCH($C193,EL!$E$4:$E$1012,0))),
IF($E193=4,IF(INDEX(EL!$AM$4:$AM$1012,MATCH($C193,EL!$E$4:$E$1012,0))="","",INDEX(EL!$AM$4:$AM$1012,MATCH($C193,EL!$E$4:$E$1012,0))),
IF($E193=5,IF(INDEX(EL!$AR$4:$AR$1012,MATCH($C193,EL!$E$4:$E$1012,0))="","",INDEX(EL!$AR$4:$AR$1012,MATCH($C193,EL!$E$4:$E$1012,0))),"")))))))</f>
        <v/>
      </c>
      <c r="J193" s="459" t="str">
        <f>IF(ISNA(MATCH($C193,EL!$E$4:$E$1012,0)),"",
IF($E193=0,IF(INDEX(EL!$T$4:$T$1012,MATCH($C193,EL!$E$4:$E$1012,0))="","",INDEX(EL!$T$4:$T$1012,MATCH($C193,EL!$E$4:$E$1012,0))),
IF($E193=1,IF(INDEX(EL!$Y$4:$Y$1012,MATCH($C193,EL!$E$4:$E$1012,0))="","",INDEX(EL!$Y$4:$Y$1012,MATCH($C193,EL!$E$4:$E$1012,0))),
IF($E193=2,IF(INDEX(EL!$AD$4:$AD$1012,MATCH($C193,EL!$E$4:$E$1012,0))="","",INDEX(EL!$AD$4:$AD$1012,MATCH($C193,EL!$E$4:$E$1012,0))),
IF($E193=3,IF(INDEX(EL!$AI$4:$AI$1012,MATCH($C193,EL!$E$4:$E$1012,0))="","",INDEX(EL!$AI$4:$AI$1012,MATCH($C193,EL!$E$4:$E$1012,0))),
IF($E193=4,IF(INDEX(EL!$AN$4:$AN$1012,MATCH($C193,EL!$E$4:$E$1012,0))="","",INDEX(EL!$AN$4:$AN$1012,MATCH($C193,EL!$E$4:$E$1012,0))),
IF($E193=5,IF(INDEX(EL!$AS$4:$AS$1012,MATCH($C193,EL!$E$4:$E$1012,0))="","",INDEX(EL!$AS$4:$AS$1012,MATCH($C193,EL!$E$4:$E$1012,0))),"")))))))</f>
        <v/>
      </c>
      <c r="K193" s="459" t="str">
        <f>EL!L106</f>
        <v>AUR</v>
      </c>
      <c r="L193" s="460" cm="1">
        <f t="array" aca="1" ref="L193" ca="1">_xlfn.IFS(AND($E193&lt;&gt;"",$M193="Pending",$K193="CTA"),TODAY()-$G193,AND($E193&lt;&gt;"",$M193="Pending",$K193="AUR"),TODAY()-$H193,AND($E193&lt;&gt;"",$M193="Pending",$K193="STT"),TODAY()-$I193,OR(K193="Closed",K193=""),"")</f>
        <v>1</v>
      </c>
      <c r="M193" s="461" t="str">
        <f>VLOOKUP(C193,EL!$E$4:$AC$622,9,0)</f>
        <v>Pending</v>
      </c>
      <c r="N193" s="461" t="str">
        <f t="shared" ca="1" si="7"/>
        <v/>
      </c>
      <c r="O193" s="739" t="str">
        <f>EL!O106</f>
        <v>LLE</v>
      </c>
      <c r="P193" s="746" t="str">
        <v>NO</v>
      </c>
    </row>
    <row r="194" spans="1:16" s="385" customFormat="1" ht="27" hidden="1" customHeight="1">
      <c r="A194" s="399">
        <f t="shared" si="6"/>
        <v>101</v>
      </c>
      <c r="B194" s="477" t="s">
        <v>52</v>
      </c>
      <c r="C194" s="646" t="s">
        <v>738</v>
      </c>
      <c r="D194" s="456" t="str">
        <f>_xlfn.XLOOKUP(C194,EL!$E$4:$E$183,EL!$D$4:$D$183)</f>
        <v>Control Logic for RMU</v>
      </c>
      <c r="E194" s="597">
        <f>IF(VLOOKUP(C194,EL!$E$4:$AC$505,7,0)="","",VLOOKUP(C194,EL!$E$4:$AC$1004,7,0))</f>
        <v>0</v>
      </c>
      <c r="F194" s="462"/>
      <c r="G194" s="458">
        <f>IF(VLOOKUP(C194,EL!$E$4:$AC$514,5,0)="","",VLOOKUP(C194,EL!$E$4:$AC$514,5,0))</f>
        <v>46007</v>
      </c>
      <c r="H194" s="459">
        <f>IF(ISNA(MATCH($C194,EL!$E$4:$E$1012,0)),"",
IF($E194=0,IF(INDEX(EL!$R$4:$R$1012,MATCH($C194,EL!$E$4:$E$1012,0))="","",INDEX(EL!$R$4:$R$1012,MATCH($C194,EL!$E$4:$E$1012,0))),
IF($E194=1,IF(INDEX(EL!$W$4:$W$1012,MATCH($C194,EL!$E$4:$E$1012,0))="","",INDEX(EL!$W$4:$W$1012,MATCH($C194,EL!$E$4:$E$1012,0))),
IF($E194=2,IF(INDEX(EL!$AB$4:$AB$1012,MATCH($C194,EL!$E$4:$E$1012,0))="","",INDEX(EL!$AB$4:$AB$1012,MATCH($C194,EL!$E$4:$E$1012,0))),
IF($E194=3,IF(INDEX(EL!$AG$4:$AG$1012,MATCH($C194,EL!$E$4:$E$1012,0))="","",INDEX(EL!$AG$4:$AG$1012,MATCH($C194,EL!$E$4:$E$1012,0))),
IF($E194=4,IF(INDEX(EL!$AN$4:$AN$1012,MATCH($C194,EL!$E$4:$E$1012,0))="","",INDEX(EL!$AN$4:$AN$1012,MATCH($C194,EL!$E$4:$E$1012,0))),
IF($E194=5,IF(INDEX(EL!$AS$4:$AS$1012,MATCH($C194,EL!$E$4:$E$1012,0))="","",INDEX(EL!$AS$4:$AS$1012,MATCH($C194,EL!$E$4:$E$1012,0))),"")))))))</f>
        <v>46013</v>
      </c>
      <c r="I194" s="459">
        <f>IF(ISNA(MATCH($C194,EL!$E$4:$E$1012,0)),"",
IF($E194=0,IF(INDEX(EL!$S$4:$S$1012,MATCH($C194,EL!$E$4:$E$1012,0))="","",INDEX(EL!$S$4:$S$1012,MATCH($C194,EL!$E$4:$E$1012,0))),
IF($E194=1,IF(INDEX(EL!$X$4:$X$1012,MATCH($C194,EL!$E$4:$E$1012,0))="","",INDEX(EL!$X$4:$X$1012,MATCH($C194,EL!$E$4:$E$1012,0))),
IF($E194=2,IF(INDEX(EL!$AC$4:$AC$1012,MATCH($C194,EL!$E$4:$E$1012,0))="","",INDEX(EL!$AC$4:$AC$1012,MATCH($C194,EL!$E$4:$E$1012,0))),
IF($E194=3,IF(INDEX(EL!$AH$4:$AH$1012,MATCH($C194,EL!$E$4:$E$1012,0))="","",INDEX(EL!$AH$4:$AH$1012,MATCH($C194,EL!$E$4:$E$1012,0))),
IF($E194=4,IF(INDEX(EL!$AM$4:$AM$1012,MATCH($C194,EL!$E$4:$E$1012,0))="","",INDEX(EL!$AM$4:$AM$1012,MATCH($C194,EL!$E$4:$E$1012,0))),
IF($E194=5,IF(INDEX(EL!$AR$4:$AR$1012,MATCH($C194,EL!$E$4:$E$1012,0))="","",INDEX(EL!$AR$4:$AR$1012,MATCH($C194,EL!$E$4:$E$1012,0))),"")))))))</f>
        <v>46035</v>
      </c>
      <c r="J194" s="459">
        <f>IF(ISNA(MATCH($C194,EL!$E$4:$E$1012,0)),"",
IF($E194=0,IF(INDEX(EL!$T$4:$T$1012,MATCH($C194,EL!$E$4:$E$1012,0))="","",INDEX(EL!$T$4:$T$1012,MATCH($C194,EL!$E$4:$E$1012,0))),
IF($E194=1,IF(INDEX(EL!$Y$4:$Y$1012,MATCH($C194,EL!$E$4:$E$1012,0))="","",INDEX(EL!$Y$4:$Y$1012,MATCH($C194,EL!$E$4:$E$1012,0))),
IF($E194=2,IF(INDEX(EL!$AD$4:$AD$1012,MATCH($C194,EL!$E$4:$E$1012,0))="","",INDEX(EL!$AD$4:$AD$1012,MATCH($C194,EL!$E$4:$E$1012,0))),
IF($E194=3,IF(INDEX(EL!$AI$4:$AI$1012,MATCH($C194,EL!$E$4:$E$1012,0))="","",INDEX(EL!$AI$4:$AI$1012,MATCH($C194,EL!$E$4:$E$1012,0))),
IF($E194=4,IF(INDEX(EL!$AN$4:$AN$1012,MATCH($C194,EL!$E$4:$E$1012,0))="","",INDEX(EL!$AN$4:$AN$1012,MATCH($C194,EL!$E$4:$E$1012,0))),
IF($E194=5,IF(INDEX(EL!$AS$4:$AS$1012,MATCH($C194,EL!$E$4:$E$1012,0))="","",INDEX(EL!$AS$4:$AS$1012,MATCH($C194,EL!$E$4:$E$1012,0))),"")))))))</f>
        <v>46043</v>
      </c>
      <c r="K194" s="459" t="str">
        <f>EL!L107</f>
        <v>GAA</v>
      </c>
      <c r="L194" s="460" t="e" cm="1">
        <f t="array" aca="1" ref="L194" ca="1">_xlfn.IFS(AND($E194&lt;&gt;"",$M194="Pending",$K194="CTA"),TODAY()-$G194,AND($E194&lt;&gt;"",$M194="Pending",$K194="AUR"),TODAY()-$H194,AND($E194&lt;&gt;"",$M194="Pending",$K194="STT"),TODAY()-$I194,OR(K194="Closed",K194=""),"")</f>
        <v>#N/A</v>
      </c>
      <c r="M194" s="461" t="str">
        <f>VLOOKUP(C194,EL!$E$4:$AC$622,9,0)</f>
        <v>C</v>
      </c>
      <c r="N194" s="461" t="str">
        <f t="shared" si="7"/>
        <v/>
      </c>
      <c r="O194" s="739" t="str">
        <f>EL!O107</f>
        <v>LLE</v>
      </c>
      <c r="P194" s="746" t="str">
        <v>NO</v>
      </c>
    </row>
    <row r="195" spans="1:16" s="385" customFormat="1" ht="27" hidden="1" customHeight="1">
      <c r="A195" s="399">
        <f t="shared" si="6"/>
        <v>102</v>
      </c>
      <c r="B195" s="477" t="s">
        <v>52</v>
      </c>
      <c r="C195" s="646" t="s">
        <v>741</v>
      </c>
      <c r="D195" s="456" t="str">
        <f>_xlfn.XLOOKUP(C195,EL!$E$4:$E$183,EL!$D$4:$D$183)</f>
        <v>For Manufacturing Drawing</v>
      </c>
      <c r="E195" s="597" t="str">
        <f>IF(VLOOKUP(C195,EL!$E$4:$AC$505,7,0)="","",VLOOKUP(C195,EL!$E$4:$AC$1004,7,0))</f>
        <v/>
      </c>
      <c r="F195" s="462"/>
      <c r="G195" s="458" t="str">
        <f>IF(VLOOKUP(C195,EL!$E$4:$AC$514,5,0)="","",VLOOKUP(C195,EL!$E$4:$AC$514,5,0))</f>
        <v/>
      </c>
      <c r="H195" s="459" t="str">
        <f>IF(ISNA(MATCH($C195,EL!$E$4:$E$1012,0)),"",
IF($E195=0,IF(INDEX(EL!$R$4:$R$1012,MATCH($C195,EL!$E$4:$E$1012,0))="","",INDEX(EL!$R$4:$R$1012,MATCH($C195,EL!$E$4:$E$1012,0))),
IF($E195=1,IF(INDEX(EL!$W$4:$W$1012,MATCH($C195,EL!$E$4:$E$1012,0))="","",INDEX(EL!$W$4:$W$1012,MATCH($C195,EL!$E$4:$E$1012,0))),
IF($E195=2,IF(INDEX(EL!$AB$4:$AB$1012,MATCH($C195,EL!$E$4:$E$1012,0))="","",INDEX(EL!$AB$4:$AB$1012,MATCH($C195,EL!$E$4:$E$1012,0))),
IF($E195=3,IF(INDEX(EL!$AG$4:$AG$1012,MATCH($C195,EL!$E$4:$E$1012,0))="","",INDEX(EL!$AG$4:$AG$1012,MATCH($C195,EL!$E$4:$E$1012,0))),
IF($E195=4,IF(INDEX(EL!$AN$4:$AN$1012,MATCH($C195,EL!$E$4:$E$1012,0))="","",INDEX(EL!$AN$4:$AN$1012,MATCH($C195,EL!$E$4:$E$1012,0))),
IF($E195=5,IF(INDEX(EL!$AS$4:$AS$1012,MATCH($C195,EL!$E$4:$E$1012,0))="","",INDEX(EL!$AS$4:$AS$1012,MATCH($C195,EL!$E$4:$E$1012,0))),"")))))))</f>
        <v/>
      </c>
      <c r="I195" s="459" t="str">
        <f>IF(ISNA(MATCH($C195,EL!$E$4:$E$1012,0)),"",
IF($E195=0,IF(INDEX(EL!$S$4:$S$1012,MATCH($C195,EL!$E$4:$E$1012,0))="","",INDEX(EL!$S$4:$S$1012,MATCH($C195,EL!$E$4:$E$1012,0))),
IF($E195=1,IF(INDEX(EL!$X$4:$X$1012,MATCH($C195,EL!$E$4:$E$1012,0))="","",INDEX(EL!$X$4:$X$1012,MATCH($C195,EL!$E$4:$E$1012,0))),
IF($E195=2,IF(INDEX(EL!$AC$4:$AC$1012,MATCH($C195,EL!$E$4:$E$1012,0))="","",INDEX(EL!$AC$4:$AC$1012,MATCH($C195,EL!$E$4:$E$1012,0))),
IF($E195=3,IF(INDEX(EL!$AH$4:$AH$1012,MATCH($C195,EL!$E$4:$E$1012,0))="","",INDEX(EL!$AH$4:$AH$1012,MATCH($C195,EL!$E$4:$E$1012,0))),
IF($E195=4,IF(INDEX(EL!$AM$4:$AM$1012,MATCH($C195,EL!$E$4:$E$1012,0))="","",INDEX(EL!$AM$4:$AM$1012,MATCH($C195,EL!$E$4:$E$1012,0))),
IF($E195=5,IF(INDEX(EL!$AR$4:$AR$1012,MATCH($C195,EL!$E$4:$E$1012,0))="","",INDEX(EL!$AR$4:$AR$1012,MATCH($C195,EL!$E$4:$E$1012,0))),"")))))))</f>
        <v/>
      </c>
      <c r="J195" s="459" t="str">
        <f>IF(ISNA(MATCH($C195,EL!$E$4:$E$1012,0)),"",
IF($E195=0,IF(INDEX(EL!$T$4:$T$1012,MATCH($C195,EL!$E$4:$E$1012,0))="","",INDEX(EL!$T$4:$T$1012,MATCH($C195,EL!$E$4:$E$1012,0))),
IF($E195=1,IF(INDEX(EL!$Y$4:$Y$1012,MATCH($C195,EL!$E$4:$E$1012,0))="","",INDEX(EL!$Y$4:$Y$1012,MATCH($C195,EL!$E$4:$E$1012,0))),
IF($E195=2,IF(INDEX(EL!$AD$4:$AD$1012,MATCH($C195,EL!$E$4:$E$1012,0))="","",INDEX(EL!$AD$4:$AD$1012,MATCH($C195,EL!$E$4:$E$1012,0))),
IF($E195=3,IF(INDEX(EL!$AI$4:$AI$1012,MATCH($C195,EL!$E$4:$E$1012,0))="","",INDEX(EL!$AI$4:$AI$1012,MATCH($C195,EL!$E$4:$E$1012,0))),
IF($E195=4,IF(INDEX(EL!$AN$4:$AN$1012,MATCH($C195,EL!$E$4:$E$1012,0))="","",INDEX(EL!$AN$4:$AN$1012,MATCH($C195,EL!$E$4:$E$1012,0))),
IF($E195=5,IF(INDEX(EL!$AS$4:$AS$1012,MATCH($C195,EL!$E$4:$E$1012,0))="","",INDEX(EL!$AS$4:$AS$1012,MATCH($C195,EL!$E$4:$E$1012,0))),"")))))))</f>
        <v/>
      </c>
      <c r="K195" s="459">
        <f>EL!L108</f>
        <v>0</v>
      </c>
      <c r="L195" s="460" t="e" cm="1">
        <f t="array" aca="1" ref="L195" ca="1">_xlfn.IFS(AND($E195&lt;&gt;"",$M195="Pending",$K195="CTA"),TODAY()-$G195,AND($E195&lt;&gt;"",$M195="Pending",$K195="AUR"),TODAY()-$H195,AND($E195&lt;&gt;"",$M195="Pending",$K195="STT"),TODAY()-$I195,OR(K195="Closed",K195=""),"")</f>
        <v>#N/A</v>
      </c>
      <c r="M195" s="461">
        <f>VLOOKUP(C195,EL!$E$4:$AC$622,9,0)</f>
        <v>0</v>
      </c>
      <c r="N195" s="461" t="str">
        <f t="shared" si="7"/>
        <v/>
      </c>
      <c r="O195" s="739" t="str">
        <f>EL!O108</f>
        <v>LLE</v>
      </c>
      <c r="P195" s="746" t="str">
        <v>NO</v>
      </c>
    </row>
    <row r="196" spans="1:16" s="385" customFormat="1" ht="27" hidden="1" customHeight="1">
      <c r="A196" s="399">
        <f t="shared" si="6"/>
        <v>103</v>
      </c>
      <c r="B196" s="477" t="s">
        <v>52</v>
      </c>
      <c r="C196" s="646" t="s">
        <v>743</v>
      </c>
      <c r="D196" s="456" t="str">
        <f>_xlfn.XLOOKUP(C196,EL!$E$4:$E$183,EL!$D$4:$D$183)</f>
        <v>For Manufacturing Drawing</v>
      </c>
      <c r="E196" s="597" t="str">
        <f>IF(VLOOKUP(C196,EL!$E$4:$AC$505,7,0)="","",VLOOKUP(C196,EL!$E$4:$AC$1004,7,0))</f>
        <v/>
      </c>
      <c r="F196" s="462"/>
      <c r="G196" s="458" t="str">
        <f>IF(VLOOKUP(C196,EL!$E$4:$AC$514,5,0)="","",VLOOKUP(C196,EL!$E$4:$AC$514,5,0))</f>
        <v/>
      </c>
      <c r="H196" s="459" t="str">
        <f>IF(ISNA(MATCH($C196,EL!$E$4:$E$1012,0)),"",
IF($E196=0,IF(INDEX(EL!$R$4:$R$1012,MATCH($C196,EL!$E$4:$E$1012,0))="","",INDEX(EL!$R$4:$R$1012,MATCH($C196,EL!$E$4:$E$1012,0))),
IF($E196=1,IF(INDEX(EL!$W$4:$W$1012,MATCH($C196,EL!$E$4:$E$1012,0))="","",INDEX(EL!$W$4:$W$1012,MATCH($C196,EL!$E$4:$E$1012,0))),
IF($E196=2,IF(INDEX(EL!$AB$4:$AB$1012,MATCH($C196,EL!$E$4:$E$1012,0))="","",INDEX(EL!$AB$4:$AB$1012,MATCH($C196,EL!$E$4:$E$1012,0))),
IF($E196=3,IF(INDEX(EL!$AG$4:$AG$1012,MATCH($C196,EL!$E$4:$E$1012,0))="","",INDEX(EL!$AG$4:$AG$1012,MATCH($C196,EL!$E$4:$E$1012,0))),
IF($E196=4,IF(INDEX(EL!$AN$4:$AN$1012,MATCH($C196,EL!$E$4:$E$1012,0))="","",INDEX(EL!$AN$4:$AN$1012,MATCH($C196,EL!$E$4:$E$1012,0))),
IF($E196=5,IF(INDEX(EL!$AS$4:$AS$1012,MATCH($C196,EL!$E$4:$E$1012,0))="","",INDEX(EL!$AS$4:$AS$1012,MATCH($C196,EL!$E$4:$E$1012,0))),"")))))))</f>
        <v/>
      </c>
      <c r="I196" s="459" t="str">
        <f>IF(ISNA(MATCH($C196,EL!$E$4:$E$1012,0)),"",
IF($E196=0,IF(INDEX(EL!$S$4:$S$1012,MATCH($C196,EL!$E$4:$E$1012,0))="","",INDEX(EL!$S$4:$S$1012,MATCH($C196,EL!$E$4:$E$1012,0))),
IF($E196=1,IF(INDEX(EL!$X$4:$X$1012,MATCH($C196,EL!$E$4:$E$1012,0))="","",INDEX(EL!$X$4:$X$1012,MATCH($C196,EL!$E$4:$E$1012,0))),
IF($E196=2,IF(INDEX(EL!$AC$4:$AC$1012,MATCH($C196,EL!$E$4:$E$1012,0))="","",INDEX(EL!$AC$4:$AC$1012,MATCH($C196,EL!$E$4:$E$1012,0))),
IF($E196=3,IF(INDEX(EL!$AH$4:$AH$1012,MATCH($C196,EL!$E$4:$E$1012,0))="","",INDEX(EL!$AH$4:$AH$1012,MATCH($C196,EL!$E$4:$E$1012,0))),
IF($E196=4,IF(INDEX(EL!$AM$4:$AM$1012,MATCH($C196,EL!$E$4:$E$1012,0))="","",INDEX(EL!$AM$4:$AM$1012,MATCH($C196,EL!$E$4:$E$1012,0))),
IF($E196=5,IF(INDEX(EL!$AR$4:$AR$1012,MATCH($C196,EL!$E$4:$E$1012,0))="","",INDEX(EL!$AR$4:$AR$1012,MATCH($C196,EL!$E$4:$E$1012,0))),"")))))))</f>
        <v/>
      </c>
      <c r="J196" s="459" t="str">
        <f>IF(ISNA(MATCH($C196,EL!$E$4:$E$1012,0)),"",
IF($E196=0,IF(INDEX(EL!$T$4:$T$1012,MATCH($C196,EL!$E$4:$E$1012,0))="","",INDEX(EL!$T$4:$T$1012,MATCH($C196,EL!$E$4:$E$1012,0))),
IF($E196=1,IF(INDEX(EL!$Y$4:$Y$1012,MATCH($C196,EL!$E$4:$E$1012,0))="","",INDEX(EL!$Y$4:$Y$1012,MATCH($C196,EL!$E$4:$E$1012,0))),
IF($E196=2,IF(INDEX(EL!$AD$4:$AD$1012,MATCH($C196,EL!$E$4:$E$1012,0))="","",INDEX(EL!$AD$4:$AD$1012,MATCH($C196,EL!$E$4:$E$1012,0))),
IF($E196=3,IF(INDEX(EL!$AI$4:$AI$1012,MATCH($C196,EL!$E$4:$E$1012,0))="","",INDEX(EL!$AI$4:$AI$1012,MATCH($C196,EL!$E$4:$E$1012,0))),
IF($E196=4,IF(INDEX(EL!$AN$4:$AN$1012,MATCH($C196,EL!$E$4:$E$1012,0))="","",INDEX(EL!$AN$4:$AN$1012,MATCH($C196,EL!$E$4:$E$1012,0))),
IF($E196=5,IF(INDEX(EL!$AS$4:$AS$1012,MATCH($C196,EL!$E$4:$E$1012,0))="","",INDEX(EL!$AS$4:$AS$1012,MATCH($C196,EL!$E$4:$E$1012,0))),"")))))))</f>
        <v/>
      </c>
      <c r="K196" s="459">
        <f>EL!L109</f>
        <v>0</v>
      </c>
      <c r="L196" s="460" t="e" cm="1">
        <f t="array" aca="1" ref="L196" ca="1">_xlfn.IFS(AND($E196&lt;&gt;"",$M196="Pending",$K196="CTA"),TODAY()-$G196,AND($E196&lt;&gt;"",$M196="Pending",$K196="AUR"),TODAY()-$H196,AND($E196&lt;&gt;"",$M196="Pending",$K196="STT"),TODAY()-$I196,OR(K196="Closed",K196=""),"")</f>
        <v>#N/A</v>
      </c>
      <c r="M196" s="461">
        <f>VLOOKUP(C196,EL!$E$4:$AC$622,9,0)</f>
        <v>0</v>
      </c>
      <c r="N196" s="461" t="str">
        <f t="shared" si="7"/>
        <v/>
      </c>
      <c r="O196" s="739" t="str">
        <f>EL!O109</f>
        <v>LLE</v>
      </c>
      <c r="P196" s="746" t="str">
        <v>NO</v>
      </c>
    </row>
    <row r="197" spans="1:16" s="385" customFormat="1" ht="27" hidden="1" customHeight="1">
      <c r="A197" s="399">
        <f t="shared" si="6"/>
        <v>104</v>
      </c>
      <c r="B197" s="477" t="s">
        <v>52</v>
      </c>
      <c r="C197" s="646" t="s">
        <v>746</v>
      </c>
      <c r="D197" s="456" t="str">
        <f>_xlfn.XLOOKUP(C197,EL!$E$4:$E$183,EL!$D$4:$D$183)</f>
        <v xml:space="preserve">Level 1 - Mv Cable Routing Layout </v>
      </c>
      <c r="E197" s="597" t="str">
        <f>IF(VLOOKUP(C197,EL!$E$4:$AC$505,7,0)="","",VLOOKUP(C197,EL!$E$4:$AC$1004,7,0))</f>
        <v/>
      </c>
      <c r="F197" s="462"/>
      <c r="G197" s="458" t="str">
        <f>IF(VLOOKUP(C197,EL!$E$4:$AC$514,5,0)="","",VLOOKUP(C197,EL!$E$4:$AC$514,5,0))</f>
        <v/>
      </c>
      <c r="H197" s="459" t="str">
        <f>IF(ISNA(MATCH($C197,EL!$E$4:$E$1012,0)),"",
IF($E197=0,IF(INDEX(EL!$R$4:$R$1012,MATCH($C197,EL!$E$4:$E$1012,0))="","",INDEX(EL!$R$4:$R$1012,MATCH($C197,EL!$E$4:$E$1012,0))),
IF($E197=1,IF(INDEX(EL!$W$4:$W$1012,MATCH($C197,EL!$E$4:$E$1012,0))="","",INDEX(EL!$W$4:$W$1012,MATCH($C197,EL!$E$4:$E$1012,0))),
IF($E197=2,IF(INDEX(EL!$AB$4:$AB$1012,MATCH($C197,EL!$E$4:$E$1012,0))="","",INDEX(EL!$AB$4:$AB$1012,MATCH($C197,EL!$E$4:$E$1012,0))),
IF($E197=3,IF(INDEX(EL!$AG$4:$AG$1012,MATCH($C197,EL!$E$4:$E$1012,0))="","",INDEX(EL!$AG$4:$AG$1012,MATCH($C197,EL!$E$4:$E$1012,0))),
IF($E197=4,IF(INDEX(EL!$AN$4:$AN$1012,MATCH($C197,EL!$E$4:$E$1012,0))="","",INDEX(EL!$AN$4:$AN$1012,MATCH($C197,EL!$E$4:$E$1012,0))),
IF($E197=5,IF(INDEX(EL!$AS$4:$AS$1012,MATCH($C197,EL!$E$4:$E$1012,0))="","",INDEX(EL!$AS$4:$AS$1012,MATCH($C197,EL!$E$4:$E$1012,0))),"")))))))</f>
        <v/>
      </c>
      <c r="I197" s="459" t="str">
        <f>IF(ISNA(MATCH($C197,EL!$E$4:$E$1012,0)),"",
IF($E197=0,IF(INDEX(EL!$S$4:$S$1012,MATCH($C197,EL!$E$4:$E$1012,0))="","",INDEX(EL!$S$4:$S$1012,MATCH($C197,EL!$E$4:$E$1012,0))),
IF($E197=1,IF(INDEX(EL!$X$4:$X$1012,MATCH($C197,EL!$E$4:$E$1012,0))="","",INDEX(EL!$X$4:$X$1012,MATCH($C197,EL!$E$4:$E$1012,0))),
IF($E197=2,IF(INDEX(EL!$AC$4:$AC$1012,MATCH($C197,EL!$E$4:$E$1012,0))="","",INDEX(EL!$AC$4:$AC$1012,MATCH($C197,EL!$E$4:$E$1012,0))),
IF($E197=3,IF(INDEX(EL!$AH$4:$AH$1012,MATCH($C197,EL!$E$4:$E$1012,0))="","",INDEX(EL!$AH$4:$AH$1012,MATCH($C197,EL!$E$4:$E$1012,0))),
IF($E197=4,IF(INDEX(EL!$AM$4:$AM$1012,MATCH($C197,EL!$E$4:$E$1012,0))="","",INDEX(EL!$AM$4:$AM$1012,MATCH($C197,EL!$E$4:$E$1012,0))),
IF($E197=5,IF(INDEX(EL!$AR$4:$AR$1012,MATCH($C197,EL!$E$4:$E$1012,0))="","",INDEX(EL!$AR$4:$AR$1012,MATCH($C197,EL!$E$4:$E$1012,0))),"")))))))</f>
        <v/>
      </c>
      <c r="J197" s="459" t="str">
        <f>IF(ISNA(MATCH($C197,EL!$E$4:$E$1012,0)),"",
IF($E197=0,IF(INDEX(EL!$T$4:$T$1012,MATCH($C197,EL!$E$4:$E$1012,0))="","",INDEX(EL!$T$4:$T$1012,MATCH($C197,EL!$E$4:$E$1012,0))),
IF($E197=1,IF(INDEX(EL!$Y$4:$Y$1012,MATCH($C197,EL!$E$4:$E$1012,0))="","",INDEX(EL!$Y$4:$Y$1012,MATCH($C197,EL!$E$4:$E$1012,0))),
IF($E197=2,IF(INDEX(EL!$AD$4:$AD$1012,MATCH($C197,EL!$E$4:$E$1012,0))="","",INDEX(EL!$AD$4:$AD$1012,MATCH($C197,EL!$E$4:$E$1012,0))),
IF($E197=3,IF(INDEX(EL!$AI$4:$AI$1012,MATCH($C197,EL!$E$4:$E$1012,0))="","",INDEX(EL!$AI$4:$AI$1012,MATCH($C197,EL!$E$4:$E$1012,0))),
IF($E197=4,IF(INDEX(EL!$AN$4:$AN$1012,MATCH($C197,EL!$E$4:$E$1012,0))="","",INDEX(EL!$AN$4:$AN$1012,MATCH($C197,EL!$E$4:$E$1012,0))),
IF($E197=5,IF(INDEX(EL!$AS$4:$AS$1012,MATCH($C197,EL!$E$4:$E$1012,0))="","",INDEX(EL!$AS$4:$AS$1012,MATCH($C197,EL!$E$4:$E$1012,0))),"")))))))</f>
        <v/>
      </c>
      <c r="K197" s="459">
        <f>EL!L110</f>
        <v>0</v>
      </c>
      <c r="L197" s="460" t="e" cm="1">
        <f t="array" aca="1" ref="L197" ca="1">_xlfn.IFS(AND($E197&lt;&gt;"",$M197="Pending",$K197="CTA"),TODAY()-$G197,AND($E197&lt;&gt;"",$M197="Pending",$K197="AUR"),TODAY()-$H197,AND($E197&lt;&gt;"",$M197="Pending",$K197="STT"),TODAY()-$I197,OR(K197="Closed",K197=""),"")</f>
        <v>#N/A</v>
      </c>
      <c r="M197" s="461">
        <f>VLOOKUP(C197,EL!$E$4:$AC$622,9,0)</f>
        <v>0</v>
      </c>
      <c r="N197" s="461" t="str">
        <f t="shared" si="7"/>
        <v/>
      </c>
      <c r="O197" s="739" t="str">
        <f>EL!O110</f>
        <v>GC</v>
      </c>
      <c r="P197" s="746" t="str">
        <v>NO</v>
      </c>
    </row>
    <row r="198" spans="1:16" s="385" customFormat="1" ht="27" hidden="1" customHeight="1">
      <c r="A198" s="399">
        <f t="shared" si="6"/>
        <v>105</v>
      </c>
      <c r="B198" s="477" t="s">
        <v>52</v>
      </c>
      <c r="C198" s="646" t="s">
        <v>750</v>
      </c>
      <c r="D198" s="456" t="str">
        <f>_xlfn.XLOOKUP(C198,EL!$E$4:$E$183,EL!$D$4:$D$183)</f>
        <v xml:space="preserve">Level 1 - LV  Cable Routing Layout </v>
      </c>
      <c r="E198" s="597" t="str">
        <f>IF(VLOOKUP(C198,EL!$E$4:$AC$505,7,0)="","",VLOOKUP(C198,EL!$E$4:$AC$1004,7,0))</f>
        <v/>
      </c>
      <c r="F198" s="462"/>
      <c r="G198" s="458" t="str">
        <f>IF(VLOOKUP(C198,EL!$E$4:$AC$514,5,0)="","",VLOOKUP(C198,EL!$E$4:$AC$514,5,0))</f>
        <v/>
      </c>
      <c r="H198" s="459" t="str">
        <f>IF(ISNA(MATCH($C198,EL!$E$4:$E$1012,0)),"",
IF($E198=0,IF(INDEX(EL!$R$4:$R$1012,MATCH($C198,EL!$E$4:$E$1012,0))="","",INDEX(EL!$R$4:$R$1012,MATCH($C198,EL!$E$4:$E$1012,0))),
IF($E198=1,IF(INDEX(EL!$W$4:$W$1012,MATCH($C198,EL!$E$4:$E$1012,0))="","",INDEX(EL!$W$4:$W$1012,MATCH($C198,EL!$E$4:$E$1012,0))),
IF($E198=2,IF(INDEX(EL!$AB$4:$AB$1012,MATCH($C198,EL!$E$4:$E$1012,0))="","",INDEX(EL!$AB$4:$AB$1012,MATCH($C198,EL!$E$4:$E$1012,0))),
IF($E198=3,IF(INDEX(EL!$AG$4:$AG$1012,MATCH($C198,EL!$E$4:$E$1012,0))="","",INDEX(EL!$AG$4:$AG$1012,MATCH($C198,EL!$E$4:$E$1012,0))),
IF($E198=4,IF(INDEX(EL!$AN$4:$AN$1012,MATCH($C198,EL!$E$4:$E$1012,0))="","",INDEX(EL!$AN$4:$AN$1012,MATCH($C198,EL!$E$4:$E$1012,0))),
IF($E198=5,IF(INDEX(EL!$AS$4:$AS$1012,MATCH($C198,EL!$E$4:$E$1012,0))="","",INDEX(EL!$AS$4:$AS$1012,MATCH($C198,EL!$E$4:$E$1012,0))),"")))))))</f>
        <v/>
      </c>
      <c r="I198" s="459" t="str">
        <f>IF(ISNA(MATCH($C198,EL!$E$4:$E$1012,0)),"",
IF($E198=0,IF(INDEX(EL!$S$4:$S$1012,MATCH($C198,EL!$E$4:$E$1012,0))="","",INDEX(EL!$S$4:$S$1012,MATCH($C198,EL!$E$4:$E$1012,0))),
IF($E198=1,IF(INDEX(EL!$X$4:$X$1012,MATCH($C198,EL!$E$4:$E$1012,0))="","",INDEX(EL!$X$4:$X$1012,MATCH($C198,EL!$E$4:$E$1012,0))),
IF($E198=2,IF(INDEX(EL!$AC$4:$AC$1012,MATCH($C198,EL!$E$4:$E$1012,0))="","",INDEX(EL!$AC$4:$AC$1012,MATCH($C198,EL!$E$4:$E$1012,0))),
IF($E198=3,IF(INDEX(EL!$AH$4:$AH$1012,MATCH($C198,EL!$E$4:$E$1012,0))="","",INDEX(EL!$AH$4:$AH$1012,MATCH($C198,EL!$E$4:$E$1012,0))),
IF($E198=4,IF(INDEX(EL!$AM$4:$AM$1012,MATCH($C198,EL!$E$4:$E$1012,0))="","",INDEX(EL!$AM$4:$AM$1012,MATCH($C198,EL!$E$4:$E$1012,0))),
IF($E198=5,IF(INDEX(EL!$AR$4:$AR$1012,MATCH($C198,EL!$E$4:$E$1012,0))="","",INDEX(EL!$AR$4:$AR$1012,MATCH($C198,EL!$E$4:$E$1012,0))),"")))))))</f>
        <v/>
      </c>
      <c r="J198" s="459" t="str">
        <f>IF(ISNA(MATCH($C198,EL!$E$4:$E$1012,0)),"",
IF($E198=0,IF(INDEX(EL!$T$4:$T$1012,MATCH($C198,EL!$E$4:$E$1012,0))="","",INDEX(EL!$T$4:$T$1012,MATCH($C198,EL!$E$4:$E$1012,0))),
IF($E198=1,IF(INDEX(EL!$Y$4:$Y$1012,MATCH($C198,EL!$E$4:$E$1012,0))="","",INDEX(EL!$Y$4:$Y$1012,MATCH($C198,EL!$E$4:$E$1012,0))),
IF($E198=2,IF(INDEX(EL!$AD$4:$AD$1012,MATCH($C198,EL!$E$4:$E$1012,0))="","",INDEX(EL!$AD$4:$AD$1012,MATCH($C198,EL!$E$4:$E$1012,0))),
IF($E198=3,IF(INDEX(EL!$AI$4:$AI$1012,MATCH($C198,EL!$E$4:$E$1012,0))="","",INDEX(EL!$AI$4:$AI$1012,MATCH($C198,EL!$E$4:$E$1012,0))),
IF($E198=4,IF(INDEX(EL!$AN$4:$AN$1012,MATCH($C198,EL!$E$4:$E$1012,0))="","",INDEX(EL!$AN$4:$AN$1012,MATCH($C198,EL!$E$4:$E$1012,0))),
IF($E198=5,IF(INDEX(EL!$AS$4:$AS$1012,MATCH($C198,EL!$E$4:$E$1012,0))="","",INDEX(EL!$AS$4:$AS$1012,MATCH($C198,EL!$E$4:$E$1012,0))),"")))))))</f>
        <v/>
      </c>
      <c r="K198" s="459">
        <f>EL!L111</f>
        <v>0</v>
      </c>
      <c r="L198" s="460" t="e" cm="1">
        <f t="array" aca="1" ref="L198" ca="1">_xlfn.IFS(AND($E198&lt;&gt;"",$M198="Pending",$K198="CTA"),TODAY()-$G198,AND($E198&lt;&gt;"",$M198="Pending",$K198="AUR"),TODAY()-$H198,AND($E198&lt;&gt;"",$M198="Pending",$K198="STT"),TODAY()-$I198,OR(K198="Closed",K198=""),"")</f>
        <v>#N/A</v>
      </c>
      <c r="M198" s="461">
        <f>VLOOKUP(C198,EL!$E$4:$AC$622,9,0)</f>
        <v>0</v>
      </c>
      <c r="N198" s="461" t="str">
        <f t="shared" si="7"/>
        <v/>
      </c>
      <c r="O198" s="739" t="str">
        <f>EL!O111</f>
        <v>GC</v>
      </c>
      <c r="P198" s="746" t="str">
        <v>NO</v>
      </c>
    </row>
    <row r="199" spans="1:16" s="385" customFormat="1" ht="27" hidden="1" customHeight="1">
      <c r="A199" s="399">
        <f t="shared" si="6"/>
        <v>106</v>
      </c>
      <c r="B199" s="477" t="s">
        <v>52</v>
      </c>
      <c r="C199" s="646" t="s">
        <v>755</v>
      </c>
      <c r="D199" s="456" t="str">
        <f>_xlfn.XLOOKUP(C199,EL!$E$4:$E$183,EL!$D$4:$D$183)</f>
        <v xml:space="preserve">Level 1 - Aux Power Routing Layout </v>
      </c>
      <c r="E199" s="597" t="str">
        <f>IF(VLOOKUP(C199,EL!$E$4:$AC$505,7,0)="","",VLOOKUP(C199,EL!$E$4:$AC$1004,7,0))</f>
        <v/>
      </c>
      <c r="F199" s="462"/>
      <c r="G199" s="458" t="str">
        <f>IF(VLOOKUP(C199,EL!$E$4:$AC$514,5,0)="","",VLOOKUP(C199,EL!$E$4:$AC$514,5,0))</f>
        <v/>
      </c>
      <c r="H199" s="459" t="str">
        <f>IF(ISNA(MATCH($C199,EL!$E$4:$E$1012,0)),"",
IF($E199=0,IF(INDEX(EL!$R$4:$R$1012,MATCH($C199,EL!$E$4:$E$1012,0))="","",INDEX(EL!$R$4:$R$1012,MATCH($C199,EL!$E$4:$E$1012,0))),
IF($E199=1,IF(INDEX(EL!$W$4:$W$1012,MATCH($C199,EL!$E$4:$E$1012,0))="","",INDEX(EL!$W$4:$W$1012,MATCH($C199,EL!$E$4:$E$1012,0))),
IF($E199=2,IF(INDEX(EL!$AB$4:$AB$1012,MATCH($C199,EL!$E$4:$E$1012,0))="","",INDEX(EL!$AB$4:$AB$1012,MATCH($C199,EL!$E$4:$E$1012,0))),
IF($E199=3,IF(INDEX(EL!$AG$4:$AG$1012,MATCH($C199,EL!$E$4:$E$1012,0))="","",INDEX(EL!$AG$4:$AG$1012,MATCH($C199,EL!$E$4:$E$1012,0))),
IF($E199=4,IF(INDEX(EL!$AN$4:$AN$1012,MATCH($C199,EL!$E$4:$E$1012,0))="","",INDEX(EL!$AN$4:$AN$1012,MATCH($C199,EL!$E$4:$E$1012,0))),
IF($E199=5,IF(INDEX(EL!$AS$4:$AS$1012,MATCH($C199,EL!$E$4:$E$1012,0))="","",INDEX(EL!$AS$4:$AS$1012,MATCH($C199,EL!$E$4:$E$1012,0))),"")))))))</f>
        <v/>
      </c>
      <c r="I199" s="459" t="str">
        <f>IF(ISNA(MATCH($C199,EL!$E$4:$E$1012,0)),"",
IF($E199=0,IF(INDEX(EL!$S$4:$S$1012,MATCH($C199,EL!$E$4:$E$1012,0))="","",INDEX(EL!$S$4:$S$1012,MATCH($C199,EL!$E$4:$E$1012,0))),
IF($E199=1,IF(INDEX(EL!$X$4:$X$1012,MATCH($C199,EL!$E$4:$E$1012,0))="","",INDEX(EL!$X$4:$X$1012,MATCH($C199,EL!$E$4:$E$1012,0))),
IF($E199=2,IF(INDEX(EL!$AC$4:$AC$1012,MATCH($C199,EL!$E$4:$E$1012,0))="","",INDEX(EL!$AC$4:$AC$1012,MATCH($C199,EL!$E$4:$E$1012,0))),
IF($E199=3,IF(INDEX(EL!$AH$4:$AH$1012,MATCH($C199,EL!$E$4:$E$1012,0))="","",INDEX(EL!$AH$4:$AH$1012,MATCH($C199,EL!$E$4:$E$1012,0))),
IF($E199=4,IF(INDEX(EL!$AM$4:$AM$1012,MATCH($C199,EL!$E$4:$E$1012,0))="","",INDEX(EL!$AM$4:$AM$1012,MATCH($C199,EL!$E$4:$E$1012,0))),
IF($E199=5,IF(INDEX(EL!$AR$4:$AR$1012,MATCH($C199,EL!$E$4:$E$1012,0))="","",INDEX(EL!$AR$4:$AR$1012,MATCH($C199,EL!$E$4:$E$1012,0))),"")))))))</f>
        <v/>
      </c>
      <c r="J199" s="459" t="str">
        <f>IF(ISNA(MATCH($C199,EL!$E$4:$E$1012,0)),"",
IF($E199=0,IF(INDEX(EL!$T$4:$T$1012,MATCH($C199,EL!$E$4:$E$1012,0))="","",INDEX(EL!$T$4:$T$1012,MATCH($C199,EL!$E$4:$E$1012,0))),
IF($E199=1,IF(INDEX(EL!$Y$4:$Y$1012,MATCH($C199,EL!$E$4:$E$1012,0))="","",INDEX(EL!$Y$4:$Y$1012,MATCH($C199,EL!$E$4:$E$1012,0))),
IF($E199=2,IF(INDEX(EL!$AD$4:$AD$1012,MATCH($C199,EL!$E$4:$E$1012,0))="","",INDEX(EL!$AD$4:$AD$1012,MATCH($C199,EL!$E$4:$E$1012,0))),
IF($E199=3,IF(INDEX(EL!$AI$4:$AI$1012,MATCH($C199,EL!$E$4:$E$1012,0))="","",INDEX(EL!$AI$4:$AI$1012,MATCH($C199,EL!$E$4:$E$1012,0))),
IF($E199=4,IF(INDEX(EL!$AN$4:$AN$1012,MATCH($C199,EL!$E$4:$E$1012,0))="","",INDEX(EL!$AN$4:$AN$1012,MATCH($C199,EL!$E$4:$E$1012,0))),
IF($E199=5,IF(INDEX(EL!$AS$4:$AS$1012,MATCH($C199,EL!$E$4:$E$1012,0))="","",INDEX(EL!$AS$4:$AS$1012,MATCH($C199,EL!$E$4:$E$1012,0))),"")))))))</f>
        <v/>
      </c>
      <c r="K199" s="459">
        <f>EL!L112</f>
        <v>0</v>
      </c>
      <c r="L199" s="460" t="e" cm="1">
        <f t="array" aca="1" ref="L199" ca="1">_xlfn.IFS(AND($E199&lt;&gt;"",$M199="Pending",$K199="CTA"),TODAY()-$G199,AND($E199&lt;&gt;"",$M199="Pending",$K199="AUR"),TODAY()-$H199,AND($E199&lt;&gt;"",$M199="Pending",$K199="STT"),TODAY()-$I199,OR(K199="Closed",K199=""),"")</f>
        <v>#N/A</v>
      </c>
      <c r="M199" s="461">
        <f>VLOOKUP(C199,EL!$E$4:$AC$622,9,0)</f>
        <v>0</v>
      </c>
      <c r="N199" s="461" t="str">
        <f t="shared" si="7"/>
        <v/>
      </c>
      <c r="O199" s="739" t="str">
        <f>EL!O112</f>
        <v>GC</v>
      </c>
      <c r="P199" s="746" t="str">
        <v>NO</v>
      </c>
    </row>
    <row r="200" spans="1:16" s="385" customFormat="1" ht="27" hidden="1" customHeight="1">
      <c r="A200" s="399">
        <f t="shared" si="6"/>
        <v>107</v>
      </c>
      <c r="B200" s="477" t="s">
        <v>52</v>
      </c>
      <c r="C200" s="646" t="s">
        <v>758</v>
      </c>
      <c r="D200" s="456" t="str">
        <f>_xlfn.XLOOKUP(C200,EL!$E$4:$E$183,EL!$D$4:$D$183)</f>
        <v xml:space="preserve">Level 1 - Mvdc Cable Routing Layout  </v>
      </c>
      <c r="E200" s="597" t="str">
        <f>IF(VLOOKUP(C200,EL!$E$4:$AC$505,7,0)="","",VLOOKUP(C200,EL!$E$4:$AC$1004,7,0))</f>
        <v/>
      </c>
      <c r="F200" s="462"/>
      <c r="G200" s="458" t="str">
        <f>IF(VLOOKUP(C200,EL!$E$4:$AC$514,5,0)="","",VLOOKUP(C200,EL!$E$4:$AC$514,5,0))</f>
        <v/>
      </c>
      <c r="H200" s="459" t="str">
        <f>IF(ISNA(MATCH($C200,EL!$E$4:$E$1012,0)),"",
IF($E200=0,IF(INDEX(EL!$R$4:$R$1012,MATCH($C200,EL!$E$4:$E$1012,0))="","",INDEX(EL!$R$4:$R$1012,MATCH($C200,EL!$E$4:$E$1012,0))),
IF($E200=1,IF(INDEX(EL!$W$4:$W$1012,MATCH($C200,EL!$E$4:$E$1012,0))="","",INDEX(EL!$W$4:$W$1012,MATCH($C200,EL!$E$4:$E$1012,0))),
IF($E200=2,IF(INDEX(EL!$AB$4:$AB$1012,MATCH($C200,EL!$E$4:$E$1012,0))="","",INDEX(EL!$AB$4:$AB$1012,MATCH($C200,EL!$E$4:$E$1012,0))),
IF($E200=3,IF(INDEX(EL!$AG$4:$AG$1012,MATCH($C200,EL!$E$4:$E$1012,0))="","",INDEX(EL!$AG$4:$AG$1012,MATCH($C200,EL!$E$4:$E$1012,0))),
IF($E200=4,IF(INDEX(EL!$AN$4:$AN$1012,MATCH($C200,EL!$E$4:$E$1012,0))="","",INDEX(EL!$AN$4:$AN$1012,MATCH($C200,EL!$E$4:$E$1012,0))),
IF($E200=5,IF(INDEX(EL!$AS$4:$AS$1012,MATCH($C200,EL!$E$4:$E$1012,0))="","",INDEX(EL!$AS$4:$AS$1012,MATCH($C200,EL!$E$4:$E$1012,0))),"")))))))</f>
        <v/>
      </c>
      <c r="I200" s="459" t="str">
        <f>IF(ISNA(MATCH($C200,EL!$E$4:$E$1012,0)),"",
IF($E200=0,IF(INDEX(EL!$S$4:$S$1012,MATCH($C200,EL!$E$4:$E$1012,0))="","",INDEX(EL!$S$4:$S$1012,MATCH($C200,EL!$E$4:$E$1012,0))),
IF($E200=1,IF(INDEX(EL!$X$4:$X$1012,MATCH($C200,EL!$E$4:$E$1012,0))="","",INDEX(EL!$X$4:$X$1012,MATCH($C200,EL!$E$4:$E$1012,0))),
IF($E200=2,IF(INDEX(EL!$AC$4:$AC$1012,MATCH($C200,EL!$E$4:$E$1012,0))="","",INDEX(EL!$AC$4:$AC$1012,MATCH($C200,EL!$E$4:$E$1012,0))),
IF($E200=3,IF(INDEX(EL!$AH$4:$AH$1012,MATCH($C200,EL!$E$4:$E$1012,0))="","",INDEX(EL!$AH$4:$AH$1012,MATCH($C200,EL!$E$4:$E$1012,0))),
IF($E200=4,IF(INDEX(EL!$AM$4:$AM$1012,MATCH($C200,EL!$E$4:$E$1012,0))="","",INDEX(EL!$AM$4:$AM$1012,MATCH($C200,EL!$E$4:$E$1012,0))),
IF($E200=5,IF(INDEX(EL!$AR$4:$AR$1012,MATCH($C200,EL!$E$4:$E$1012,0))="","",INDEX(EL!$AR$4:$AR$1012,MATCH($C200,EL!$E$4:$E$1012,0))),"")))))))</f>
        <v/>
      </c>
      <c r="J200" s="459" t="str">
        <f>IF(ISNA(MATCH($C200,EL!$E$4:$E$1012,0)),"",
IF($E200=0,IF(INDEX(EL!$T$4:$T$1012,MATCH($C200,EL!$E$4:$E$1012,0))="","",INDEX(EL!$T$4:$T$1012,MATCH($C200,EL!$E$4:$E$1012,0))),
IF($E200=1,IF(INDEX(EL!$Y$4:$Y$1012,MATCH($C200,EL!$E$4:$E$1012,0))="","",INDEX(EL!$Y$4:$Y$1012,MATCH($C200,EL!$E$4:$E$1012,0))),
IF($E200=2,IF(INDEX(EL!$AD$4:$AD$1012,MATCH($C200,EL!$E$4:$E$1012,0))="","",INDEX(EL!$AD$4:$AD$1012,MATCH($C200,EL!$E$4:$E$1012,0))),
IF($E200=3,IF(INDEX(EL!$AI$4:$AI$1012,MATCH($C200,EL!$E$4:$E$1012,0))="","",INDEX(EL!$AI$4:$AI$1012,MATCH($C200,EL!$E$4:$E$1012,0))),
IF($E200=4,IF(INDEX(EL!$AN$4:$AN$1012,MATCH($C200,EL!$E$4:$E$1012,0))="","",INDEX(EL!$AN$4:$AN$1012,MATCH($C200,EL!$E$4:$E$1012,0))),
IF($E200=5,IF(INDEX(EL!$AS$4:$AS$1012,MATCH($C200,EL!$E$4:$E$1012,0))="","",INDEX(EL!$AS$4:$AS$1012,MATCH($C200,EL!$E$4:$E$1012,0))),"")))))))</f>
        <v/>
      </c>
      <c r="K200" s="459">
        <f>EL!L113</f>
        <v>0</v>
      </c>
      <c r="L200" s="460" t="e" cm="1">
        <f t="array" aca="1" ref="L200" ca="1">_xlfn.IFS(AND($E200&lt;&gt;"",$M200="Pending",$K200="CTA"),TODAY()-$G200,AND($E200&lt;&gt;"",$M200="Pending",$K200="AUR"),TODAY()-$H200,AND($E200&lt;&gt;"",$M200="Pending",$K200="STT"),TODAY()-$I200,OR(K200="Closed",K200=""),"")</f>
        <v>#N/A</v>
      </c>
      <c r="M200" s="461">
        <f>VLOOKUP(C200,EL!$E$4:$AC$622,9,0)</f>
        <v>0</v>
      </c>
      <c r="N200" s="461" t="str">
        <f t="shared" si="7"/>
        <v/>
      </c>
      <c r="O200" s="739" t="str">
        <f>EL!O113</f>
        <v>GC</v>
      </c>
      <c r="P200" s="746" t="str">
        <v>NO</v>
      </c>
    </row>
    <row r="201" spans="1:16" s="385" customFormat="1" ht="27" customHeight="1">
      <c r="A201" s="399">
        <f t="shared" si="6"/>
        <v>108</v>
      </c>
      <c r="B201" s="477" t="s">
        <v>52</v>
      </c>
      <c r="C201" s="646" t="s">
        <v>761</v>
      </c>
      <c r="D201" s="456" t="str">
        <f>_xlfn.XLOOKUP(C201,EL!$E$4:$E$183,EL!$D$4:$D$183)</f>
        <v xml:space="preserve">Level 2 - MV Cable Routing Layout </v>
      </c>
      <c r="E201" s="597">
        <f>IF(VLOOKUP(C201,EL!$E$4:$AC$505,7,0)="","",VLOOKUP(C201,EL!$E$4:$AC$1004,7,0))</f>
        <v>0</v>
      </c>
      <c r="F201" s="462"/>
      <c r="G201" s="458">
        <f>IF(VLOOKUP(C201,EL!$E$4:$AC$514,5,0)="","",VLOOKUP(C201,EL!$E$4:$AC$514,5,0))</f>
        <v>46055</v>
      </c>
      <c r="H201" s="459">
        <f>IF(ISNA(MATCH($C201,EL!$E$4:$E$1012,0)),"",
IF($E201=0,IF(INDEX(EL!$R$4:$R$1012,MATCH($C201,EL!$E$4:$E$1012,0))="","",INDEX(EL!$R$4:$R$1012,MATCH($C201,EL!$E$4:$E$1012,0))),
IF($E201=1,IF(INDEX(EL!$W$4:$W$1012,MATCH($C201,EL!$E$4:$E$1012,0))="","",INDEX(EL!$W$4:$W$1012,MATCH($C201,EL!$E$4:$E$1012,0))),
IF($E201=2,IF(INDEX(EL!$AB$4:$AB$1012,MATCH($C201,EL!$E$4:$E$1012,0))="","",INDEX(EL!$AB$4:$AB$1012,MATCH($C201,EL!$E$4:$E$1012,0))),
IF($E201=3,IF(INDEX(EL!$AG$4:$AG$1012,MATCH($C201,EL!$E$4:$E$1012,0))="","",INDEX(EL!$AG$4:$AG$1012,MATCH($C201,EL!$E$4:$E$1012,0))),
IF($E201=4,IF(INDEX(EL!$AN$4:$AN$1012,MATCH($C201,EL!$E$4:$E$1012,0))="","",INDEX(EL!$AN$4:$AN$1012,MATCH($C201,EL!$E$4:$E$1012,0))),
IF($E201=5,IF(INDEX(EL!$AS$4:$AS$1012,MATCH($C201,EL!$E$4:$E$1012,0))="","",INDEX(EL!$AS$4:$AS$1012,MATCH($C201,EL!$E$4:$E$1012,0))),"")))))))</f>
        <v>46065</v>
      </c>
      <c r="I201" s="459" t="str">
        <f>IF(ISNA(MATCH($C201,EL!$E$4:$E$1012,0)),"",
IF($E201=0,IF(INDEX(EL!$S$4:$S$1012,MATCH($C201,EL!$E$4:$E$1012,0))="","",INDEX(EL!$S$4:$S$1012,MATCH($C201,EL!$E$4:$E$1012,0))),
IF($E201=1,IF(INDEX(EL!$X$4:$X$1012,MATCH($C201,EL!$E$4:$E$1012,0))="","",INDEX(EL!$X$4:$X$1012,MATCH($C201,EL!$E$4:$E$1012,0))),
IF($E201=2,IF(INDEX(EL!$AC$4:$AC$1012,MATCH($C201,EL!$E$4:$E$1012,0))="","",INDEX(EL!$AC$4:$AC$1012,MATCH($C201,EL!$E$4:$E$1012,0))),
IF($E201=3,IF(INDEX(EL!$AH$4:$AH$1012,MATCH($C201,EL!$E$4:$E$1012,0))="","",INDEX(EL!$AH$4:$AH$1012,MATCH($C201,EL!$E$4:$E$1012,0))),
IF($E201=4,IF(INDEX(EL!$AM$4:$AM$1012,MATCH($C201,EL!$E$4:$E$1012,0))="","",INDEX(EL!$AM$4:$AM$1012,MATCH($C201,EL!$E$4:$E$1012,0))),
IF($E201=5,IF(INDEX(EL!$AR$4:$AR$1012,MATCH($C201,EL!$E$4:$E$1012,0))="","",INDEX(EL!$AR$4:$AR$1012,MATCH($C201,EL!$E$4:$E$1012,0))),"")))))))</f>
        <v/>
      </c>
      <c r="J201" s="459" t="str">
        <f>IF(ISNA(MATCH($C201,EL!$E$4:$E$1012,0)),"",
IF($E201=0,IF(INDEX(EL!$T$4:$T$1012,MATCH($C201,EL!$E$4:$E$1012,0))="","",INDEX(EL!$T$4:$T$1012,MATCH($C201,EL!$E$4:$E$1012,0))),
IF($E201=1,IF(INDEX(EL!$Y$4:$Y$1012,MATCH($C201,EL!$E$4:$E$1012,0))="","",INDEX(EL!$Y$4:$Y$1012,MATCH($C201,EL!$E$4:$E$1012,0))),
IF($E201=2,IF(INDEX(EL!$AD$4:$AD$1012,MATCH($C201,EL!$E$4:$E$1012,0))="","",INDEX(EL!$AD$4:$AD$1012,MATCH($C201,EL!$E$4:$E$1012,0))),
IF($E201=3,IF(INDEX(EL!$AI$4:$AI$1012,MATCH($C201,EL!$E$4:$E$1012,0))="","",INDEX(EL!$AI$4:$AI$1012,MATCH($C201,EL!$E$4:$E$1012,0))),
IF($E201=4,IF(INDEX(EL!$AN$4:$AN$1012,MATCH($C201,EL!$E$4:$E$1012,0))="","",INDEX(EL!$AN$4:$AN$1012,MATCH($C201,EL!$E$4:$E$1012,0))),
IF($E201=5,IF(INDEX(EL!$AS$4:$AS$1012,MATCH($C201,EL!$E$4:$E$1012,0))="","",INDEX(EL!$AS$4:$AS$1012,MATCH($C201,EL!$E$4:$E$1012,0))),"")))))))</f>
        <v/>
      </c>
      <c r="K201" s="459" t="str">
        <f>EL!L114</f>
        <v>AUR</v>
      </c>
      <c r="L201" s="460" cm="1">
        <f t="array" aca="1" ref="L201" ca="1">_xlfn.IFS(AND($E201&lt;&gt;"",$M201="Pending",$K201="CTA"),TODAY()-$G201,AND($E201&lt;&gt;"",$M201="Pending",$K201="AUR"),TODAY()-$H201,AND($E201&lt;&gt;"",$M201="Pending",$K201="STT"),TODAY()-$I201,OR(K201="Closed",K201=""),"")</f>
        <v>1</v>
      </c>
      <c r="M201" s="461" t="str">
        <f>VLOOKUP(C201,EL!$E$4:$AC$622,9,0)</f>
        <v>Pending</v>
      </c>
      <c r="N201" s="461" t="str">
        <f t="shared" ca="1" si="7"/>
        <v/>
      </c>
      <c r="O201" s="739" t="str">
        <f>EL!O114</f>
        <v>GC</v>
      </c>
      <c r="P201" s="746" t="str">
        <v>NO</v>
      </c>
    </row>
    <row r="202" spans="1:16" s="385" customFormat="1" ht="27" hidden="1" customHeight="1">
      <c r="A202" s="399">
        <f t="shared" si="6"/>
        <v>109</v>
      </c>
      <c r="B202" s="477" t="s">
        <v>52</v>
      </c>
      <c r="C202" s="646" t="s">
        <v>764</v>
      </c>
      <c r="D202" s="456" t="str">
        <f>_xlfn.XLOOKUP(C202,EL!$E$4:$E$183,EL!$D$4:$D$183)</f>
        <v xml:space="preserve">Level 2 - LV  Cable Routing Layout </v>
      </c>
      <c r="E202" s="597" t="str">
        <f>IF(VLOOKUP(C202,EL!$E$4:$AC$505,7,0)="","",VLOOKUP(C202,EL!$E$4:$AC$1004,7,0))</f>
        <v/>
      </c>
      <c r="F202" s="462"/>
      <c r="G202" s="458" t="str">
        <f>IF(VLOOKUP(C202,EL!$E$4:$AC$514,5,0)="","",VLOOKUP(C202,EL!$E$4:$AC$514,5,0))</f>
        <v/>
      </c>
      <c r="H202" s="459" t="str">
        <f>IF(ISNA(MATCH($C202,EL!$E$4:$E$1012,0)),"",
IF($E202=0,IF(INDEX(EL!$R$4:$R$1012,MATCH($C202,EL!$E$4:$E$1012,0))="","",INDEX(EL!$R$4:$R$1012,MATCH($C202,EL!$E$4:$E$1012,0))),
IF($E202=1,IF(INDEX(EL!$W$4:$W$1012,MATCH($C202,EL!$E$4:$E$1012,0))="","",INDEX(EL!$W$4:$W$1012,MATCH($C202,EL!$E$4:$E$1012,0))),
IF($E202=2,IF(INDEX(EL!$AB$4:$AB$1012,MATCH($C202,EL!$E$4:$E$1012,0))="","",INDEX(EL!$AB$4:$AB$1012,MATCH($C202,EL!$E$4:$E$1012,0))),
IF($E202=3,IF(INDEX(EL!$AG$4:$AG$1012,MATCH($C202,EL!$E$4:$E$1012,0))="","",INDEX(EL!$AG$4:$AG$1012,MATCH($C202,EL!$E$4:$E$1012,0))),
IF($E202=4,IF(INDEX(EL!$AN$4:$AN$1012,MATCH($C202,EL!$E$4:$E$1012,0))="","",INDEX(EL!$AN$4:$AN$1012,MATCH($C202,EL!$E$4:$E$1012,0))),
IF($E202=5,IF(INDEX(EL!$AS$4:$AS$1012,MATCH($C202,EL!$E$4:$E$1012,0))="","",INDEX(EL!$AS$4:$AS$1012,MATCH($C202,EL!$E$4:$E$1012,0))),"")))))))</f>
        <v/>
      </c>
      <c r="I202" s="459" t="str">
        <f>IF(ISNA(MATCH($C202,EL!$E$4:$E$1012,0)),"",
IF($E202=0,IF(INDEX(EL!$S$4:$S$1012,MATCH($C202,EL!$E$4:$E$1012,0))="","",INDEX(EL!$S$4:$S$1012,MATCH($C202,EL!$E$4:$E$1012,0))),
IF($E202=1,IF(INDEX(EL!$X$4:$X$1012,MATCH($C202,EL!$E$4:$E$1012,0))="","",INDEX(EL!$X$4:$X$1012,MATCH($C202,EL!$E$4:$E$1012,0))),
IF($E202=2,IF(INDEX(EL!$AC$4:$AC$1012,MATCH($C202,EL!$E$4:$E$1012,0))="","",INDEX(EL!$AC$4:$AC$1012,MATCH($C202,EL!$E$4:$E$1012,0))),
IF($E202=3,IF(INDEX(EL!$AH$4:$AH$1012,MATCH($C202,EL!$E$4:$E$1012,0))="","",INDEX(EL!$AH$4:$AH$1012,MATCH($C202,EL!$E$4:$E$1012,0))),
IF($E202=4,IF(INDEX(EL!$AM$4:$AM$1012,MATCH($C202,EL!$E$4:$E$1012,0))="","",INDEX(EL!$AM$4:$AM$1012,MATCH($C202,EL!$E$4:$E$1012,0))),
IF($E202=5,IF(INDEX(EL!$AR$4:$AR$1012,MATCH($C202,EL!$E$4:$E$1012,0))="","",INDEX(EL!$AR$4:$AR$1012,MATCH($C202,EL!$E$4:$E$1012,0))),"")))))))</f>
        <v/>
      </c>
      <c r="J202" s="459" t="str">
        <f>IF(ISNA(MATCH($C202,EL!$E$4:$E$1012,0)),"",
IF($E202=0,IF(INDEX(EL!$T$4:$T$1012,MATCH($C202,EL!$E$4:$E$1012,0))="","",INDEX(EL!$T$4:$T$1012,MATCH($C202,EL!$E$4:$E$1012,0))),
IF($E202=1,IF(INDEX(EL!$Y$4:$Y$1012,MATCH($C202,EL!$E$4:$E$1012,0))="","",INDEX(EL!$Y$4:$Y$1012,MATCH($C202,EL!$E$4:$E$1012,0))),
IF($E202=2,IF(INDEX(EL!$AD$4:$AD$1012,MATCH($C202,EL!$E$4:$E$1012,0))="","",INDEX(EL!$AD$4:$AD$1012,MATCH($C202,EL!$E$4:$E$1012,0))),
IF($E202=3,IF(INDEX(EL!$AI$4:$AI$1012,MATCH($C202,EL!$E$4:$E$1012,0))="","",INDEX(EL!$AI$4:$AI$1012,MATCH($C202,EL!$E$4:$E$1012,0))),
IF($E202=4,IF(INDEX(EL!$AN$4:$AN$1012,MATCH($C202,EL!$E$4:$E$1012,0))="","",INDEX(EL!$AN$4:$AN$1012,MATCH($C202,EL!$E$4:$E$1012,0))),
IF($E202=5,IF(INDEX(EL!$AS$4:$AS$1012,MATCH($C202,EL!$E$4:$E$1012,0))="","",INDEX(EL!$AS$4:$AS$1012,MATCH($C202,EL!$E$4:$E$1012,0))),"")))))))</f>
        <v/>
      </c>
      <c r="K202" s="459">
        <f>EL!L115</f>
        <v>0</v>
      </c>
      <c r="L202" s="460" t="e" cm="1">
        <f t="array" aca="1" ref="L202" ca="1">_xlfn.IFS(AND($E202&lt;&gt;"",$M202="Pending",$K202="CTA"),TODAY()-$G202,AND($E202&lt;&gt;"",$M202="Pending",$K202="AUR"),TODAY()-$H202,AND($E202&lt;&gt;"",$M202="Pending",$K202="STT"),TODAY()-$I202,OR(K202="Closed",K202=""),"")</f>
        <v>#N/A</v>
      </c>
      <c r="M202" s="461">
        <f>VLOOKUP(C202,EL!$E$4:$AC$622,9,0)</f>
        <v>0</v>
      </c>
      <c r="N202" s="461" t="str">
        <f t="shared" si="7"/>
        <v/>
      </c>
      <c r="O202" s="739" t="str">
        <f>EL!O115</f>
        <v>GC</v>
      </c>
      <c r="P202" s="746" t="str">
        <v>NO</v>
      </c>
    </row>
    <row r="203" spans="1:16" s="385" customFormat="1" ht="27" hidden="1" customHeight="1">
      <c r="A203" s="399">
        <f t="shared" si="6"/>
        <v>110</v>
      </c>
      <c r="B203" s="477" t="s">
        <v>52</v>
      </c>
      <c r="C203" s="646" t="s">
        <v>767</v>
      </c>
      <c r="D203" s="456" t="str">
        <f>_xlfn.XLOOKUP(C203,EL!$E$4:$E$183,EL!$D$4:$D$183)</f>
        <v xml:space="preserve">Level 2 - Aux Power Routing Layout </v>
      </c>
      <c r="E203" s="597" t="str">
        <f>IF(VLOOKUP(C203,EL!$E$4:$AC$505,7,0)="","",VLOOKUP(C203,EL!$E$4:$AC$1004,7,0))</f>
        <v/>
      </c>
      <c r="F203" s="462"/>
      <c r="G203" s="458" t="str">
        <f>IF(VLOOKUP(C203,EL!$E$4:$AC$514,5,0)="","",VLOOKUP(C203,EL!$E$4:$AC$514,5,0))</f>
        <v/>
      </c>
      <c r="H203" s="459" t="str">
        <f>IF(ISNA(MATCH($C203,EL!$E$4:$E$1012,0)),"",
IF($E203=0,IF(INDEX(EL!$R$4:$R$1012,MATCH($C203,EL!$E$4:$E$1012,0))="","",INDEX(EL!$R$4:$R$1012,MATCH($C203,EL!$E$4:$E$1012,0))),
IF($E203=1,IF(INDEX(EL!$W$4:$W$1012,MATCH($C203,EL!$E$4:$E$1012,0))="","",INDEX(EL!$W$4:$W$1012,MATCH($C203,EL!$E$4:$E$1012,0))),
IF($E203=2,IF(INDEX(EL!$AB$4:$AB$1012,MATCH($C203,EL!$E$4:$E$1012,0))="","",INDEX(EL!$AB$4:$AB$1012,MATCH($C203,EL!$E$4:$E$1012,0))),
IF($E203=3,IF(INDEX(EL!$AG$4:$AG$1012,MATCH($C203,EL!$E$4:$E$1012,0))="","",INDEX(EL!$AG$4:$AG$1012,MATCH($C203,EL!$E$4:$E$1012,0))),
IF($E203=4,IF(INDEX(EL!$AN$4:$AN$1012,MATCH($C203,EL!$E$4:$E$1012,0))="","",INDEX(EL!$AN$4:$AN$1012,MATCH($C203,EL!$E$4:$E$1012,0))),
IF($E203=5,IF(INDEX(EL!$AS$4:$AS$1012,MATCH($C203,EL!$E$4:$E$1012,0))="","",INDEX(EL!$AS$4:$AS$1012,MATCH($C203,EL!$E$4:$E$1012,0))),"")))))))</f>
        <v/>
      </c>
      <c r="I203" s="459" t="str">
        <f>IF(ISNA(MATCH($C203,EL!$E$4:$E$1012,0)),"",
IF($E203=0,IF(INDEX(EL!$S$4:$S$1012,MATCH($C203,EL!$E$4:$E$1012,0))="","",INDEX(EL!$S$4:$S$1012,MATCH($C203,EL!$E$4:$E$1012,0))),
IF($E203=1,IF(INDEX(EL!$X$4:$X$1012,MATCH($C203,EL!$E$4:$E$1012,0))="","",INDEX(EL!$X$4:$X$1012,MATCH($C203,EL!$E$4:$E$1012,0))),
IF($E203=2,IF(INDEX(EL!$AC$4:$AC$1012,MATCH($C203,EL!$E$4:$E$1012,0))="","",INDEX(EL!$AC$4:$AC$1012,MATCH($C203,EL!$E$4:$E$1012,0))),
IF($E203=3,IF(INDEX(EL!$AH$4:$AH$1012,MATCH($C203,EL!$E$4:$E$1012,0))="","",INDEX(EL!$AH$4:$AH$1012,MATCH($C203,EL!$E$4:$E$1012,0))),
IF($E203=4,IF(INDEX(EL!$AM$4:$AM$1012,MATCH($C203,EL!$E$4:$E$1012,0))="","",INDEX(EL!$AM$4:$AM$1012,MATCH($C203,EL!$E$4:$E$1012,0))),
IF($E203=5,IF(INDEX(EL!$AR$4:$AR$1012,MATCH($C203,EL!$E$4:$E$1012,0))="","",INDEX(EL!$AR$4:$AR$1012,MATCH($C203,EL!$E$4:$E$1012,0))),"")))))))</f>
        <v/>
      </c>
      <c r="J203" s="459" t="str">
        <f>IF(ISNA(MATCH($C203,EL!$E$4:$E$1012,0)),"",
IF($E203=0,IF(INDEX(EL!$T$4:$T$1012,MATCH($C203,EL!$E$4:$E$1012,0))="","",INDEX(EL!$T$4:$T$1012,MATCH($C203,EL!$E$4:$E$1012,0))),
IF($E203=1,IF(INDEX(EL!$Y$4:$Y$1012,MATCH($C203,EL!$E$4:$E$1012,0))="","",INDEX(EL!$Y$4:$Y$1012,MATCH($C203,EL!$E$4:$E$1012,0))),
IF($E203=2,IF(INDEX(EL!$AD$4:$AD$1012,MATCH($C203,EL!$E$4:$E$1012,0))="","",INDEX(EL!$AD$4:$AD$1012,MATCH($C203,EL!$E$4:$E$1012,0))),
IF($E203=3,IF(INDEX(EL!$AI$4:$AI$1012,MATCH($C203,EL!$E$4:$E$1012,0))="","",INDEX(EL!$AI$4:$AI$1012,MATCH($C203,EL!$E$4:$E$1012,0))),
IF($E203=4,IF(INDEX(EL!$AN$4:$AN$1012,MATCH($C203,EL!$E$4:$E$1012,0))="","",INDEX(EL!$AN$4:$AN$1012,MATCH($C203,EL!$E$4:$E$1012,0))),
IF($E203=5,IF(INDEX(EL!$AS$4:$AS$1012,MATCH($C203,EL!$E$4:$E$1012,0))="","",INDEX(EL!$AS$4:$AS$1012,MATCH($C203,EL!$E$4:$E$1012,0))),"")))))))</f>
        <v/>
      </c>
      <c r="K203" s="459">
        <f>EL!L116</f>
        <v>0</v>
      </c>
      <c r="L203" s="460" t="e" cm="1">
        <f t="array" aca="1" ref="L203" ca="1">_xlfn.IFS(AND($E203&lt;&gt;"",$M203="Pending",$K203="CTA"),TODAY()-$G203,AND($E203&lt;&gt;"",$M203="Pending",$K203="AUR"),TODAY()-$H203,AND($E203&lt;&gt;"",$M203="Pending",$K203="STT"),TODAY()-$I203,OR(K203="Closed",K203=""),"")</f>
        <v>#N/A</v>
      </c>
      <c r="M203" s="461">
        <f>VLOOKUP(C203,EL!$E$4:$AC$622,9,0)</f>
        <v>0</v>
      </c>
      <c r="N203" s="461" t="str">
        <f t="shared" si="7"/>
        <v/>
      </c>
      <c r="O203" s="739" t="str">
        <f>EL!O116</f>
        <v>GC</v>
      </c>
      <c r="P203" s="746" t="str">
        <v>NO</v>
      </c>
    </row>
    <row r="204" spans="1:16" s="385" customFormat="1" ht="27" hidden="1" customHeight="1">
      <c r="A204" s="399">
        <f t="shared" si="6"/>
        <v>111</v>
      </c>
      <c r="B204" s="477" t="s">
        <v>52</v>
      </c>
      <c r="C204" s="646" t="s">
        <v>772</v>
      </c>
      <c r="D204" s="456" t="str">
        <f>_xlfn.XLOOKUP(C204,EL!$E$4:$E$183,EL!$D$4:$D$183)</f>
        <v xml:space="preserve">Level 2 - Mvdc Cable Routing Layout  </v>
      </c>
      <c r="E204" s="597" t="str">
        <f>IF(VLOOKUP(C204,EL!$E$4:$AC$505,7,0)="","",VLOOKUP(C204,EL!$E$4:$AC$1004,7,0))</f>
        <v/>
      </c>
      <c r="F204" s="462"/>
      <c r="G204" s="458" t="str">
        <f>IF(VLOOKUP(C204,EL!$E$4:$AC$514,5,0)="","",VLOOKUP(C204,EL!$E$4:$AC$514,5,0))</f>
        <v/>
      </c>
      <c r="H204" s="459" t="str">
        <f>IF(ISNA(MATCH($C204,EL!$E$4:$E$1012,0)),"",
IF($E204=0,IF(INDEX(EL!$R$4:$R$1012,MATCH($C204,EL!$E$4:$E$1012,0))="","",INDEX(EL!$R$4:$R$1012,MATCH($C204,EL!$E$4:$E$1012,0))),
IF($E204=1,IF(INDEX(EL!$W$4:$W$1012,MATCH($C204,EL!$E$4:$E$1012,0))="","",INDEX(EL!$W$4:$W$1012,MATCH($C204,EL!$E$4:$E$1012,0))),
IF($E204=2,IF(INDEX(EL!$AB$4:$AB$1012,MATCH($C204,EL!$E$4:$E$1012,0))="","",INDEX(EL!$AB$4:$AB$1012,MATCH($C204,EL!$E$4:$E$1012,0))),
IF($E204=3,IF(INDEX(EL!$AG$4:$AG$1012,MATCH($C204,EL!$E$4:$E$1012,0))="","",INDEX(EL!$AG$4:$AG$1012,MATCH($C204,EL!$E$4:$E$1012,0))),
IF($E204=4,IF(INDEX(EL!$AN$4:$AN$1012,MATCH($C204,EL!$E$4:$E$1012,0))="","",INDEX(EL!$AN$4:$AN$1012,MATCH($C204,EL!$E$4:$E$1012,0))),
IF($E204=5,IF(INDEX(EL!$AS$4:$AS$1012,MATCH($C204,EL!$E$4:$E$1012,0))="","",INDEX(EL!$AS$4:$AS$1012,MATCH($C204,EL!$E$4:$E$1012,0))),"")))))))</f>
        <v/>
      </c>
      <c r="I204" s="459" t="str">
        <f>IF(ISNA(MATCH($C204,EL!$E$4:$E$1012,0)),"",
IF($E204=0,IF(INDEX(EL!$S$4:$S$1012,MATCH($C204,EL!$E$4:$E$1012,0))="","",INDEX(EL!$S$4:$S$1012,MATCH($C204,EL!$E$4:$E$1012,0))),
IF($E204=1,IF(INDEX(EL!$X$4:$X$1012,MATCH($C204,EL!$E$4:$E$1012,0))="","",INDEX(EL!$X$4:$X$1012,MATCH($C204,EL!$E$4:$E$1012,0))),
IF($E204=2,IF(INDEX(EL!$AC$4:$AC$1012,MATCH($C204,EL!$E$4:$E$1012,0))="","",INDEX(EL!$AC$4:$AC$1012,MATCH($C204,EL!$E$4:$E$1012,0))),
IF($E204=3,IF(INDEX(EL!$AH$4:$AH$1012,MATCH($C204,EL!$E$4:$E$1012,0))="","",INDEX(EL!$AH$4:$AH$1012,MATCH($C204,EL!$E$4:$E$1012,0))),
IF($E204=4,IF(INDEX(EL!$AM$4:$AM$1012,MATCH($C204,EL!$E$4:$E$1012,0))="","",INDEX(EL!$AM$4:$AM$1012,MATCH($C204,EL!$E$4:$E$1012,0))),
IF($E204=5,IF(INDEX(EL!$AR$4:$AR$1012,MATCH($C204,EL!$E$4:$E$1012,0))="","",INDEX(EL!$AR$4:$AR$1012,MATCH($C204,EL!$E$4:$E$1012,0))),"")))))))</f>
        <v/>
      </c>
      <c r="J204" s="459" t="str">
        <f>IF(ISNA(MATCH($C204,EL!$E$4:$E$1012,0)),"",
IF($E204=0,IF(INDEX(EL!$T$4:$T$1012,MATCH($C204,EL!$E$4:$E$1012,0))="","",INDEX(EL!$T$4:$T$1012,MATCH($C204,EL!$E$4:$E$1012,0))),
IF($E204=1,IF(INDEX(EL!$Y$4:$Y$1012,MATCH($C204,EL!$E$4:$E$1012,0))="","",INDEX(EL!$Y$4:$Y$1012,MATCH($C204,EL!$E$4:$E$1012,0))),
IF($E204=2,IF(INDEX(EL!$AD$4:$AD$1012,MATCH($C204,EL!$E$4:$E$1012,0))="","",INDEX(EL!$AD$4:$AD$1012,MATCH($C204,EL!$E$4:$E$1012,0))),
IF($E204=3,IF(INDEX(EL!$AI$4:$AI$1012,MATCH($C204,EL!$E$4:$E$1012,0))="","",INDEX(EL!$AI$4:$AI$1012,MATCH($C204,EL!$E$4:$E$1012,0))),
IF($E204=4,IF(INDEX(EL!$AN$4:$AN$1012,MATCH($C204,EL!$E$4:$E$1012,0))="","",INDEX(EL!$AN$4:$AN$1012,MATCH($C204,EL!$E$4:$E$1012,0))),
IF($E204=5,IF(INDEX(EL!$AS$4:$AS$1012,MATCH($C204,EL!$E$4:$E$1012,0))="","",INDEX(EL!$AS$4:$AS$1012,MATCH($C204,EL!$E$4:$E$1012,0))),"")))))))</f>
        <v/>
      </c>
      <c r="K204" s="459">
        <f>EL!L117</f>
        <v>0</v>
      </c>
      <c r="L204" s="460" t="e" cm="1">
        <f t="array" aca="1" ref="L204" ca="1">_xlfn.IFS(AND($E204&lt;&gt;"",$M204="Pending",$K204="CTA"),TODAY()-$G204,AND($E204&lt;&gt;"",$M204="Pending",$K204="AUR"),TODAY()-$H204,AND($E204&lt;&gt;"",$M204="Pending",$K204="STT"),TODAY()-$I204,OR(K204="Closed",K204=""),"")</f>
        <v>#N/A</v>
      </c>
      <c r="M204" s="461">
        <f>VLOOKUP(C204,EL!$E$4:$AC$622,9,0)</f>
        <v>0</v>
      </c>
      <c r="N204" s="461" t="str">
        <f t="shared" si="7"/>
        <v/>
      </c>
      <c r="O204" s="739" t="str">
        <f>EL!O117</f>
        <v>GC</v>
      </c>
      <c r="P204" s="746" t="str">
        <v>NO</v>
      </c>
    </row>
    <row r="205" spans="1:16" s="385" customFormat="1" ht="27" hidden="1" customHeight="1">
      <c r="A205" s="399">
        <f t="shared" si="6"/>
        <v>112</v>
      </c>
      <c r="B205" s="477" t="s">
        <v>52</v>
      </c>
      <c r="C205" s="646" t="s">
        <v>775</v>
      </c>
      <c r="D205" s="456" t="str">
        <f>_xlfn.XLOOKUP(C205,EL!$E$4:$E$183,EL!$D$4:$D$183)</f>
        <v xml:space="preserve">Level 2 - SUPS Batt Cable Routing Layout </v>
      </c>
      <c r="E205" s="597" t="str">
        <f>IF(VLOOKUP(C205,EL!$E$4:$AC$505,7,0)="","",VLOOKUP(C205,EL!$E$4:$AC$1004,7,0))</f>
        <v/>
      </c>
      <c r="F205" s="462"/>
      <c r="G205" s="458" t="str">
        <f>IF(VLOOKUP(C205,EL!$E$4:$AC$514,5,0)="","",VLOOKUP(C205,EL!$E$4:$AC$514,5,0))</f>
        <v/>
      </c>
      <c r="H205" s="459" t="str">
        <f>IF(ISNA(MATCH($C205,EL!$E$4:$E$1012,0)),"",
IF($E205=0,IF(INDEX(EL!$R$4:$R$1012,MATCH($C205,EL!$E$4:$E$1012,0))="","",INDEX(EL!$R$4:$R$1012,MATCH($C205,EL!$E$4:$E$1012,0))),
IF($E205=1,IF(INDEX(EL!$W$4:$W$1012,MATCH($C205,EL!$E$4:$E$1012,0))="","",INDEX(EL!$W$4:$W$1012,MATCH($C205,EL!$E$4:$E$1012,0))),
IF($E205=2,IF(INDEX(EL!$AB$4:$AB$1012,MATCH($C205,EL!$E$4:$E$1012,0))="","",INDEX(EL!$AB$4:$AB$1012,MATCH($C205,EL!$E$4:$E$1012,0))),
IF($E205=3,IF(INDEX(EL!$AG$4:$AG$1012,MATCH($C205,EL!$E$4:$E$1012,0))="","",INDEX(EL!$AG$4:$AG$1012,MATCH($C205,EL!$E$4:$E$1012,0))),
IF($E205=4,IF(INDEX(EL!$AN$4:$AN$1012,MATCH($C205,EL!$E$4:$E$1012,0))="","",INDEX(EL!$AN$4:$AN$1012,MATCH($C205,EL!$E$4:$E$1012,0))),
IF($E205=5,IF(INDEX(EL!$AS$4:$AS$1012,MATCH($C205,EL!$E$4:$E$1012,0))="","",INDEX(EL!$AS$4:$AS$1012,MATCH($C205,EL!$E$4:$E$1012,0))),"")))))))</f>
        <v/>
      </c>
      <c r="I205" s="459" t="str">
        <f>IF(ISNA(MATCH($C205,EL!$E$4:$E$1012,0)),"",
IF($E205=0,IF(INDEX(EL!$S$4:$S$1012,MATCH($C205,EL!$E$4:$E$1012,0))="","",INDEX(EL!$S$4:$S$1012,MATCH($C205,EL!$E$4:$E$1012,0))),
IF($E205=1,IF(INDEX(EL!$X$4:$X$1012,MATCH($C205,EL!$E$4:$E$1012,0))="","",INDEX(EL!$X$4:$X$1012,MATCH($C205,EL!$E$4:$E$1012,0))),
IF($E205=2,IF(INDEX(EL!$AC$4:$AC$1012,MATCH($C205,EL!$E$4:$E$1012,0))="","",INDEX(EL!$AC$4:$AC$1012,MATCH($C205,EL!$E$4:$E$1012,0))),
IF($E205=3,IF(INDEX(EL!$AH$4:$AH$1012,MATCH($C205,EL!$E$4:$E$1012,0))="","",INDEX(EL!$AH$4:$AH$1012,MATCH($C205,EL!$E$4:$E$1012,0))),
IF($E205=4,IF(INDEX(EL!$AM$4:$AM$1012,MATCH($C205,EL!$E$4:$E$1012,0))="","",INDEX(EL!$AM$4:$AM$1012,MATCH($C205,EL!$E$4:$E$1012,0))),
IF($E205=5,IF(INDEX(EL!$AR$4:$AR$1012,MATCH($C205,EL!$E$4:$E$1012,0))="","",INDEX(EL!$AR$4:$AR$1012,MATCH($C205,EL!$E$4:$E$1012,0))),"")))))))</f>
        <v/>
      </c>
      <c r="J205" s="459" t="str">
        <f>IF(ISNA(MATCH($C205,EL!$E$4:$E$1012,0)),"",
IF($E205=0,IF(INDEX(EL!$T$4:$T$1012,MATCH($C205,EL!$E$4:$E$1012,0))="","",INDEX(EL!$T$4:$T$1012,MATCH($C205,EL!$E$4:$E$1012,0))),
IF($E205=1,IF(INDEX(EL!$Y$4:$Y$1012,MATCH($C205,EL!$E$4:$E$1012,0))="","",INDEX(EL!$Y$4:$Y$1012,MATCH($C205,EL!$E$4:$E$1012,0))),
IF($E205=2,IF(INDEX(EL!$AD$4:$AD$1012,MATCH($C205,EL!$E$4:$E$1012,0))="","",INDEX(EL!$AD$4:$AD$1012,MATCH($C205,EL!$E$4:$E$1012,0))),
IF($E205=3,IF(INDEX(EL!$AI$4:$AI$1012,MATCH($C205,EL!$E$4:$E$1012,0))="","",INDEX(EL!$AI$4:$AI$1012,MATCH($C205,EL!$E$4:$E$1012,0))),
IF($E205=4,IF(INDEX(EL!$AN$4:$AN$1012,MATCH($C205,EL!$E$4:$E$1012,0))="","",INDEX(EL!$AN$4:$AN$1012,MATCH($C205,EL!$E$4:$E$1012,0))),
IF($E205=5,IF(INDEX(EL!$AS$4:$AS$1012,MATCH($C205,EL!$E$4:$E$1012,0))="","",INDEX(EL!$AS$4:$AS$1012,MATCH($C205,EL!$E$4:$E$1012,0))),"")))))))</f>
        <v/>
      </c>
      <c r="K205" s="459">
        <f>EL!L118</f>
        <v>0</v>
      </c>
      <c r="L205" s="460" t="e" cm="1">
        <f t="array" aca="1" ref="L205" ca="1">_xlfn.IFS(AND($E205&lt;&gt;"",$M205="Pending",$K205="CTA"),TODAY()-$G205,AND($E205&lt;&gt;"",$M205="Pending",$K205="AUR"),TODAY()-$H205,AND($E205&lt;&gt;"",$M205="Pending",$K205="STT"),TODAY()-$I205,OR(K205="Closed",K205=""),"")</f>
        <v>#N/A</v>
      </c>
      <c r="M205" s="461">
        <f>VLOOKUP(C205,EL!$E$4:$AC$622,9,0)</f>
        <v>0</v>
      </c>
      <c r="N205" s="461" t="str">
        <f t="shared" si="7"/>
        <v/>
      </c>
      <c r="O205" s="739" t="str">
        <f>EL!O118</f>
        <v>GC</v>
      </c>
      <c r="P205" s="746" t="str">
        <v>NO</v>
      </c>
    </row>
    <row r="206" spans="1:16" s="385" customFormat="1" ht="27" hidden="1" customHeight="1">
      <c r="A206" s="399">
        <f t="shared" si="6"/>
        <v>113</v>
      </c>
      <c r="B206" s="477" t="s">
        <v>52</v>
      </c>
      <c r="C206" s="646" t="s">
        <v>778</v>
      </c>
      <c r="D206" s="456" t="str">
        <f>_xlfn.XLOOKUP(C206,EL!$E$4:$E$183,EL!$D$4:$D$183)</f>
        <v xml:space="preserve">Level 2 - SUPS Control Cable Routing Layout </v>
      </c>
      <c r="E206" s="597" t="str">
        <f>IF(VLOOKUP(C206,EL!$E$4:$AC$505,7,0)="","",VLOOKUP(C206,EL!$E$4:$AC$1004,7,0))</f>
        <v/>
      </c>
      <c r="F206" s="462"/>
      <c r="G206" s="458" t="str">
        <f>IF(VLOOKUP(C206,EL!$E$4:$AC$514,5,0)="","",VLOOKUP(C206,EL!$E$4:$AC$514,5,0))</f>
        <v/>
      </c>
      <c r="H206" s="459" t="str">
        <f>IF(ISNA(MATCH($C206,EL!$E$4:$E$1012,0)),"",
IF($E206=0,IF(INDEX(EL!$R$4:$R$1012,MATCH($C206,EL!$E$4:$E$1012,0))="","",INDEX(EL!$R$4:$R$1012,MATCH($C206,EL!$E$4:$E$1012,0))),
IF($E206=1,IF(INDEX(EL!$W$4:$W$1012,MATCH($C206,EL!$E$4:$E$1012,0))="","",INDEX(EL!$W$4:$W$1012,MATCH($C206,EL!$E$4:$E$1012,0))),
IF($E206=2,IF(INDEX(EL!$AB$4:$AB$1012,MATCH($C206,EL!$E$4:$E$1012,0))="","",INDEX(EL!$AB$4:$AB$1012,MATCH($C206,EL!$E$4:$E$1012,0))),
IF($E206=3,IF(INDEX(EL!$AG$4:$AG$1012,MATCH($C206,EL!$E$4:$E$1012,0))="","",INDEX(EL!$AG$4:$AG$1012,MATCH($C206,EL!$E$4:$E$1012,0))),
IF($E206=4,IF(INDEX(EL!$AN$4:$AN$1012,MATCH($C206,EL!$E$4:$E$1012,0))="","",INDEX(EL!$AN$4:$AN$1012,MATCH($C206,EL!$E$4:$E$1012,0))),
IF($E206=5,IF(INDEX(EL!$AS$4:$AS$1012,MATCH($C206,EL!$E$4:$E$1012,0))="","",INDEX(EL!$AS$4:$AS$1012,MATCH($C206,EL!$E$4:$E$1012,0))),"")))))))</f>
        <v/>
      </c>
      <c r="I206" s="459" t="str">
        <f>IF(ISNA(MATCH($C206,EL!$E$4:$E$1012,0)),"",
IF($E206=0,IF(INDEX(EL!$S$4:$S$1012,MATCH($C206,EL!$E$4:$E$1012,0))="","",INDEX(EL!$S$4:$S$1012,MATCH($C206,EL!$E$4:$E$1012,0))),
IF($E206=1,IF(INDEX(EL!$X$4:$X$1012,MATCH($C206,EL!$E$4:$E$1012,0))="","",INDEX(EL!$X$4:$X$1012,MATCH($C206,EL!$E$4:$E$1012,0))),
IF($E206=2,IF(INDEX(EL!$AC$4:$AC$1012,MATCH($C206,EL!$E$4:$E$1012,0))="","",INDEX(EL!$AC$4:$AC$1012,MATCH($C206,EL!$E$4:$E$1012,0))),
IF($E206=3,IF(INDEX(EL!$AH$4:$AH$1012,MATCH($C206,EL!$E$4:$E$1012,0))="","",INDEX(EL!$AH$4:$AH$1012,MATCH($C206,EL!$E$4:$E$1012,0))),
IF($E206=4,IF(INDEX(EL!$AM$4:$AM$1012,MATCH($C206,EL!$E$4:$E$1012,0))="","",INDEX(EL!$AM$4:$AM$1012,MATCH($C206,EL!$E$4:$E$1012,0))),
IF($E206=5,IF(INDEX(EL!$AR$4:$AR$1012,MATCH($C206,EL!$E$4:$E$1012,0))="","",INDEX(EL!$AR$4:$AR$1012,MATCH($C206,EL!$E$4:$E$1012,0))),"")))))))</f>
        <v/>
      </c>
      <c r="J206" s="459" t="str">
        <f>IF(ISNA(MATCH($C206,EL!$E$4:$E$1012,0)),"",
IF($E206=0,IF(INDEX(EL!$T$4:$T$1012,MATCH($C206,EL!$E$4:$E$1012,0))="","",INDEX(EL!$T$4:$T$1012,MATCH($C206,EL!$E$4:$E$1012,0))),
IF($E206=1,IF(INDEX(EL!$Y$4:$Y$1012,MATCH($C206,EL!$E$4:$E$1012,0))="","",INDEX(EL!$Y$4:$Y$1012,MATCH($C206,EL!$E$4:$E$1012,0))),
IF($E206=2,IF(INDEX(EL!$AD$4:$AD$1012,MATCH($C206,EL!$E$4:$E$1012,0))="","",INDEX(EL!$AD$4:$AD$1012,MATCH($C206,EL!$E$4:$E$1012,0))),
IF($E206=3,IF(INDEX(EL!$AI$4:$AI$1012,MATCH($C206,EL!$E$4:$E$1012,0))="","",INDEX(EL!$AI$4:$AI$1012,MATCH($C206,EL!$E$4:$E$1012,0))),
IF($E206=4,IF(INDEX(EL!$AN$4:$AN$1012,MATCH($C206,EL!$E$4:$E$1012,0))="","",INDEX(EL!$AN$4:$AN$1012,MATCH($C206,EL!$E$4:$E$1012,0))),
IF($E206=5,IF(INDEX(EL!$AS$4:$AS$1012,MATCH($C206,EL!$E$4:$E$1012,0))="","",INDEX(EL!$AS$4:$AS$1012,MATCH($C206,EL!$E$4:$E$1012,0))),"")))))))</f>
        <v/>
      </c>
      <c r="K206" s="459">
        <f>EL!L119</f>
        <v>0</v>
      </c>
      <c r="L206" s="460" t="e" cm="1">
        <f t="array" aca="1" ref="L206" ca="1">_xlfn.IFS(AND($E206&lt;&gt;"",$M206="Pending",$K206="CTA"),TODAY()-$G206,AND($E206&lt;&gt;"",$M206="Pending",$K206="AUR"),TODAY()-$H206,AND($E206&lt;&gt;"",$M206="Pending",$K206="STT"),TODAY()-$I206,OR(K206="Closed",K206=""),"")</f>
        <v>#N/A</v>
      </c>
      <c r="M206" s="461">
        <f>VLOOKUP(C206,EL!$E$4:$AC$622,9,0)</f>
        <v>0</v>
      </c>
      <c r="N206" s="461" t="str">
        <f t="shared" si="7"/>
        <v/>
      </c>
      <c r="O206" s="739" t="str">
        <f>EL!O119</f>
        <v>GC</v>
      </c>
      <c r="P206" s="746" t="str">
        <v>NO</v>
      </c>
    </row>
    <row r="207" spans="1:16" s="385" customFormat="1" ht="27" hidden="1" customHeight="1">
      <c r="A207" s="399">
        <f t="shared" si="6"/>
        <v>114</v>
      </c>
      <c r="B207" s="477" t="s">
        <v>52</v>
      </c>
      <c r="C207" s="646" t="s">
        <v>781</v>
      </c>
      <c r="D207" s="456" t="str">
        <f>_xlfn.XLOOKUP(C207,EL!$E$4:$E$183,EL!$D$4:$D$183)</f>
        <v>Level 2 - Busduct Routing Layout Overall</v>
      </c>
      <c r="E207" s="597" t="str">
        <f>IF(VLOOKUP(C207,EL!$E$4:$AC$505,7,0)="","",VLOOKUP(C207,EL!$E$4:$AC$1004,7,0))</f>
        <v/>
      </c>
      <c r="F207" s="462"/>
      <c r="G207" s="458" t="str">
        <f>IF(VLOOKUP(C207,EL!$E$4:$AC$514,5,0)="","",VLOOKUP(C207,EL!$E$4:$AC$514,5,0))</f>
        <v/>
      </c>
      <c r="H207" s="459" t="str">
        <f>IF(ISNA(MATCH($C207,EL!$E$4:$E$1012,0)),"",
IF($E207=0,IF(INDEX(EL!$R$4:$R$1012,MATCH($C207,EL!$E$4:$E$1012,0))="","",INDEX(EL!$R$4:$R$1012,MATCH($C207,EL!$E$4:$E$1012,0))),
IF($E207=1,IF(INDEX(EL!$W$4:$W$1012,MATCH($C207,EL!$E$4:$E$1012,0))="","",INDEX(EL!$W$4:$W$1012,MATCH($C207,EL!$E$4:$E$1012,0))),
IF($E207=2,IF(INDEX(EL!$AB$4:$AB$1012,MATCH($C207,EL!$E$4:$E$1012,0))="","",INDEX(EL!$AB$4:$AB$1012,MATCH($C207,EL!$E$4:$E$1012,0))),
IF($E207=3,IF(INDEX(EL!$AG$4:$AG$1012,MATCH($C207,EL!$E$4:$E$1012,0))="","",INDEX(EL!$AG$4:$AG$1012,MATCH($C207,EL!$E$4:$E$1012,0))),
IF($E207=4,IF(INDEX(EL!$AN$4:$AN$1012,MATCH($C207,EL!$E$4:$E$1012,0))="","",INDEX(EL!$AN$4:$AN$1012,MATCH($C207,EL!$E$4:$E$1012,0))),
IF($E207=5,IF(INDEX(EL!$AS$4:$AS$1012,MATCH($C207,EL!$E$4:$E$1012,0))="","",INDEX(EL!$AS$4:$AS$1012,MATCH($C207,EL!$E$4:$E$1012,0))),"")))))))</f>
        <v/>
      </c>
      <c r="I207" s="459" t="str">
        <f>IF(ISNA(MATCH($C207,EL!$E$4:$E$1012,0)),"",
IF($E207=0,IF(INDEX(EL!$S$4:$S$1012,MATCH($C207,EL!$E$4:$E$1012,0))="","",INDEX(EL!$S$4:$S$1012,MATCH($C207,EL!$E$4:$E$1012,0))),
IF($E207=1,IF(INDEX(EL!$X$4:$X$1012,MATCH($C207,EL!$E$4:$E$1012,0))="","",INDEX(EL!$X$4:$X$1012,MATCH($C207,EL!$E$4:$E$1012,0))),
IF($E207=2,IF(INDEX(EL!$AC$4:$AC$1012,MATCH($C207,EL!$E$4:$E$1012,0))="","",INDEX(EL!$AC$4:$AC$1012,MATCH($C207,EL!$E$4:$E$1012,0))),
IF($E207=3,IF(INDEX(EL!$AH$4:$AH$1012,MATCH($C207,EL!$E$4:$E$1012,0))="","",INDEX(EL!$AH$4:$AH$1012,MATCH($C207,EL!$E$4:$E$1012,0))),
IF($E207=4,IF(INDEX(EL!$AM$4:$AM$1012,MATCH($C207,EL!$E$4:$E$1012,0))="","",INDEX(EL!$AM$4:$AM$1012,MATCH($C207,EL!$E$4:$E$1012,0))),
IF($E207=5,IF(INDEX(EL!$AR$4:$AR$1012,MATCH($C207,EL!$E$4:$E$1012,0))="","",INDEX(EL!$AR$4:$AR$1012,MATCH($C207,EL!$E$4:$E$1012,0))),"")))))))</f>
        <v/>
      </c>
      <c r="J207" s="459" t="str">
        <f>IF(ISNA(MATCH($C207,EL!$E$4:$E$1012,0)),"",
IF($E207=0,IF(INDEX(EL!$T$4:$T$1012,MATCH($C207,EL!$E$4:$E$1012,0))="","",INDEX(EL!$T$4:$T$1012,MATCH($C207,EL!$E$4:$E$1012,0))),
IF($E207=1,IF(INDEX(EL!$Y$4:$Y$1012,MATCH($C207,EL!$E$4:$E$1012,0))="","",INDEX(EL!$Y$4:$Y$1012,MATCH($C207,EL!$E$4:$E$1012,0))),
IF($E207=2,IF(INDEX(EL!$AD$4:$AD$1012,MATCH($C207,EL!$E$4:$E$1012,0))="","",INDEX(EL!$AD$4:$AD$1012,MATCH($C207,EL!$E$4:$E$1012,0))),
IF($E207=3,IF(INDEX(EL!$AI$4:$AI$1012,MATCH($C207,EL!$E$4:$E$1012,0))="","",INDEX(EL!$AI$4:$AI$1012,MATCH($C207,EL!$E$4:$E$1012,0))),
IF($E207=4,IF(INDEX(EL!$AN$4:$AN$1012,MATCH($C207,EL!$E$4:$E$1012,0))="","",INDEX(EL!$AN$4:$AN$1012,MATCH($C207,EL!$E$4:$E$1012,0))),
IF($E207=5,IF(INDEX(EL!$AS$4:$AS$1012,MATCH($C207,EL!$E$4:$E$1012,0))="","",INDEX(EL!$AS$4:$AS$1012,MATCH($C207,EL!$E$4:$E$1012,0))),"")))))))</f>
        <v/>
      </c>
      <c r="K207" s="459">
        <f>EL!L120</f>
        <v>0</v>
      </c>
      <c r="L207" s="460" t="e" cm="1">
        <f t="array" aca="1" ref="L207" ca="1">_xlfn.IFS(AND($E207&lt;&gt;"",$M207="Pending",$K207="CTA"),TODAY()-$G207,AND($E207&lt;&gt;"",$M207="Pending",$K207="AUR"),TODAY()-$H207,AND($E207&lt;&gt;"",$M207="Pending",$K207="STT"),TODAY()-$I207,OR(K207="Closed",K207=""),"")</f>
        <v>#N/A</v>
      </c>
      <c r="M207" s="461">
        <f>VLOOKUP(C207,EL!$E$4:$AC$622,9,0)</f>
        <v>0</v>
      </c>
      <c r="N207" s="461" t="str">
        <f t="shared" si="7"/>
        <v/>
      </c>
      <c r="O207" s="739" t="str">
        <f>EL!O120</f>
        <v>GC</v>
      </c>
      <c r="P207" s="746" t="str">
        <v>NO</v>
      </c>
    </row>
    <row r="208" spans="1:16" s="385" customFormat="1" ht="27" hidden="1" customHeight="1">
      <c r="A208" s="399">
        <f t="shared" si="6"/>
        <v>115</v>
      </c>
      <c r="B208" s="477" t="s">
        <v>52</v>
      </c>
      <c r="C208" s="646" t="s">
        <v>787</v>
      </c>
      <c r="D208" s="456" t="str">
        <f>_xlfn.XLOOKUP(C208,EL!$E$4:$E$183,EL!$D$4:$D$183)</f>
        <v xml:space="preserve">Level 2 - LV  Busduct Routing Layout </v>
      </c>
      <c r="E208" s="597" t="str">
        <f>IF(VLOOKUP(C208,EL!$E$4:$AC$505,7,0)="","",VLOOKUP(C208,EL!$E$4:$AC$1004,7,0))</f>
        <v/>
      </c>
      <c r="F208" s="462"/>
      <c r="G208" s="458" t="str">
        <f>IF(VLOOKUP(C208,EL!$E$4:$AC$514,5,0)="","",VLOOKUP(C208,EL!$E$4:$AC$514,5,0))</f>
        <v/>
      </c>
      <c r="H208" s="459" t="str">
        <f>IF(ISNA(MATCH($C208,EL!$E$4:$E$1012,0)),"",
IF($E208=0,IF(INDEX(EL!$R$4:$R$1012,MATCH($C208,EL!$E$4:$E$1012,0))="","",INDEX(EL!$R$4:$R$1012,MATCH($C208,EL!$E$4:$E$1012,0))),
IF($E208=1,IF(INDEX(EL!$W$4:$W$1012,MATCH($C208,EL!$E$4:$E$1012,0))="","",INDEX(EL!$W$4:$W$1012,MATCH($C208,EL!$E$4:$E$1012,0))),
IF($E208=2,IF(INDEX(EL!$AB$4:$AB$1012,MATCH($C208,EL!$E$4:$E$1012,0))="","",INDEX(EL!$AB$4:$AB$1012,MATCH($C208,EL!$E$4:$E$1012,0))),
IF($E208=3,IF(INDEX(EL!$AG$4:$AG$1012,MATCH($C208,EL!$E$4:$E$1012,0))="","",INDEX(EL!$AG$4:$AG$1012,MATCH($C208,EL!$E$4:$E$1012,0))),
IF($E208=4,IF(INDEX(EL!$AN$4:$AN$1012,MATCH($C208,EL!$E$4:$E$1012,0))="","",INDEX(EL!$AN$4:$AN$1012,MATCH($C208,EL!$E$4:$E$1012,0))),
IF($E208=5,IF(INDEX(EL!$AS$4:$AS$1012,MATCH($C208,EL!$E$4:$E$1012,0))="","",INDEX(EL!$AS$4:$AS$1012,MATCH($C208,EL!$E$4:$E$1012,0))),"")))))))</f>
        <v/>
      </c>
      <c r="I208" s="459" t="str">
        <f>IF(ISNA(MATCH($C208,EL!$E$4:$E$1012,0)),"",
IF($E208=0,IF(INDEX(EL!$S$4:$S$1012,MATCH($C208,EL!$E$4:$E$1012,0))="","",INDEX(EL!$S$4:$S$1012,MATCH($C208,EL!$E$4:$E$1012,0))),
IF($E208=1,IF(INDEX(EL!$X$4:$X$1012,MATCH($C208,EL!$E$4:$E$1012,0))="","",INDEX(EL!$X$4:$X$1012,MATCH($C208,EL!$E$4:$E$1012,0))),
IF($E208=2,IF(INDEX(EL!$AC$4:$AC$1012,MATCH($C208,EL!$E$4:$E$1012,0))="","",INDEX(EL!$AC$4:$AC$1012,MATCH($C208,EL!$E$4:$E$1012,0))),
IF($E208=3,IF(INDEX(EL!$AH$4:$AH$1012,MATCH($C208,EL!$E$4:$E$1012,0))="","",INDEX(EL!$AH$4:$AH$1012,MATCH($C208,EL!$E$4:$E$1012,0))),
IF($E208=4,IF(INDEX(EL!$AM$4:$AM$1012,MATCH($C208,EL!$E$4:$E$1012,0))="","",INDEX(EL!$AM$4:$AM$1012,MATCH($C208,EL!$E$4:$E$1012,0))),
IF($E208=5,IF(INDEX(EL!$AR$4:$AR$1012,MATCH($C208,EL!$E$4:$E$1012,0))="","",INDEX(EL!$AR$4:$AR$1012,MATCH($C208,EL!$E$4:$E$1012,0))),"")))))))</f>
        <v/>
      </c>
      <c r="J208" s="459" t="str">
        <f>IF(ISNA(MATCH($C208,EL!$E$4:$E$1012,0)),"",
IF($E208=0,IF(INDEX(EL!$T$4:$T$1012,MATCH($C208,EL!$E$4:$E$1012,0))="","",INDEX(EL!$T$4:$T$1012,MATCH($C208,EL!$E$4:$E$1012,0))),
IF($E208=1,IF(INDEX(EL!$Y$4:$Y$1012,MATCH($C208,EL!$E$4:$E$1012,0))="","",INDEX(EL!$Y$4:$Y$1012,MATCH($C208,EL!$E$4:$E$1012,0))),
IF($E208=2,IF(INDEX(EL!$AD$4:$AD$1012,MATCH($C208,EL!$E$4:$E$1012,0))="","",INDEX(EL!$AD$4:$AD$1012,MATCH($C208,EL!$E$4:$E$1012,0))),
IF($E208=3,IF(INDEX(EL!$AI$4:$AI$1012,MATCH($C208,EL!$E$4:$E$1012,0))="","",INDEX(EL!$AI$4:$AI$1012,MATCH($C208,EL!$E$4:$E$1012,0))),
IF($E208=4,IF(INDEX(EL!$AN$4:$AN$1012,MATCH($C208,EL!$E$4:$E$1012,0))="","",INDEX(EL!$AN$4:$AN$1012,MATCH($C208,EL!$E$4:$E$1012,0))),
IF($E208=5,IF(INDEX(EL!$AS$4:$AS$1012,MATCH($C208,EL!$E$4:$E$1012,0))="","",INDEX(EL!$AS$4:$AS$1012,MATCH($C208,EL!$E$4:$E$1012,0))),"")))))))</f>
        <v/>
      </c>
      <c r="K208" s="459">
        <f>EL!L121</f>
        <v>0</v>
      </c>
      <c r="L208" s="460" t="e" cm="1">
        <f t="array" aca="1" ref="L208" ca="1">_xlfn.IFS(AND($E208&lt;&gt;"",$M208="Pending",$K208="CTA"),TODAY()-$G208,AND($E208&lt;&gt;"",$M208="Pending",$K208="AUR"),TODAY()-$H208,AND($E208&lt;&gt;"",$M208="Pending",$K208="STT"),TODAY()-$I208,OR(K208="Closed",K208=""),"")</f>
        <v>#N/A</v>
      </c>
      <c r="M208" s="461">
        <f>VLOOKUP(C208,EL!$E$4:$AC$622,9,0)</f>
        <v>0</v>
      </c>
      <c r="N208" s="461" t="str">
        <f t="shared" si="7"/>
        <v/>
      </c>
      <c r="O208" s="739" t="str">
        <f>EL!O121</f>
        <v>GC</v>
      </c>
      <c r="P208" s="746" t="str">
        <v>NO</v>
      </c>
    </row>
    <row r="209" spans="1:16" s="385" customFormat="1" ht="27" hidden="1" customHeight="1">
      <c r="A209" s="399">
        <f t="shared" si="6"/>
        <v>116</v>
      </c>
      <c r="B209" s="477" t="s">
        <v>52</v>
      </c>
      <c r="C209" s="646" t="s">
        <v>790</v>
      </c>
      <c r="D209" s="456" t="str">
        <f>_xlfn.XLOOKUP(C209,EL!$E$4:$E$183,EL!$D$4:$D$183)</f>
        <v>Level 2 - LV  Busduct Isometric</v>
      </c>
      <c r="E209" s="597" t="str">
        <f>IF(VLOOKUP(C209,EL!$E$4:$AC$505,7,0)="","",VLOOKUP(C209,EL!$E$4:$AC$1004,7,0))</f>
        <v/>
      </c>
      <c r="F209" s="462"/>
      <c r="G209" s="458" t="str">
        <f>IF(VLOOKUP(C209,EL!$E$4:$AC$514,5,0)="","",VLOOKUP(C209,EL!$E$4:$AC$514,5,0))</f>
        <v/>
      </c>
      <c r="H209" s="459" t="str">
        <f>IF(ISNA(MATCH($C209,EL!$E$4:$E$1012,0)),"",
IF($E209=0,IF(INDEX(EL!$R$4:$R$1012,MATCH($C209,EL!$E$4:$E$1012,0))="","",INDEX(EL!$R$4:$R$1012,MATCH($C209,EL!$E$4:$E$1012,0))),
IF($E209=1,IF(INDEX(EL!$W$4:$W$1012,MATCH($C209,EL!$E$4:$E$1012,0))="","",INDEX(EL!$W$4:$W$1012,MATCH($C209,EL!$E$4:$E$1012,0))),
IF($E209=2,IF(INDEX(EL!$AB$4:$AB$1012,MATCH($C209,EL!$E$4:$E$1012,0))="","",INDEX(EL!$AB$4:$AB$1012,MATCH($C209,EL!$E$4:$E$1012,0))),
IF($E209=3,IF(INDEX(EL!$AG$4:$AG$1012,MATCH($C209,EL!$E$4:$E$1012,0))="","",INDEX(EL!$AG$4:$AG$1012,MATCH($C209,EL!$E$4:$E$1012,0))),
IF($E209=4,IF(INDEX(EL!$AN$4:$AN$1012,MATCH($C209,EL!$E$4:$E$1012,0))="","",INDEX(EL!$AN$4:$AN$1012,MATCH($C209,EL!$E$4:$E$1012,0))),
IF($E209=5,IF(INDEX(EL!$AS$4:$AS$1012,MATCH($C209,EL!$E$4:$E$1012,0))="","",INDEX(EL!$AS$4:$AS$1012,MATCH($C209,EL!$E$4:$E$1012,0))),"")))))))</f>
        <v/>
      </c>
      <c r="I209" s="459" t="str">
        <f>IF(ISNA(MATCH($C209,EL!$E$4:$E$1012,0)),"",
IF($E209=0,IF(INDEX(EL!$S$4:$S$1012,MATCH($C209,EL!$E$4:$E$1012,0))="","",INDEX(EL!$S$4:$S$1012,MATCH($C209,EL!$E$4:$E$1012,0))),
IF($E209=1,IF(INDEX(EL!$X$4:$X$1012,MATCH($C209,EL!$E$4:$E$1012,0))="","",INDEX(EL!$X$4:$X$1012,MATCH($C209,EL!$E$4:$E$1012,0))),
IF($E209=2,IF(INDEX(EL!$AC$4:$AC$1012,MATCH($C209,EL!$E$4:$E$1012,0))="","",INDEX(EL!$AC$4:$AC$1012,MATCH($C209,EL!$E$4:$E$1012,0))),
IF($E209=3,IF(INDEX(EL!$AH$4:$AH$1012,MATCH($C209,EL!$E$4:$E$1012,0))="","",INDEX(EL!$AH$4:$AH$1012,MATCH($C209,EL!$E$4:$E$1012,0))),
IF($E209=4,IF(INDEX(EL!$AM$4:$AM$1012,MATCH($C209,EL!$E$4:$E$1012,0))="","",INDEX(EL!$AM$4:$AM$1012,MATCH($C209,EL!$E$4:$E$1012,0))),
IF($E209=5,IF(INDEX(EL!$AR$4:$AR$1012,MATCH($C209,EL!$E$4:$E$1012,0))="","",INDEX(EL!$AR$4:$AR$1012,MATCH($C209,EL!$E$4:$E$1012,0))),"")))))))</f>
        <v/>
      </c>
      <c r="J209" s="459" t="str">
        <f>IF(ISNA(MATCH($C209,EL!$E$4:$E$1012,0)),"",
IF($E209=0,IF(INDEX(EL!$T$4:$T$1012,MATCH($C209,EL!$E$4:$E$1012,0))="","",INDEX(EL!$T$4:$T$1012,MATCH($C209,EL!$E$4:$E$1012,0))),
IF($E209=1,IF(INDEX(EL!$Y$4:$Y$1012,MATCH($C209,EL!$E$4:$E$1012,0))="","",INDEX(EL!$Y$4:$Y$1012,MATCH($C209,EL!$E$4:$E$1012,0))),
IF($E209=2,IF(INDEX(EL!$AD$4:$AD$1012,MATCH($C209,EL!$E$4:$E$1012,0))="","",INDEX(EL!$AD$4:$AD$1012,MATCH($C209,EL!$E$4:$E$1012,0))),
IF($E209=3,IF(INDEX(EL!$AI$4:$AI$1012,MATCH($C209,EL!$E$4:$E$1012,0))="","",INDEX(EL!$AI$4:$AI$1012,MATCH($C209,EL!$E$4:$E$1012,0))),
IF($E209=4,IF(INDEX(EL!$AN$4:$AN$1012,MATCH($C209,EL!$E$4:$E$1012,0))="","",INDEX(EL!$AN$4:$AN$1012,MATCH($C209,EL!$E$4:$E$1012,0))),
IF($E209=5,IF(INDEX(EL!$AS$4:$AS$1012,MATCH($C209,EL!$E$4:$E$1012,0))="","",INDEX(EL!$AS$4:$AS$1012,MATCH($C209,EL!$E$4:$E$1012,0))),"")))))))</f>
        <v/>
      </c>
      <c r="K209" s="459">
        <f>EL!L122</f>
        <v>0</v>
      </c>
      <c r="L209" s="460" t="e" cm="1">
        <f t="array" aca="1" ref="L209" ca="1">_xlfn.IFS(AND($E209&lt;&gt;"",$M209="Pending",$K209="CTA"),TODAY()-$G209,AND($E209&lt;&gt;"",$M209="Pending",$K209="AUR"),TODAY()-$H209,AND($E209&lt;&gt;"",$M209="Pending",$K209="STT"),TODAY()-$I209,OR(K209="Closed",K209=""),"")</f>
        <v>#N/A</v>
      </c>
      <c r="M209" s="461">
        <f>VLOOKUP(C209,EL!$E$4:$AC$622,9,0)</f>
        <v>0</v>
      </c>
      <c r="N209" s="461" t="str">
        <f t="shared" si="7"/>
        <v/>
      </c>
      <c r="O209" s="739" t="str">
        <f>EL!O122</f>
        <v>GC</v>
      </c>
      <c r="P209" s="746" t="str">
        <v>NO</v>
      </c>
    </row>
    <row r="210" spans="1:16" s="385" customFormat="1" ht="27" hidden="1" customHeight="1">
      <c r="A210" s="399">
        <f t="shared" si="6"/>
        <v>117</v>
      </c>
      <c r="B210" s="477" t="s">
        <v>52</v>
      </c>
      <c r="C210" s="646" t="s">
        <v>793</v>
      </c>
      <c r="D210" s="456" t="str">
        <f>_xlfn.XLOOKUP(C210,EL!$E$4:$E$183,EL!$D$4:$D$183)</f>
        <v xml:space="preserve">Level 2 - Swing &amp; Load Bank Routing Layout  </v>
      </c>
      <c r="E210" s="597" t="str">
        <f>IF(VLOOKUP(C210,EL!$E$4:$AC$505,7,0)="","",VLOOKUP(C210,EL!$E$4:$AC$1004,7,0))</f>
        <v/>
      </c>
      <c r="F210" s="462"/>
      <c r="G210" s="458" t="str">
        <f>IF(VLOOKUP(C210,EL!$E$4:$AC$514,5,0)="","",VLOOKUP(C210,EL!$E$4:$AC$514,5,0))</f>
        <v/>
      </c>
      <c r="H210" s="459" t="str">
        <f>IF(ISNA(MATCH($C210,EL!$E$4:$E$1012,0)),"",
IF($E210=0,IF(INDEX(EL!$R$4:$R$1012,MATCH($C210,EL!$E$4:$E$1012,0))="","",INDEX(EL!$R$4:$R$1012,MATCH($C210,EL!$E$4:$E$1012,0))),
IF($E210=1,IF(INDEX(EL!$W$4:$W$1012,MATCH($C210,EL!$E$4:$E$1012,0))="","",INDEX(EL!$W$4:$W$1012,MATCH($C210,EL!$E$4:$E$1012,0))),
IF($E210=2,IF(INDEX(EL!$AB$4:$AB$1012,MATCH($C210,EL!$E$4:$E$1012,0))="","",INDEX(EL!$AB$4:$AB$1012,MATCH($C210,EL!$E$4:$E$1012,0))),
IF($E210=3,IF(INDEX(EL!$AG$4:$AG$1012,MATCH($C210,EL!$E$4:$E$1012,0))="","",INDEX(EL!$AG$4:$AG$1012,MATCH($C210,EL!$E$4:$E$1012,0))),
IF($E210=4,IF(INDEX(EL!$AN$4:$AN$1012,MATCH($C210,EL!$E$4:$E$1012,0))="","",INDEX(EL!$AN$4:$AN$1012,MATCH($C210,EL!$E$4:$E$1012,0))),
IF($E210=5,IF(INDEX(EL!$AS$4:$AS$1012,MATCH($C210,EL!$E$4:$E$1012,0))="","",INDEX(EL!$AS$4:$AS$1012,MATCH($C210,EL!$E$4:$E$1012,0))),"")))))))</f>
        <v/>
      </c>
      <c r="I210" s="459" t="str">
        <f>IF(ISNA(MATCH($C210,EL!$E$4:$E$1012,0)),"",
IF($E210=0,IF(INDEX(EL!$S$4:$S$1012,MATCH($C210,EL!$E$4:$E$1012,0))="","",INDEX(EL!$S$4:$S$1012,MATCH($C210,EL!$E$4:$E$1012,0))),
IF($E210=1,IF(INDEX(EL!$X$4:$X$1012,MATCH($C210,EL!$E$4:$E$1012,0))="","",INDEX(EL!$X$4:$X$1012,MATCH($C210,EL!$E$4:$E$1012,0))),
IF($E210=2,IF(INDEX(EL!$AC$4:$AC$1012,MATCH($C210,EL!$E$4:$E$1012,0))="","",INDEX(EL!$AC$4:$AC$1012,MATCH($C210,EL!$E$4:$E$1012,0))),
IF($E210=3,IF(INDEX(EL!$AH$4:$AH$1012,MATCH($C210,EL!$E$4:$E$1012,0))="","",INDEX(EL!$AH$4:$AH$1012,MATCH($C210,EL!$E$4:$E$1012,0))),
IF($E210=4,IF(INDEX(EL!$AM$4:$AM$1012,MATCH($C210,EL!$E$4:$E$1012,0))="","",INDEX(EL!$AM$4:$AM$1012,MATCH($C210,EL!$E$4:$E$1012,0))),
IF($E210=5,IF(INDEX(EL!$AR$4:$AR$1012,MATCH($C210,EL!$E$4:$E$1012,0))="","",INDEX(EL!$AR$4:$AR$1012,MATCH($C210,EL!$E$4:$E$1012,0))),"")))))))</f>
        <v/>
      </c>
      <c r="J210" s="459" t="str">
        <f>IF(ISNA(MATCH($C210,EL!$E$4:$E$1012,0)),"",
IF($E210=0,IF(INDEX(EL!$T$4:$T$1012,MATCH($C210,EL!$E$4:$E$1012,0))="","",INDEX(EL!$T$4:$T$1012,MATCH($C210,EL!$E$4:$E$1012,0))),
IF($E210=1,IF(INDEX(EL!$Y$4:$Y$1012,MATCH($C210,EL!$E$4:$E$1012,0))="","",INDEX(EL!$Y$4:$Y$1012,MATCH($C210,EL!$E$4:$E$1012,0))),
IF($E210=2,IF(INDEX(EL!$AD$4:$AD$1012,MATCH($C210,EL!$E$4:$E$1012,0))="","",INDEX(EL!$AD$4:$AD$1012,MATCH($C210,EL!$E$4:$E$1012,0))),
IF($E210=3,IF(INDEX(EL!$AI$4:$AI$1012,MATCH($C210,EL!$E$4:$E$1012,0))="","",INDEX(EL!$AI$4:$AI$1012,MATCH($C210,EL!$E$4:$E$1012,0))),
IF($E210=4,IF(INDEX(EL!$AN$4:$AN$1012,MATCH($C210,EL!$E$4:$E$1012,0))="","",INDEX(EL!$AN$4:$AN$1012,MATCH($C210,EL!$E$4:$E$1012,0))),
IF($E210=5,IF(INDEX(EL!$AS$4:$AS$1012,MATCH($C210,EL!$E$4:$E$1012,0))="","",INDEX(EL!$AS$4:$AS$1012,MATCH($C210,EL!$E$4:$E$1012,0))),"")))))))</f>
        <v/>
      </c>
      <c r="K210" s="459">
        <f>EL!L123</f>
        <v>0</v>
      </c>
      <c r="L210" s="460" t="e" cm="1">
        <f t="array" aca="1" ref="L210" ca="1">_xlfn.IFS(AND($E210&lt;&gt;"",$M210="Pending",$K210="CTA"),TODAY()-$G210,AND($E210&lt;&gt;"",$M210="Pending",$K210="AUR"),TODAY()-$H210,AND($E210&lt;&gt;"",$M210="Pending",$K210="STT"),TODAY()-$I210,OR(K210="Closed",K210=""),"")</f>
        <v>#N/A</v>
      </c>
      <c r="M210" s="461">
        <f>VLOOKUP(C210,EL!$E$4:$AC$622,9,0)</f>
        <v>0</v>
      </c>
      <c r="N210" s="461" t="str">
        <f t="shared" si="7"/>
        <v/>
      </c>
      <c r="O210" s="739" t="str">
        <f>EL!O123</f>
        <v>GC</v>
      </c>
      <c r="P210" s="746" t="str">
        <v>NO</v>
      </c>
    </row>
    <row r="211" spans="1:16" s="385" customFormat="1" ht="27" hidden="1" customHeight="1">
      <c r="A211" s="399">
        <f t="shared" si="6"/>
        <v>118</v>
      </c>
      <c r="B211" s="477" t="s">
        <v>52</v>
      </c>
      <c r="C211" s="646" t="s">
        <v>796</v>
      </c>
      <c r="D211" s="456" t="str">
        <f>_xlfn.XLOOKUP(C211,EL!$E$4:$E$183,EL!$D$4:$D$183)</f>
        <v>Level 2 - Swing &amp; Load Bank Busduct Isometric</v>
      </c>
      <c r="E211" s="597" t="str">
        <f>IF(VLOOKUP(C211,EL!$E$4:$AC$505,7,0)="","",VLOOKUP(C211,EL!$E$4:$AC$1004,7,0))</f>
        <v/>
      </c>
      <c r="F211" s="462"/>
      <c r="G211" s="458" t="str">
        <f>IF(VLOOKUP(C211,EL!$E$4:$AC$514,5,0)="","",VLOOKUP(C211,EL!$E$4:$AC$514,5,0))</f>
        <v/>
      </c>
      <c r="H211" s="459" t="str">
        <f>IF(ISNA(MATCH($C211,EL!$E$4:$E$1012,0)),"",
IF($E211=0,IF(INDEX(EL!$R$4:$R$1012,MATCH($C211,EL!$E$4:$E$1012,0))="","",INDEX(EL!$R$4:$R$1012,MATCH($C211,EL!$E$4:$E$1012,0))),
IF($E211=1,IF(INDEX(EL!$W$4:$W$1012,MATCH($C211,EL!$E$4:$E$1012,0))="","",INDEX(EL!$W$4:$W$1012,MATCH($C211,EL!$E$4:$E$1012,0))),
IF($E211=2,IF(INDEX(EL!$AB$4:$AB$1012,MATCH($C211,EL!$E$4:$E$1012,0))="","",INDEX(EL!$AB$4:$AB$1012,MATCH($C211,EL!$E$4:$E$1012,0))),
IF($E211=3,IF(INDEX(EL!$AG$4:$AG$1012,MATCH($C211,EL!$E$4:$E$1012,0))="","",INDEX(EL!$AG$4:$AG$1012,MATCH($C211,EL!$E$4:$E$1012,0))),
IF($E211=4,IF(INDEX(EL!$AN$4:$AN$1012,MATCH($C211,EL!$E$4:$E$1012,0))="","",INDEX(EL!$AN$4:$AN$1012,MATCH($C211,EL!$E$4:$E$1012,0))),
IF($E211=5,IF(INDEX(EL!$AS$4:$AS$1012,MATCH($C211,EL!$E$4:$E$1012,0))="","",INDEX(EL!$AS$4:$AS$1012,MATCH($C211,EL!$E$4:$E$1012,0))),"")))))))</f>
        <v/>
      </c>
      <c r="I211" s="459" t="str">
        <f>IF(ISNA(MATCH($C211,EL!$E$4:$E$1012,0)),"",
IF($E211=0,IF(INDEX(EL!$S$4:$S$1012,MATCH($C211,EL!$E$4:$E$1012,0))="","",INDEX(EL!$S$4:$S$1012,MATCH($C211,EL!$E$4:$E$1012,0))),
IF($E211=1,IF(INDEX(EL!$X$4:$X$1012,MATCH($C211,EL!$E$4:$E$1012,0))="","",INDEX(EL!$X$4:$X$1012,MATCH($C211,EL!$E$4:$E$1012,0))),
IF($E211=2,IF(INDEX(EL!$AC$4:$AC$1012,MATCH($C211,EL!$E$4:$E$1012,0))="","",INDEX(EL!$AC$4:$AC$1012,MATCH($C211,EL!$E$4:$E$1012,0))),
IF($E211=3,IF(INDEX(EL!$AH$4:$AH$1012,MATCH($C211,EL!$E$4:$E$1012,0))="","",INDEX(EL!$AH$4:$AH$1012,MATCH($C211,EL!$E$4:$E$1012,0))),
IF($E211=4,IF(INDEX(EL!$AM$4:$AM$1012,MATCH($C211,EL!$E$4:$E$1012,0))="","",INDEX(EL!$AM$4:$AM$1012,MATCH($C211,EL!$E$4:$E$1012,0))),
IF($E211=5,IF(INDEX(EL!$AR$4:$AR$1012,MATCH($C211,EL!$E$4:$E$1012,0))="","",INDEX(EL!$AR$4:$AR$1012,MATCH($C211,EL!$E$4:$E$1012,0))),"")))))))</f>
        <v/>
      </c>
      <c r="J211" s="459" t="str">
        <f>IF(ISNA(MATCH($C211,EL!$E$4:$E$1012,0)),"",
IF($E211=0,IF(INDEX(EL!$T$4:$T$1012,MATCH($C211,EL!$E$4:$E$1012,0))="","",INDEX(EL!$T$4:$T$1012,MATCH($C211,EL!$E$4:$E$1012,0))),
IF($E211=1,IF(INDEX(EL!$Y$4:$Y$1012,MATCH($C211,EL!$E$4:$E$1012,0))="","",INDEX(EL!$Y$4:$Y$1012,MATCH($C211,EL!$E$4:$E$1012,0))),
IF($E211=2,IF(INDEX(EL!$AD$4:$AD$1012,MATCH($C211,EL!$E$4:$E$1012,0))="","",INDEX(EL!$AD$4:$AD$1012,MATCH($C211,EL!$E$4:$E$1012,0))),
IF($E211=3,IF(INDEX(EL!$AI$4:$AI$1012,MATCH($C211,EL!$E$4:$E$1012,0))="","",INDEX(EL!$AI$4:$AI$1012,MATCH($C211,EL!$E$4:$E$1012,0))),
IF($E211=4,IF(INDEX(EL!$AN$4:$AN$1012,MATCH($C211,EL!$E$4:$E$1012,0))="","",INDEX(EL!$AN$4:$AN$1012,MATCH($C211,EL!$E$4:$E$1012,0))),
IF($E211=5,IF(INDEX(EL!$AS$4:$AS$1012,MATCH($C211,EL!$E$4:$E$1012,0))="","",INDEX(EL!$AS$4:$AS$1012,MATCH($C211,EL!$E$4:$E$1012,0))),"")))))))</f>
        <v/>
      </c>
      <c r="K211" s="459">
        <f>EL!L124</f>
        <v>0</v>
      </c>
      <c r="L211" s="460" t="e" cm="1">
        <f t="array" aca="1" ref="L211" ca="1">_xlfn.IFS(AND($E211&lt;&gt;"",$M211="Pending",$K211="CTA"),TODAY()-$G211,AND($E211&lt;&gt;"",$M211="Pending",$K211="AUR"),TODAY()-$H211,AND($E211&lt;&gt;"",$M211="Pending",$K211="STT"),TODAY()-$I211,OR(K211="Closed",K211=""),"")</f>
        <v>#N/A</v>
      </c>
      <c r="M211" s="461">
        <f>VLOOKUP(C211,EL!$E$4:$AC$622,9,0)</f>
        <v>0</v>
      </c>
      <c r="N211" s="461" t="str">
        <f t="shared" si="7"/>
        <v/>
      </c>
      <c r="O211" s="739" t="str">
        <f>EL!O124</f>
        <v>GC</v>
      </c>
      <c r="P211" s="746" t="str">
        <v>NO</v>
      </c>
    </row>
    <row r="212" spans="1:16" s="385" customFormat="1" ht="27" hidden="1" customHeight="1">
      <c r="A212" s="399">
        <f t="shared" ref="A212:A243" si="8">A211+1</f>
        <v>119</v>
      </c>
      <c r="B212" s="477" t="s">
        <v>52</v>
      </c>
      <c r="C212" s="646" t="s">
        <v>799</v>
      </c>
      <c r="D212" s="456" t="str">
        <f>_xlfn.XLOOKUP(C212,EL!$E$4:$E$183,EL!$D$4:$D$183)</f>
        <v xml:space="preserve">Level 2 - IT Busduct Routing Layout </v>
      </c>
      <c r="E212" s="597" t="str">
        <f>IF(VLOOKUP(C212,EL!$E$4:$AC$505,7,0)="","",VLOOKUP(C212,EL!$E$4:$AC$1004,7,0))</f>
        <v/>
      </c>
      <c r="F212" s="462"/>
      <c r="G212" s="458" t="str">
        <f>IF(VLOOKUP(C212,EL!$E$4:$AC$514,5,0)="","",VLOOKUP(C212,EL!$E$4:$AC$514,5,0))</f>
        <v/>
      </c>
      <c r="H212" s="459" t="str">
        <f>IF(ISNA(MATCH($C212,EL!$E$4:$E$1012,0)),"",
IF($E212=0,IF(INDEX(EL!$R$4:$R$1012,MATCH($C212,EL!$E$4:$E$1012,0))="","",INDEX(EL!$R$4:$R$1012,MATCH($C212,EL!$E$4:$E$1012,0))),
IF($E212=1,IF(INDEX(EL!$W$4:$W$1012,MATCH($C212,EL!$E$4:$E$1012,0))="","",INDEX(EL!$W$4:$W$1012,MATCH($C212,EL!$E$4:$E$1012,0))),
IF($E212=2,IF(INDEX(EL!$AB$4:$AB$1012,MATCH($C212,EL!$E$4:$E$1012,0))="","",INDEX(EL!$AB$4:$AB$1012,MATCH($C212,EL!$E$4:$E$1012,0))),
IF($E212=3,IF(INDEX(EL!$AG$4:$AG$1012,MATCH($C212,EL!$E$4:$E$1012,0))="","",INDEX(EL!$AG$4:$AG$1012,MATCH($C212,EL!$E$4:$E$1012,0))),
IF($E212=4,IF(INDEX(EL!$AN$4:$AN$1012,MATCH($C212,EL!$E$4:$E$1012,0))="","",INDEX(EL!$AN$4:$AN$1012,MATCH($C212,EL!$E$4:$E$1012,0))),
IF($E212=5,IF(INDEX(EL!$AS$4:$AS$1012,MATCH($C212,EL!$E$4:$E$1012,0))="","",INDEX(EL!$AS$4:$AS$1012,MATCH($C212,EL!$E$4:$E$1012,0))),"")))))))</f>
        <v/>
      </c>
      <c r="I212" s="459" t="str">
        <f>IF(ISNA(MATCH($C212,EL!$E$4:$E$1012,0)),"",
IF($E212=0,IF(INDEX(EL!$S$4:$S$1012,MATCH($C212,EL!$E$4:$E$1012,0))="","",INDEX(EL!$S$4:$S$1012,MATCH($C212,EL!$E$4:$E$1012,0))),
IF($E212=1,IF(INDEX(EL!$X$4:$X$1012,MATCH($C212,EL!$E$4:$E$1012,0))="","",INDEX(EL!$X$4:$X$1012,MATCH($C212,EL!$E$4:$E$1012,0))),
IF($E212=2,IF(INDEX(EL!$AC$4:$AC$1012,MATCH($C212,EL!$E$4:$E$1012,0))="","",INDEX(EL!$AC$4:$AC$1012,MATCH($C212,EL!$E$4:$E$1012,0))),
IF($E212=3,IF(INDEX(EL!$AH$4:$AH$1012,MATCH($C212,EL!$E$4:$E$1012,0))="","",INDEX(EL!$AH$4:$AH$1012,MATCH($C212,EL!$E$4:$E$1012,0))),
IF($E212=4,IF(INDEX(EL!$AM$4:$AM$1012,MATCH($C212,EL!$E$4:$E$1012,0))="","",INDEX(EL!$AM$4:$AM$1012,MATCH($C212,EL!$E$4:$E$1012,0))),
IF($E212=5,IF(INDEX(EL!$AR$4:$AR$1012,MATCH($C212,EL!$E$4:$E$1012,0))="","",INDEX(EL!$AR$4:$AR$1012,MATCH($C212,EL!$E$4:$E$1012,0))),"")))))))</f>
        <v/>
      </c>
      <c r="J212" s="459" t="str">
        <f>IF(ISNA(MATCH($C212,EL!$E$4:$E$1012,0)),"",
IF($E212=0,IF(INDEX(EL!$T$4:$T$1012,MATCH($C212,EL!$E$4:$E$1012,0))="","",INDEX(EL!$T$4:$T$1012,MATCH($C212,EL!$E$4:$E$1012,0))),
IF($E212=1,IF(INDEX(EL!$Y$4:$Y$1012,MATCH($C212,EL!$E$4:$E$1012,0))="","",INDEX(EL!$Y$4:$Y$1012,MATCH($C212,EL!$E$4:$E$1012,0))),
IF($E212=2,IF(INDEX(EL!$AD$4:$AD$1012,MATCH($C212,EL!$E$4:$E$1012,0))="","",INDEX(EL!$AD$4:$AD$1012,MATCH($C212,EL!$E$4:$E$1012,0))),
IF($E212=3,IF(INDEX(EL!$AI$4:$AI$1012,MATCH($C212,EL!$E$4:$E$1012,0))="","",INDEX(EL!$AI$4:$AI$1012,MATCH($C212,EL!$E$4:$E$1012,0))),
IF($E212=4,IF(INDEX(EL!$AN$4:$AN$1012,MATCH($C212,EL!$E$4:$E$1012,0))="","",INDEX(EL!$AN$4:$AN$1012,MATCH($C212,EL!$E$4:$E$1012,0))),
IF($E212=5,IF(INDEX(EL!$AS$4:$AS$1012,MATCH($C212,EL!$E$4:$E$1012,0))="","",INDEX(EL!$AS$4:$AS$1012,MATCH($C212,EL!$E$4:$E$1012,0))),"")))))))</f>
        <v/>
      </c>
      <c r="K212" s="459">
        <f>EL!L126</f>
        <v>0</v>
      </c>
      <c r="L212" s="460" t="e" cm="1">
        <f t="array" aca="1" ref="L212" ca="1">_xlfn.IFS(AND($E212&lt;&gt;"",$M212="Pending",$K212="CTA"),TODAY()-$G212,AND($E212&lt;&gt;"",$M212="Pending",$K212="AUR"),TODAY()-$H212,AND($E212&lt;&gt;"",$M212="Pending",$K212="STT"),TODAY()-$I212,OR(K212="Closed",K212=""),"")</f>
        <v>#N/A</v>
      </c>
      <c r="M212" s="461">
        <f>VLOOKUP(C212,EL!$E$4:$AC$622,9,0)</f>
        <v>0</v>
      </c>
      <c r="N212" s="461" t="str">
        <f t="shared" si="7"/>
        <v/>
      </c>
      <c r="O212" s="739" t="str">
        <f>EL!O126</f>
        <v>GC</v>
      </c>
      <c r="P212" s="746">
        <v>0</v>
      </c>
    </row>
    <row r="213" spans="1:16" s="385" customFormat="1" ht="27" hidden="1" customHeight="1">
      <c r="A213" s="399">
        <f t="shared" si="8"/>
        <v>120</v>
      </c>
      <c r="B213" s="477" t="s">
        <v>52</v>
      </c>
      <c r="C213" s="646" t="s">
        <v>802</v>
      </c>
      <c r="D213" s="456" t="str">
        <f>_xlfn.XLOOKUP(C213,EL!$E$4:$E$183,EL!$D$4:$D$183)</f>
        <v>Level 2 - IT Busduct Isometric</v>
      </c>
      <c r="E213" s="597" t="str">
        <f>IF(VLOOKUP(C213,EL!$E$4:$AC$505,7,0)="","",VLOOKUP(C213,EL!$E$4:$AC$1004,7,0))</f>
        <v/>
      </c>
      <c r="F213" s="462"/>
      <c r="G213" s="458" t="str">
        <f>IF(VLOOKUP(C213,EL!$E$4:$AC$514,5,0)="","",VLOOKUP(C213,EL!$E$4:$AC$514,5,0))</f>
        <v/>
      </c>
      <c r="H213" s="459" t="str">
        <f>IF(ISNA(MATCH($C213,EL!$E$4:$E$1012,0)),"",
IF($E213=0,IF(INDEX(EL!$R$4:$R$1012,MATCH($C213,EL!$E$4:$E$1012,0))="","",INDEX(EL!$R$4:$R$1012,MATCH($C213,EL!$E$4:$E$1012,0))),
IF($E213=1,IF(INDEX(EL!$W$4:$W$1012,MATCH($C213,EL!$E$4:$E$1012,0))="","",INDEX(EL!$W$4:$W$1012,MATCH($C213,EL!$E$4:$E$1012,0))),
IF($E213=2,IF(INDEX(EL!$AB$4:$AB$1012,MATCH($C213,EL!$E$4:$E$1012,0))="","",INDEX(EL!$AB$4:$AB$1012,MATCH($C213,EL!$E$4:$E$1012,0))),
IF($E213=3,IF(INDEX(EL!$AG$4:$AG$1012,MATCH($C213,EL!$E$4:$E$1012,0))="","",INDEX(EL!$AG$4:$AG$1012,MATCH($C213,EL!$E$4:$E$1012,0))),
IF($E213=4,IF(INDEX(EL!$AN$4:$AN$1012,MATCH($C213,EL!$E$4:$E$1012,0))="","",INDEX(EL!$AN$4:$AN$1012,MATCH($C213,EL!$E$4:$E$1012,0))),
IF($E213=5,IF(INDEX(EL!$AS$4:$AS$1012,MATCH($C213,EL!$E$4:$E$1012,0))="","",INDEX(EL!$AS$4:$AS$1012,MATCH($C213,EL!$E$4:$E$1012,0))),"")))))))</f>
        <v/>
      </c>
      <c r="I213" s="459" t="str">
        <f>IF(ISNA(MATCH($C213,EL!$E$4:$E$1012,0)),"",
IF($E213=0,IF(INDEX(EL!$S$4:$S$1012,MATCH($C213,EL!$E$4:$E$1012,0))="","",INDEX(EL!$S$4:$S$1012,MATCH($C213,EL!$E$4:$E$1012,0))),
IF($E213=1,IF(INDEX(EL!$X$4:$X$1012,MATCH($C213,EL!$E$4:$E$1012,0))="","",INDEX(EL!$X$4:$X$1012,MATCH($C213,EL!$E$4:$E$1012,0))),
IF($E213=2,IF(INDEX(EL!$AC$4:$AC$1012,MATCH($C213,EL!$E$4:$E$1012,0))="","",INDEX(EL!$AC$4:$AC$1012,MATCH($C213,EL!$E$4:$E$1012,0))),
IF($E213=3,IF(INDEX(EL!$AH$4:$AH$1012,MATCH($C213,EL!$E$4:$E$1012,0))="","",INDEX(EL!$AH$4:$AH$1012,MATCH($C213,EL!$E$4:$E$1012,0))),
IF($E213=4,IF(INDEX(EL!$AM$4:$AM$1012,MATCH($C213,EL!$E$4:$E$1012,0))="","",INDEX(EL!$AM$4:$AM$1012,MATCH($C213,EL!$E$4:$E$1012,0))),
IF($E213=5,IF(INDEX(EL!$AR$4:$AR$1012,MATCH($C213,EL!$E$4:$E$1012,0))="","",INDEX(EL!$AR$4:$AR$1012,MATCH($C213,EL!$E$4:$E$1012,0))),"")))))))</f>
        <v/>
      </c>
      <c r="J213" s="459" t="str">
        <f>IF(ISNA(MATCH($C213,EL!$E$4:$E$1012,0)),"",
IF($E213=0,IF(INDEX(EL!$T$4:$T$1012,MATCH($C213,EL!$E$4:$E$1012,0))="","",INDEX(EL!$T$4:$T$1012,MATCH($C213,EL!$E$4:$E$1012,0))),
IF($E213=1,IF(INDEX(EL!$Y$4:$Y$1012,MATCH($C213,EL!$E$4:$E$1012,0))="","",INDEX(EL!$Y$4:$Y$1012,MATCH($C213,EL!$E$4:$E$1012,0))),
IF($E213=2,IF(INDEX(EL!$AD$4:$AD$1012,MATCH($C213,EL!$E$4:$E$1012,0))="","",INDEX(EL!$AD$4:$AD$1012,MATCH($C213,EL!$E$4:$E$1012,0))),
IF($E213=3,IF(INDEX(EL!$AI$4:$AI$1012,MATCH($C213,EL!$E$4:$E$1012,0))="","",INDEX(EL!$AI$4:$AI$1012,MATCH($C213,EL!$E$4:$E$1012,0))),
IF($E213=4,IF(INDEX(EL!$AN$4:$AN$1012,MATCH($C213,EL!$E$4:$E$1012,0))="","",INDEX(EL!$AN$4:$AN$1012,MATCH($C213,EL!$E$4:$E$1012,0))),
IF($E213=5,IF(INDEX(EL!$AS$4:$AS$1012,MATCH($C213,EL!$E$4:$E$1012,0))="","",INDEX(EL!$AS$4:$AS$1012,MATCH($C213,EL!$E$4:$E$1012,0))),"")))))))</f>
        <v/>
      </c>
      <c r="K213" s="459">
        <f>EL!L127</f>
        <v>0</v>
      </c>
      <c r="L213" s="460" t="e" cm="1">
        <f t="array" aca="1" ref="L213" ca="1">_xlfn.IFS(AND($E213&lt;&gt;"",$M213="Pending",$K213="CTA"),TODAY()-$G213,AND($E213&lt;&gt;"",$M213="Pending",$K213="AUR"),TODAY()-$H213,AND($E213&lt;&gt;"",$M213="Pending",$K213="STT"),TODAY()-$I213,OR(K213="Closed",K213=""),"")</f>
        <v>#N/A</v>
      </c>
      <c r="M213" s="461">
        <f>VLOOKUP(C213,EL!$E$4:$AC$622,9,0)</f>
        <v>0</v>
      </c>
      <c r="N213" s="461" t="str">
        <f t="shared" si="7"/>
        <v/>
      </c>
      <c r="O213" s="739" t="str">
        <f>EL!O127</f>
        <v>GC</v>
      </c>
      <c r="P213" s="746" t="str">
        <v>NO</v>
      </c>
    </row>
    <row r="214" spans="1:16" s="385" customFormat="1" ht="27" hidden="1" customHeight="1">
      <c r="A214" s="399">
        <f t="shared" si="8"/>
        <v>121</v>
      </c>
      <c r="B214" s="477" t="s">
        <v>52</v>
      </c>
      <c r="C214" s="646" t="s">
        <v>805</v>
      </c>
      <c r="D214" s="456" t="str">
        <f>_xlfn.XLOOKUP(C214,EL!$E$4:$E$183,EL!$D$4:$D$183)</f>
        <v>Level 3 - Electrical Routing Layout</v>
      </c>
      <c r="E214" s="597" t="str">
        <f>IF(VLOOKUP(C214,EL!$E$4:$AC$505,7,0)="","",VLOOKUP(C214,EL!$E$4:$AC$1004,7,0))</f>
        <v/>
      </c>
      <c r="F214" s="462"/>
      <c r="G214" s="458" t="str">
        <f>IF(VLOOKUP(C214,EL!$E$4:$AC$514,5,0)="","",VLOOKUP(C214,EL!$E$4:$AC$514,5,0))</f>
        <v/>
      </c>
      <c r="H214" s="459" t="str">
        <f>IF(ISNA(MATCH($C214,EL!$E$4:$E$1012,0)),"",
IF($E214=0,IF(INDEX(EL!$R$4:$R$1012,MATCH($C214,EL!$E$4:$E$1012,0))="","",INDEX(EL!$R$4:$R$1012,MATCH($C214,EL!$E$4:$E$1012,0))),
IF($E214=1,IF(INDEX(EL!$W$4:$W$1012,MATCH($C214,EL!$E$4:$E$1012,0))="","",INDEX(EL!$W$4:$W$1012,MATCH($C214,EL!$E$4:$E$1012,0))),
IF($E214=2,IF(INDEX(EL!$AB$4:$AB$1012,MATCH($C214,EL!$E$4:$E$1012,0))="","",INDEX(EL!$AB$4:$AB$1012,MATCH($C214,EL!$E$4:$E$1012,0))),
IF($E214=3,IF(INDEX(EL!$AG$4:$AG$1012,MATCH($C214,EL!$E$4:$E$1012,0))="","",INDEX(EL!$AG$4:$AG$1012,MATCH($C214,EL!$E$4:$E$1012,0))),
IF($E214=4,IF(INDEX(EL!$AN$4:$AN$1012,MATCH($C214,EL!$E$4:$E$1012,0))="","",INDEX(EL!$AN$4:$AN$1012,MATCH($C214,EL!$E$4:$E$1012,0))),
IF($E214=5,IF(INDEX(EL!$AS$4:$AS$1012,MATCH($C214,EL!$E$4:$E$1012,0))="","",INDEX(EL!$AS$4:$AS$1012,MATCH($C214,EL!$E$4:$E$1012,0))),"")))))))</f>
        <v/>
      </c>
      <c r="I214" s="459" t="str">
        <f>IF(ISNA(MATCH($C214,EL!$E$4:$E$1012,0)),"",
IF($E214=0,IF(INDEX(EL!$S$4:$S$1012,MATCH($C214,EL!$E$4:$E$1012,0))="","",INDEX(EL!$S$4:$S$1012,MATCH($C214,EL!$E$4:$E$1012,0))),
IF($E214=1,IF(INDEX(EL!$X$4:$X$1012,MATCH($C214,EL!$E$4:$E$1012,0))="","",INDEX(EL!$X$4:$X$1012,MATCH($C214,EL!$E$4:$E$1012,0))),
IF($E214=2,IF(INDEX(EL!$AC$4:$AC$1012,MATCH($C214,EL!$E$4:$E$1012,0))="","",INDEX(EL!$AC$4:$AC$1012,MATCH($C214,EL!$E$4:$E$1012,0))),
IF($E214=3,IF(INDEX(EL!$AH$4:$AH$1012,MATCH($C214,EL!$E$4:$E$1012,0))="","",INDEX(EL!$AH$4:$AH$1012,MATCH($C214,EL!$E$4:$E$1012,0))),
IF($E214=4,IF(INDEX(EL!$AM$4:$AM$1012,MATCH($C214,EL!$E$4:$E$1012,0))="","",INDEX(EL!$AM$4:$AM$1012,MATCH($C214,EL!$E$4:$E$1012,0))),
IF($E214=5,IF(INDEX(EL!$AR$4:$AR$1012,MATCH($C214,EL!$E$4:$E$1012,0))="","",INDEX(EL!$AR$4:$AR$1012,MATCH($C214,EL!$E$4:$E$1012,0))),"")))))))</f>
        <v/>
      </c>
      <c r="J214" s="459" t="str">
        <f>IF(ISNA(MATCH($C214,EL!$E$4:$E$1012,0)),"",
IF($E214=0,IF(INDEX(EL!$T$4:$T$1012,MATCH($C214,EL!$E$4:$E$1012,0))="","",INDEX(EL!$T$4:$T$1012,MATCH($C214,EL!$E$4:$E$1012,0))),
IF($E214=1,IF(INDEX(EL!$Y$4:$Y$1012,MATCH($C214,EL!$E$4:$E$1012,0))="","",INDEX(EL!$Y$4:$Y$1012,MATCH($C214,EL!$E$4:$E$1012,0))),
IF($E214=2,IF(INDEX(EL!$AD$4:$AD$1012,MATCH($C214,EL!$E$4:$E$1012,0))="","",INDEX(EL!$AD$4:$AD$1012,MATCH($C214,EL!$E$4:$E$1012,0))),
IF($E214=3,IF(INDEX(EL!$AI$4:$AI$1012,MATCH($C214,EL!$E$4:$E$1012,0))="","",INDEX(EL!$AI$4:$AI$1012,MATCH($C214,EL!$E$4:$E$1012,0))),
IF($E214=4,IF(INDEX(EL!$AN$4:$AN$1012,MATCH($C214,EL!$E$4:$E$1012,0))="","",INDEX(EL!$AN$4:$AN$1012,MATCH($C214,EL!$E$4:$E$1012,0))),
IF($E214=5,IF(INDEX(EL!$AS$4:$AS$1012,MATCH($C214,EL!$E$4:$E$1012,0))="","",INDEX(EL!$AS$4:$AS$1012,MATCH($C214,EL!$E$4:$E$1012,0))),"")))))))</f>
        <v/>
      </c>
      <c r="K214" s="459">
        <f>EL!L128</f>
        <v>0</v>
      </c>
      <c r="L214" s="460" t="e" cm="1">
        <f t="array" aca="1" ref="L214" ca="1">_xlfn.IFS(AND($E214&lt;&gt;"",$M214="Pending",$K214="CTA"),TODAY()-$G214,AND($E214&lt;&gt;"",$M214="Pending",$K214="AUR"),TODAY()-$H214,AND($E214&lt;&gt;"",$M214="Pending",$K214="STT"),TODAY()-$I214,OR(K214="Closed",K214=""),"")</f>
        <v>#N/A</v>
      </c>
      <c r="M214" s="461">
        <f>VLOOKUP(C214,EL!$E$4:$AC$622,9,0)</f>
        <v>0</v>
      </c>
      <c r="N214" s="461" t="str">
        <f t="shared" si="7"/>
        <v/>
      </c>
      <c r="O214" s="739" t="str">
        <f>EL!O128</f>
        <v>GC</v>
      </c>
      <c r="P214" s="746" t="str">
        <v>NO</v>
      </c>
    </row>
    <row r="215" spans="1:16" s="385" customFormat="1" ht="27" hidden="1" customHeight="1">
      <c r="A215" s="399">
        <f t="shared" si="8"/>
        <v>122</v>
      </c>
      <c r="B215" s="477" t="s">
        <v>52</v>
      </c>
      <c r="C215" s="646" t="s">
        <v>808</v>
      </c>
      <c r="D215" s="456" t="str">
        <f>_xlfn.XLOOKUP(C215,EL!$E$4:$E$183,EL!$D$4:$D$183)</f>
        <v>Level 4 - Electrical Routing Layout</v>
      </c>
      <c r="E215" s="597" t="str">
        <f>IF(VLOOKUP(C215,EL!$E$4:$AC$505,7,0)="","",VLOOKUP(C215,EL!$E$4:$AC$1004,7,0))</f>
        <v/>
      </c>
      <c r="F215" s="462"/>
      <c r="G215" s="458" t="str">
        <f>IF(VLOOKUP(C215,EL!$E$4:$AC$514,5,0)="","",VLOOKUP(C215,EL!$E$4:$AC$514,5,0))</f>
        <v/>
      </c>
      <c r="H215" s="459" t="str">
        <f>IF(ISNA(MATCH($C215,EL!$E$4:$E$1012,0)),"",
IF($E215=0,IF(INDEX(EL!$R$4:$R$1012,MATCH($C215,EL!$E$4:$E$1012,0))="","",INDEX(EL!$R$4:$R$1012,MATCH($C215,EL!$E$4:$E$1012,0))),
IF($E215=1,IF(INDEX(EL!$W$4:$W$1012,MATCH($C215,EL!$E$4:$E$1012,0))="","",INDEX(EL!$W$4:$W$1012,MATCH($C215,EL!$E$4:$E$1012,0))),
IF($E215=2,IF(INDEX(EL!$AB$4:$AB$1012,MATCH($C215,EL!$E$4:$E$1012,0))="","",INDEX(EL!$AB$4:$AB$1012,MATCH($C215,EL!$E$4:$E$1012,0))),
IF($E215=3,IF(INDEX(EL!$AG$4:$AG$1012,MATCH($C215,EL!$E$4:$E$1012,0))="","",INDEX(EL!$AG$4:$AG$1012,MATCH($C215,EL!$E$4:$E$1012,0))),
IF($E215=4,IF(INDEX(EL!$AN$4:$AN$1012,MATCH($C215,EL!$E$4:$E$1012,0))="","",INDEX(EL!$AN$4:$AN$1012,MATCH($C215,EL!$E$4:$E$1012,0))),
IF($E215=5,IF(INDEX(EL!$AS$4:$AS$1012,MATCH($C215,EL!$E$4:$E$1012,0))="","",INDEX(EL!$AS$4:$AS$1012,MATCH($C215,EL!$E$4:$E$1012,0))),"")))))))</f>
        <v/>
      </c>
      <c r="I215" s="459" t="str">
        <f>IF(ISNA(MATCH($C215,EL!$E$4:$E$1012,0)),"",
IF($E215=0,IF(INDEX(EL!$S$4:$S$1012,MATCH($C215,EL!$E$4:$E$1012,0))="","",INDEX(EL!$S$4:$S$1012,MATCH($C215,EL!$E$4:$E$1012,0))),
IF($E215=1,IF(INDEX(EL!$X$4:$X$1012,MATCH($C215,EL!$E$4:$E$1012,0))="","",INDEX(EL!$X$4:$X$1012,MATCH($C215,EL!$E$4:$E$1012,0))),
IF($E215=2,IF(INDEX(EL!$AC$4:$AC$1012,MATCH($C215,EL!$E$4:$E$1012,0))="","",INDEX(EL!$AC$4:$AC$1012,MATCH($C215,EL!$E$4:$E$1012,0))),
IF($E215=3,IF(INDEX(EL!$AH$4:$AH$1012,MATCH($C215,EL!$E$4:$E$1012,0))="","",INDEX(EL!$AH$4:$AH$1012,MATCH($C215,EL!$E$4:$E$1012,0))),
IF($E215=4,IF(INDEX(EL!$AM$4:$AM$1012,MATCH($C215,EL!$E$4:$E$1012,0))="","",INDEX(EL!$AM$4:$AM$1012,MATCH($C215,EL!$E$4:$E$1012,0))),
IF($E215=5,IF(INDEX(EL!$AR$4:$AR$1012,MATCH($C215,EL!$E$4:$E$1012,0))="","",INDEX(EL!$AR$4:$AR$1012,MATCH($C215,EL!$E$4:$E$1012,0))),"")))))))</f>
        <v/>
      </c>
      <c r="J215" s="459" t="str">
        <f>IF(ISNA(MATCH($C215,EL!$E$4:$E$1012,0)),"",
IF($E215=0,IF(INDEX(EL!$T$4:$T$1012,MATCH($C215,EL!$E$4:$E$1012,0))="","",INDEX(EL!$T$4:$T$1012,MATCH($C215,EL!$E$4:$E$1012,0))),
IF($E215=1,IF(INDEX(EL!$Y$4:$Y$1012,MATCH($C215,EL!$E$4:$E$1012,0))="","",INDEX(EL!$Y$4:$Y$1012,MATCH($C215,EL!$E$4:$E$1012,0))),
IF($E215=2,IF(INDEX(EL!$AD$4:$AD$1012,MATCH($C215,EL!$E$4:$E$1012,0))="","",INDEX(EL!$AD$4:$AD$1012,MATCH($C215,EL!$E$4:$E$1012,0))),
IF($E215=3,IF(INDEX(EL!$AI$4:$AI$1012,MATCH($C215,EL!$E$4:$E$1012,0))="","",INDEX(EL!$AI$4:$AI$1012,MATCH($C215,EL!$E$4:$E$1012,0))),
IF($E215=4,IF(INDEX(EL!$AN$4:$AN$1012,MATCH($C215,EL!$E$4:$E$1012,0))="","",INDEX(EL!$AN$4:$AN$1012,MATCH($C215,EL!$E$4:$E$1012,0))),
IF($E215=5,IF(INDEX(EL!$AS$4:$AS$1012,MATCH($C215,EL!$E$4:$E$1012,0))="","",INDEX(EL!$AS$4:$AS$1012,MATCH($C215,EL!$E$4:$E$1012,0))),"")))))))</f>
        <v/>
      </c>
      <c r="K215" s="459">
        <f>EL!L129</f>
        <v>0</v>
      </c>
      <c r="L215" s="460" t="e" cm="1">
        <f t="array" aca="1" ref="L215" ca="1">_xlfn.IFS(AND($E215&lt;&gt;"",$M215="Pending",$K215="CTA"),TODAY()-$G215,AND($E215&lt;&gt;"",$M215="Pending",$K215="AUR"),TODAY()-$H215,AND($E215&lt;&gt;"",$M215="Pending",$K215="STT"),TODAY()-$I215,OR(K215="Closed",K215=""),"")</f>
        <v>#N/A</v>
      </c>
      <c r="M215" s="461">
        <f>VLOOKUP(C215,EL!$E$4:$AC$622,9,0)</f>
        <v>0</v>
      </c>
      <c r="N215" s="461" t="str">
        <f t="shared" si="7"/>
        <v/>
      </c>
      <c r="O215" s="739" t="str">
        <f>EL!O129</f>
        <v>GC</v>
      </c>
      <c r="P215" s="746" t="str">
        <v>NO</v>
      </c>
    </row>
    <row r="216" spans="1:16" s="385" customFormat="1" ht="27" hidden="1" customHeight="1">
      <c r="A216" s="399">
        <f t="shared" si="8"/>
        <v>123</v>
      </c>
      <c r="B216" s="477" t="s">
        <v>52</v>
      </c>
      <c r="C216" s="646" t="s">
        <v>811</v>
      </c>
      <c r="D216" s="456" t="str">
        <f>_xlfn.XLOOKUP(C216,EL!$E$4:$E$183,EL!$D$4:$D$183)</f>
        <v>Level 5 - Electrical Routing Layout</v>
      </c>
      <c r="E216" s="597" t="str">
        <f>IF(VLOOKUP(C216,EL!$E$4:$AC$505,7,0)="","",VLOOKUP(C216,EL!$E$4:$AC$1004,7,0))</f>
        <v/>
      </c>
      <c r="F216" s="462"/>
      <c r="G216" s="458" t="str">
        <f>IF(VLOOKUP(C216,EL!$E$4:$AC$514,5,0)="","",VLOOKUP(C216,EL!$E$4:$AC$514,5,0))</f>
        <v/>
      </c>
      <c r="H216" s="459" t="str">
        <f>IF(ISNA(MATCH($C216,EL!$E$4:$E$1012,0)),"",
IF($E216=0,IF(INDEX(EL!$R$4:$R$1012,MATCH($C216,EL!$E$4:$E$1012,0))="","",INDEX(EL!$R$4:$R$1012,MATCH($C216,EL!$E$4:$E$1012,0))),
IF($E216=1,IF(INDEX(EL!$W$4:$W$1012,MATCH($C216,EL!$E$4:$E$1012,0))="","",INDEX(EL!$W$4:$W$1012,MATCH($C216,EL!$E$4:$E$1012,0))),
IF($E216=2,IF(INDEX(EL!$AB$4:$AB$1012,MATCH($C216,EL!$E$4:$E$1012,0))="","",INDEX(EL!$AB$4:$AB$1012,MATCH($C216,EL!$E$4:$E$1012,0))),
IF($E216=3,IF(INDEX(EL!$AG$4:$AG$1012,MATCH($C216,EL!$E$4:$E$1012,0))="","",INDEX(EL!$AG$4:$AG$1012,MATCH($C216,EL!$E$4:$E$1012,0))),
IF($E216=4,IF(INDEX(EL!$AN$4:$AN$1012,MATCH($C216,EL!$E$4:$E$1012,0))="","",INDEX(EL!$AN$4:$AN$1012,MATCH($C216,EL!$E$4:$E$1012,0))),
IF($E216=5,IF(INDEX(EL!$AS$4:$AS$1012,MATCH($C216,EL!$E$4:$E$1012,0))="","",INDEX(EL!$AS$4:$AS$1012,MATCH($C216,EL!$E$4:$E$1012,0))),"")))))))</f>
        <v/>
      </c>
      <c r="I216" s="459" t="str">
        <f>IF(ISNA(MATCH($C216,EL!$E$4:$E$1012,0)),"",
IF($E216=0,IF(INDEX(EL!$S$4:$S$1012,MATCH($C216,EL!$E$4:$E$1012,0))="","",INDEX(EL!$S$4:$S$1012,MATCH($C216,EL!$E$4:$E$1012,0))),
IF($E216=1,IF(INDEX(EL!$X$4:$X$1012,MATCH($C216,EL!$E$4:$E$1012,0))="","",INDEX(EL!$X$4:$X$1012,MATCH($C216,EL!$E$4:$E$1012,0))),
IF($E216=2,IF(INDEX(EL!$AC$4:$AC$1012,MATCH($C216,EL!$E$4:$E$1012,0))="","",INDEX(EL!$AC$4:$AC$1012,MATCH($C216,EL!$E$4:$E$1012,0))),
IF($E216=3,IF(INDEX(EL!$AH$4:$AH$1012,MATCH($C216,EL!$E$4:$E$1012,0))="","",INDEX(EL!$AH$4:$AH$1012,MATCH($C216,EL!$E$4:$E$1012,0))),
IF($E216=4,IF(INDEX(EL!$AM$4:$AM$1012,MATCH($C216,EL!$E$4:$E$1012,0))="","",INDEX(EL!$AM$4:$AM$1012,MATCH($C216,EL!$E$4:$E$1012,0))),
IF($E216=5,IF(INDEX(EL!$AR$4:$AR$1012,MATCH($C216,EL!$E$4:$E$1012,0))="","",INDEX(EL!$AR$4:$AR$1012,MATCH($C216,EL!$E$4:$E$1012,0))),"")))))))</f>
        <v/>
      </c>
      <c r="J216" s="459" t="str">
        <f>IF(ISNA(MATCH($C216,EL!$E$4:$E$1012,0)),"",
IF($E216=0,IF(INDEX(EL!$T$4:$T$1012,MATCH($C216,EL!$E$4:$E$1012,0))="","",INDEX(EL!$T$4:$T$1012,MATCH($C216,EL!$E$4:$E$1012,0))),
IF($E216=1,IF(INDEX(EL!$Y$4:$Y$1012,MATCH($C216,EL!$E$4:$E$1012,0))="","",INDEX(EL!$Y$4:$Y$1012,MATCH($C216,EL!$E$4:$E$1012,0))),
IF($E216=2,IF(INDEX(EL!$AD$4:$AD$1012,MATCH($C216,EL!$E$4:$E$1012,0))="","",INDEX(EL!$AD$4:$AD$1012,MATCH($C216,EL!$E$4:$E$1012,0))),
IF($E216=3,IF(INDEX(EL!$AI$4:$AI$1012,MATCH($C216,EL!$E$4:$E$1012,0))="","",INDEX(EL!$AI$4:$AI$1012,MATCH($C216,EL!$E$4:$E$1012,0))),
IF($E216=4,IF(INDEX(EL!$AN$4:$AN$1012,MATCH($C216,EL!$E$4:$E$1012,0))="","",INDEX(EL!$AN$4:$AN$1012,MATCH($C216,EL!$E$4:$E$1012,0))),
IF($E216=5,IF(INDEX(EL!$AS$4:$AS$1012,MATCH($C216,EL!$E$4:$E$1012,0))="","",INDEX(EL!$AS$4:$AS$1012,MATCH($C216,EL!$E$4:$E$1012,0))),"")))))))</f>
        <v/>
      </c>
      <c r="K216" s="459">
        <f>EL!L130</f>
        <v>0</v>
      </c>
      <c r="L216" s="460" t="e" cm="1">
        <f t="array" aca="1" ref="L216" ca="1">_xlfn.IFS(AND($E216&lt;&gt;"",$M216="Pending",$K216="CTA"),TODAY()-$G216,AND($E216&lt;&gt;"",$M216="Pending",$K216="AUR"),TODAY()-$H216,AND($E216&lt;&gt;"",$M216="Pending",$K216="STT"),TODAY()-$I216,OR(K216="Closed",K216=""),"")</f>
        <v>#N/A</v>
      </c>
      <c r="M216" s="461">
        <f>VLOOKUP(C216,EL!$E$4:$AC$622,9,0)</f>
        <v>0</v>
      </c>
      <c r="N216" s="461" t="str">
        <f t="shared" si="7"/>
        <v/>
      </c>
      <c r="O216" s="739" t="str">
        <f>EL!O130</f>
        <v>GC</v>
      </c>
      <c r="P216" s="746" t="str">
        <v>NO</v>
      </c>
    </row>
    <row r="217" spans="1:16" s="385" customFormat="1" ht="27" hidden="1" customHeight="1">
      <c r="A217" s="399">
        <f t="shared" si="8"/>
        <v>124</v>
      </c>
      <c r="B217" s="477" t="s">
        <v>52</v>
      </c>
      <c r="C217" s="646" t="s">
        <v>814</v>
      </c>
      <c r="D217" s="456" t="str">
        <f>_xlfn.XLOOKUP(C217,EL!$E$4:$E$183,EL!$D$4:$D$183)</f>
        <v xml:space="preserve">Level 6 - MV Cable Routing Layout </v>
      </c>
      <c r="E217" s="597" t="str">
        <f>IF(VLOOKUP(C217,EL!$E$4:$AC$505,7,0)="","",VLOOKUP(C217,EL!$E$4:$AC$1004,7,0))</f>
        <v/>
      </c>
      <c r="F217" s="462"/>
      <c r="G217" s="458" t="str">
        <f>IF(VLOOKUP(C217,EL!$E$4:$AC$514,5,0)="","",VLOOKUP(C217,EL!$E$4:$AC$514,5,0))</f>
        <v/>
      </c>
      <c r="H217" s="459" t="str">
        <f>IF(ISNA(MATCH($C217,EL!$E$4:$E$1012,0)),"",
IF($E217=0,IF(INDEX(EL!$R$4:$R$1012,MATCH($C217,EL!$E$4:$E$1012,0))="","",INDEX(EL!$R$4:$R$1012,MATCH($C217,EL!$E$4:$E$1012,0))),
IF($E217=1,IF(INDEX(EL!$W$4:$W$1012,MATCH($C217,EL!$E$4:$E$1012,0))="","",INDEX(EL!$W$4:$W$1012,MATCH($C217,EL!$E$4:$E$1012,0))),
IF($E217=2,IF(INDEX(EL!$AB$4:$AB$1012,MATCH($C217,EL!$E$4:$E$1012,0))="","",INDEX(EL!$AB$4:$AB$1012,MATCH($C217,EL!$E$4:$E$1012,0))),
IF($E217=3,IF(INDEX(EL!$AG$4:$AG$1012,MATCH($C217,EL!$E$4:$E$1012,0))="","",INDEX(EL!$AG$4:$AG$1012,MATCH($C217,EL!$E$4:$E$1012,0))),
IF($E217=4,IF(INDEX(EL!$AN$4:$AN$1012,MATCH($C217,EL!$E$4:$E$1012,0))="","",INDEX(EL!$AN$4:$AN$1012,MATCH($C217,EL!$E$4:$E$1012,0))),
IF($E217=5,IF(INDEX(EL!$AS$4:$AS$1012,MATCH($C217,EL!$E$4:$E$1012,0))="","",INDEX(EL!$AS$4:$AS$1012,MATCH($C217,EL!$E$4:$E$1012,0))),"")))))))</f>
        <v/>
      </c>
      <c r="I217" s="459" t="str">
        <f>IF(ISNA(MATCH($C217,EL!$E$4:$E$1012,0)),"",
IF($E217=0,IF(INDEX(EL!$S$4:$S$1012,MATCH($C217,EL!$E$4:$E$1012,0))="","",INDEX(EL!$S$4:$S$1012,MATCH($C217,EL!$E$4:$E$1012,0))),
IF($E217=1,IF(INDEX(EL!$X$4:$X$1012,MATCH($C217,EL!$E$4:$E$1012,0))="","",INDEX(EL!$X$4:$X$1012,MATCH($C217,EL!$E$4:$E$1012,0))),
IF($E217=2,IF(INDEX(EL!$AC$4:$AC$1012,MATCH($C217,EL!$E$4:$E$1012,0))="","",INDEX(EL!$AC$4:$AC$1012,MATCH($C217,EL!$E$4:$E$1012,0))),
IF($E217=3,IF(INDEX(EL!$AH$4:$AH$1012,MATCH($C217,EL!$E$4:$E$1012,0))="","",INDEX(EL!$AH$4:$AH$1012,MATCH($C217,EL!$E$4:$E$1012,0))),
IF($E217=4,IF(INDEX(EL!$AM$4:$AM$1012,MATCH($C217,EL!$E$4:$E$1012,0))="","",INDEX(EL!$AM$4:$AM$1012,MATCH($C217,EL!$E$4:$E$1012,0))),
IF($E217=5,IF(INDEX(EL!$AR$4:$AR$1012,MATCH($C217,EL!$E$4:$E$1012,0))="","",INDEX(EL!$AR$4:$AR$1012,MATCH($C217,EL!$E$4:$E$1012,0))),"")))))))</f>
        <v/>
      </c>
      <c r="J217" s="459" t="str">
        <f>IF(ISNA(MATCH($C217,EL!$E$4:$E$1012,0)),"",
IF($E217=0,IF(INDEX(EL!$T$4:$T$1012,MATCH($C217,EL!$E$4:$E$1012,0))="","",INDEX(EL!$T$4:$T$1012,MATCH($C217,EL!$E$4:$E$1012,0))),
IF($E217=1,IF(INDEX(EL!$Y$4:$Y$1012,MATCH($C217,EL!$E$4:$E$1012,0))="","",INDEX(EL!$Y$4:$Y$1012,MATCH($C217,EL!$E$4:$E$1012,0))),
IF($E217=2,IF(INDEX(EL!$AD$4:$AD$1012,MATCH($C217,EL!$E$4:$E$1012,0))="","",INDEX(EL!$AD$4:$AD$1012,MATCH($C217,EL!$E$4:$E$1012,0))),
IF($E217=3,IF(INDEX(EL!$AI$4:$AI$1012,MATCH($C217,EL!$E$4:$E$1012,0))="","",INDEX(EL!$AI$4:$AI$1012,MATCH($C217,EL!$E$4:$E$1012,0))),
IF($E217=4,IF(INDEX(EL!$AN$4:$AN$1012,MATCH($C217,EL!$E$4:$E$1012,0))="","",INDEX(EL!$AN$4:$AN$1012,MATCH($C217,EL!$E$4:$E$1012,0))),
IF($E217=5,IF(INDEX(EL!$AS$4:$AS$1012,MATCH($C217,EL!$E$4:$E$1012,0))="","",INDEX(EL!$AS$4:$AS$1012,MATCH($C217,EL!$E$4:$E$1012,0))),"")))))))</f>
        <v/>
      </c>
      <c r="K217" s="459">
        <f>EL!L131</f>
        <v>0</v>
      </c>
      <c r="L217" s="460" t="e" cm="1">
        <f t="array" aca="1" ref="L217" ca="1">_xlfn.IFS(AND($E217&lt;&gt;"",$M217="Pending",$K217="CTA"),TODAY()-$G217,AND($E217&lt;&gt;"",$M217="Pending",$K217="AUR"),TODAY()-$H217,AND($E217&lt;&gt;"",$M217="Pending",$K217="STT"),TODAY()-$I217,OR(K217="Closed",K217=""),"")</f>
        <v>#N/A</v>
      </c>
      <c r="M217" s="461">
        <f>VLOOKUP(C217,EL!$E$4:$AC$622,9,0)</f>
        <v>0</v>
      </c>
      <c r="N217" s="461" t="str">
        <f t="shared" si="7"/>
        <v/>
      </c>
      <c r="O217" s="739" t="str">
        <f>EL!O131</f>
        <v>GC</v>
      </c>
      <c r="P217" s="746" t="str">
        <v>NO</v>
      </c>
    </row>
    <row r="218" spans="1:16" s="385" customFormat="1" ht="27" hidden="1" customHeight="1">
      <c r="A218" s="399">
        <f t="shared" si="8"/>
        <v>125</v>
      </c>
      <c r="B218" s="477" t="s">
        <v>52</v>
      </c>
      <c r="C218" s="646" t="s">
        <v>817</v>
      </c>
      <c r="D218" s="456" t="str">
        <f>_xlfn.XLOOKUP(C218,EL!$E$4:$E$183,EL!$D$4:$D$183)</f>
        <v xml:space="preserve">Level 6 - LV  Cable Routing Layout </v>
      </c>
      <c r="E218" s="597" t="str">
        <f>IF(VLOOKUP(C218,EL!$E$4:$AC$505,7,0)="","",VLOOKUP(C218,EL!$E$4:$AC$1004,7,0))</f>
        <v/>
      </c>
      <c r="F218" s="462"/>
      <c r="G218" s="458" t="str">
        <f>IF(VLOOKUP(C218,EL!$E$4:$AC$514,5,0)="","",VLOOKUP(C218,EL!$E$4:$AC$514,5,0))</f>
        <v/>
      </c>
      <c r="H218" s="459" t="str">
        <f>IF(ISNA(MATCH($C218,EL!$E$4:$E$1012,0)),"",
IF($E218=0,IF(INDEX(EL!$R$4:$R$1012,MATCH($C218,EL!$E$4:$E$1012,0))="","",INDEX(EL!$R$4:$R$1012,MATCH($C218,EL!$E$4:$E$1012,0))),
IF($E218=1,IF(INDEX(EL!$W$4:$W$1012,MATCH($C218,EL!$E$4:$E$1012,0))="","",INDEX(EL!$W$4:$W$1012,MATCH($C218,EL!$E$4:$E$1012,0))),
IF($E218=2,IF(INDEX(EL!$AB$4:$AB$1012,MATCH($C218,EL!$E$4:$E$1012,0))="","",INDEX(EL!$AB$4:$AB$1012,MATCH($C218,EL!$E$4:$E$1012,0))),
IF($E218=3,IF(INDEX(EL!$AG$4:$AG$1012,MATCH($C218,EL!$E$4:$E$1012,0))="","",INDEX(EL!$AG$4:$AG$1012,MATCH($C218,EL!$E$4:$E$1012,0))),
IF($E218=4,IF(INDEX(EL!$AN$4:$AN$1012,MATCH($C218,EL!$E$4:$E$1012,0))="","",INDEX(EL!$AN$4:$AN$1012,MATCH($C218,EL!$E$4:$E$1012,0))),
IF($E218=5,IF(INDEX(EL!$AS$4:$AS$1012,MATCH($C218,EL!$E$4:$E$1012,0))="","",INDEX(EL!$AS$4:$AS$1012,MATCH($C218,EL!$E$4:$E$1012,0))),"")))))))</f>
        <v/>
      </c>
      <c r="I218" s="459" t="str">
        <f>IF(ISNA(MATCH($C218,EL!$E$4:$E$1012,0)),"",
IF($E218=0,IF(INDEX(EL!$S$4:$S$1012,MATCH($C218,EL!$E$4:$E$1012,0))="","",INDEX(EL!$S$4:$S$1012,MATCH($C218,EL!$E$4:$E$1012,0))),
IF($E218=1,IF(INDEX(EL!$X$4:$X$1012,MATCH($C218,EL!$E$4:$E$1012,0))="","",INDEX(EL!$X$4:$X$1012,MATCH($C218,EL!$E$4:$E$1012,0))),
IF($E218=2,IF(INDEX(EL!$AC$4:$AC$1012,MATCH($C218,EL!$E$4:$E$1012,0))="","",INDEX(EL!$AC$4:$AC$1012,MATCH($C218,EL!$E$4:$E$1012,0))),
IF($E218=3,IF(INDEX(EL!$AH$4:$AH$1012,MATCH($C218,EL!$E$4:$E$1012,0))="","",INDEX(EL!$AH$4:$AH$1012,MATCH($C218,EL!$E$4:$E$1012,0))),
IF($E218=4,IF(INDEX(EL!$AM$4:$AM$1012,MATCH($C218,EL!$E$4:$E$1012,0))="","",INDEX(EL!$AM$4:$AM$1012,MATCH($C218,EL!$E$4:$E$1012,0))),
IF($E218=5,IF(INDEX(EL!$AR$4:$AR$1012,MATCH($C218,EL!$E$4:$E$1012,0))="","",INDEX(EL!$AR$4:$AR$1012,MATCH($C218,EL!$E$4:$E$1012,0))),"")))))))</f>
        <v/>
      </c>
      <c r="J218" s="459" t="str">
        <f>IF(ISNA(MATCH($C218,EL!$E$4:$E$1012,0)),"",
IF($E218=0,IF(INDEX(EL!$T$4:$T$1012,MATCH($C218,EL!$E$4:$E$1012,0))="","",INDEX(EL!$T$4:$T$1012,MATCH($C218,EL!$E$4:$E$1012,0))),
IF($E218=1,IF(INDEX(EL!$Y$4:$Y$1012,MATCH($C218,EL!$E$4:$E$1012,0))="","",INDEX(EL!$Y$4:$Y$1012,MATCH($C218,EL!$E$4:$E$1012,0))),
IF($E218=2,IF(INDEX(EL!$AD$4:$AD$1012,MATCH($C218,EL!$E$4:$E$1012,0))="","",INDEX(EL!$AD$4:$AD$1012,MATCH($C218,EL!$E$4:$E$1012,0))),
IF($E218=3,IF(INDEX(EL!$AI$4:$AI$1012,MATCH($C218,EL!$E$4:$E$1012,0))="","",INDEX(EL!$AI$4:$AI$1012,MATCH($C218,EL!$E$4:$E$1012,0))),
IF($E218=4,IF(INDEX(EL!$AN$4:$AN$1012,MATCH($C218,EL!$E$4:$E$1012,0))="","",INDEX(EL!$AN$4:$AN$1012,MATCH($C218,EL!$E$4:$E$1012,0))),
IF($E218=5,IF(INDEX(EL!$AS$4:$AS$1012,MATCH($C218,EL!$E$4:$E$1012,0))="","",INDEX(EL!$AS$4:$AS$1012,MATCH($C218,EL!$E$4:$E$1012,0))),"")))))))</f>
        <v/>
      </c>
      <c r="K218" s="459">
        <f>EL!L132</f>
        <v>0</v>
      </c>
      <c r="L218" s="460" t="e" cm="1">
        <f t="array" aca="1" ref="L218" ca="1">_xlfn.IFS(AND($E218&lt;&gt;"",$M218="Pending",$K218="CTA"),TODAY()-$G218,AND($E218&lt;&gt;"",$M218="Pending",$K218="AUR"),TODAY()-$H218,AND($E218&lt;&gt;"",$M218="Pending",$K218="STT"),TODAY()-$I218,OR(K218="Closed",K218=""),"")</f>
        <v>#N/A</v>
      </c>
      <c r="M218" s="461">
        <f>VLOOKUP(C218,EL!$E$4:$AC$622,9,0)</f>
        <v>0</v>
      </c>
      <c r="N218" s="461" t="str">
        <f t="shared" si="7"/>
        <v/>
      </c>
      <c r="O218" s="739" t="str">
        <f>EL!O132</f>
        <v>GC</v>
      </c>
      <c r="P218" s="746" t="str">
        <v>NO</v>
      </c>
    </row>
    <row r="219" spans="1:16" s="385" customFormat="1" ht="27" hidden="1" customHeight="1">
      <c r="A219" s="399">
        <f t="shared" si="8"/>
        <v>126</v>
      </c>
      <c r="B219" s="477" t="s">
        <v>52</v>
      </c>
      <c r="C219" s="646" t="s">
        <v>820</v>
      </c>
      <c r="D219" s="456" t="str">
        <f>_xlfn.XLOOKUP(C219,EL!$E$4:$E$183,EL!$D$4:$D$183)</f>
        <v xml:space="preserve">Level 6 - Aux Power Routing Layout </v>
      </c>
      <c r="E219" s="597" t="str">
        <f>IF(VLOOKUP(C219,EL!$E$4:$AC$505,7,0)="","",VLOOKUP(C219,EL!$E$4:$AC$1004,7,0))</f>
        <v/>
      </c>
      <c r="F219" s="462"/>
      <c r="G219" s="458" t="str">
        <f>IF(VLOOKUP(C219,EL!$E$4:$AC$514,5,0)="","",VLOOKUP(C219,EL!$E$4:$AC$514,5,0))</f>
        <v/>
      </c>
      <c r="H219" s="459" t="str">
        <f>IF(ISNA(MATCH($C219,EL!$E$4:$E$1012,0)),"",
IF($E219=0,IF(INDEX(EL!$R$4:$R$1012,MATCH($C219,EL!$E$4:$E$1012,0))="","",INDEX(EL!$R$4:$R$1012,MATCH($C219,EL!$E$4:$E$1012,0))),
IF($E219=1,IF(INDEX(EL!$W$4:$W$1012,MATCH($C219,EL!$E$4:$E$1012,0))="","",INDEX(EL!$W$4:$W$1012,MATCH($C219,EL!$E$4:$E$1012,0))),
IF($E219=2,IF(INDEX(EL!$AB$4:$AB$1012,MATCH($C219,EL!$E$4:$E$1012,0))="","",INDEX(EL!$AB$4:$AB$1012,MATCH($C219,EL!$E$4:$E$1012,0))),
IF($E219=3,IF(INDEX(EL!$AG$4:$AG$1012,MATCH($C219,EL!$E$4:$E$1012,0))="","",INDEX(EL!$AG$4:$AG$1012,MATCH($C219,EL!$E$4:$E$1012,0))),
IF($E219=4,IF(INDEX(EL!$AN$4:$AN$1012,MATCH($C219,EL!$E$4:$E$1012,0))="","",INDEX(EL!$AN$4:$AN$1012,MATCH($C219,EL!$E$4:$E$1012,0))),
IF($E219=5,IF(INDEX(EL!$AS$4:$AS$1012,MATCH($C219,EL!$E$4:$E$1012,0))="","",INDEX(EL!$AS$4:$AS$1012,MATCH($C219,EL!$E$4:$E$1012,0))),"")))))))</f>
        <v/>
      </c>
      <c r="I219" s="459" t="str">
        <f>IF(ISNA(MATCH($C219,EL!$E$4:$E$1012,0)),"",
IF($E219=0,IF(INDEX(EL!$S$4:$S$1012,MATCH($C219,EL!$E$4:$E$1012,0))="","",INDEX(EL!$S$4:$S$1012,MATCH($C219,EL!$E$4:$E$1012,0))),
IF($E219=1,IF(INDEX(EL!$X$4:$X$1012,MATCH($C219,EL!$E$4:$E$1012,0))="","",INDEX(EL!$X$4:$X$1012,MATCH($C219,EL!$E$4:$E$1012,0))),
IF($E219=2,IF(INDEX(EL!$AC$4:$AC$1012,MATCH($C219,EL!$E$4:$E$1012,0))="","",INDEX(EL!$AC$4:$AC$1012,MATCH($C219,EL!$E$4:$E$1012,0))),
IF($E219=3,IF(INDEX(EL!$AH$4:$AH$1012,MATCH($C219,EL!$E$4:$E$1012,0))="","",INDEX(EL!$AH$4:$AH$1012,MATCH($C219,EL!$E$4:$E$1012,0))),
IF($E219=4,IF(INDEX(EL!$AM$4:$AM$1012,MATCH($C219,EL!$E$4:$E$1012,0))="","",INDEX(EL!$AM$4:$AM$1012,MATCH($C219,EL!$E$4:$E$1012,0))),
IF($E219=5,IF(INDEX(EL!$AR$4:$AR$1012,MATCH($C219,EL!$E$4:$E$1012,0))="","",INDEX(EL!$AR$4:$AR$1012,MATCH($C219,EL!$E$4:$E$1012,0))),"")))))))</f>
        <v/>
      </c>
      <c r="J219" s="459" t="str">
        <f>IF(ISNA(MATCH($C219,EL!$E$4:$E$1012,0)),"",
IF($E219=0,IF(INDEX(EL!$T$4:$T$1012,MATCH($C219,EL!$E$4:$E$1012,0))="","",INDEX(EL!$T$4:$T$1012,MATCH($C219,EL!$E$4:$E$1012,0))),
IF($E219=1,IF(INDEX(EL!$Y$4:$Y$1012,MATCH($C219,EL!$E$4:$E$1012,0))="","",INDEX(EL!$Y$4:$Y$1012,MATCH($C219,EL!$E$4:$E$1012,0))),
IF($E219=2,IF(INDEX(EL!$AD$4:$AD$1012,MATCH($C219,EL!$E$4:$E$1012,0))="","",INDEX(EL!$AD$4:$AD$1012,MATCH($C219,EL!$E$4:$E$1012,0))),
IF($E219=3,IF(INDEX(EL!$AI$4:$AI$1012,MATCH($C219,EL!$E$4:$E$1012,0))="","",INDEX(EL!$AI$4:$AI$1012,MATCH($C219,EL!$E$4:$E$1012,0))),
IF($E219=4,IF(INDEX(EL!$AN$4:$AN$1012,MATCH($C219,EL!$E$4:$E$1012,0))="","",INDEX(EL!$AN$4:$AN$1012,MATCH($C219,EL!$E$4:$E$1012,0))),
IF($E219=5,IF(INDEX(EL!$AS$4:$AS$1012,MATCH($C219,EL!$E$4:$E$1012,0))="","",INDEX(EL!$AS$4:$AS$1012,MATCH($C219,EL!$E$4:$E$1012,0))),"")))))))</f>
        <v/>
      </c>
      <c r="K219" s="459">
        <f>EL!L133</f>
        <v>0</v>
      </c>
      <c r="L219" s="460" t="e" cm="1">
        <f t="array" aca="1" ref="L219" ca="1">_xlfn.IFS(AND($E219&lt;&gt;"",$M219="Pending",$K219="CTA"),TODAY()-$G219,AND($E219&lt;&gt;"",$M219="Pending",$K219="AUR"),TODAY()-$H219,AND($E219&lt;&gt;"",$M219="Pending",$K219="STT"),TODAY()-$I219,OR(K219="Closed",K219=""),"")</f>
        <v>#N/A</v>
      </c>
      <c r="M219" s="461">
        <f>VLOOKUP(C219,EL!$E$4:$AC$622,9,0)</f>
        <v>0</v>
      </c>
      <c r="N219" s="461" t="str">
        <f t="shared" si="7"/>
        <v/>
      </c>
      <c r="O219" s="739" t="str">
        <f>EL!O133</f>
        <v>GC</v>
      </c>
      <c r="P219" s="746" t="str">
        <v>YES</v>
      </c>
    </row>
    <row r="220" spans="1:16" s="385" customFormat="1" ht="27" hidden="1" customHeight="1">
      <c r="A220" s="399">
        <f t="shared" si="8"/>
        <v>127</v>
      </c>
      <c r="B220" s="477" t="s">
        <v>52</v>
      </c>
      <c r="C220" s="646" t="s">
        <v>823</v>
      </c>
      <c r="D220" s="456" t="str">
        <f>_xlfn.XLOOKUP(C220,EL!$E$4:$E$183,EL!$D$4:$D$183)</f>
        <v xml:space="preserve">Level 6 - MVDC Cable Routing Layout  </v>
      </c>
      <c r="E220" s="597" t="str">
        <f>IF(VLOOKUP(C220,EL!$E$4:$AC$505,7,0)="","",VLOOKUP(C220,EL!$E$4:$AC$1004,7,0))</f>
        <v/>
      </c>
      <c r="F220" s="462"/>
      <c r="G220" s="458" t="str">
        <f>IF(VLOOKUP(C220,EL!$E$4:$AC$514,5,0)="","",VLOOKUP(C220,EL!$E$4:$AC$514,5,0))</f>
        <v/>
      </c>
      <c r="H220" s="459" t="str">
        <f>IF(ISNA(MATCH($C220,EL!$E$4:$E$1012,0)),"",
IF($E220=0,IF(INDEX(EL!$R$4:$R$1012,MATCH($C220,EL!$E$4:$E$1012,0))="","",INDEX(EL!$R$4:$R$1012,MATCH($C220,EL!$E$4:$E$1012,0))),
IF($E220=1,IF(INDEX(EL!$W$4:$W$1012,MATCH($C220,EL!$E$4:$E$1012,0))="","",INDEX(EL!$W$4:$W$1012,MATCH($C220,EL!$E$4:$E$1012,0))),
IF($E220=2,IF(INDEX(EL!$AB$4:$AB$1012,MATCH($C220,EL!$E$4:$E$1012,0))="","",INDEX(EL!$AB$4:$AB$1012,MATCH($C220,EL!$E$4:$E$1012,0))),
IF($E220=3,IF(INDEX(EL!$AG$4:$AG$1012,MATCH($C220,EL!$E$4:$E$1012,0))="","",INDEX(EL!$AG$4:$AG$1012,MATCH($C220,EL!$E$4:$E$1012,0))),
IF($E220=4,IF(INDEX(EL!$AN$4:$AN$1012,MATCH($C220,EL!$E$4:$E$1012,0))="","",INDEX(EL!$AN$4:$AN$1012,MATCH($C220,EL!$E$4:$E$1012,0))),
IF($E220=5,IF(INDEX(EL!$AS$4:$AS$1012,MATCH($C220,EL!$E$4:$E$1012,0))="","",INDEX(EL!$AS$4:$AS$1012,MATCH($C220,EL!$E$4:$E$1012,0))),"")))))))</f>
        <v/>
      </c>
      <c r="I220" s="459" t="str">
        <f>IF(ISNA(MATCH($C220,EL!$E$4:$E$1012,0)),"",
IF($E220=0,IF(INDEX(EL!$S$4:$S$1012,MATCH($C220,EL!$E$4:$E$1012,0))="","",INDEX(EL!$S$4:$S$1012,MATCH($C220,EL!$E$4:$E$1012,0))),
IF($E220=1,IF(INDEX(EL!$X$4:$X$1012,MATCH($C220,EL!$E$4:$E$1012,0))="","",INDEX(EL!$X$4:$X$1012,MATCH($C220,EL!$E$4:$E$1012,0))),
IF($E220=2,IF(INDEX(EL!$AC$4:$AC$1012,MATCH($C220,EL!$E$4:$E$1012,0))="","",INDEX(EL!$AC$4:$AC$1012,MATCH($C220,EL!$E$4:$E$1012,0))),
IF($E220=3,IF(INDEX(EL!$AH$4:$AH$1012,MATCH($C220,EL!$E$4:$E$1012,0))="","",INDEX(EL!$AH$4:$AH$1012,MATCH($C220,EL!$E$4:$E$1012,0))),
IF($E220=4,IF(INDEX(EL!$AM$4:$AM$1012,MATCH($C220,EL!$E$4:$E$1012,0))="","",INDEX(EL!$AM$4:$AM$1012,MATCH($C220,EL!$E$4:$E$1012,0))),
IF($E220=5,IF(INDEX(EL!$AR$4:$AR$1012,MATCH($C220,EL!$E$4:$E$1012,0))="","",INDEX(EL!$AR$4:$AR$1012,MATCH($C220,EL!$E$4:$E$1012,0))),"")))))))</f>
        <v/>
      </c>
      <c r="J220" s="459" t="str">
        <f>IF(ISNA(MATCH($C220,EL!$E$4:$E$1012,0)),"",
IF($E220=0,IF(INDEX(EL!$T$4:$T$1012,MATCH($C220,EL!$E$4:$E$1012,0))="","",INDEX(EL!$T$4:$T$1012,MATCH($C220,EL!$E$4:$E$1012,0))),
IF($E220=1,IF(INDEX(EL!$Y$4:$Y$1012,MATCH($C220,EL!$E$4:$E$1012,0))="","",INDEX(EL!$Y$4:$Y$1012,MATCH($C220,EL!$E$4:$E$1012,0))),
IF($E220=2,IF(INDEX(EL!$AD$4:$AD$1012,MATCH($C220,EL!$E$4:$E$1012,0))="","",INDEX(EL!$AD$4:$AD$1012,MATCH($C220,EL!$E$4:$E$1012,0))),
IF($E220=3,IF(INDEX(EL!$AI$4:$AI$1012,MATCH($C220,EL!$E$4:$E$1012,0))="","",INDEX(EL!$AI$4:$AI$1012,MATCH($C220,EL!$E$4:$E$1012,0))),
IF($E220=4,IF(INDEX(EL!$AN$4:$AN$1012,MATCH($C220,EL!$E$4:$E$1012,0))="","",INDEX(EL!$AN$4:$AN$1012,MATCH($C220,EL!$E$4:$E$1012,0))),
IF($E220=5,IF(INDEX(EL!$AS$4:$AS$1012,MATCH($C220,EL!$E$4:$E$1012,0))="","",INDEX(EL!$AS$4:$AS$1012,MATCH($C220,EL!$E$4:$E$1012,0))),"")))))))</f>
        <v/>
      </c>
      <c r="K220" s="459">
        <f>EL!L134</f>
        <v>0</v>
      </c>
      <c r="L220" s="460" t="e" cm="1">
        <f t="array" aca="1" ref="L220" ca="1">_xlfn.IFS(AND($E220&lt;&gt;"",$M220="Pending",$K220="CTA"),TODAY()-$G220,AND($E220&lt;&gt;"",$M220="Pending",$K220="AUR"),TODAY()-$H220,AND($E220&lt;&gt;"",$M220="Pending",$K220="STT"),TODAY()-$I220,OR(K220="Closed",K220=""),"")</f>
        <v>#N/A</v>
      </c>
      <c r="M220" s="461">
        <f>VLOOKUP(C220,EL!$E$4:$AC$622,9,0)</f>
        <v>0</v>
      </c>
      <c r="N220" s="461" t="str">
        <f t="shared" si="7"/>
        <v/>
      </c>
      <c r="O220" s="739" t="str">
        <f>EL!O134</f>
        <v>GC</v>
      </c>
      <c r="P220" s="746" t="str">
        <v>NO</v>
      </c>
    </row>
    <row r="221" spans="1:16" s="385" customFormat="1" ht="27" hidden="1" customHeight="1">
      <c r="A221" s="399">
        <f t="shared" si="8"/>
        <v>128</v>
      </c>
      <c r="B221" s="477" t="s">
        <v>52</v>
      </c>
      <c r="C221" s="646" t="s">
        <v>826</v>
      </c>
      <c r="D221" s="456" t="str">
        <f>_xlfn.XLOOKUP(C221,EL!$E$4:$E$183,EL!$D$4:$D$183)</f>
        <v xml:space="preserve">Level 6 - SUPS Batt Cable Routing Layout </v>
      </c>
      <c r="E221" s="597" t="str">
        <f>IF(VLOOKUP(C221,EL!$E$4:$AC$505,7,0)="","",VLOOKUP(C221,EL!$E$4:$AC$1004,7,0))</f>
        <v/>
      </c>
      <c r="F221" s="462"/>
      <c r="G221" s="458" t="str">
        <f>IF(VLOOKUP(C221,EL!$E$4:$AC$514,5,0)="","",VLOOKUP(C221,EL!$E$4:$AC$514,5,0))</f>
        <v/>
      </c>
      <c r="H221" s="459" t="str">
        <f>IF(ISNA(MATCH($C221,EL!$E$4:$E$1012,0)),"",
IF($E221=0,IF(INDEX(EL!$R$4:$R$1012,MATCH($C221,EL!$E$4:$E$1012,0))="","",INDEX(EL!$R$4:$R$1012,MATCH($C221,EL!$E$4:$E$1012,0))),
IF($E221=1,IF(INDEX(EL!$W$4:$W$1012,MATCH($C221,EL!$E$4:$E$1012,0))="","",INDEX(EL!$W$4:$W$1012,MATCH($C221,EL!$E$4:$E$1012,0))),
IF($E221=2,IF(INDEX(EL!$AB$4:$AB$1012,MATCH($C221,EL!$E$4:$E$1012,0))="","",INDEX(EL!$AB$4:$AB$1012,MATCH($C221,EL!$E$4:$E$1012,0))),
IF($E221=3,IF(INDEX(EL!$AG$4:$AG$1012,MATCH($C221,EL!$E$4:$E$1012,0))="","",INDEX(EL!$AG$4:$AG$1012,MATCH($C221,EL!$E$4:$E$1012,0))),
IF($E221=4,IF(INDEX(EL!$AN$4:$AN$1012,MATCH($C221,EL!$E$4:$E$1012,0))="","",INDEX(EL!$AN$4:$AN$1012,MATCH($C221,EL!$E$4:$E$1012,0))),
IF($E221=5,IF(INDEX(EL!$AS$4:$AS$1012,MATCH($C221,EL!$E$4:$E$1012,0))="","",INDEX(EL!$AS$4:$AS$1012,MATCH($C221,EL!$E$4:$E$1012,0))),"")))))))</f>
        <v/>
      </c>
      <c r="I221" s="459" t="str">
        <f>IF(ISNA(MATCH($C221,EL!$E$4:$E$1012,0)),"",
IF($E221=0,IF(INDEX(EL!$S$4:$S$1012,MATCH($C221,EL!$E$4:$E$1012,0))="","",INDEX(EL!$S$4:$S$1012,MATCH($C221,EL!$E$4:$E$1012,0))),
IF($E221=1,IF(INDEX(EL!$X$4:$X$1012,MATCH($C221,EL!$E$4:$E$1012,0))="","",INDEX(EL!$X$4:$X$1012,MATCH($C221,EL!$E$4:$E$1012,0))),
IF($E221=2,IF(INDEX(EL!$AC$4:$AC$1012,MATCH($C221,EL!$E$4:$E$1012,0))="","",INDEX(EL!$AC$4:$AC$1012,MATCH($C221,EL!$E$4:$E$1012,0))),
IF($E221=3,IF(INDEX(EL!$AH$4:$AH$1012,MATCH($C221,EL!$E$4:$E$1012,0))="","",INDEX(EL!$AH$4:$AH$1012,MATCH($C221,EL!$E$4:$E$1012,0))),
IF($E221=4,IF(INDEX(EL!$AM$4:$AM$1012,MATCH($C221,EL!$E$4:$E$1012,0))="","",INDEX(EL!$AM$4:$AM$1012,MATCH($C221,EL!$E$4:$E$1012,0))),
IF($E221=5,IF(INDEX(EL!$AR$4:$AR$1012,MATCH($C221,EL!$E$4:$E$1012,0))="","",INDEX(EL!$AR$4:$AR$1012,MATCH($C221,EL!$E$4:$E$1012,0))),"")))))))</f>
        <v/>
      </c>
      <c r="J221" s="459" t="str">
        <f>IF(ISNA(MATCH($C221,EL!$E$4:$E$1012,0)),"",
IF($E221=0,IF(INDEX(EL!$T$4:$T$1012,MATCH($C221,EL!$E$4:$E$1012,0))="","",INDEX(EL!$T$4:$T$1012,MATCH($C221,EL!$E$4:$E$1012,0))),
IF($E221=1,IF(INDEX(EL!$Y$4:$Y$1012,MATCH($C221,EL!$E$4:$E$1012,0))="","",INDEX(EL!$Y$4:$Y$1012,MATCH($C221,EL!$E$4:$E$1012,0))),
IF($E221=2,IF(INDEX(EL!$AD$4:$AD$1012,MATCH($C221,EL!$E$4:$E$1012,0))="","",INDEX(EL!$AD$4:$AD$1012,MATCH($C221,EL!$E$4:$E$1012,0))),
IF($E221=3,IF(INDEX(EL!$AI$4:$AI$1012,MATCH($C221,EL!$E$4:$E$1012,0))="","",INDEX(EL!$AI$4:$AI$1012,MATCH($C221,EL!$E$4:$E$1012,0))),
IF($E221=4,IF(INDEX(EL!$AN$4:$AN$1012,MATCH($C221,EL!$E$4:$E$1012,0))="","",INDEX(EL!$AN$4:$AN$1012,MATCH($C221,EL!$E$4:$E$1012,0))),
IF($E221=5,IF(INDEX(EL!$AS$4:$AS$1012,MATCH($C221,EL!$E$4:$E$1012,0))="","",INDEX(EL!$AS$4:$AS$1012,MATCH($C221,EL!$E$4:$E$1012,0))),"")))))))</f>
        <v/>
      </c>
      <c r="K221" s="459">
        <f>EL!L135</f>
        <v>0</v>
      </c>
      <c r="L221" s="460" t="e" cm="1">
        <f t="array" aca="1" ref="L221" ca="1">_xlfn.IFS(AND($E221&lt;&gt;"",$M221="Pending",$K221="CTA"),TODAY()-$G221,AND($E221&lt;&gt;"",$M221="Pending",$K221="AUR"),TODAY()-$H221,AND($E221&lt;&gt;"",$M221="Pending",$K221="STT"),TODAY()-$I221,OR(K221="Closed",K221=""),"")</f>
        <v>#N/A</v>
      </c>
      <c r="M221" s="461">
        <f>VLOOKUP(C221,EL!$E$4:$AC$622,9,0)</f>
        <v>0</v>
      </c>
      <c r="N221" s="461" t="str">
        <f t="shared" si="7"/>
        <v/>
      </c>
      <c r="O221" s="739" t="str">
        <f>EL!O135</f>
        <v>GC</v>
      </c>
      <c r="P221" s="746" t="str">
        <v>NO</v>
      </c>
    </row>
    <row r="222" spans="1:16" s="385" customFormat="1" ht="27" hidden="1" customHeight="1">
      <c r="A222" s="399">
        <f t="shared" si="8"/>
        <v>129</v>
      </c>
      <c r="B222" s="477" t="s">
        <v>52</v>
      </c>
      <c r="C222" s="646" t="s">
        <v>829</v>
      </c>
      <c r="D222" s="456" t="str">
        <f>_xlfn.XLOOKUP(C222,EL!$E$4:$E$183,EL!$D$4:$D$183)</f>
        <v xml:space="preserve">Level 6 - SUPS Control Cable Routing Layout </v>
      </c>
      <c r="E222" s="597" t="str">
        <f>IF(VLOOKUP(C222,EL!$E$4:$AC$505,7,0)="","",VLOOKUP(C222,EL!$E$4:$AC$1004,7,0))</f>
        <v/>
      </c>
      <c r="F222" s="462"/>
      <c r="G222" s="458" t="str">
        <f>IF(VLOOKUP(C222,EL!$E$4:$AC$514,5,0)="","",VLOOKUP(C222,EL!$E$4:$AC$514,5,0))</f>
        <v/>
      </c>
      <c r="H222" s="459" t="str">
        <f>IF(ISNA(MATCH($C222,EL!$E$4:$E$1012,0)),"",
IF($E222=0,IF(INDEX(EL!$R$4:$R$1012,MATCH($C222,EL!$E$4:$E$1012,0))="","",INDEX(EL!$R$4:$R$1012,MATCH($C222,EL!$E$4:$E$1012,0))),
IF($E222=1,IF(INDEX(EL!$W$4:$W$1012,MATCH($C222,EL!$E$4:$E$1012,0))="","",INDEX(EL!$W$4:$W$1012,MATCH($C222,EL!$E$4:$E$1012,0))),
IF($E222=2,IF(INDEX(EL!$AB$4:$AB$1012,MATCH($C222,EL!$E$4:$E$1012,0))="","",INDEX(EL!$AB$4:$AB$1012,MATCH($C222,EL!$E$4:$E$1012,0))),
IF($E222=3,IF(INDEX(EL!$AG$4:$AG$1012,MATCH($C222,EL!$E$4:$E$1012,0))="","",INDEX(EL!$AG$4:$AG$1012,MATCH($C222,EL!$E$4:$E$1012,0))),
IF($E222=4,IF(INDEX(EL!$AN$4:$AN$1012,MATCH($C222,EL!$E$4:$E$1012,0))="","",INDEX(EL!$AN$4:$AN$1012,MATCH($C222,EL!$E$4:$E$1012,0))),
IF($E222=5,IF(INDEX(EL!$AS$4:$AS$1012,MATCH($C222,EL!$E$4:$E$1012,0))="","",INDEX(EL!$AS$4:$AS$1012,MATCH($C222,EL!$E$4:$E$1012,0))),"")))))))</f>
        <v/>
      </c>
      <c r="I222" s="459" t="str">
        <f>IF(ISNA(MATCH($C222,EL!$E$4:$E$1012,0)),"",
IF($E222=0,IF(INDEX(EL!$S$4:$S$1012,MATCH($C222,EL!$E$4:$E$1012,0))="","",INDEX(EL!$S$4:$S$1012,MATCH($C222,EL!$E$4:$E$1012,0))),
IF($E222=1,IF(INDEX(EL!$X$4:$X$1012,MATCH($C222,EL!$E$4:$E$1012,0))="","",INDEX(EL!$X$4:$X$1012,MATCH($C222,EL!$E$4:$E$1012,0))),
IF($E222=2,IF(INDEX(EL!$AC$4:$AC$1012,MATCH($C222,EL!$E$4:$E$1012,0))="","",INDEX(EL!$AC$4:$AC$1012,MATCH($C222,EL!$E$4:$E$1012,0))),
IF($E222=3,IF(INDEX(EL!$AH$4:$AH$1012,MATCH($C222,EL!$E$4:$E$1012,0))="","",INDEX(EL!$AH$4:$AH$1012,MATCH($C222,EL!$E$4:$E$1012,0))),
IF($E222=4,IF(INDEX(EL!$AM$4:$AM$1012,MATCH($C222,EL!$E$4:$E$1012,0))="","",INDEX(EL!$AM$4:$AM$1012,MATCH($C222,EL!$E$4:$E$1012,0))),
IF($E222=5,IF(INDEX(EL!$AR$4:$AR$1012,MATCH($C222,EL!$E$4:$E$1012,0))="","",INDEX(EL!$AR$4:$AR$1012,MATCH($C222,EL!$E$4:$E$1012,0))),"")))))))</f>
        <v/>
      </c>
      <c r="J222" s="459" t="str">
        <f>IF(ISNA(MATCH($C222,EL!$E$4:$E$1012,0)),"",
IF($E222=0,IF(INDEX(EL!$T$4:$T$1012,MATCH($C222,EL!$E$4:$E$1012,0))="","",INDEX(EL!$T$4:$T$1012,MATCH($C222,EL!$E$4:$E$1012,0))),
IF($E222=1,IF(INDEX(EL!$Y$4:$Y$1012,MATCH($C222,EL!$E$4:$E$1012,0))="","",INDEX(EL!$Y$4:$Y$1012,MATCH($C222,EL!$E$4:$E$1012,0))),
IF($E222=2,IF(INDEX(EL!$AD$4:$AD$1012,MATCH($C222,EL!$E$4:$E$1012,0))="","",INDEX(EL!$AD$4:$AD$1012,MATCH($C222,EL!$E$4:$E$1012,0))),
IF($E222=3,IF(INDEX(EL!$AI$4:$AI$1012,MATCH($C222,EL!$E$4:$E$1012,0))="","",INDEX(EL!$AI$4:$AI$1012,MATCH($C222,EL!$E$4:$E$1012,0))),
IF($E222=4,IF(INDEX(EL!$AN$4:$AN$1012,MATCH($C222,EL!$E$4:$E$1012,0))="","",INDEX(EL!$AN$4:$AN$1012,MATCH($C222,EL!$E$4:$E$1012,0))),
IF($E222=5,IF(INDEX(EL!$AS$4:$AS$1012,MATCH($C222,EL!$E$4:$E$1012,0))="","",INDEX(EL!$AS$4:$AS$1012,MATCH($C222,EL!$E$4:$E$1012,0))),"")))))))</f>
        <v/>
      </c>
      <c r="K222" s="459">
        <f>EL!L136</f>
        <v>0</v>
      </c>
      <c r="L222" s="460" t="e" cm="1">
        <f t="array" aca="1" ref="L222" ca="1">_xlfn.IFS(AND($E222&lt;&gt;"",$M222="Pending",$K222="CTA"),TODAY()-$G222,AND($E222&lt;&gt;"",$M222="Pending",$K222="AUR"),TODAY()-$H222,AND($E222&lt;&gt;"",$M222="Pending",$K222="STT"),TODAY()-$I222,OR(K222="Closed",K222=""),"")</f>
        <v>#N/A</v>
      </c>
      <c r="M222" s="461">
        <f>VLOOKUP(C222,EL!$E$4:$AC$622,9,0)</f>
        <v>0</v>
      </c>
      <c r="N222" s="461" t="str">
        <f t="shared" si="7"/>
        <v/>
      </c>
      <c r="O222" s="739" t="str">
        <f>EL!O136</f>
        <v>GC</v>
      </c>
      <c r="P222" s="746" t="str">
        <v>NO</v>
      </c>
    </row>
    <row r="223" spans="1:16" s="385" customFormat="1" ht="27" hidden="1" customHeight="1">
      <c r="A223" s="399">
        <f t="shared" si="8"/>
        <v>130</v>
      </c>
      <c r="B223" s="477" t="s">
        <v>52</v>
      </c>
      <c r="C223" s="646" t="s">
        <v>832</v>
      </c>
      <c r="D223" s="456" t="str">
        <f>_xlfn.XLOOKUP(C223,EL!$E$4:$E$183,EL!$D$4:$D$183)</f>
        <v>Level 6 - Busduct Routing Layout Overall</v>
      </c>
      <c r="E223" s="597" t="str">
        <f>IF(VLOOKUP(C223,EL!$E$4:$AC$505,7,0)="","",VLOOKUP(C223,EL!$E$4:$AC$1004,7,0))</f>
        <v/>
      </c>
      <c r="F223" s="462"/>
      <c r="G223" s="458" t="str">
        <f>IF(VLOOKUP(C223,EL!$E$4:$AC$514,5,0)="","",VLOOKUP(C223,EL!$E$4:$AC$514,5,0))</f>
        <v/>
      </c>
      <c r="H223" s="459" t="str">
        <f>IF(ISNA(MATCH($C223,EL!$E$4:$E$1012,0)),"",
IF($E223=0,IF(INDEX(EL!$R$4:$R$1012,MATCH($C223,EL!$E$4:$E$1012,0))="","",INDEX(EL!$R$4:$R$1012,MATCH($C223,EL!$E$4:$E$1012,0))),
IF($E223=1,IF(INDEX(EL!$W$4:$W$1012,MATCH($C223,EL!$E$4:$E$1012,0))="","",INDEX(EL!$W$4:$W$1012,MATCH($C223,EL!$E$4:$E$1012,0))),
IF($E223=2,IF(INDEX(EL!$AB$4:$AB$1012,MATCH($C223,EL!$E$4:$E$1012,0))="","",INDEX(EL!$AB$4:$AB$1012,MATCH($C223,EL!$E$4:$E$1012,0))),
IF($E223=3,IF(INDEX(EL!$AG$4:$AG$1012,MATCH($C223,EL!$E$4:$E$1012,0))="","",INDEX(EL!$AG$4:$AG$1012,MATCH($C223,EL!$E$4:$E$1012,0))),
IF($E223=4,IF(INDEX(EL!$AN$4:$AN$1012,MATCH($C223,EL!$E$4:$E$1012,0))="","",INDEX(EL!$AN$4:$AN$1012,MATCH($C223,EL!$E$4:$E$1012,0))),
IF($E223=5,IF(INDEX(EL!$AS$4:$AS$1012,MATCH($C223,EL!$E$4:$E$1012,0))="","",INDEX(EL!$AS$4:$AS$1012,MATCH($C223,EL!$E$4:$E$1012,0))),"")))))))</f>
        <v/>
      </c>
      <c r="I223" s="459" t="str">
        <f>IF(ISNA(MATCH($C223,EL!$E$4:$E$1012,0)),"",
IF($E223=0,IF(INDEX(EL!$S$4:$S$1012,MATCH($C223,EL!$E$4:$E$1012,0))="","",INDEX(EL!$S$4:$S$1012,MATCH($C223,EL!$E$4:$E$1012,0))),
IF($E223=1,IF(INDEX(EL!$X$4:$X$1012,MATCH($C223,EL!$E$4:$E$1012,0))="","",INDEX(EL!$X$4:$X$1012,MATCH($C223,EL!$E$4:$E$1012,0))),
IF($E223=2,IF(INDEX(EL!$AC$4:$AC$1012,MATCH($C223,EL!$E$4:$E$1012,0))="","",INDEX(EL!$AC$4:$AC$1012,MATCH($C223,EL!$E$4:$E$1012,0))),
IF($E223=3,IF(INDEX(EL!$AH$4:$AH$1012,MATCH($C223,EL!$E$4:$E$1012,0))="","",INDEX(EL!$AH$4:$AH$1012,MATCH($C223,EL!$E$4:$E$1012,0))),
IF($E223=4,IF(INDEX(EL!$AM$4:$AM$1012,MATCH($C223,EL!$E$4:$E$1012,0))="","",INDEX(EL!$AM$4:$AM$1012,MATCH($C223,EL!$E$4:$E$1012,0))),
IF($E223=5,IF(INDEX(EL!$AR$4:$AR$1012,MATCH($C223,EL!$E$4:$E$1012,0))="","",INDEX(EL!$AR$4:$AR$1012,MATCH($C223,EL!$E$4:$E$1012,0))),"")))))))</f>
        <v/>
      </c>
      <c r="J223" s="459" t="str">
        <f>IF(ISNA(MATCH($C223,EL!$E$4:$E$1012,0)),"",
IF($E223=0,IF(INDEX(EL!$T$4:$T$1012,MATCH($C223,EL!$E$4:$E$1012,0))="","",INDEX(EL!$T$4:$T$1012,MATCH($C223,EL!$E$4:$E$1012,0))),
IF($E223=1,IF(INDEX(EL!$Y$4:$Y$1012,MATCH($C223,EL!$E$4:$E$1012,0))="","",INDEX(EL!$Y$4:$Y$1012,MATCH($C223,EL!$E$4:$E$1012,0))),
IF($E223=2,IF(INDEX(EL!$AD$4:$AD$1012,MATCH($C223,EL!$E$4:$E$1012,0))="","",INDEX(EL!$AD$4:$AD$1012,MATCH($C223,EL!$E$4:$E$1012,0))),
IF($E223=3,IF(INDEX(EL!$AI$4:$AI$1012,MATCH($C223,EL!$E$4:$E$1012,0))="","",INDEX(EL!$AI$4:$AI$1012,MATCH($C223,EL!$E$4:$E$1012,0))),
IF($E223=4,IF(INDEX(EL!$AN$4:$AN$1012,MATCH($C223,EL!$E$4:$E$1012,0))="","",INDEX(EL!$AN$4:$AN$1012,MATCH($C223,EL!$E$4:$E$1012,0))),
IF($E223=5,IF(INDEX(EL!$AS$4:$AS$1012,MATCH($C223,EL!$E$4:$E$1012,0))="","",INDEX(EL!$AS$4:$AS$1012,MATCH($C223,EL!$E$4:$E$1012,0))),"")))))))</f>
        <v/>
      </c>
      <c r="K223" s="459">
        <f>EL!L137</f>
        <v>0</v>
      </c>
      <c r="L223" s="460" t="e" cm="1">
        <f t="array" aca="1" ref="L223" ca="1">_xlfn.IFS(AND($E223&lt;&gt;"",$M223="Pending",$K223="CTA"),TODAY()-$G223,AND($E223&lt;&gt;"",$M223="Pending",$K223="AUR"),TODAY()-$H223,AND($E223&lt;&gt;"",$M223="Pending",$K223="STT"),TODAY()-$I223,OR(K223="Closed",K223=""),"")</f>
        <v>#N/A</v>
      </c>
      <c r="M223" s="461">
        <f>VLOOKUP(C223,EL!$E$4:$AC$622,9,0)</f>
        <v>0</v>
      </c>
      <c r="N223" s="461" t="str">
        <f t="shared" si="7"/>
        <v/>
      </c>
      <c r="O223" s="739" t="str">
        <f>EL!O137</f>
        <v>GC</v>
      </c>
      <c r="P223" s="746" t="str">
        <v>NO</v>
      </c>
    </row>
    <row r="224" spans="1:16" s="385" customFormat="1" ht="27" hidden="1" customHeight="1">
      <c r="A224" s="399">
        <f t="shared" si="8"/>
        <v>131</v>
      </c>
      <c r="B224" s="477" t="s">
        <v>52</v>
      </c>
      <c r="C224" s="646" t="s">
        <v>835</v>
      </c>
      <c r="D224" s="456" t="str">
        <f>_xlfn.XLOOKUP(C224,EL!$E$4:$E$183,EL!$D$4:$D$183)</f>
        <v xml:space="preserve">Level 6 - LV  Busduct Routing Layout </v>
      </c>
      <c r="E224" s="597" t="str">
        <f>IF(VLOOKUP(C224,EL!$E$4:$AC$505,7,0)="","",VLOOKUP(C224,EL!$E$4:$AC$1004,7,0))</f>
        <v/>
      </c>
      <c r="F224" s="462"/>
      <c r="G224" s="458" t="str">
        <f>IF(VLOOKUP(C224,EL!$E$4:$AC$514,5,0)="","",VLOOKUP(C224,EL!$E$4:$AC$514,5,0))</f>
        <v/>
      </c>
      <c r="H224" s="459" t="str">
        <f>IF(ISNA(MATCH($C224,EL!$E$4:$E$1012,0)),"",
IF($E224=0,IF(INDEX(EL!$R$4:$R$1012,MATCH($C224,EL!$E$4:$E$1012,0))="","",INDEX(EL!$R$4:$R$1012,MATCH($C224,EL!$E$4:$E$1012,0))),
IF($E224=1,IF(INDEX(EL!$W$4:$W$1012,MATCH($C224,EL!$E$4:$E$1012,0))="","",INDEX(EL!$W$4:$W$1012,MATCH($C224,EL!$E$4:$E$1012,0))),
IF($E224=2,IF(INDEX(EL!$AB$4:$AB$1012,MATCH($C224,EL!$E$4:$E$1012,0))="","",INDEX(EL!$AB$4:$AB$1012,MATCH($C224,EL!$E$4:$E$1012,0))),
IF($E224=3,IF(INDEX(EL!$AG$4:$AG$1012,MATCH($C224,EL!$E$4:$E$1012,0))="","",INDEX(EL!$AG$4:$AG$1012,MATCH($C224,EL!$E$4:$E$1012,0))),
IF($E224=4,IF(INDEX(EL!$AN$4:$AN$1012,MATCH($C224,EL!$E$4:$E$1012,0))="","",INDEX(EL!$AN$4:$AN$1012,MATCH($C224,EL!$E$4:$E$1012,0))),
IF($E224=5,IF(INDEX(EL!$AS$4:$AS$1012,MATCH($C224,EL!$E$4:$E$1012,0))="","",INDEX(EL!$AS$4:$AS$1012,MATCH($C224,EL!$E$4:$E$1012,0))),"")))))))</f>
        <v/>
      </c>
      <c r="I224" s="459" t="str">
        <f>IF(ISNA(MATCH($C224,EL!$E$4:$E$1012,0)),"",
IF($E224=0,IF(INDEX(EL!$S$4:$S$1012,MATCH($C224,EL!$E$4:$E$1012,0))="","",INDEX(EL!$S$4:$S$1012,MATCH($C224,EL!$E$4:$E$1012,0))),
IF($E224=1,IF(INDEX(EL!$X$4:$X$1012,MATCH($C224,EL!$E$4:$E$1012,0))="","",INDEX(EL!$X$4:$X$1012,MATCH($C224,EL!$E$4:$E$1012,0))),
IF($E224=2,IF(INDEX(EL!$AC$4:$AC$1012,MATCH($C224,EL!$E$4:$E$1012,0))="","",INDEX(EL!$AC$4:$AC$1012,MATCH($C224,EL!$E$4:$E$1012,0))),
IF($E224=3,IF(INDEX(EL!$AH$4:$AH$1012,MATCH($C224,EL!$E$4:$E$1012,0))="","",INDEX(EL!$AH$4:$AH$1012,MATCH($C224,EL!$E$4:$E$1012,0))),
IF($E224=4,IF(INDEX(EL!$AM$4:$AM$1012,MATCH($C224,EL!$E$4:$E$1012,0))="","",INDEX(EL!$AM$4:$AM$1012,MATCH($C224,EL!$E$4:$E$1012,0))),
IF($E224=5,IF(INDEX(EL!$AR$4:$AR$1012,MATCH($C224,EL!$E$4:$E$1012,0))="","",INDEX(EL!$AR$4:$AR$1012,MATCH($C224,EL!$E$4:$E$1012,0))),"")))))))</f>
        <v/>
      </c>
      <c r="J224" s="459" t="str">
        <f>IF(ISNA(MATCH($C224,EL!$E$4:$E$1012,0)),"",
IF($E224=0,IF(INDEX(EL!$T$4:$T$1012,MATCH($C224,EL!$E$4:$E$1012,0))="","",INDEX(EL!$T$4:$T$1012,MATCH($C224,EL!$E$4:$E$1012,0))),
IF($E224=1,IF(INDEX(EL!$Y$4:$Y$1012,MATCH($C224,EL!$E$4:$E$1012,0))="","",INDEX(EL!$Y$4:$Y$1012,MATCH($C224,EL!$E$4:$E$1012,0))),
IF($E224=2,IF(INDEX(EL!$AD$4:$AD$1012,MATCH($C224,EL!$E$4:$E$1012,0))="","",INDEX(EL!$AD$4:$AD$1012,MATCH($C224,EL!$E$4:$E$1012,0))),
IF($E224=3,IF(INDEX(EL!$AI$4:$AI$1012,MATCH($C224,EL!$E$4:$E$1012,0))="","",INDEX(EL!$AI$4:$AI$1012,MATCH($C224,EL!$E$4:$E$1012,0))),
IF($E224=4,IF(INDEX(EL!$AN$4:$AN$1012,MATCH($C224,EL!$E$4:$E$1012,0))="","",INDEX(EL!$AN$4:$AN$1012,MATCH($C224,EL!$E$4:$E$1012,0))),
IF($E224=5,IF(INDEX(EL!$AS$4:$AS$1012,MATCH($C224,EL!$E$4:$E$1012,0))="","",INDEX(EL!$AS$4:$AS$1012,MATCH($C224,EL!$E$4:$E$1012,0))),"")))))))</f>
        <v/>
      </c>
      <c r="K224" s="459">
        <f>EL!L138</f>
        <v>0</v>
      </c>
      <c r="L224" s="460" t="e" cm="1">
        <f t="array" aca="1" ref="L224" ca="1">_xlfn.IFS(AND($E224&lt;&gt;"",$M224="Pending",$K224="CTA"),TODAY()-$G224,AND($E224&lt;&gt;"",$M224="Pending",$K224="AUR"),TODAY()-$H224,AND($E224&lt;&gt;"",$M224="Pending",$K224="STT"),TODAY()-$I224,OR(K224="Closed",K224=""),"")</f>
        <v>#N/A</v>
      </c>
      <c r="M224" s="461">
        <f>VLOOKUP(C224,EL!$E$4:$AC$622,9,0)</f>
        <v>0</v>
      </c>
      <c r="N224" s="461" t="str">
        <f t="shared" si="7"/>
        <v/>
      </c>
      <c r="O224" s="739" t="str">
        <f>EL!O138</f>
        <v>GC</v>
      </c>
      <c r="P224" s="746" t="str">
        <v>NO</v>
      </c>
    </row>
    <row r="225" spans="1:16" s="385" customFormat="1" ht="27" hidden="1" customHeight="1">
      <c r="A225" s="399">
        <f t="shared" si="8"/>
        <v>132</v>
      </c>
      <c r="B225" s="477" t="s">
        <v>52</v>
      </c>
      <c r="C225" s="646" t="s">
        <v>838</v>
      </c>
      <c r="D225" s="456" t="str">
        <f>_xlfn.XLOOKUP(C225,EL!$E$4:$E$183,EL!$D$4:$D$183)</f>
        <v>Level 6 - LV  Busduct Isometric</v>
      </c>
      <c r="E225" s="597" t="str">
        <f>IF(VLOOKUP(C225,EL!$E$4:$AC$505,7,0)="","",VLOOKUP(C225,EL!$E$4:$AC$1004,7,0))</f>
        <v/>
      </c>
      <c r="F225" s="462"/>
      <c r="G225" s="458" t="str">
        <f>IF(VLOOKUP(C225,EL!$E$4:$AC$514,5,0)="","",VLOOKUP(C225,EL!$E$4:$AC$514,5,0))</f>
        <v/>
      </c>
      <c r="H225" s="459" t="str">
        <f>IF(ISNA(MATCH($C225,EL!$E$4:$E$1012,0)),"",
IF($E225=0,IF(INDEX(EL!$R$4:$R$1012,MATCH($C225,EL!$E$4:$E$1012,0))="","",INDEX(EL!$R$4:$R$1012,MATCH($C225,EL!$E$4:$E$1012,0))),
IF($E225=1,IF(INDEX(EL!$W$4:$W$1012,MATCH($C225,EL!$E$4:$E$1012,0))="","",INDEX(EL!$W$4:$W$1012,MATCH($C225,EL!$E$4:$E$1012,0))),
IF($E225=2,IF(INDEX(EL!$AB$4:$AB$1012,MATCH($C225,EL!$E$4:$E$1012,0))="","",INDEX(EL!$AB$4:$AB$1012,MATCH($C225,EL!$E$4:$E$1012,0))),
IF($E225=3,IF(INDEX(EL!$AG$4:$AG$1012,MATCH($C225,EL!$E$4:$E$1012,0))="","",INDEX(EL!$AG$4:$AG$1012,MATCH($C225,EL!$E$4:$E$1012,0))),
IF($E225=4,IF(INDEX(EL!$AN$4:$AN$1012,MATCH($C225,EL!$E$4:$E$1012,0))="","",INDEX(EL!$AN$4:$AN$1012,MATCH($C225,EL!$E$4:$E$1012,0))),
IF($E225=5,IF(INDEX(EL!$AS$4:$AS$1012,MATCH($C225,EL!$E$4:$E$1012,0))="","",INDEX(EL!$AS$4:$AS$1012,MATCH($C225,EL!$E$4:$E$1012,0))),"")))))))</f>
        <v/>
      </c>
      <c r="I225" s="459" t="str">
        <f>IF(ISNA(MATCH($C225,EL!$E$4:$E$1012,0)),"",
IF($E225=0,IF(INDEX(EL!$S$4:$S$1012,MATCH($C225,EL!$E$4:$E$1012,0))="","",INDEX(EL!$S$4:$S$1012,MATCH($C225,EL!$E$4:$E$1012,0))),
IF($E225=1,IF(INDEX(EL!$X$4:$X$1012,MATCH($C225,EL!$E$4:$E$1012,0))="","",INDEX(EL!$X$4:$X$1012,MATCH($C225,EL!$E$4:$E$1012,0))),
IF($E225=2,IF(INDEX(EL!$AC$4:$AC$1012,MATCH($C225,EL!$E$4:$E$1012,0))="","",INDEX(EL!$AC$4:$AC$1012,MATCH($C225,EL!$E$4:$E$1012,0))),
IF($E225=3,IF(INDEX(EL!$AH$4:$AH$1012,MATCH($C225,EL!$E$4:$E$1012,0))="","",INDEX(EL!$AH$4:$AH$1012,MATCH($C225,EL!$E$4:$E$1012,0))),
IF($E225=4,IF(INDEX(EL!$AM$4:$AM$1012,MATCH($C225,EL!$E$4:$E$1012,0))="","",INDEX(EL!$AM$4:$AM$1012,MATCH($C225,EL!$E$4:$E$1012,0))),
IF($E225=5,IF(INDEX(EL!$AR$4:$AR$1012,MATCH($C225,EL!$E$4:$E$1012,0))="","",INDEX(EL!$AR$4:$AR$1012,MATCH($C225,EL!$E$4:$E$1012,0))),"")))))))</f>
        <v/>
      </c>
      <c r="J225" s="459" t="str">
        <f>IF(ISNA(MATCH($C225,EL!$E$4:$E$1012,0)),"",
IF($E225=0,IF(INDEX(EL!$T$4:$T$1012,MATCH($C225,EL!$E$4:$E$1012,0))="","",INDEX(EL!$T$4:$T$1012,MATCH($C225,EL!$E$4:$E$1012,0))),
IF($E225=1,IF(INDEX(EL!$Y$4:$Y$1012,MATCH($C225,EL!$E$4:$E$1012,0))="","",INDEX(EL!$Y$4:$Y$1012,MATCH($C225,EL!$E$4:$E$1012,0))),
IF($E225=2,IF(INDEX(EL!$AD$4:$AD$1012,MATCH($C225,EL!$E$4:$E$1012,0))="","",INDEX(EL!$AD$4:$AD$1012,MATCH($C225,EL!$E$4:$E$1012,0))),
IF($E225=3,IF(INDEX(EL!$AI$4:$AI$1012,MATCH($C225,EL!$E$4:$E$1012,0))="","",INDEX(EL!$AI$4:$AI$1012,MATCH($C225,EL!$E$4:$E$1012,0))),
IF($E225=4,IF(INDEX(EL!$AN$4:$AN$1012,MATCH($C225,EL!$E$4:$E$1012,0))="","",INDEX(EL!$AN$4:$AN$1012,MATCH($C225,EL!$E$4:$E$1012,0))),
IF($E225=5,IF(INDEX(EL!$AS$4:$AS$1012,MATCH($C225,EL!$E$4:$E$1012,0))="","",INDEX(EL!$AS$4:$AS$1012,MATCH($C225,EL!$E$4:$E$1012,0))),"")))))))</f>
        <v/>
      </c>
      <c r="K225" s="459">
        <f>EL!L139</f>
        <v>0</v>
      </c>
      <c r="L225" s="460" t="e" cm="1">
        <f t="array" aca="1" ref="L225" ca="1">_xlfn.IFS(AND($E225&lt;&gt;"",$M225="Pending",$K225="CTA"),TODAY()-$G225,AND($E225&lt;&gt;"",$M225="Pending",$K225="AUR"),TODAY()-$H225,AND($E225&lt;&gt;"",$M225="Pending",$K225="STT"),TODAY()-$I225,OR(K225="Closed",K225=""),"")</f>
        <v>#N/A</v>
      </c>
      <c r="M225" s="461">
        <f>VLOOKUP(C225,EL!$E$4:$AC$622,9,0)</f>
        <v>0</v>
      </c>
      <c r="N225" s="461" t="str">
        <f t="shared" si="7"/>
        <v/>
      </c>
      <c r="O225" s="739" t="str">
        <f>EL!O139</f>
        <v>GC</v>
      </c>
      <c r="P225" s="746" t="str">
        <v>NO</v>
      </c>
    </row>
    <row r="226" spans="1:16" s="385" customFormat="1" ht="27" hidden="1" customHeight="1">
      <c r="A226" s="399">
        <f t="shared" si="8"/>
        <v>133</v>
      </c>
      <c r="B226" s="477" t="s">
        <v>52</v>
      </c>
      <c r="C226" s="646" t="s">
        <v>841</v>
      </c>
      <c r="D226" s="456" t="str">
        <f>_xlfn.XLOOKUP(C226,EL!$E$4:$E$183,EL!$D$4:$D$183)</f>
        <v xml:space="preserve">Level 6 - Swing &amp; Load Bang Busduct Routing Layout  </v>
      </c>
      <c r="E226" s="597" t="str">
        <f>IF(VLOOKUP(C226,EL!$E$4:$AC$505,7,0)="","",VLOOKUP(C226,EL!$E$4:$AC$1004,7,0))</f>
        <v/>
      </c>
      <c r="F226" s="462"/>
      <c r="G226" s="458" t="str">
        <f>IF(VLOOKUP(C226,EL!$E$4:$AC$514,5,0)="","",VLOOKUP(C226,EL!$E$4:$AC$514,5,0))</f>
        <v/>
      </c>
      <c r="H226" s="459" t="str">
        <f>IF(ISNA(MATCH($C226,EL!$E$4:$E$1012,0)),"",
IF($E226=0,IF(INDEX(EL!$R$4:$R$1012,MATCH($C226,EL!$E$4:$E$1012,0))="","",INDEX(EL!$R$4:$R$1012,MATCH($C226,EL!$E$4:$E$1012,0))),
IF($E226=1,IF(INDEX(EL!$W$4:$W$1012,MATCH($C226,EL!$E$4:$E$1012,0))="","",INDEX(EL!$W$4:$W$1012,MATCH($C226,EL!$E$4:$E$1012,0))),
IF($E226=2,IF(INDEX(EL!$AB$4:$AB$1012,MATCH($C226,EL!$E$4:$E$1012,0))="","",INDEX(EL!$AB$4:$AB$1012,MATCH($C226,EL!$E$4:$E$1012,0))),
IF($E226=3,IF(INDEX(EL!$AG$4:$AG$1012,MATCH($C226,EL!$E$4:$E$1012,0))="","",INDEX(EL!$AG$4:$AG$1012,MATCH($C226,EL!$E$4:$E$1012,0))),
IF($E226=4,IF(INDEX(EL!$AN$4:$AN$1012,MATCH($C226,EL!$E$4:$E$1012,0))="","",INDEX(EL!$AN$4:$AN$1012,MATCH($C226,EL!$E$4:$E$1012,0))),
IF($E226=5,IF(INDEX(EL!$AS$4:$AS$1012,MATCH($C226,EL!$E$4:$E$1012,0))="","",INDEX(EL!$AS$4:$AS$1012,MATCH($C226,EL!$E$4:$E$1012,0))),"")))))))</f>
        <v/>
      </c>
      <c r="I226" s="459" t="str">
        <f>IF(ISNA(MATCH($C226,EL!$E$4:$E$1012,0)),"",
IF($E226=0,IF(INDEX(EL!$S$4:$S$1012,MATCH($C226,EL!$E$4:$E$1012,0))="","",INDEX(EL!$S$4:$S$1012,MATCH($C226,EL!$E$4:$E$1012,0))),
IF($E226=1,IF(INDEX(EL!$X$4:$X$1012,MATCH($C226,EL!$E$4:$E$1012,0))="","",INDEX(EL!$X$4:$X$1012,MATCH($C226,EL!$E$4:$E$1012,0))),
IF($E226=2,IF(INDEX(EL!$AC$4:$AC$1012,MATCH($C226,EL!$E$4:$E$1012,0))="","",INDEX(EL!$AC$4:$AC$1012,MATCH($C226,EL!$E$4:$E$1012,0))),
IF($E226=3,IF(INDEX(EL!$AH$4:$AH$1012,MATCH($C226,EL!$E$4:$E$1012,0))="","",INDEX(EL!$AH$4:$AH$1012,MATCH($C226,EL!$E$4:$E$1012,0))),
IF($E226=4,IF(INDEX(EL!$AM$4:$AM$1012,MATCH($C226,EL!$E$4:$E$1012,0))="","",INDEX(EL!$AM$4:$AM$1012,MATCH($C226,EL!$E$4:$E$1012,0))),
IF($E226=5,IF(INDEX(EL!$AR$4:$AR$1012,MATCH($C226,EL!$E$4:$E$1012,0))="","",INDEX(EL!$AR$4:$AR$1012,MATCH($C226,EL!$E$4:$E$1012,0))),"")))))))</f>
        <v/>
      </c>
      <c r="J226" s="459" t="str">
        <f>IF(ISNA(MATCH($C226,EL!$E$4:$E$1012,0)),"",
IF($E226=0,IF(INDEX(EL!$T$4:$T$1012,MATCH($C226,EL!$E$4:$E$1012,0))="","",INDEX(EL!$T$4:$T$1012,MATCH($C226,EL!$E$4:$E$1012,0))),
IF($E226=1,IF(INDEX(EL!$Y$4:$Y$1012,MATCH($C226,EL!$E$4:$E$1012,0))="","",INDEX(EL!$Y$4:$Y$1012,MATCH($C226,EL!$E$4:$E$1012,0))),
IF($E226=2,IF(INDEX(EL!$AD$4:$AD$1012,MATCH($C226,EL!$E$4:$E$1012,0))="","",INDEX(EL!$AD$4:$AD$1012,MATCH($C226,EL!$E$4:$E$1012,0))),
IF($E226=3,IF(INDEX(EL!$AI$4:$AI$1012,MATCH($C226,EL!$E$4:$E$1012,0))="","",INDEX(EL!$AI$4:$AI$1012,MATCH($C226,EL!$E$4:$E$1012,0))),
IF($E226=4,IF(INDEX(EL!$AN$4:$AN$1012,MATCH($C226,EL!$E$4:$E$1012,0))="","",INDEX(EL!$AN$4:$AN$1012,MATCH($C226,EL!$E$4:$E$1012,0))),
IF($E226=5,IF(INDEX(EL!$AS$4:$AS$1012,MATCH($C226,EL!$E$4:$E$1012,0))="","",INDEX(EL!$AS$4:$AS$1012,MATCH($C226,EL!$E$4:$E$1012,0))),"")))))))</f>
        <v/>
      </c>
      <c r="K226" s="459">
        <f>EL!L140</f>
        <v>0</v>
      </c>
      <c r="L226" s="460" t="e" cm="1">
        <f t="array" aca="1" ref="L226" ca="1">_xlfn.IFS(AND($E226&lt;&gt;"",$M226="Pending",$K226="CTA"),TODAY()-$G226,AND($E226&lt;&gt;"",$M226="Pending",$K226="AUR"),TODAY()-$H226,AND($E226&lt;&gt;"",$M226="Pending",$K226="STT"),TODAY()-$I226,OR(K226="Closed",K226=""),"")</f>
        <v>#N/A</v>
      </c>
      <c r="M226" s="461">
        <f>VLOOKUP(C226,EL!$E$4:$AC$622,9,0)</f>
        <v>0</v>
      </c>
      <c r="N226" s="461" t="str">
        <f t="shared" si="7"/>
        <v/>
      </c>
      <c r="O226" s="739" t="str">
        <f>EL!O140</f>
        <v>GC</v>
      </c>
      <c r="P226" s="746" t="str">
        <v>NO</v>
      </c>
    </row>
    <row r="227" spans="1:16" s="385" customFormat="1" ht="27" hidden="1" customHeight="1">
      <c r="A227" s="399">
        <f t="shared" si="8"/>
        <v>134</v>
      </c>
      <c r="B227" s="477" t="s">
        <v>52</v>
      </c>
      <c r="C227" s="646" t="s">
        <v>844</v>
      </c>
      <c r="D227" s="456" t="str">
        <f>_xlfn.XLOOKUP(C227,EL!$E$4:$E$183,EL!$D$4:$D$183)</f>
        <v>Level 6 - Swing &amp; Load Bang Busduct Isometric</v>
      </c>
      <c r="E227" s="597" t="str">
        <f>IF(VLOOKUP(C227,EL!$E$4:$AC$505,7,0)="","",VLOOKUP(C227,EL!$E$4:$AC$1004,7,0))</f>
        <v/>
      </c>
      <c r="F227" s="462"/>
      <c r="G227" s="458" t="str">
        <f>IF(VLOOKUP(C227,EL!$E$4:$AC$514,5,0)="","",VLOOKUP(C227,EL!$E$4:$AC$514,5,0))</f>
        <v/>
      </c>
      <c r="H227" s="459" t="str">
        <f>IF(ISNA(MATCH($C227,EL!$E$4:$E$1012,0)),"",
IF($E227=0,IF(INDEX(EL!$R$4:$R$1012,MATCH($C227,EL!$E$4:$E$1012,0))="","",INDEX(EL!$R$4:$R$1012,MATCH($C227,EL!$E$4:$E$1012,0))),
IF($E227=1,IF(INDEX(EL!$W$4:$W$1012,MATCH($C227,EL!$E$4:$E$1012,0))="","",INDEX(EL!$W$4:$W$1012,MATCH($C227,EL!$E$4:$E$1012,0))),
IF($E227=2,IF(INDEX(EL!$AB$4:$AB$1012,MATCH($C227,EL!$E$4:$E$1012,0))="","",INDEX(EL!$AB$4:$AB$1012,MATCH($C227,EL!$E$4:$E$1012,0))),
IF($E227=3,IF(INDEX(EL!$AG$4:$AG$1012,MATCH($C227,EL!$E$4:$E$1012,0))="","",INDEX(EL!$AG$4:$AG$1012,MATCH($C227,EL!$E$4:$E$1012,0))),
IF($E227=4,IF(INDEX(EL!$AN$4:$AN$1012,MATCH($C227,EL!$E$4:$E$1012,0))="","",INDEX(EL!$AN$4:$AN$1012,MATCH($C227,EL!$E$4:$E$1012,0))),
IF($E227=5,IF(INDEX(EL!$AS$4:$AS$1012,MATCH($C227,EL!$E$4:$E$1012,0))="","",INDEX(EL!$AS$4:$AS$1012,MATCH($C227,EL!$E$4:$E$1012,0))),"")))))))</f>
        <v/>
      </c>
      <c r="I227" s="459" t="str">
        <f>IF(ISNA(MATCH($C227,EL!$E$4:$E$1012,0)),"",
IF($E227=0,IF(INDEX(EL!$S$4:$S$1012,MATCH($C227,EL!$E$4:$E$1012,0))="","",INDEX(EL!$S$4:$S$1012,MATCH($C227,EL!$E$4:$E$1012,0))),
IF($E227=1,IF(INDEX(EL!$X$4:$X$1012,MATCH($C227,EL!$E$4:$E$1012,0))="","",INDEX(EL!$X$4:$X$1012,MATCH($C227,EL!$E$4:$E$1012,0))),
IF($E227=2,IF(INDEX(EL!$AC$4:$AC$1012,MATCH($C227,EL!$E$4:$E$1012,0))="","",INDEX(EL!$AC$4:$AC$1012,MATCH($C227,EL!$E$4:$E$1012,0))),
IF($E227=3,IF(INDEX(EL!$AH$4:$AH$1012,MATCH($C227,EL!$E$4:$E$1012,0))="","",INDEX(EL!$AH$4:$AH$1012,MATCH($C227,EL!$E$4:$E$1012,0))),
IF($E227=4,IF(INDEX(EL!$AM$4:$AM$1012,MATCH($C227,EL!$E$4:$E$1012,0))="","",INDEX(EL!$AM$4:$AM$1012,MATCH($C227,EL!$E$4:$E$1012,0))),
IF($E227=5,IF(INDEX(EL!$AR$4:$AR$1012,MATCH($C227,EL!$E$4:$E$1012,0))="","",INDEX(EL!$AR$4:$AR$1012,MATCH($C227,EL!$E$4:$E$1012,0))),"")))))))</f>
        <v/>
      </c>
      <c r="J227" s="459" t="str">
        <f>IF(ISNA(MATCH($C227,EL!$E$4:$E$1012,0)),"",
IF($E227=0,IF(INDEX(EL!$T$4:$T$1012,MATCH($C227,EL!$E$4:$E$1012,0))="","",INDEX(EL!$T$4:$T$1012,MATCH($C227,EL!$E$4:$E$1012,0))),
IF($E227=1,IF(INDEX(EL!$Y$4:$Y$1012,MATCH($C227,EL!$E$4:$E$1012,0))="","",INDEX(EL!$Y$4:$Y$1012,MATCH($C227,EL!$E$4:$E$1012,0))),
IF($E227=2,IF(INDEX(EL!$AD$4:$AD$1012,MATCH($C227,EL!$E$4:$E$1012,0))="","",INDEX(EL!$AD$4:$AD$1012,MATCH($C227,EL!$E$4:$E$1012,0))),
IF($E227=3,IF(INDEX(EL!$AI$4:$AI$1012,MATCH($C227,EL!$E$4:$E$1012,0))="","",INDEX(EL!$AI$4:$AI$1012,MATCH($C227,EL!$E$4:$E$1012,0))),
IF($E227=4,IF(INDEX(EL!$AN$4:$AN$1012,MATCH($C227,EL!$E$4:$E$1012,0))="","",INDEX(EL!$AN$4:$AN$1012,MATCH($C227,EL!$E$4:$E$1012,0))),
IF($E227=5,IF(INDEX(EL!$AS$4:$AS$1012,MATCH($C227,EL!$E$4:$E$1012,0))="","",INDEX(EL!$AS$4:$AS$1012,MATCH($C227,EL!$E$4:$E$1012,0))),"")))))))</f>
        <v/>
      </c>
      <c r="K227" s="459">
        <f>EL!L141</f>
        <v>0</v>
      </c>
      <c r="L227" s="460" t="e" cm="1">
        <f t="array" aca="1" ref="L227" ca="1">_xlfn.IFS(AND($E227&lt;&gt;"",$M227="Pending",$K227="CTA"),TODAY()-$G227,AND($E227&lt;&gt;"",$M227="Pending",$K227="AUR"),TODAY()-$H227,AND($E227&lt;&gt;"",$M227="Pending",$K227="STT"),TODAY()-$I227,OR(K227="Closed",K227=""),"")</f>
        <v>#N/A</v>
      </c>
      <c r="M227" s="461">
        <f>VLOOKUP(C227,EL!$E$4:$AC$622,9,0)</f>
        <v>0</v>
      </c>
      <c r="N227" s="461" t="str">
        <f t="shared" si="7"/>
        <v/>
      </c>
      <c r="O227" s="739" t="str">
        <f>EL!O141</f>
        <v>GC</v>
      </c>
      <c r="P227" s="746" t="str">
        <v>NO</v>
      </c>
    </row>
    <row r="228" spans="1:16" s="385" customFormat="1" ht="27" hidden="1" customHeight="1">
      <c r="A228" s="399">
        <f t="shared" si="8"/>
        <v>135</v>
      </c>
      <c r="B228" s="477" t="s">
        <v>52</v>
      </c>
      <c r="C228" s="646" t="s">
        <v>847</v>
      </c>
      <c r="D228" s="456" t="str">
        <f>_xlfn.XLOOKUP(C228,EL!$E$4:$E$183,EL!$D$4:$D$183)</f>
        <v xml:space="preserve">Level Roof - LV  Cable Routing Layout </v>
      </c>
      <c r="E228" s="597" t="str">
        <f>IF(VLOOKUP(C228,EL!$E$4:$AC$505,7,0)="","",VLOOKUP(C228,EL!$E$4:$AC$1004,7,0))</f>
        <v/>
      </c>
      <c r="F228" s="462"/>
      <c r="G228" s="458" t="str">
        <f>IF(VLOOKUP(C228,EL!$E$4:$AC$514,5,0)="","",VLOOKUP(C228,EL!$E$4:$AC$514,5,0))</f>
        <v/>
      </c>
      <c r="H228" s="459" t="str">
        <f>IF(ISNA(MATCH($C228,EL!$E$4:$E$1012,0)),"",
IF($E228=0,IF(INDEX(EL!$R$4:$R$1012,MATCH($C228,EL!$E$4:$E$1012,0))="","",INDEX(EL!$R$4:$R$1012,MATCH($C228,EL!$E$4:$E$1012,0))),
IF($E228=1,IF(INDEX(EL!$W$4:$W$1012,MATCH($C228,EL!$E$4:$E$1012,0))="","",INDEX(EL!$W$4:$W$1012,MATCH($C228,EL!$E$4:$E$1012,0))),
IF($E228=2,IF(INDEX(EL!$AB$4:$AB$1012,MATCH($C228,EL!$E$4:$E$1012,0))="","",INDEX(EL!$AB$4:$AB$1012,MATCH($C228,EL!$E$4:$E$1012,0))),
IF($E228=3,IF(INDEX(EL!$AG$4:$AG$1012,MATCH($C228,EL!$E$4:$E$1012,0))="","",INDEX(EL!$AG$4:$AG$1012,MATCH($C228,EL!$E$4:$E$1012,0))),
IF($E228=4,IF(INDEX(EL!$AN$4:$AN$1012,MATCH($C228,EL!$E$4:$E$1012,0))="","",INDEX(EL!$AN$4:$AN$1012,MATCH($C228,EL!$E$4:$E$1012,0))),
IF($E228=5,IF(INDEX(EL!$AS$4:$AS$1012,MATCH($C228,EL!$E$4:$E$1012,0))="","",INDEX(EL!$AS$4:$AS$1012,MATCH($C228,EL!$E$4:$E$1012,0))),"")))))))</f>
        <v/>
      </c>
      <c r="I228" s="459" t="str">
        <f>IF(ISNA(MATCH($C228,EL!$E$4:$E$1012,0)),"",
IF($E228=0,IF(INDEX(EL!$S$4:$S$1012,MATCH($C228,EL!$E$4:$E$1012,0))="","",INDEX(EL!$S$4:$S$1012,MATCH($C228,EL!$E$4:$E$1012,0))),
IF($E228=1,IF(INDEX(EL!$X$4:$X$1012,MATCH($C228,EL!$E$4:$E$1012,0))="","",INDEX(EL!$X$4:$X$1012,MATCH($C228,EL!$E$4:$E$1012,0))),
IF($E228=2,IF(INDEX(EL!$AC$4:$AC$1012,MATCH($C228,EL!$E$4:$E$1012,0))="","",INDEX(EL!$AC$4:$AC$1012,MATCH($C228,EL!$E$4:$E$1012,0))),
IF($E228=3,IF(INDEX(EL!$AH$4:$AH$1012,MATCH($C228,EL!$E$4:$E$1012,0))="","",INDEX(EL!$AH$4:$AH$1012,MATCH($C228,EL!$E$4:$E$1012,0))),
IF($E228=4,IF(INDEX(EL!$AM$4:$AM$1012,MATCH($C228,EL!$E$4:$E$1012,0))="","",INDEX(EL!$AM$4:$AM$1012,MATCH($C228,EL!$E$4:$E$1012,0))),
IF($E228=5,IF(INDEX(EL!$AR$4:$AR$1012,MATCH($C228,EL!$E$4:$E$1012,0))="","",INDEX(EL!$AR$4:$AR$1012,MATCH($C228,EL!$E$4:$E$1012,0))),"")))))))</f>
        <v/>
      </c>
      <c r="J228" s="459" t="str">
        <f>IF(ISNA(MATCH($C228,EL!$E$4:$E$1012,0)),"",
IF($E228=0,IF(INDEX(EL!$T$4:$T$1012,MATCH($C228,EL!$E$4:$E$1012,0))="","",INDEX(EL!$T$4:$T$1012,MATCH($C228,EL!$E$4:$E$1012,0))),
IF($E228=1,IF(INDEX(EL!$Y$4:$Y$1012,MATCH($C228,EL!$E$4:$E$1012,0))="","",INDEX(EL!$Y$4:$Y$1012,MATCH($C228,EL!$E$4:$E$1012,0))),
IF($E228=2,IF(INDEX(EL!$AD$4:$AD$1012,MATCH($C228,EL!$E$4:$E$1012,0))="","",INDEX(EL!$AD$4:$AD$1012,MATCH($C228,EL!$E$4:$E$1012,0))),
IF($E228=3,IF(INDEX(EL!$AI$4:$AI$1012,MATCH($C228,EL!$E$4:$E$1012,0))="","",INDEX(EL!$AI$4:$AI$1012,MATCH($C228,EL!$E$4:$E$1012,0))),
IF($E228=4,IF(INDEX(EL!$AN$4:$AN$1012,MATCH($C228,EL!$E$4:$E$1012,0))="","",INDEX(EL!$AN$4:$AN$1012,MATCH($C228,EL!$E$4:$E$1012,0))),
IF($E228=5,IF(INDEX(EL!$AS$4:$AS$1012,MATCH($C228,EL!$E$4:$E$1012,0))="","",INDEX(EL!$AS$4:$AS$1012,MATCH($C228,EL!$E$4:$E$1012,0))),"")))))))</f>
        <v/>
      </c>
      <c r="K228" s="459">
        <f>EL!L142</f>
        <v>0</v>
      </c>
      <c r="L228" s="460" t="e" cm="1">
        <f t="array" aca="1" ref="L228" ca="1">_xlfn.IFS(AND($E228&lt;&gt;"",$M228="Pending",$K228="CTA"),TODAY()-$G228,AND($E228&lt;&gt;"",$M228="Pending",$K228="AUR"),TODAY()-$H228,AND($E228&lt;&gt;"",$M228="Pending",$K228="STT"),TODAY()-$I228,OR(K228="Closed",K228=""),"")</f>
        <v>#N/A</v>
      </c>
      <c r="M228" s="461">
        <f>VLOOKUP(C228,EL!$E$4:$AC$622,9,0)</f>
        <v>0</v>
      </c>
      <c r="N228" s="461" t="str">
        <f t="shared" si="7"/>
        <v/>
      </c>
      <c r="O228" s="739" t="str">
        <f>EL!O142</f>
        <v>GC</v>
      </c>
      <c r="P228" s="746" t="str">
        <v>NO</v>
      </c>
    </row>
    <row r="229" spans="1:16" s="385" customFormat="1" ht="27" hidden="1" customHeight="1">
      <c r="A229" s="399">
        <f t="shared" si="8"/>
        <v>136</v>
      </c>
      <c r="B229" s="477" t="s">
        <v>52</v>
      </c>
      <c r="C229" s="646" t="s">
        <v>850</v>
      </c>
      <c r="D229" s="456" t="str">
        <f>_xlfn.XLOOKUP(C229,EL!$E$4:$E$183,EL!$D$4:$D$183)</f>
        <v xml:space="preserve">Level 1 - Cable Basket Routinh Layout </v>
      </c>
      <c r="E229" s="597" t="str">
        <f>IF(VLOOKUP(C229,EL!$E$4:$AC$505,7,0)="","",VLOOKUP(C229,EL!$E$4:$AC$1004,7,0))</f>
        <v/>
      </c>
      <c r="F229" s="462"/>
      <c r="G229" s="458" t="str">
        <f>IF(VLOOKUP(C229,EL!$E$4:$AC$514,5,0)="","",VLOOKUP(C229,EL!$E$4:$AC$514,5,0))</f>
        <v/>
      </c>
      <c r="H229" s="459" t="str">
        <f>IF(ISNA(MATCH($C229,EL!$E$4:$E$1012,0)),"",
IF($E229=0,IF(INDEX(EL!$R$4:$R$1012,MATCH($C229,EL!$E$4:$E$1012,0))="","",INDEX(EL!$R$4:$R$1012,MATCH($C229,EL!$E$4:$E$1012,0))),
IF($E229=1,IF(INDEX(EL!$W$4:$W$1012,MATCH($C229,EL!$E$4:$E$1012,0))="","",INDEX(EL!$W$4:$W$1012,MATCH($C229,EL!$E$4:$E$1012,0))),
IF($E229=2,IF(INDEX(EL!$AB$4:$AB$1012,MATCH($C229,EL!$E$4:$E$1012,0))="","",INDEX(EL!$AB$4:$AB$1012,MATCH($C229,EL!$E$4:$E$1012,0))),
IF($E229=3,IF(INDEX(EL!$AG$4:$AG$1012,MATCH($C229,EL!$E$4:$E$1012,0))="","",INDEX(EL!$AG$4:$AG$1012,MATCH($C229,EL!$E$4:$E$1012,0))),
IF($E229=4,IF(INDEX(EL!$AN$4:$AN$1012,MATCH($C229,EL!$E$4:$E$1012,0))="","",INDEX(EL!$AN$4:$AN$1012,MATCH($C229,EL!$E$4:$E$1012,0))),
IF($E229=5,IF(INDEX(EL!$AS$4:$AS$1012,MATCH($C229,EL!$E$4:$E$1012,0))="","",INDEX(EL!$AS$4:$AS$1012,MATCH($C229,EL!$E$4:$E$1012,0))),"")))))))</f>
        <v/>
      </c>
      <c r="I229" s="459" t="str">
        <f>IF(ISNA(MATCH($C229,EL!$E$4:$E$1012,0)),"",
IF($E229=0,IF(INDEX(EL!$S$4:$S$1012,MATCH($C229,EL!$E$4:$E$1012,0))="","",INDEX(EL!$S$4:$S$1012,MATCH($C229,EL!$E$4:$E$1012,0))),
IF($E229=1,IF(INDEX(EL!$X$4:$X$1012,MATCH($C229,EL!$E$4:$E$1012,0))="","",INDEX(EL!$X$4:$X$1012,MATCH($C229,EL!$E$4:$E$1012,0))),
IF($E229=2,IF(INDEX(EL!$AC$4:$AC$1012,MATCH($C229,EL!$E$4:$E$1012,0))="","",INDEX(EL!$AC$4:$AC$1012,MATCH($C229,EL!$E$4:$E$1012,0))),
IF($E229=3,IF(INDEX(EL!$AH$4:$AH$1012,MATCH($C229,EL!$E$4:$E$1012,0))="","",INDEX(EL!$AH$4:$AH$1012,MATCH($C229,EL!$E$4:$E$1012,0))),
IF($E229=4,IF(INDEX(EL!$AM$4:$AM$1012,MATCH($C229,EL!$E$4:$E$1012,0))="","",INDEX(EL!$AM$4:$AM$1012,MATCH($C229,EL!$E$4:$E$1012,0))),
IF($E229=5,IF(INDEX(EL!$AR$4:$AR$1012,MATCH($C229,EL!$E$4:$E$1012,0))="","",INDEX(EL!$AR$4:$AR$1012,MATCH($C229,EL!$E$4:$E$1012,0))),"")))))))</f>
        <v/>
      </c>
      <c r="J229" s="459" t="str">
        <f>IF(ISNA(MATCH($C229,EL!$E$4:$E$1012,0)),"",
IF($E229=0,IF(INDEX(EL!$T$4:$T$1012,MATCH($C229,EL!$E$4:$E$1012,0))="","",INDEX(EL!$T$4:$T$1012,MATCH($C229,EL!$E$4:$E$1012,0))),
IF($E229=1,IF(INDEX(EL!$Y$4:$Y$1012,MATCH($C229,EL!$E$4:$E$1012,0))="","",INDEX(EL!$Y$4:$Y$1012,MATCH($C229,EL!$E$4:$E$1012,0))),
IF($E229=2,IF(INDEX(EL!$AD$4:$AD$1012,MATCH($C229,EL!$E$4:$E$1012,0))="","",INDEX(EL!$AD$4:$AD$1012,MATCH($C229,EL!$E$4:$E$1012,0))),
IF($E229=3,IF(INDEX(EL!$AI$4:$AI$1012,MATCH($C229,EL!$E$4:$E$1012,0))="","",INDEX(EL!$AI$4:$AI$1012,MATCH($C229,EL!$E$4:$E$1012,0))),
IF($E229=4,IF(INDEX(EL!$AN$4:$AN$1012,MATCH($C229,EL!$E$4:$E$1012,0))="","",INDEX(EL!$AN$4:$AN$1012,MATCH($C229,EL!$E$4:$E$1012,0))),
IF($E229=5,IF(INDEX(EL!$AS$4:$AS$1012,MATCH($C229,EL!$E$4:$E$1012,0))="","",INDEX(EL!$AS$4:$AS$1012,MATCH($C229,EL!$E$4:$E$1012,0))),"")))))))</f>
        <v/>
      </c>
      <c r="K229" s="459">
        <f>EL!L143</f>
        <v>0</v>
      </c>
      <c r="L229" s="460" t="e" cm="1">
        <f t="array" aca="1" ref="L229" ca="1">_xlfn.IFS(AND($E229&lt;&gt;"",$M229="Pending",$K229="CTA"),TODAY()-$G229,AND($E229&lt;&gt;"",$M229="Pending",$K229="AUR"),TODAY()-$H229,AND($E229&lt;&gt;"",$M229="Pending",$K229="STT"),TODAY()-$I229,OR(K229="Closed",K229=""),"")</f>
        <v>#N/A</v>
      </c>
      <c r="M229" s="461">
        <f>VLOOKUP(C229,EL!$E$4:$AC$622,9,0)</f>
        <v>0</v>
      </c>
      <c r="N229" s="461" t="str">
        <f t="shared" si="7"/>
        <v/>
      </c>
      <c r="O229" s="739" t="str">
        <f>EL!O143</f>
        <v>GC</v>
      </c>
      <c r="P229" s="746" t="str">
        <v>NO</v>
      </c>
    </row>
    <row r="230" spans="1:16" s="385" customFormat="1" ht="27" hidden="1" customHeight="1">
      <c r="A230" s="399">
        <f t="shared" si="8"/>
        <v>137</v>
      </c>
      <c r="B230" s="477" t="s">
        <v>52</v>
      </c>
      <c r="C230" s="646" t="s">
        <v>854</v>
      </c>
      <c r="D230" s="456" t="str">
        <f>_xlfn.XLOOKUP(C230,EL!$E$4:$E$183,EL!$D$4:$D$183)</f>
        <v xml:space="preserve">Level 1 - Fiber Guide Routing Layout </v>
      </c>
      <c r="E230" s="597" t="str">
        <f>IF(VLOOKUP(C230,EL!$E$4:$AC$505,7,0)="","",VLOOKUP(C230,EL!$E$4:$AC$1004,7,0))</f>
        <v/>
      </c>
      <c r="F230" s="462"/>
      <c r="G230" s="458" t="str">
        <f>IF(VLOOKUP(C230,EL!$E$4:$AC$514,5,0)="","",VLOOKUP(C230,EL!$E$4:$AC$514,5,0))</f>
        <v>Cancel</v>
      </c>
      <c r="H230" s="459" t="str">
        <f>IF(ISNA(MATCH($C230,EL!$E$4:$E$1012,0)),"",
IF($E230=0,IF(INDEX(EL!$R$4:$R$1012,MATCH($C230,EL!$E$4:$E$1012,0))="","",INDEX(EL!$R$4:$R$1012,MATCH($C230,EL!$E$4:$E$1012,0))),
IF($E230=1,IF(INDEX(EL!$W$4:$W$1012,MATCH($C230,EL!$E$4:$E$1012,0))="","",INDEX(EL!$W$4:$W$1012,MATCH($C230,EL!$E$4:$E$1012,0))),
IF($E230=2,IF(INDEX(EL!$AB$4:$AB$1012,MATCH($C230,EL!$E$4:$E$1012,0))="","",INDEX(EL!$AB$4:$AB$1012,MATCH($C230,EL!$E$4:$E$1012,0))),
IF($E230=3,IF(INDEX(EL!$AG$4:$AG$1012,MATCH($C230,EL!$E$4:$E$1012,0))="","",INDEX(EL!$AG$4:$AG$1012,MATCH($C230,EL!$E$4:$E$1012,0))),
IF($E230=4,IF(INDEX(EL!$AN$4:$AN$1012,MATCH($C230,EL!$E$4:$E$1012,0))="","",INDEX(EL!$AN$4:$AN$1012,MATCH($C230,EL!$E$4:$E$1012,0))),
IF($E230=5,IF(INDEX(EL!$AS$4:$AS$1012,MATCH($C230,EL!$E$4:$E$1012,0))="","",INDEX(EL!$AS$4:$AS$1012,MATCH($C230,EL!$E$4:$E$1012,0))),"")))))))</f>
        <v/>
      </c>
      <c r="I230" s="459" t="str">
        <f>IF(ISNA(MATCH($C230,EL!$E$4:$E$1012,0)),"",
IF($E230=0,IF(INDEX(EL!$S$4:$S$1012,MATCH($C230,EL!$E$4:$E$1012,0))="","",INDEX(EL!$S$4:$S$1012,MATCH($C230,EL!$E$4:$E$1012,0))),
IF($E230=1,IF(INDEX(EL!$X$4:$X$1012,MATCH($C230,EL!$E$4:$E$1012,0))="","",INDEX(EL!$X$4:$X$1012,MATCH($C230,EL!$E$4:$E$1012,0))),
IF($E230=2,IF(INDEX(EL!$AC$4:$AC$1012,MATCH($C230,EL!$E$4:$E$1012,0))="","",INDEX(EL!$AC$4:$AC$1012,MATCH($C230,EL!$E$4:$E$1012,0))),
IF($E230=3,IF(INDEX(EL!$AH$4:$AH$1012,MATCH($C230,EL!$E$4:$E$1012,0))="","",INDEX(EL!$AH$4:$AH$1012,MATCH($C230,EL!$E$4:$E$1012,0))),
IF($E230=4,IF(INDEX(EL!$AM$4:$AM$1012,MATCH($C230,EL!$E$4:$E$1012,0))="","",INDEX(EL!$AM$4:$AM$1012,MATCH($C230,EL!$E$4:$E$1012,0))),
IF($E230=5,IF(INDEX(EL!$AR$4:$AR$1012,MATCH($C230,EL!$E$4:$E$1012,0))="","",INDEX(EL!$AR$4:$AR$1012,MATCH($C230,EL!$E$4:$E$1012,0))),"")))))))</f>
        <v/>
      </c>
      <c r="J230" s="459" t="str">
        <f>IF(ISNA(MATCH($C230,EL!$E$4:$E$1012,0)),"",
IF($E230=0,IF(INDEX(EL!$T$4:$T$1012,MATCH($C230,EL!$E$4:$E$1012,0))="","",INDEX(EL!$T$4:$T$1012,MATCH($C230,EL!$E$4:$E$1012,0))),
IF($E230=1,IF(INDEX(EL!$Y$4:$Y$1012,MATCH($C230,EL!$E$4:$E$1012,0))="","",INDEX(EL!$Y$4:$Y$1012,MATCH($C230,EL!$E$4:$E$1012,0))),
IF($E230=2,IF(INDEX(EL!$AD$4:$AD$1012,MATCH($C230,EL!$E$4:$E$1012,0))="","",INDEX(EL!$AD$4:$AD$1012,MATCH($C230,EL!$E$4:$E$1012,0))),
IF($E230=3,IF(INDEX(EL!$AI$4:$AI$1012,MATCH($C230,EL!$E$4:$E$1012,0))="","",INDEX(EL!$AI$4:$AI$1012,MATCH($C230,EL!$E$4:$E$1012,0))),
IF($E230=4,IF(INDEX(EL!$AN$4:$AN$1012,MATCH($C230,EL!$E$4:$E$1012,0))="","",INDEX(EL!$AN$4:$AN$1012,MATCH($C230,EL!$E$4:$E$1012,0))),
IF($E230=5,IF(INDEX(EL!$AS$4:$AS$1012,MATCH($C230,EL!$E$4:$E$1012,0))="","",INDEX(EL!$AS$4:$AS$1012,MATCH($C230,EL!$E$4:$E$1012,0))),"")))))))</f>
        <v/>
      </c>
      <c r="K230" s="459">
        <f>EL!L144</f>
        <v>0</v>
      </c>
      <c r="L230" s="460" t="e" cm="1">
        <f t="array" aca="1" ref="L230" ca="1">_xlfn.IFS(AND($E230&lt;&gt;"",$M230="Pending",$K230="CTA"),TODAY()-$G230,AND($E230&lt;&gt;"",$M230="Pending",$K230="AUR"),TODAY()-$H230,AND($E230&lt;&gt;"",$M230="Pending",$K230="STT"),TODAY()-$I230,OR(K230="Closed",K230=""),"")</f>
        <v>#N/A</v>
      </c>
      <c r="M230" s="461">
        <f>VLOOKUP(C230,EL!$E$4:$AC$622,9,0)</f>
        <v>0</v>
      </c>
      <c r="N230" s="461" t="str">
        <f t="shared" si="7"/>
        <v/>
      </c>
      <c r="O230" s="739" t="str">
        <f>EL!O144</f>
        <v>GC</v>
      </c>
      <c r="P230" s="746" t="str">
        <v>NO</v>
      </c>
    </row>
    <row r="231" spans="1:16" s="385" customFormat="1" ht="27" hidden="1" customHeight="1">
      <c r="A231" s="399">
        <f t="shared" si="8"/>
        <v>138</v>
      </c>
      <c r="B231" s="477" t="s">
        <v>52</v>
      </c>
      <c r="C231" s="646" t="s">
        <v>858</v>
      </c>
      <c r="D231" s="456" t="str">
        <f>_xlfn.XLOOKUP(C231,EL!$E$4:$E$183,EL!$D$4:$D$183)</f>
        <v xml:space="preserve">Level 1 - ECMS Routing Layout </v>
      </c>
      <c r="E231" s="597" t="str">
        <f>IF(VLOOKUP(C231,EL!$E$4:$AC$505,7,0)="","",VLOOKUP(C231,EL!$E$4:$AC$1004,7,0))</f>
        <v/>
      </c>
      <c r="F231" s="462"/>
      <c r="G231" s="458" t="str">
        <f>IF(VLOOKUP(C231,EL!$E$4:$AC$514,5,0)="","",VLOOKUP(C231,EL!$E$4:$AC$514,5,0))</f>
        <v/>
      </c>
      <c r="H231" s="459" t="str">
        <f>IF(ISNA(MATCH($C231,EL!$E$4:$E$1012,0)),"",
IF($E231=0,IF(INDEX(EL!$R$4:$R$1012,MATCH($C231,EL!$E$4:$E$1012,0))="","",INDEX(EL!$R$4:$R$1012,MATCH($C231,EL!$E$4:$E$1012,0))),
IF($E231=1,IF(INDEX(EL!$W$4:$W$1012,MATCH($C231,EL!$E$4:$E$1012,0))="","",INDEX(EL!$W$4:$W$1012,MATCH($C231,EL!$E$4:$E$1012,0))),
IF($E231=2,IF(INDEX(EL!$AB$4:$AB$1012,MATCH($C231,EL!$E$4:$E$1012,0))="","",INDEX(EL!$AB$4:$AB$1012,MATCH($C231,EL!$E$4:$E$1012,0))),
IF($E231=3,IF(INDEX(EL!$AG$4:$AG$1012,MATCH($C231,EL!$E$4:$E$1012,0))="","",INDEX(EL!$AG$4:$AG$1012,MATCH($C231,EL!$E$4:$E$1012,0))),
IF($E231=4,IF(INDEX(EL!$AN$4:$AN$1012,MATCH($C231,EL!$E$4:$E$1012,0))="","",INDEX(EL!$AN$4:$AN$1012,MATCH($C231,EL!$E$4:$E$1012,0))),
IF($E231=5,IF(INDEX(EL!$AS$4:$AS$1012,MATCH($C231,EL!$E$4:$E$1012,0))="","",INDEX(EL!$AS$4:$AS$1012,MATCH($C231,EL!$E$4:$E$1012,0))),"")))))))</f>
        <v/>
      </c>
      <c r="I231" s="459" t="str">
        <f>IF(ISNA(MATCH($C231,EL!$E$4:$E$1012,0)),"",
IF($E231=0,IF(INDEX(EL!$S$4:$S$1012,MATCH($C231,EL!$E$4:$E$1012,0))="","",INDEX(EL!$S$4:$S$1012,MATCH($C231,EL!$E$4:$E$1012,0))),
IF($E231=1,IF(INDEX(EL!$X$4:$X$1012,MATCH($C231,EL!$E$4:$E$1012,0))="","",INDEX(EL!$X$4:$X$1012,MATCH($C231,EL!$E$4:$E$1012,0))),
IF($E231=2,IF(INDEX(EL!$AC$4:$AC$1012,MATCH($C231,EL!$E$4:$E$1012,0))="","",INDEX(EL!$AC$4:$AC$1012,MATCH($C231,EL!$E$4:$E$1012,0))),
IF($E231=3,IF(INDEX(EL!$AH$4:$AH$1012,MATCH($C231,EL!$E$4:$E$1012,0))="","",INDEX(EL!$AH$4:$AH$1012,MATCH($C231,EL!$E$4:$E$1012,0))),
IF($E231=4,IF(INDEX(EL!$AM$4:$AM$1012,MATCH($C231,EL!$E$4:$E$1012,0))="","",INDEX(EL!$AM$4:$AM$1012,MATCH($C231,EL!$E$4:$E$1012,0))),
IF($E231=5,IF(INDEX(EL!$AR$4:$AR$1012,MATCH($C231,EL!$E$4:$E$1012,0))="","",INDEX(EL!$AR$4:$AR$1012,MATCH($C231,EL!$E$4:$E$1012,0))),"")))))))</f>
        <v/>
      </c>
      <c r="J231" s="459" t="str">
        <f>IF(ISNA(MATCH($C231,EL!$E$4:$E$1012,0)),"",
IF($E231=0,IF(INDEX(EL!$T$4:$T$1012,MATCH($C231,EL!$E$4:$E$1012,0))="","",INDEX(EL!$T$4:$T$1012,MATCH($C231,EL!$E$4:$E$1012,0))),
IF($E231=1,IF(INDEX(EL!$Y$4:$Y$1012,MATCH($C231,EL!$E$4:$E$1012,0))="","",INDEX(EL!$Y$4:$Y$1012,MATCH($C231,EL!$E$4:$E$1012,0))),
IF($E231=2,IF(INDEX(EL!$AD$4:$AD$1012,MATCH($C231,EL!$E$4:$E$1012,0))="","",INDEX(EL!$AD$4:$AD$1012,MATCH($C231,EL!$E$4:$E$1012,0))),
IF($E231=3,IF(INDEX(EL!$AI$4:$AI$1012,MATCH($C231,EL!$E$4:$E$1012,0))="","",INDEX(EL!$AI$4:$AI$1012,MATCH($C231,EL!$E$4:$E$1012,0))),
IF($E231=4,IF(INDEX(EL!$AN$4:$AN$1012,MATCH($C231,EL!$E$4:$E$1012,0))="","",INDEX(EL!$AN$4:$AN$1012,MATCH($C231,EL!$E$4:$E$1012,0))),
IF($E231=5,IF(INDEX(EL!$AS$4:$AS$1012,MATCH($C231,EL!$E$4:$E$1012,0))="","",INDEX(EL!$AS$4:$AS$1012,MATCH($C231,EL!$E$4:$E$1012,0))),"")))))))</f>
        <v/>
      </c>
      <c r="K231" s="459">
        <f>EL!L145</f>
        <v>0</v>
      </c>
      <c r="L231" s="460" t="e" cm="1">
        <f t="array" aca="1" ref="L231" ca="1">_xlfn.IFS(AND($E231&lt;&gt;"",$M231="Pending",$K231="CTA"),TODAY()-$G231,AND($E231&lt;&gt;"",$M231="Pending",$K231="AUR"),TODAY()-$H231,AND($E231&lt;&gt;"",$M231="Pending",$K231="STT"),TODAY()-$I231,OR(K231="Closed",K231=""),"")</f>
        <v>#N/A</v>
      </c>
      <c r="M231" s="461">
        <f>VLOOKUP(C231,EL!$E$4:$AC$622,9,0)</f>
        <v>0</v>
      </c>
      <c r="N231" s="461" t="str">
        <f t="shared" si="7"/>
        <v/>
      </c>
      <c r="O231" s="739" t="str">
        <f>EL!O145</f>
        <v>GC</v>
      </c>
      <c r="P231" s="746" t="str">
        <v>NO</v>
      </c>
    </row>
    <row r="232" spans="1:16" s="385" customFormat="1" ht="27" hidden="1" customHeight="1">
      <c r="A232" s="399">
        <f t="shared" si="8"/>
        <v>139</v>
      </c>
      <c r="B232" s="477" t="s">
        <v>52</v>
      </c>
      <c r="C232" s="646" t="s">
        <v>861</v>
      </c>
      <c r="D232" s="456" t="str">
        <f>_xlfn.XLOOKUP(C232,EL!$E$4:$E$183,EL!$D$4:$D$183)</f>
        <v xml:space="preserve">Level 1 - Bms Routing Layout </v>
      </c>
      <c r="E232" s="597" t="str">
        <f>IF(VLOOKUP(C232,EL!$E$4:$AC$505,7,0)="","",VLOOKUP(C232,EL!$E$4:$AC$1004,7,0))</f>
        <v/>
      </c>
      <c r="F232" s="462"/>
      <c r="G232" s="458" t="str">
        <f>IF(VLOOKUP(C232,EL!$E$4:$AC$514,5,0)="","",VLOOKUP(C232,EL!$E$4:$AC$514,5,0))</f>
        <v/>
      </c>
      <c r="H232" s="459" t="str">
        <f>IF(ISNA(MATCH($C232,EL!$E$4:$E$1012,0)),"",
IF($E232=0,IF(INDEX(EL!$R$4:$R$1012,MATCH($C232,EL!$E$4:$E$1012,0))="","",INDEX(EL!$R$4:$R$1012,MATCH($C232,EL!$E$4:$E$1012,0))),
IF($E232=1,IF(INDEX(EL!$W$4:$W$1012,MATCH($C232,EL!$E$4:$E$1012,0))="","",INDEX(EL!$W$4:$W$1012,MATCH($C232,EL!$E$4:$E$1012,0))),
IF($E232=2,IF(INDEX(EL!$AB$4:$AB$1012,MATCH($C232,EL!$E$4:$E$1012,0))="","",INDEX(EL!$AB$4:$AB$1012,MATCH($C232,EL!$E$4:$E$1012,0))),
IF($E232=3,IF(INDEX(EL!$AG$4:$AG$1012,MATCH($C232,EL!$E$4:$E$1012,0))="","",INDEX(EL!$AG$4:$AG$1012,MATCH($C232,EL!$E$4:$E$1012,0))),
IF($E232=4,IF(INDEX(EL!$AN$4:$AN$1012,MATCH($C232,EL!$E$4:$E$1012,0))="","",INDEX(EL!$AN$4:$AN$1012,MATCH($C232,EL!$E$4:$E$1012,0))),
IF($E232=5,IF(INDEX(EL!$AS$4:$AS$1012,MATCH($C232,EL!$E$4:$E$1012,0))="","",INDEX(EL!$AS$4:$AS$1012,MATCH($C232,EL!$E$4:$E$1012,0))),"")))))))</f>
        <v/>
      </c>
      <c r="I232" s="459" t="str">
        <f>IF(ISNA(MATCH($C232,EL!$E$4:$E$1012,0)),"",
IF($E232=0,IF(INDEX(EL!$S$4:$S$1012,MATCH($C232,EL!$E$4:$E$1012,0))="","",INDEX(EL!$S$4:$S$1012,MATCH($C232,EL!$E$4:$E$1012,0))),
IF($E232=1,IF(INDEX(EL!$X$4:$X$1012,MATCH($C232,EL!$E$4:$E$1012,0))="","",INDEX(EL!$X$4:$X$1012,MATCH($C232,EL!$E$4:$E$1012,0))),
IF($E232=2,IF(INDEX(EL!$AC$4:$AC$1012,MATCH($C232,EL!$E$4:$E$1012,0))="","",INDEX(EL!$AC$4:$AC$1012,MATCH($C232,EL!$E$4:$E$1012,0))),
IF($E232=3,IF(INDEX(EL!$AH$4:$AH$1012,MATCH($C232,EL!$E$4:$E$1012,0))="","",INDEX(EL!$AH$4:$AH$1012,MATCH($C232,EL!$E$4:$E$1012,0))),
IF($E232=4,IF(INDEX(EL!$AM$4:$AM$1012,MATCH($C232,EL!$E$4:$E$1012,0))="","",INDEX(EL!$AM$4:$AM$1012,MATCH($C232,EL!$E$4:$E$1012,0))),
IF($E232=5,IF(INDEX(EL!$AR$4:$AR$1012,MATCH($C232,EL!$E$4:$E$1012,0))="","",INDEX(EL!$AR$4:$AR$1012,MATCH($C232,EL!$E$4:$E$1012,0))),"")))))))</f>
        <v/>
      </c>
      <c r="J232" s="459" t="str">
        <f>IF(ISNA(MATCH($C232,EL!$E$4:$E$1012,0)),"",
IF($E232=0,IF(INDEX(EL!$T$4:$T$1012,MATCH($C232,EL!$E$4:$E$1012,0))="","",INDEX(EL!$T$4:$T$1012,MATCH($C232,EL!$E$4:$E$1012,0))),
IF($E232=1,IF(INDEX(EL!$Y$4:$Y$1012,MATCH($C232,EL!$E$4:$E$1012,0))="","",INDEX(EL!$Y$4:$Y$1012,MATCH($C232,EL!$E$4:$E$1012,0))),
IF($E232=2,IF(INDEX(EL!$AD$4:$AD$1012,MATCH($C232,EL!$E$4:$E$1012,0))="","",INDEX(EL!$AD$4:$AD$1012,MATCH($C232,EL!$E$4:$E$1012,0))),
IF($E232=3,IF(INDEX(EL!$AI$4:$AI$1012,MATCH($C232,EL!$E$4:$E$1012,0))="","",INDEX(EL!$AI$4:$AI$1012,MATCH($C232,EL!$E$4:$E$1012,0))),
IF($E232=4,IF(INDEX(EL!$AN$4:$AN$1012,MATCH($C232,EL!$E$4:$E$1012,0))="","",INDEX(EL!$AN$4:$AN$1012,MATCH($C232,EL!$E$4:$E$1012,0))),
IF($E232=5,IF(INDEX(EL!$AS$4:$AS$1012,MATCH($C232,EL!$E$4:$E$1012,0))="","",INDEX(EL!$AS$4:$AS$1012,MATCH($C232,EL!$E$4:$E$1012,0))),"")))))))</f>
        <v/>
      </c>
      <c r="K232" s="459">
        <f>EL!L146</f>
        <v>0</v>
      </c>
      <c r="L232" s="460" t="e" cm="1">
        <f t="array" aca="1" ref="L232" ca="1">_xlfn.IFS(AND($E232&lt;&gt;"",$M232="Pending",$K232="CTA"),TODAY()-$G232,AND($E232&lt;&gt;"",$M232="Pending",$K232="AUR"),TODAY()-$H232,AND($E232&lt;&gt;"",$M232="Pending",$K232="STT"),TODAY()-$I232,OR(K232="Closed",K232=""),"")</f>
        <v>#N/A</v>
      </c>
      <c r="M232" s="461">
        <f>VLOOKUP(C232,EL!$E$4:$AC$622,9,0)</f>
        <v>0</v>
      </c>
      <c r="N232" s="461" t="str">
        <f t="shared" si="7"/>
        <v/>
      </c>
      <c r="O232" s="739" t="str">
        <f>EL!O146</f>
        <v>GC</v>
      </c>
      <c r="P232" s="746" t="str">
        <v>NO</v>
      </c>
    </row>
    <row r="233" spans="1:16" s="385" customFormat="1" ht="27" hidden="1" customHeight="1">
      <c r="A233" s="399">
        <f t="shared" si="8"/>
        <v>140</v>
      </c>
      <c r="B233" s="477" t="s">
        <v>52</v>
      </c>
      <c r="C233" s="646" t="s">
        <v>864</v>
      </c>
      <c r="D233" s="456" t="str">
        <f>_xlfn.XLOOKUP(C233,EL!$E$4:$E$183,EL!$D$4:$D$183)</f>
        <v xml:space="preserve">Level 1 - Pms&amp;Ems  Routing Layout </v>
      </c>
      <c r="E233" s="597" t="str">
        <f>IF(VLOOKUP(C233,EL!$E$4:$AC$505,7,0)="","",VLOOKUP(C233,EL!$E$4:$AC$1004,7,0))</f>
        <v/>
      </c>
      <c r="F233" s="462"/>
      <c r="G233" s="458" t="str">
        <f>IF(VLOOKUP(C233,EL!$E$4:$AC$514,5,0)="","",VLOOKUP(C233,EL!$E$4:$AC$514,5,0))</f>
        <v/>
      </c>
      <c r="H233" s="459" t="str">
        <f>IF(ISNA(MATCH($C233,EL!$E$4:$E$1012,0)),"",
IF($E233=0,IF(INDEX(EL!$R$4:$R$1012,MATCH($C233,EL!$E$4:$E$1012,0))="","",INDEX(EL!$R$4:$R$1012,MATCH($C233,EL!$E$4:$E$1012,0))),
IF($E233=1,IF(INDEX(EL!$W$4:$W$1012,MATCH($C233,EL!$E$4:$E$1012,0))="","",INDEX(EL!$W$4:$W$1012,MATCH($C233,EL!$E$4:$E$1012,0))),
IF($E233=2,IF(INDEX(EL!$AB$4:$AB$1012,MATCH($C233,EL!$E$4:$E$1012,0))="","",INDEX(EL!$AB$4:$AB$1012,MATCH($C233,EL!$E$4:$E$1012,0))),
IF($E233=3,IF(INDEX(EL!$AG$4:$AG$1012,MATCH($C233,EL!$E$4:$E$1012,0))="","",INDEX(EL!$AG$4:$AG$1012,MATCH($C233,EL!$E$4:$E$1012,0))),
IF($E233=4,IF(INDEX(EL!$AN$4:$AN$1012,MATCH($C233,EL!$E$4:$E$1012,0))="","",INDEX(EL!$AN$4:$AN$1012,MATCH($C233,EL!$E$4:$E$1012,0))),
IF($E233=5,IF(INDEX(EL!$AS$4:$AS$1012,MATCH($C233,EL!$E$4:$E$1012,0))="","",INDEX(EL!$AS$4:$AS$1012,MATCH($C233,EL!$E$4:$E$1012,0))),"")))))))</f>
        <v/>
      </c>
      <c r="I233" s="459" t="str">
        <f>IF(ISNA(MATCH($C233,EL!$E$4:$E$1012,0)),"",
IF($E233=0,IF(INDEX(EL!$S$4:$S$1012,MATCH($C233,EL!$E$4:$E$1012,0))="","",INDEX(EL!$S$4:$S$1012,MATCH($C233,EL!$E$4:$E$1012,0))),
IF($E233=1,IF(INDEX(EL!$X$4:$X$1012,MATCH($C233,EL!$E$4:$E$1012,0))="","",INDEX(EL!$X$4:$X$1012,MATCH($C233,EL!$E$4:$E$1012,0))),
IF($E233=2,IF(INDEX(EL!$AC$4:$AC$1012,MATCH($C233,EL!$E$4:$E$1012,0))="","",INDEX(EL!$AC$4:$AC$1012,MATCH($C233,EL!$E$4:$E$1012,0))),
IF($E233=3,IF(INDEX(EL!$AH$4:$AH$1012,MATCH($C233,EL!$E$4:$E$1012,0))="","",INDEX(EL!$AH$4:$AH$1012,MATCH($C233,EL!$E$4:$E$1012,0))),
IF($E233=4,IF(INDEX(EL!$AM$4:$AM$1012,MATCH($C233,EL!$E$4:$E$1012,0))="","",INDEX(EL!$AM$4:$AM$1012,MATCH($C233,EL!$E$4:$E$1012,0))),
IF($E233=5,IF(INDEX(EL!$AR$4:$AR$1012,MATCH($C233,EL!$E$4:$E$1012,0))="","",INDEX(EL!$AR$4:$AR$1012,MATCH($C233,EL!$E$4:$E$1012,0))),"")))))))</f>
        <v/>
      </c>
      <c r="J233" s="459" t="str">
        <f>IF(ISNA(MATCH($C233,EL!$E$4:$E$1012,0)),"",
IF($E233=0,IF(INDEX(EL!$T$4:$T$1012,MATCH($C233,EL!$E$4:$E$1012,0))="","",INDEX(EL!$T$4:$T$1012,MATCH($C233,EL!$E$4:$E$1012,0))),
IF($E233=1,IF(INDEX(EL!$Y$4:$Y$1012,MATCH($C233,EL!$E$4:$E$1012,0))="","",INDEX(EL!$Y$4:$Y$1012,MATCH($C233,EL!$E$4:$E$1012,0))),
IF($E233=2,IF(INDEX(EL!$AD$4:$AD$1012,MATCH($C233,EL!$E$4:$E$1012,0))="","",INDEX(EL!$AD$4:$AD$1012,MATCH($C233,EL!$E$4:$E$1012,0))),
IF($E233=3,IF(INDEX(EL!$AI$4:$AI$1012,MATCH($C233,EL!$E$4:$E$1012,0))="","",INDEX(EL!$AI$4:$AI$1012,MATCH($C233,EL!$E$4:$E$1012,0))),
IF($E233=4,IF(INDEX(EL!$AN$4:$AN$1012,MATCH($C233,EL!$E$4:$E$1012,0))="","",INDEX(EL!$AN$4:$AN$1012,MATCH($C233,EL!$E$4:$E$1012,0))),
IF($E233=5,IF(INDEX(EL!$AS$4:$AS$1012,MATCH($C233,EL!$E$4:$E$1012,0))="","",INDEX(EL!$AS$4:$AS$1012,MATCH($C233,EL!$E$4:$E$1012,0))),"")))))))</f>
        <v/>
      </c>
      <c r="K233" s="459">
        <f>EL!L147</f>
        <v>0</v>
      </c>
      <c r="L233" s="460" t="e" cm="1">
        <f t="array" aca="1" ref="L233" ca="1">_xlfn.IFS(AND($E233&lt;&gt;"",$M233="Pending",$K233="CTA"),TODAY()-$G233,AND($E233&lt;&gt;"",$M233="Pending",$K233="AUR"),TODAY()-$H233,AND($E233&lt;&gt;"",$M233="Pending",$K233="STT"),TODAY()-$I233,OR(K233="Closed",K233=""),"")</f>
        <v>#N/A</v>
      </c>
      <c r="M233" s="461">
        <f>VLOOKUP(C233,EL!$E$4:$AC$622,9,0)</f>
        <v>0</v>
      </c>
      <c r="N233" s="461" t="str">
        <f t="shared" si="7"/>
        <v/>
      </c>
      <c r="O233" s="739" t="str">
        <f>EL!O147</f>
        <v>GC</v>
      </c>
      <c r="P233" s="746" t="str">
        <v>NO</v>
      </c>
    </row>
    <row r="234" spans="1:16" s="385" customFormat="1" ht="27" hidden="1" customHeight="1">
      <c r="A234" s="399">
        <f t="shared" si="8"/>
        <v>141</v>
      </c>
      <c r="B234" s="477" t="s">
        <v>52</v>
      </c>
      <c r="C234" s="646" t="s">
        <v>867</v>
      </c>
      <c r="D234" s="456" t="str">
        <f>_xlfn.XLOOKUP(C234,EL!$E$4:$E$183,EL!$D$4:$D$183)</f>
        <v xml:space="preserve">Level 1 - Fuel Control Routing Layout </v>
      </c>
      <c r="E234" s="597" t="str">
        <f>IF(VLOOKUP(C234,EL!$E$4:$AC$505,7,0)="","",VLOOKUP(C234,EL!$E$4:$AC$1004,7,0))</f>
        <v/>
      </c>
      <c r="F234" s="462"/>
      <c r="G234" s="458" t="str">
        <f>IF(VLOOKUP(C234,EL!$E$4:$AC$514,5,0)="","",VLOOKUP(C234,EL!$E$4:$AC$514,5,0))</f>
        <v/>
      </c>
      <c r="H234" s="459" t="str">
        <f>IF(ISNA(MATCH($C234,EL!$E$4:$E$1012,0)),"",
IF($E234=0,IF(INDEX(EL!$R$4:$R$1012,MATCH($C234,EL!$E$4:$E$1012,0))="","",INDEX(EL!$R$4:$R$1012,MATCH($C234,EL!$E$4:$E$1012,0))),
IF($E234=1,IF(INDEX(EL!$W$4:$W$1012,MATCH($C234,EL!$E$4:$E$1012,0))="","",INDEX(EL!$W$4:$W$1012,MATCH($C234,EL!$E$4:$E$1012,0))),
IF($E234=2,IF(INDEX(EL!$AB$4:$AB$1012,MATCH($C234,EL!$E$4:$E$1012,0))="","",INDEX(EL!$AB$4:$AB$1012,MATCH($C234,EL!$E$4:$E$1012,0))),
IF($E234=3,IF(INDEX(EL!$AG$4:$AG$1012,MATCH($C234,EL!$E$4:$E$1012,0))="","",INDEX(EL!$AG$4:$AG$1012,MATCH($C234,EL!$E$4:$E$1012,0))),
IF($E234=4,IF(INDEX(EL!$AN$4:$AN$1012,MATCH($C234,EL!$E$4:$E$1012,0))="","",INDEX(EL!$AN$4:$AN$1012,MATCH($C234,EL!$E$4:$E$1012,0))),
IF($E234=5,IF(INDEX(EL!$AS$4:$AS$1012,MATCH($C234,EL!$E$4:$E$1012,0))="","",INDEX(EL!$AS$4:$AS$1012,MATCH($C234,EL!$E$4:$E$1012,0))),"")))))))</f>
        <v/>
      </c>
      <c r="I234" s="459" t="str">
        <f>IF(ISNA(MATCH($C234,EL!$E$4:$E$1012,0)),"",
IF($E234=0,IF(INDEX(EL!$S$4:$S$1012,MATCH($C234,EL!$E$4:$E$1012,0))="","",INDEX(EL!$S$4:$S$1012,MATCH($C234,EL!$E$4:$E$1012,0))),
IF($E234=1,IF(INDEX(EL!$X$4:$X$1012,MATCH($C234,EL!$E$4:$E$1012,0))="","",INDEX(EL!$X$4:$X$1012,MATCH($C234,EL!$E$4:$E$1012,0))),
IF($E234=2,IF(INDEX(EL!$AC$4:$AC$1012,MATCH($C234,EL!$E$4:$E$1012,0))="","",INDEX(EL!$AC$4:$AC$1012,MATCH($C234,EL!$E$4:$E$1012,0))),
IF($E234=3,IF(INDEX(EL!$AH$4:$AH$1012,MATCH($C234,EL!$E$4:$E$1012,0))="","",INDEX(EL!$AH$4:$AH$1012,MATCH($C234,EL!$E$4:$E$1012,0))),
IF($E234=4,IF(INDEX(EL!$AM$4:$AM$1012,MATCH($C234,EL!$E$4:$E$1012,0))="","",INDEX(EL!$AM$4:$AM$1012,MATCH($C234,EL!$E$4:$E$1012,0))),
IF($E234=5,IF(INDEX(EL!$AR$4:$AR$1012,MATCH($C234,EL!$E$4:$E$1012,0))="","",INDEX(EL!$AR$4:$AR$1012,MATCH($C234,EL!$E$4:$E$1012,0))),"")))))))</f>
        <v/>
      </c>
      <c r="J234" s="459" t="str">
        <f>IF(ISNA(MATCH($C234,EL!$E$4:$E$1012,0)),"",
IF($E234=0,IF(INDEX(EL!$T$4:$T$1012,MATCH($C234,EL!$E$4:$E$1012,0))="","",INDEX(EL!$T$4:$T$1012,MATCH($C234,EL!$E$4:$E$1012,0))),
IF($E234=1,IF(INDEX(EL!$Y$4:$Y$1012,MATCH($C234,EL!$E$4:$E$1012,0))="","",INDEX(EL!$Y$4:$Y$1012,MATCH($C234,EL!$E$4:$E$1012,0))),
IF($E234=2,IF(INDEX(EL!$AD$4:$AD$1012,MATCH($C234,EL!$E$4:$E$1012,0))="","",INDEX(EL!$AD$4:$AD$1012,MATCH($C234,EL!$E$4:$E$1012,0))),
IF($E234=3,IF(INDEX(EL!$AI$4:$AI$1012,MATCH($C234,EL!$E$4:$E$1012,0))="","",INDEX(EL!$AI$4:$AI$1012,MATCH($C234,EL!$E$4:$E$1012,0))),
IF($E234=4,IF(INDEX(EL!$AN$4:$AN$1012,MATCH($C234,EL!$E$4:$E$1012,0))="","",INDEX(EL!$AN$4:$AN$1012,MATCH($C234,EL!$E$4:$E$1012,0))),
IF($E234=5,IF(INDEX(EL!$AS$4:$AS$1012,MATCH($C234,EL!$E$4:$E$1012,0))="","",INDEX(EL!$AS$4:$AS$1012,MATCH($C234,EL!$E$4:$E$1012,0))),"")))))))</f>
        <v/>
      </c>
      <c r="K234" s="459">
        <f>EL!L148</f>
        <v>0</v>
      </c>
      <c r="L234" s="460" t="e" cm="1">
        <f t="array" aca="1" ref="L234" ca="1">_xlfn.IFS(AND($E234&lt;&gt;"",$M234="Pending",$K234="CTA"),TODAY()-$G234,AND($E234&lt;&gt;"",$M234="Pending",$K234="AUR"),TODAY()-$H234,AND($E234&lt;&gt;"",$M234="Pending",$K234="STT"),TODAY()-$I234,OR(K234="Closed",K234=""),"")</f>
        <v>#N/A</v>
      </c>
      <c r="M234" s="461">
        <f>VLOOKUP(C234,EL!$E$4:$AC$622,9,0)</f>
        <v>0</v>
      </c>
      <c r="N234" s="461" t="str">
        <f t="shared" si="7"/>
        <v/>
      </c>
      <c r="O234" s="739" t="str">
        <f>EL!O148</f>
        <v>GC</v>
      </c>
      <c r="P234" s="746" t="str">
        <v>NO</v>
      </c>
    </row>
    <row r="235" spans="1:16" s="385" customFormat="1" ht="27" customHeight="1">
      <c r="A235" s="399">
        <f t="shared" si="8"/>
        <v>142</v>
      </c>
      <c r="B235" s="477" t="s">
        <v>52</v>
      </c>
      <c r="C235" s="646" t="s">
        <v>870</v>
      </c>
      <c r="D235" s="456" t="str">
        <f>_xlfn.XLOOKUP(C235,EL!$E$4:$E$183,EL!$D$4:$D$183)</f>
        <v xml:space="preserve">Level 2 - Cable Basket Routing Layout </v>
      </c>
      <c r="E235" s="597">
        <f>IF(VLOOKUP(C235,EL!$E$4:$AC$505,7,0)="","",VLOOKUP(C235,EL!$E$4:$AC$1004,7,0))</f>
        <v>0</v>
      </c>
      <c r="F235" s="462"/>
      <c r="G235" s="458">
        <f>IF(VLOOKUP(C235,EL!$E$4:$AC$514,5,0)="","",VLOOKUP(C235,EL!$E$4:$AC$514,5,0))</f>
        <v>46064</v>
      </c>
      <c r="H235" s="459">
        <f>IF(ISNA(MATCH($C235,EL!$E$4:$E$1012,0)),"",
IF($E235=0,IF(INDEX(EL!$R$4:$R$1012,MATCH($C235,EL!$E$4:$E$1012,0))="","",INDEX(EL!$R$4:$R$1012,MATCH($C235,EL!$E$4:$E$1012,0))),
IF($E235=1,IF(INDEX(EL!$W$4:$W$1012,MATCH($C235,EL!$E$4:$E$1012,0))="","",INDEX(EL!$W$4:$W$1012,MATCH($C235,EL!$E$4:$E$1012,0))),
IF($E235=2,IF(INDEX(EL!$AB$4:$AB$1012,MATCH($C235,EL!$E$4:$E$1012,0))="","",INDEX(EL!$AB$4:$AB$1012,MATCH($C235,EL!$E$4:$E$1012,0))),
IF($E235=3,IF(INDEX(EL!$AG$4:$AG$1012,MATCH($C235,EL!$E$4:$E$1012,0))="","",INDEX(EL!$AG$4:$AG$1012,MATCH($C235,EL!$E$4:$E$1012,0))),
IF($E235=4,IF(INDEX(EL!$AN$4:$AN$1012,MATCH($C235,EL!$E$4:$E$1012,0))="","",INDEX(EL!$AN$4:$AN$1012,MATCH($C235,EL!$E$4:$E$1012,0))),
IF($E235=5,IF(INDEX(EL!$AS$4:$AS$1012,MATCH($C235,EL!$E$4:$E$1012,0))="","",INDEX(EL!$AS$4:$AS$1012,MATCH($C235,EL!$E$4:$E$1012,0))),"")))))))</f>
        <v>46065</v>
      </c>
      <c r="I235" s="459" t="str">
        <f>IF(ISNA(MATCH($C235,EL!$E$4:$E$1012,0)),"",
IF($E235=0,IF(INDEX(EL!$S$4:$S$1012,MATCH($C235,EL!$E$4:$E$1012,0))="","",INDEX(EL!$S$4:$S$1012,MATCH($C235,EL!$E$4:$E$1012,0))),
IF($E235=1,IF(INDEX(EL!$X$4:$X$1012,MATCH($C235,EL!$E$4:$E$1012,0))="","",INDEX(EL!$X$4:$X$1012,MATCH($C235,EL!$E$4:$E$1012,0))),
IF($E235=2,IF(INDEX(EL!$AC$4:$AC$1012,MATCH($C235,EL!$E$4:$E$1012,0))="","",INDEX(EL!$AC$4:$AC$1012,MATCH($C235,EL!$E$4:$E$1012,0))),
IF($E235=3,IF(INDEX(EL!$AH$4:$AH$1012,MATCH($C235,EL!$E$4:$E$1012,0))="","",INDEX(EL!$AH$4:$AH$1012,MATCH($C235,EL!$E$4:$E$1012,0))),
IF($E235=4,IF(INDEX(EL!$AM$4:$AM$1012,MATCH($C235,EL!$E$4:$E$1012,0))="","",INDEX(EL!$AM$4:$AM$1012,MATCH($C235,EL!$E$4:$E$1012,0))),
IF($E235=5,IF(INDEX(EL!$AR$4:$AR$1012,MATCH($C235,EL!$E$4:$E$1012,0))="","",INDEX(EL!$AR$4:$AR$1012,MATCH($C235,EL!$E$4:$E$1012,0))),"")))))))</f>
        <v/>
      </c>
      <c r="J235" s="459" t="str">
        <f>IF(ISNA(MATCH($C235,EL!$E$4:$E$1012,0)),"",
IF($E235=0,IF(INDEX(EL!$T$4:$T$1012,MATCH($C235,EL!$E$4:$E$1012,0))="","",INDEX(EL!$T$4:$T$1012,MATCH($C235,EL!$E$4:$E$1012,0))),
IF($E235=1,IF(INDEX(EL!$Y$4:$Y$1012,MATCH($C235,EL!$E$4:$E$1012,0))="","",INDEX(EL!$Y$4:$Y$1012,MATCH($C235,EL!$E$4:$E$1012,0))),
IF($E235=2,IF(INDEX(EL!$AD$4:$AD$1012,MATCH($C235,EL!$E$4:$E$1012,0))="","",INDEX(EL!$AD$4:$AD$1012,MATCH($C235,EL!$E$4:$E$1012,0))),
IF($E235=3,IF(INDEX(EL!$AI$4:$AI$1012,MATCH($C235,EL!$E$4:$E$1012,0))="","",INDEX(EL!$AI$4:$AI$1012,MATCH($C235,EL!$E$4:$E$1012,0))),
IF($E235=4,IF(INDEX(EL!$AN$4:$AN$1012,MATCH($C235,EL!$E$4:$E$1012,0))="","",INDEX(EL!$AN$4:$AN$1012,MATCH($C235,EL!$E$4:$E$1012,0))),
IF($E235=5,IF(INDEX(EL!$AS$4:$AS$1012,MATCH($C235,EL!$E$4:$E$1012,0))="","",INDEX(EL!$AS$4:$AS$1012,MATCH($C235,EL!$E$4:$E$1012,0))),"")))))))</f>
        <v/>
      </c>
      <c r="K235" s="459" t="str">
        <f>EL!L149</f>
        <v>AUR</v>
      </c>
      <c r="L235" s="460" cm="1">
        <f t="array" aca="1" ref="L235" ca="1">_xlfn.IFS(AND($E235&lt;&gt;"",$M235="Pending",$K235="CTA"),TODAY()-$G235,AND($E235&lt;&gt;"",$M235="Pending",$K235="AUR"),TODAY()-$H235,AND($E235&lt;&gt;"",$M235="Pending",$K235="STT"),TODAY()-$I235,OR(K235="Closed",K235=""),"")</f>
        <v>1</v>
      </c>
      <c r="M235" s="461" t="str">
        <f>VLOOKUP(C235,EL!$E$4:$AC$622,9,0)</f>
        <v>Pending</v>
      </c>
      <c r="N235" s="461" t="str">
        <f t="shared" ca="1" si="7"/>
        <v/>
      </c>
      <c r="O235" s="739" t="str">
        <f>EL!O149</f>
        <v>GC</v>
      </c>
      <c r="P235" s="746" t="str">
        <v>NO</v>
      </c>
    </row>
    <row r="236" spans="1:16" s="385" customFormat="1" ht="27" customHeight="1">
      <c r="A236" s="399">
        <f t="shared" si="8"/>
        <v>143</v>
      </c>
      <c r="B236" s="477" t="s">
        <v>52</v>
      </c>
      <c r="C236" s="646" t="s">
        <v>873</v>
      </c>
      <c r="D236" s="456" t="str">
        <f>_xlfn.XLOOKUP(C236,EL!$E$4:$E$183,EL!$D$4:$D$183)</f>
        <v xml:space="preserve">Level 2 - Fiber Guide Routing Layout </v>
      </c>
      <c r="E236" s="597">
        <f>IF(VLOOKUP(C236,EL!$E$4:$AC$505,7,0)="","",VLOOKUP(C236,EL!$E$4:$AC$1004,7,0))</f>
        <v>0</v>
      </c>
      <c r="F236" s="462"/>
      <c r="G236" s="458">
        <f>IF(VLOOKUP(C236,EL!$E$4:$AC$514,5,0)="","",VLOOKUP(C236,EL!$E$4:$AC$514,5,0))</f>
        <v>46064</v>
      </c>
      <c r="H236" s="459">
        <f>IF(ISNA(MATCH($C236,EL!$E$4:$E$1012,0)),"",
IF($E236=0,IF(INDEX(EL!$R$4:$R$1012,MATCH($C236,EL!$E$4:$E$1012,0))="","",INDEX(EL!$R$4:$R$1012,MATCH($C236,EL!$E$4:$E$1012,0))),
IF($E236=1,IF(INDEX(EL!$W$4:$W$1012,MATCH($C236,EL!$E$4:$E$1012,0))="","",INDEX(EL!$W$4:$W$1012,MATCH($C236,EL!$E$4:$E$1012,0))),
IF($E236=2,IF(INDEX(EL!$AB$4:$AB$1012,MATCH($C236,EL!$E$4:$E$1012,0))="","",INDEX(EL!$AB$4:$AB$1012,MATCH($C236,EL!$E$4:$E$1012,0))),
IF($E236=3,IF(INDEX(EL!$AG$4:$AG$1012,MATCH($C236,EL!$E$4:$E$1012,0))="","",INDEX(EL!$AG$4:$AG$1012,MATCH($C236,EL!$E$4:$E$1012,0))),
IF($E236=4,IF(INDEX(EL!$AN$4:$AN$1012,MATCH($C236,EL!$E$4:$E$1012,0))="","",INDEX(EL!$AN$4:$AN$1012,MATCH($C236,EL!$E$4:$E$1012,0))),
IF($E236=5,IF(INDEX(EL!$AS$4:$AS$1012,MATCH($C236,EL!$E$4:$E$1012,0))="","",INDEX(EL!$AS$4:$AS$1012,MATCH($C236,EL!$E$4:$E$1012,0))),"")))))))</f>
        <v>46065</v>
      </c>
      <c r="I236" s="459" t="str">
        <f>IF(ISNA(MATCH($C236,EL!$E$4:$E$1012,0)),"",
IF($E236=0,IF(INDEX(EL!$S$4:$S$1012,MATCH($C236,EL!$E$4:$E$1012,0))="","",INDEX(EL!$S$4:$S$1012,MATCH($C236,EL!$E$4:$E$1012,0))),
IF($E236=1,IF(INDEX(EL!$X$4:$X$1012,MATCH($C236,EL!$E$4:$E$1012,0))="","",INDEX(EL!$X$4:$X$1012,MATCH($C236,EL!$E$4:$E$1012,0))),
IF($E236=2,IF(INDEX(EL!$AC$4:$AC$1012,MATCH($C236,EL!$E$4:$E$1012,0))="","",INDEX(EL!$AC$4:$AC$1012,MATCH($C236,EL!$E$4:$E$1012,0))),
IF($E236=3,IF(INDEX(EL!$AH$4:$AH$1012,MATCH($C236,EL!$E$4:$E$1012,0))="","",INDEX(EL!$AH$4:$AH$1012,MATCH($C236,EL!$E$4:$E$1012,0))),
IF($E236=4,IF(INDEX(EL!$AM$4:$AM$1012,MATCH($C236,EL!$E$4:$E$1012,0))="","",INDEX(EL!$AM$4:$AM$1012,MATCH($C236,EL!$E$4:$E$1012,0))),
IF($E236=5,IF(INDEX(EL!$AR$4:$AR$1012,MATCH($C236,EL!$E$4:$E$1012,0))="","",INDEX(EL!$AR$4:$AR$1012,MATCH($C236,EL!$E$4:$E$1012,0))),"")))))))</f>
        <v/>
      </c>
      <c r="J236" s="459" t="str">
        <f>IF(ISNA(MATCH($C236,EL!$E$4:$E$1012,0)),"",
IF($E236=0,IF(INDEX(EL!$T$4:$T$1012,MATCH($C236,EL!$E$4:$E$1012,0))="","",INDEX(EL!$T$4:$T$1012,MATCH($C236,EL!$E$4:$E$1012,0))),
IF($E236=1,IF(INDEX(EL!$Y$4:$Y$1012,MATCH($C236,EL!$E$4:$E$1012,0))="","",INDEX(EL!$Y$4:$Y$1012,MATCH($C236,EL!$E$4:$E$1012,0))),
IF($E236=2,IF(INDEX(EL!$AD$4:$AD$1012,MATCH($C236,EL!$E$4:$E$1012,0))="","",INDEX(EL!$AD$4:$AD$1012,MATCH($C236,EL!$E$4:$E$1012,0))),
IF($E236=3,IF(INDEX(EL!$AI$4:$AI$1012,MATCH($C236,EL!$E$4:$E$1012,0))="","",INDEX(EL!$AI$4:$AI$1012,MATCH($C236,EL!$E$4:$E$1012,0))),
IF($E236=4,IF(INDEX(EL!$AN$4:$AN$1012,MATCH($C236,EL!$E$4:$E$1012,0))="","",INDEX(EL!$AN$4:$AN$1012,MATCH($C236,EL!$E$4:$E$1012,0))),
IF($E236=5,IF(INDEX(EL!$AS$4:$AS$1012,MATCH($C236,EL!$E$4:$E$1012,0))="","",INDEX(EL!$AS$4:$AS$1012,MATCH($C236,EL!$E$4:$E$1012,0))),"")))))))</f>
        <v/>
      </c>
      <c r="K236" s="459" t="str">
        <f>EL!L150</f>
        <v>AUR</v>
      </c>
      <c r="L236" s="460" cm="1">
        <f t="array" aca="1" ref="L236" ca="1">_xlfn.IFS(AND($E236&lt;&gt;"",$M236="Pending",$K236="CTA"),TODAY()-$G236,AND($E236&lt;&gt;"",$M236="Pending",$K236="AUR"),TODAY()-$H236,AND($E236&lt;&gt;"",$M236="Pending",$K236="STT"),TODAY()-$I236,OR(K236="Closed",K236=""),"")</f>
        <v>1</v>
      </c>
      <c r="M236" s="461" t="str">
        <f>VLOOKUP(C236,EL!$E$4:$AC$622,9,0)</f>
        <v>Pending</v>
      </c>
      <c r="N236" s="461" t="str">
        <f t="shared" ca="1" si="7"/>
        <v/>
      </c>
      <c r="O236" s="739" t="str">
        <f>EL!O150</f>
        <v>GC</v>
      </c>
      <c r="P236" s="746" t="str">
        <v>NO</v>
      </c>
    </row>
    <row r="237" spans="1:16" s="385" customFormat="1" ht="27" hidden="1" customHeight="1">
      <c r="A237" s="399">
        <f t="shared" si="8"/>
        <v>144</v>
      </c>
      <c r="B237" s="477" t="s">
        <v>52</v>
      </c>
      <c r="C237" s="646" t="s">
        <v>876</v>
      </c>
      <c r="D237" s="456" t="str">
        <f>_xlfn.XLOOKUP(C237,EL!$E$4:$E$183,EL!$D$4:$D$183)</f>
        <v xml:space="preserve">Level 2 - ECMS Routing Layout </v>
      </c>
      <c r="E237" s="597" t="str">
        <f>IF(VLOOKUP(C237,EL!$E$4:$AC$505,7,0)="","",VLOOKUP(C237,EL!$E$4:$AC$1004,7,0))</f>
        <v/>
      </c>
      <c r="F237" s="462"/>
      <c r="G237" s="458" t="str">
        <f>IF(VLOOKUP(C237,EL!$E$4:$AC$514,5,0)="","",VLOOKUP(C237,EL!$E$4:$AC$514,5,0))</f>
        <v/>
      </c>
      <c r="H237" s="459" t="str">
        <f>IF(ISNA(MATCH($C237,EL!$E$4:$E$1012,0)),"",
IF($E237=0,IF(INDEX(EL!$R$4:$R$1012,MATCH($C237,EL!$E$4:$E$1012,0))="","",INDEX(EL!$R$4:$R$1012,MATCH($C237,EL!$E$4:$E$1012,0))),
IF($E237=1,IF(INDEX(EL!$W$4:$W$1012,MATCH($C237,EL!$E$4:$E$1012,0))="","",INDEX(EL!$W$4:$W$1012,MATCH($C237,EL!$E$4:$E$1012,0))),
IF($E237=2,IF(INDEX(EL!$AB$4:$AB$1012,MATCH($C237,EL!$E$4:$E$1012,0))="","",INDEX(EL!$AB$4:$AB$1012,MATCH($C237,EL!$E$4:$E$1012,0))),
IF($E237=3,IF(INDEX(EL!$AG$4:$AG$1012,MATCH($C237,EL!$E$4:$E$1012,0))="","",INDEX(EL!$AG$4:$AG$1012,MATCH($C237,EL!$E$4:$E$1012,0))),
IF($E237=4,IF(INDEX(EL!$AN$4:$AN$1012,MATCH($C237,EL!$E$4:$E$1012,0))="","",INDEX(EL!$AN$4:$AN$1012,MATCH($C237,EL!$E$4:$E$1012,0))),
IF($E237=5,IF(INDEX(EL!$AS$4:$AS$1012,MATCH($C237,EL!$E$4:$E$1012,0))="","",INDEX(EL!$AS$4:$AS$1012,MATCH($C237,EL!$E$4:$E$1012,0))),"")))))))</f>
        <v/>
      </c>
      <c r="I237" s="459" t="str">
        <f>IF(ISNA(MATCH($C237,EL!$E$4:$E$1012,0)),"",
IF($E237=0,IF(INDEX(EL!$S$4:$S$1012,MATCH($C237,EL!$E$4:$E$1012,0))="","",INDEX(EL!$S$4:$S$1012,MATCH($C237,EL!$E$4:$E$1012,0))),
IF($E237=1,IF(INDEX(EL!$X$4:$X$1012,MATCH($C237,EL!$E$4:$E$1012,0))="","",INDEX(EL!$X$4:$X$1012,MATCH($C237,EL!$E$4:$E$1012,0))),
IF($E237=2,IF(INDEX(EL!$AC$4:$AC$1012,MATCH($C237,EL!$E$4:$E$1012,0))="","",INDEX(EL!$AC$4:$AC$1012,MATCH($C237,EL!$E$4:$E$1012,0))),
IF($E237=3,IF(INDEX(EL!$AH$4:$AH$1012,MATCH($C237,EL!$E$4:$E$1012,0))="","",INDEX(EL!$AH$4:$AH$1012,MATCH($C237,EL!$E$4:$E$1012,0))),
IF($E237=4,IF(INDEX(EL!$AM$4:$AM$1012,MATCH($C237,EL!$E$4:$E$1012,0))="","",INDEX(EL!$AM$4:$AM$1012,MATCH($C237,EL!$E$4:$E$1012,0))),
IF($E237=5,IF(INDEX(EL!$AR$4:$AR$1012,MATCH($C237,EL!$E$4:$E$1012,0))="","",INDEX(EL!$AR$4:$AR$1012,MATCH($C237,EL!$E$4:$E$1012,0))),"")))))))</f>
        <v/>
      </c>
      <c r="J237" s="459" t="str">
        <f>IF(ISNA(MATCH($C237,EL!$E$4:$E$1012,0)),"",
IF($E237=0,IF(INDEX(EL!$T$4:$T$1012,MATCH($C237,EL!$E$4:$E$1012,0))="","",INDEX(EL!$T$4:$T$1012,MATCH($C237,EL!$E$4:$E$1012,0))),
IF($E237=1,IF(INDEX(EL!$Y$4:$Y$1012,MATCH($C237,EL!$E$4:$E$1012,0))="","",INDEX(EL!$Y$4:$Y$1012,MATCH($C237,EL!$E$4:$E$1012,0))),
IF($E237=2,IF(INDEX(EL!$AD$4:$AD$1012,MATCH($C237,EL!$E$4:$E$1012,0))="","",INDEX(EL!$AD$4:$AD$1012,MATCH($C237,EL!$E$4:$E$1012,0))),
IF($E237=3,IF(INDEX(EL!$AI$4:$AI$1012,MATCH($C237,EL!$E$4:$E$1012,0))="","",INDEX(EL!$AI$4:$AI$1012,MATCH($C237,EL!$E$4:$E$1012,0))),
IF($E237=4,IF(INDEX(EL!$AN$4:$AN$1012,MATCH($C237,EL!$E$4:$E$1012,0))="","",INDEX(EL!$AN$4:$AN$1012,MATCH($C237,EL!$E$4:$E$1012,0))),
IF($E237=5,IF(INDEX(EL!$AS$4:$AS$1012,MATCH($C237,EL!$E$4:$E$1012,0))="","",INDEX(EL!$AS$4:$AS$1012,MATCH($C237,EL!$E$4:$E$1012,0))),"")))))))</f>
        <v/>
      </c>
      <c r="K237" s="459">
        <f>EL!L151</f>
        <v>0</v>
      </c>
      <c r="L237" s="460" t="e" cm="1">
        <f t="array" aca="1" ref="L237" ca="1">_xlfn.IFS(AND($E237&lt;&gt;"",$M237="Pending",$K237="CTA"),TODAY()-$G237,AND($E237&lt;&gt;"",$M237="Pending",$K237="AUR"),TODAY()-$H237,AND($E237&lt;&gt;"",$M237="Pending",$K237="STT"),TODAY()-$I237,OR(K237="Closed",K237=""),"")</f>
        <v>#N/A</v>
      </c>
      <c r="M237" s="461">
        <f>VLOOKUP(C237,EL!$E$4:$AC$622,9,0)</f>
        <v>0</v>
      </c>
      <c r="N237" s="461" t="str">
        <f t="shared" si="7"/>
        <v/>
      </c>
      <c r="O237" s="739" t="str">
        <f>EL!O151</f>
        <v>GC</v>
      </c>
      <c r="P237" s="746" t="str">
        <v>YES</v>
      </c>
    </row>
    <row r="238" spans="1:16" s="385" customFormat="1" ht="27" hidden="1" customHeight="1">
      <c r="A238" s="399">
        <f t="shared" si="8"/>
        <v>145</v>
      </c>
      <c r="B238" s="477" t="s">
        <v>52</v>
      </c>
      <c r="C238" s="646" t="s">
        <v>879</v>
      </c>
      <c r="D238" s="456" t="str">
        <f>_xlfn.XLOOKUP(C238,EL!$E$4:$E$183,EL!$D$4:$D$183)</f>
        <v xml:space="preserve">Level 2 - BMS Routing Layout </v>
      </c>
      <c r="E238" s="597" t="str">
        <f>IF(VLOOKUP(C238,EL!$E$4:$AC$505,7,0)="","",VLOOKUP(C238,EL!$E$4:$AC$1004,7,0))</f>
        <v/>
      </c>
      <c r="F238" s="462"/>
      <c r="G238" s="458" t="str">
        <f>IF(VLOOKUP(C238,EL!$E$4:$AC$514,5,0)="","",VLOOKUP(C238,EL!$E$4:$AC$514,5,0))</f>
        <v/>
      </c>
      <c r="H238" s="459" t="str">
        <f>IF(ISNA(MATCH($C238,EL!$E$4:$E$1012,0)),"",
IF($E238=0,IF(INDEX(EL!$R$4:$R$1012,MATCH($C238,EL!$E$4:$E$1012,0))="","",INDEX(EL!$R$4:$R$1012,MATCH($C238,EL!$E$4:$E$1012,0))),
IF($E238=1,IF(INDEX(EL!$W$4:$W$1012,MATCH($C238,EL!$E$4:$E$1012,0))="","",INDEX(EL!$W$4:$W$1012,MATCH($C238,EL!$E$4:$E$1012,0))),
IF($E238=2,IF(INDEX(EL!$AB$4:$AB$1012,MATCH($C238,EL!$E$4:$E$1012,0))="","",INDEX(EL!$AB$4:$AB$1012,MATCH($C238,EL!$E$4:$E$1012,0))),
IF($E238=3,IF(INDEX(EL!$AG$4:$AG$1012,MATCH($C238,EL!$E$4:$E$1012,0))="","",INDEX(EL!$AG$4:$AG$1012,MATCH($C238,EL!$E$4:$E$1012,0))),
IF($E238=4,IF(INDEX(EL!$AN$4:$AN$1012,MATCH($C238,EL!$E$4:$E$1012,0))="","",INDEX(EL!$AN$4:$AN$1012,MATCH($C238,EL!$E$4:$E$1012,0))),
IF($E238=5,IF(INDEX(EL!$AS$4:$AS$1012,MATCH($C238,EL!$E$4:$E$1012,0))="","",INDEX(EL!$AS$4:$AS$1012,MATCH($C238,EL!$E$4:$E$1012,0))),"")))))))</f>
        <v/>
      </c>
      <c r="I238" s="459" t="str">
        <f>IF(ISNA(MATCH($C238,EL!$E$4:$E$1012,0)),"",
IF($E238=0,IF(INDEX(EL!$S$4:$S$1012,MATCH($C238,EL!$E$4:$E$1012,0))="","",INDEX(EL!$S$4:$S$1012,MATCH($C238,EL!$E$4:$E$1012,0))),
IF($E238=1,IF(INDEX(EL!$X$4:$X$1012,MATCH($C238,EL!$E$4:$E$1012,0))="","",INDEX(EL!$X$4:$X$1012,MATCH($C238,EL!$E$4:$E$1012,0))),
IF($E238=2,IF(INDEX(EL!$AC$4:$AC$1012,MATCH($C238,EL!$E$4:$E$1012,0))="","",INDEX(EL!$AC$4:$AC$1012,MATCH($C238,EL!$E$4:$E$1012,0))),
IF($E238=3,IF(INDEX(EL!$AH$4:$AH$1012,MATCH($C238,EL!$E$4:$E$1012,0))="","",INDEX(EL!$AH$4:$AH$1012,MATCH($C238,EL!$E$4:$E$1012,0))),
IF($E238=4,IF(INDEX(EL!$AM$4:$AM$1012,MATCH($C238,EL!$E$4:$E$1012,0))="","",INDEX(EL!$AM$4:$AM$1012,MATCH($C238,EL!$E$4:$E$1012,0))),
IF($E238=5,IF(INDEX(EL!$AR$4:$AR$1012,MATCH($C238,EL!$E$4:$E$1012,0))="","",INDEX(EL!$AR$4:$AR$1012,MATCH($C238,EL!$E$4:$E$1012,0))),"")))))))</f>
        <v/>
      </c>
      <c r="J238" s="459" t="str">
        <f>IF(ISNA(MATCH($C238,EL!$E$4:$E$1012,0)),"",
IF($E238=0,IF(INDEX(EL!$T$4:$T$1012,MATCH($C238,EL!$E$4:$E$1012,0))="","",INDEX(EL!$T$4:$T$1012,MATCH($C238,EL!$E$4:$E$1012,0))),
IF($E238=1,IF(INDEX(EL!$Y$4:$Y$1012,MATCH($C238,EL!$E$4:$E$1012,0))="","",INDEX(EL!$Y$4:$Y$1012,MATCH($C238,EL!$E$4:$E$1012,0))),
IF($E238=2,IF(INDEX(EL!$AD$4:$AD$1012,MATCH($C238,EL!$E$4:$E$1012,0))="","",INDEX(EL!$AD$4:$AD$1012,MATCH($C238,EL!$E$4:$E$1012,0))),
IF($E238=3,IF(INDEX(EL!$AI$4:$AI$1012,MATCH($C238,EL!$E$4:$E$1012,0))="","",INDEX(EL!$AI$4:$AI$1012,MATCH($C238,EL!$E$4:$E$1012,0))),
IF($E238=4,IF(INDEX(EL!$AN$4:$AN$1012,MATCH($C238,EL!$E$4:$E$1012,0))="","",INDEX(EL!$AN$4:$AN$1012,MATCH($C238,EL!$E$4:$E$1012,0))),
IF($E238=5,IF(INDEX(EL!$AS$4:$AS$1012,MATCH($C238,EL!$E$4:$E$1012,0))="","",INDEX(EL!$AS$4:$AS$1012,MATCH($C238,EL!$E$4:$E$1012,0))),"")))))))</f>
        <v/>
      </c>
      <c r="K238" s="459">
        <f>EL!L152</f>
        <v>0</v>
      </c>
      <c r="L238" s="460" t="e" cm="1">
        <f t="array" aca="1" ref="L238" ca="1">_xlfn.IFS(AND($E238&lt;&gt;"",$M238="Pending",$K238="CTA"),TODAY()-$G238,AND($E238&lt;&gt;"",$M238="Pending",$K238="AUR"),TODAY()-$H238,AND($E238&lt;&gt;"",$M238="Pending",$K238="STT"),TODAY()-$I238,OR(K238="Closed",K238=""),"")</f>
        <v>#N/A</v>
      </c>
      <c r="M238" s="461">
        <f>VLOOKUP(C238,EL!$E$4:$AC$622,9,0)</f>
        <v>0</v>
      </c>
      <c r="N238" s="461" t="str">
        <f t="shared" si="7"/>
        <v/>
      </c>
      <c r="O238" s="739" t="str">
        <f>EL!O152</f>
        <v>GC</v>
      </c>
      <c r="P238" s="746" t="str">
        <v>YES</v>
      </c>
    </row>
    <row r="239" spans="1:16" s="385" customFormat="1" ht="27" hidden="1" customHeight="1">
      <c r="A239" s="399">
        <f t="shared" si="8"/>
        <v>146</v>
      </c>
      <c r="B239" s="477" t="s">
        <v>52</v>
      </c>
      <c r="C239" s="646" t="s">
        <v>882</v>
      </c>
      <c r="D239" s="456" t="str">
        <f>_xlfn.XLOOKUP(C239,EL!$E$4:$E$183,EL!$D$4:$D$183)</f>
        <v xml:space="preserve">Level 2 - PMS &amp; EMS Routing Layout </v>
      </c>
      <c r="E239" s="597" t="str">
        <f>IF(VLOOKUP(C239,EL!$E$4:$AC$505,7,0)="","",VLOOKUP(C239,EL!$E$4:$AC$1004,7,0))</f>
        <v/>
      </c>
      <c r="F239" s="462"/>
      <c r="G239" s="458" t="str">
        <f>IF(VLOOKUP(C239,EL!$E$4:$AC$514,5,0)="","",VLOOKUP(C239,EL!$E$4:$AC$514,5,0))</f>
        <v/>
      </c>
      <c r="H239" s="459" t="str">
        <f>IF(ISNA(MATCH($C239,EL!$E$4:$E$1012,0)),"",
IF($E239=0,IF(INDEX(EL!$R$4:$R$1012,MATCH($C239,EL!$E$4:$E$1012,0))="","",INDEX(EL!$R$4:$R$1012,MATCH($C239,EL!$E$4:$E$1012,0))),
IF($E239=1,IF(INDEX(EL!$W$4:$W$1012,MATCH($C239,EL!$E$4:$E$1012,0))="","",INDEX(EL!$W$4:$W$1012,MATCH($C239,EL!$E$4:$E$1012,0))),
IF($E239=2,IF(INDEX(EL!$AB$4:$AB$1012,MATCH($C239,EL!$E$4:$E$1012,0))="","",INDEX(EL!$AB$4:$AB$1012,MATCH($C239,EL!$E$4:$E$1012,0))),
IF($E239=3,IF(INDEX(EL!$AG$4:$AG$1012,MATCH($C239,EL!$E$4:$E$1012,0))="","",INDEX(EL!$AG$4:$AG$1012,MATCH($C239,EL!$E$4:$E$1012,0))),
IF($E239=4,IF(INDEX(EL!$AN$4:$AN$1012,MATCH($C239,EL!$E$4:$E$1012,0))="","",INDEX(EL!$AN$4:$AN$1012,MATCH($C239,EL!$E$4:$E$1012,0))),
IF($E239=5,IF(INDEX(EL!$AS$4:$AS$1012,MATCH($C239,EL!$E$4:$E$1012,0))="","",INDEX(EL!$AS$4:$AS$1012,MATCH($C239,EL!$E$4:$E$1012,0))),"")))))))</f>
        <v/>
      </c>
      <c r="I239" s="459" t="str">
        <f>IF(ISNA(MATCH($C239,EL!$E$4:$E$1012,0)),"",
IF($E239=0,IF(INDEX(EL!$S$4:$S$1012,MATCH($C239,EL!$E$4:$E$1012,0))="","",INDEX(EL!$S$4:$S$1012,MATCH($C239,EL!$E$4:$E$1012,0))),
IF($E239=1,IF(INDEX(EL!$X$4:$X$1012,MATCH($C239,EL!$E$4:$E$1012,0))="","",INDEX(EL!$X$4:$X$1012,MATCH($C239,EL!$E$4:$E$1012,0))),
IF($E239=2,IF(INDEX(EL!$AC$4:$AC$1012,MATCH($C239,EL!$E$4:$E$1012,0))="","",INDEX(EL!$AC$4:$AC$1012,MATCH($C239,EL!$E$4:$E$1012,0))),
IF($E239=3,IF(INDEX(EL!$AH$4:$AH$1012,MATCH($C239,EL!$E$4:$E$1012,0))="","",INDEX(EL!$AH$4:$AH$1012,MATCH($C239,EL!$E$4:$E$1012,0))),
IF($E239=4,IF(INDEX(EL!$AM$4:$AM$1012,MATCH($C239,EL!$E$4:$E$1012,0))="","",INDEX(EL!$AM$4:$AM$1012,MATCH($C239,EL!$E$4:$E$1012,0))),
IF($E239=5,IF(INDEX(EL!$AR$4:$AR$1012,MATCH($C239,EL!$E$4:$E$1012,0))="","",INDEX(EL!$AR$4:$AR$1012,MATCH($C239,EL!$E$4:$E$1012,0))),"")))))))</f>
        <v/>
      </c>
      <c r="J239" s="459" t="str">
        <f>IF(ISNA(MATCH($C239,EL!$E$4:$E$1012,0)),"",
IF($E239=0,IF(INDEX(EL!$T$4:$T$1012,MATCH($C239,EL!$E$4:$E$1012,0))="","",INDEX(EL!$T$4:$T$1012,MATCH($C239,EL!$E$4:$E$1012,0))),
IF($E239=1,IF(INDEX(EL!$Y$4:$Y$1012,MATCH($C239,EL!$E$4:$E$1012,0))="","",INDEX(EL!$Y$4:$Y$1012,MATCH($C239,EL!$E$4:$E$1012,0))),
IF($E239=2,IF(INDEX(EL!$AD$4:$AD$1012,MATCH($C239,EL!$E$4:$E$1012,0))="","",INDEX(EL!$AD$4:$AD$1012,MATCH($C239,EL!$E$4:$E$1012,0))),
IF($E239=3,IF(INDEX(EL!$AI$4:$AI$1012,MATCH($C239,EL!$E$4:$E$1012,0))="","",INDEX(EL!$AI$4:$AI$1012,MATCH($C239,EL!$E$4:$E$1012,0))),
IF($E239=4,IF(INDEX(EL!$AN$4:$AN$1012,MATCH($C239,EL!$E$4:$E$1012,0))="","",INDEX(EL!$AN$4:$AN$1012,MATCH($C239,EL!$E$4:$E$1012,0))),
IF($E239=5,IF(INDEX(EL!$AS$4:$AS$1012,MATCH($C239,EL!$E$4:$E$1012,0))="","",INDEX(EL!$AS$4:$AS$1012,MATCH($C239,EL!$E$4:$E$1012,0))),"")))))))</f>
        <v/>
      </c>
      <c r="K239" s="459">
        <f>EL!L153</f>
        <v>0</v>
      </c>
      <c r="L239" s="460" t="e" cm="1">
        <f t="array" aca="1" ref="L239" ca="1">_xlfn.IFS(AND($E239&lt;&gt;"",$M239="Pending",$K239="CTA"),TODAY()-$G239,AND($E239&lt;&gt;"",$M239="Pending",$K239="AUR"),TODAY()-$H239,AND($E239&lt;&gt;"",$M239="Pending",$K239="STT"),TODAY()-$I239,OR(K239="Closed",K239=""),"")</f>
        <v>#N/A</v>
      </c>
      <c r="M239" s="461">
        <f>VLOOKUP(C239,EL!$E$4:$AC$622,9,0)</f>
        <v>0</v>
      </c>
      <c r="N239" s="461" t="str">
        <f t="shared" si="7"/>
        <v/>
      </c>
      <c r="O239" s="739" t="str">
        <f>EL!O153</f>
        <v>GC</v>
      </c>
      <c r="P239" s="746" t="str">
        <v>NO</v>
      </c>
    </row>
    <row r="240" spans="1:16" s="385" customFormat="1" ht="27" hidden="1" customHeight="1">
      <c r="A240" s="399">
        <f t="shared" si="8"/>
        <v>147</v>
      </c>
      <c r="B240" s="477" t="s">
        <v>52</v>
      </c>
      <c r="C240" s="646" t="s">
        <v>885</v>
      </c>
      <c r="D240" s="456" t="str">
        <f>_xlfn.XLOOKUP(C240,EL!$E$4:$E$183,EL!$D$4:$D$183)</f>
        <v xml:space="preserve">Level 2 - Fuel Control Routing Layout </v>
      </c>
      <c r="E240" s="597" t="str">
        <f>IF(VLOOKUP(C240,EL!$E$4:$AC$505,7,0)="","",VLOOKUP(C240,EL!$E$4:$AC$1004,7,0))</f>
        <v/>
      </c>
      <c r="F240" s="462"/>
      <c r="G240" s="458" t="str">
        <f>IF(VLOOKUP(C240,EL!$E$4:$AC$514,5,0)="","",VLOOKUP(C240,EL!$E$4:$AC$514,5,0))</f>
        <v/>
      </c>
      <c r="H240" s="459" t="str">
        <f>IF(ISNA(MATCH($C240,EL!$E$4:$E$1012,0)),"",
IF($E240=0,IF(INDEX(EL!$R$4:$R$1012,MATCH($C240,EL!$E$4:$E$1012,0))="","",INDEX(EL!$R$4:$R$1012,MATCH($C240,EL!$E$4:$E$1012,0))),
IF($E240=1,IF(INDEX(EL!$W$4:$W$1012,MATCH($C240,EL!$E$4:$E$1012,0))="","",INDEX(EL!$W$4:$W$1012,MATCH($C240,EL!$E$4:$E$1012,0))),
IF($E240=2,IF(INDEX(EL!$AB$4:$AB$1012,MATCH($C240,EL!$E$4:$E$1012,0))="","",INDEX(EL!$AB$4:$AB$1012,MATCH($C240,EL!$E$4:$E$1012,0))),
IF($E240=3,IF(INDEX(EL!$AG$4:$AG$1012,MATCH($C240,EL!$E$4:$E$1012,0))="","",INDEX(EL!$AG$4:$AG$1012,MATCH($C240,EL!$E$4:$E$1012,0))),
IF($E240=4,IF(INDEX(EL!$AN$4:$AN$1012,MATCH($C240,EL!$E$4:$E$1012,0))="","",INDEX(EL!$AN$4:$AN$1012,MATCH($C240,EL!$E$4:$E$1012,0))),
IF($E240=5,IF(INDEX(EL!$AS$4:$AS$1012,MATCH($C240,EL!$E$4:$E$1012,0))="","",INDEX(EL!$AS$4:$AS$1012,MATCH($C240,EL!$E$4:$E$1012,0))),"")))))))</f>
        <v/>
      </c>
      <c r="I240" s="459" t="str">
        <f>IF(ISNA(MATCH($C240,EL!$E$4:$E$1012,0)),"",
IF($E240=0,IF(INDEX(EL!$S$4:$S$1012,MATCH($C240,EL!$E$4:$E$1012,0))="","",INDEX(EL!$S$4:$S$1012,MATCH($C240,EL!$E$4:$E$1012,0))),
IF($E240=1,IF(INDEX(EL!$X$4:$X$1012,MATCH($C240,EL!$E$4:$E$1012,0))="","",INDEX(EL!$X$4:$X$1012,MATCH($C240,EL!$E$4:$E$1012,0))),
IF($E240=2,IF(INDEX(EL!$AC$4:$AC$1012,MATCH($C240,EL!$E$4:$E$1012,0))="","",INDEX(EL!$AC$4:$AC$1012,MATCH($C240,EL!$E$4:$E$1012,0))),
IF($E240=3,IF(INDEX(EL!$AH$4:$AH$1012,MATCH($C240,EL!$E$4:$E$1012,0))="","",INDEX(EL!$AH$4:$AH$1012,MATCH($C240,EL!$E$4:$E$1012,0))),
IF($E240=4,IF(INDEX(EL!$AM$4:$AM$1012,MATCH($C240,EL!$E$4:$E$1012,0))="","",INDEX(EL!$AM$4:$AM$1012,MATCH($C240,EL!$E$4:$E$1012,0))),
IF($E240=5,IF(INDEX(EL!$AR$4:$AR$1012,MATCH($C240,EL!$E$4:$E$1012,0))="","",INDEX(EL!$AR$4:$AR$1012,MATCH($C240,EL!$E$4:$E$1012,0))),"")))))))</f>
        <v/>
      </c>
      <c r="J240" s="459" t="str">
        <f>IF(ISNA(MATCH($C240,EL!$E$4:$E$1012,0)),"",
IF($E240=0,IF(INDEX(EL!$T$4:$T$1012,MATCH($C240,EL!$E$4:$E$1012,0))="","",INDEX(EL!$T$4:$T$1012,MATCH($C240,EL!$E$4:$E$1012,0))),
IF($E240=1,IF(INDEX(EL!$Y$4:$Y$1012,MATCH($C240,EL!$E$4:$E$1012,0))="","",INDEX(EL!$Y$4:$Y$1012,MATCH($C240,EL!$E$4:$E$1012,0))),
IF($E240=2,IF(INDEX(EL!$AD$4:$AD$1012,MATCH($C240,EL!$E$4:$E$1012,0))="","",INDEX(EL!$AD$4:$AD$1012,MATCH($C240,EL!$E$4:$E$1012,0))),
IF($E240=3,IF(INDEX(EL!$AI$4:$AI$1012,MATCH($C240,EL!$E$4:$E$1012,0))="","",INDEX(EL!$AI$4:$AI$1012,MATCH($C240,EL!$E$4:$E$1012,0))),
IF($E240=4,IF(INDEX(EL!$AN$4:$AN$1012,MATCH($C240,EL!$E$4:$E$1012,0))="","",INDEX(EL!$AN$4:$AN$1012,MATCH($C240,EL!$E$4:$E$1012,0))),
IF($E240=5,IF(INDEX(EL!$AS$4:$AS$1012,MATCH($C240,EL!$E$4:$E$1012,0))="","",INDEX(EL!$AS$4:$AS$1012,MATCH($C240,EL!$E$4:$E$1012,0))),"")))))))</f>
        <v/>
      </c>
      <c r="K240" s="459">
        <f>EL!L154</f>
        <v>0</v>
      </c>
      <c r="L240" s="460" t="e" cm="1">
        <f t="array" aca="1" ref="L240" ca="1">_xlfn.IFS(AND($E240&lt;&gt;"",$M240="Pending",$K240="CTA"),TODAY()-$G240,AND($E240&lt;&gt;"",$M240="Pending",$K240="AUR"),TODAY()-$H240,AND($E240&lt;&gt;"",$M240="Pending",$K240="STT"),TODAY()-$I240,OR(K240="Closed",K240=""),"")</f>
        <v>#N/A</v>
      </c>
      <c r="M240" s="461">
        <f>VLOOKUP(C240,EL!$E$4:$AC$622,9,0)</f>
        <v>0</v>
      </c>
      <c r="N240" s="461" t="str">
        <f t="shared" si="7"/>
        <v/>
      </c>
      <c r="O240" s="739" t="str">
        <f>EL!O154</f>
        <v>GC</v>
      </c>
      <c r="P240" s="746" t="str">
        <v>NO</v>
      </c>
    </row>
    <row r="241" spans="1:16" s="385" customFormat="1" ht="27" customHeight="1">
      <c r="A241" s="399">
        <f t="shared" si="8"/>
        <v>148</v>
      </c>
      <c r="B241" s="477" t="s">
        <v>52</v>
      </c>
      <c r="C241" s="646" t="s">
        <v>888</v>
      </c>
      <c r="D241" s="456" t="str">
        <f>_xlfn.XLOOKUP(C241,EL!$E$4:$E$183,EL!$D$4:$D$183)</f>
        <v>Level 3 - Communications Routing Layout</v>
      </c>
      <c r="E241" s="597">
        <f>IF(VLOOKUP(C241,EL!$E$4:$AC$505,7,0)="","",VLOOKUP(C241,EL!$E$4:$AC$1004,7,0))</f>
        <v>0</v>
      </c>
      <c r="F241" s="462"/>
      <c r="G241" s="458">
        <f>IF(VLOOKUP(C241,EL!$E$4:$AC$514,5,0)="","",VLOOKUP(C241,EL!$E$4:$AC$514,5,0))</f>
        <v>46065</v>
      </c>
      <c r="H241" s="459" t="str">
        <f>IF(ISNA(MATCH($C241,EL!$E$4:$E$1012,0)),"",
IF($E241=0,IF(INDEX(EL!$R$4:$R$1012,MATCH($C241,EL!$E$4:$E$1012,0))="","",INDEX(EL!$R$4:$R$1012,MATCH($C241,EL!$E$4:$E$1012,0))),
IF($E241=1,IF(INDEX(EL!$W$4:$W$1012,MATCH($C241,EL!$E$4:$E$1012,0))="","",INDEX(EL!$W$4:$W$1012,MATCH($C241,EL!$E$4:$E$1012,0))),
IF($E241=2,IF(INDEX(EL!$AB$4:$AB$1012,MATCH($C241,EL!$E$4:$E$1012,0))="","",INDEX(EL!$AB$4:$AB$1012,MATCH($C241,EL!$E$4:$E$1012,0))),
IF($E241=3,IF(INDEX(EL!$AG$4:$AG$1012,MATCH($C241,EL!$E$4:$E$1012,0))="","",INDEX(EL!$AG$4:$AG$1012,MATCH($C241,EL!$E$4:$E$1012,0))),
IF($E241=4,IF(INDEX(EL!$AN$4:$AN$1012,MATCH($C241,EL!$E$4:$E$1012,0))="","",INDEX(EL!$AN$4:$AN$1012,MATCH($C241,EL!$E$4:$E$1012,0))),
IF($E241=5,IF(INDEX(EL!$AS$4:$AS$1012,MATCH($C241,EL!$E$4:$E$1012,0))="","",INDEX(EL!$AS$4:$AS$1012,MATCH($C241,EL!$E$4:$E$1012,0))),"")))))))</f>
        <v/>
      </c>
      <c r="I241" s="459" t="str">
        <f>IF(ISNA(MATCH($C241,EL!$E$4:$E$1012,0)),"",
IF($E241=0,IF(INDEX(EL!$S$4:$S$1012,MATCH($C241,EL!$E$4:$E$1012,0))="","",INDEX(EL!$S$4:$S$1012,MATCH($C241,EL!$E$4:$E$1012,0))),
IF($E241=1,IF(INDEX(EL!$X$4:$X$1012,MATCH($C241,EL!$E$4:$E$1012,0))="","",INDEX(EL!$X$4:$X$1012,MATCH($C241,EL!$E$4:$E$1012,0))),
IF($E241=2,IF(INDEX(EL!$AC$4:$AC$1012,MATCH($C241,EL!$E$4:$E$1012,0))="","",INDEX(EL!$AC$4:$AC$1012,MATCH($C241,EL!$E$4:$E$1012,0))),
IF($E241=3,IF(INDEX(EL!$AH$4:$AH$1012,MATCH($C241,EL!$E$4:$E$1012,0))="","",INDEX(EL!$AH$4:$AH$1012,MATCH($C241,EL!$E$4:$E$1012,0))),
IF($E241=4,IF(INDEX(EL!$AM$4:$AM$1012,MATCH($C241,EL!$E$4:$E$1012,0))="","",INDEX(EL!$AM$4:$AM$1012,MATCH($C241,EL!$E$4:$E$1012,0))),
IF($E241=5,IF(INDEX(EL!$AR$4:$AR$1012,MATCH($C241,EL!$E$4:$E$1012,0))="","",INDEX(EL!$AR$4:$AR$1012,MATCH($C241,EL!$E$4:$E$1012,0))),"")))))))</f>
        <v/>
      </c>
      <c r="J241" s="459" t="str">
        <f>IF(ISNA(MATCH($C241,EL!$E$4:$E$1012,0)),"",
IF($E241=0,IF(INDEX(EL!$T$4:$T$1012,MATCH($C241,EL!$E$4:$E$1012,0))="","",INDEX(EL!$T$4:$T$1012,MATCH($C241,EL!$E$4:$E$1012,0))),
IF($E241=1,IF(INDEX(EL!$Y$4:$Y$1012,MATCH($C241,EL!$E$4:$E$1012,0))="","",INDEX(EL!$Y$4:$Y$1012,MATCH($C241,EL!$E$4:$E$1012,0))),
IF($E241=2,IF(INDEX(EL!$AD$4:$AD$1012,MATCH($C241,EL!$E$4:$E$1012,0))="","",INDEX(EL!$AD$4:$AD$1012,MATCH($C241,EL!$E$4:$E$1012,0))),
IF($E241=3,IF(INDEX(EL!$AI$4:$AI$1012,MATCH($C241,EL!$E$4:$E$1012,0))="","",INDEX(EL!$AI$4:$AI$1012,MATCH($C241,EL!$E$4:$E$1012,0))),
IF($E241=4,IF(INDEX(EL!$AN$4:$AN$1012,MATCH($C241,EL!$E$4:$E$1012,0))="","",INDEX(EL!$AN$4:$AN$1012,MATCH($C241,EL!$E$4:$E$1012,0))),
IF($E241=5,IF(INDEX(EL!$AS$4:$AS$1012,MATCH($C241,EL!$E$4:$E$1012,0))="","",INDEX(EL!$AS$4:$AS$1012,MATCH($C241,EL!$E$4:$E$1012,0))),"")))))))</f>
        <v/>
      </c>
      <c r="K241" s="459" t="str">
        <f>EL!L155</f>
        <v>CTA</v>
      </c>
      <c r="L241" s="460" cm="1">
        <f t="array" aca="1" ref="L241" ca="1">_xlfn.IFS(AND($E241&lt;&gt;"",$M241="Pending",$K241="CTA"),TODAY()-$G241,AND($E241&lt;&gt;"",$M241="Pending",$K241="AUR"),TODAY()-$H241,AND($E241&lt;&gt;"",$M241="Pending",$K241="STT"),TODAY()-$I241,OR(K241="Closed",K241=""),"")</f>
        <v>1</v>
      </c>
      <c r="M241" s="461" t="str">
        <f>VLOOKUP(C241,EL!$E$4:$AC$622,9,0)</f>
        <v>Pending</v>
      </c>
      <c r="N241" s="461" t="str">
        <f t="shared" ca="1" si="7"/>
        <v/>
      </c>
      <c r="O241" s="739" t="str">
        <f>EL!O155</f>
        <v>GC</v>
      </c>
      <c r="P241" s="746" t="str">
        <v>NO</v>
      </c>
    </row>
    <row r="242" spans="1:16" s="385" customFormat="1" ht="27" customHeight="1">
      <c r="A242" s="399">
        <f t="shared" si="8"/>
        <v>149</v>
      </c>
      <c r="B242" s="477" t="s">
        <v>52</v>
      </c>
      <c r="C242" s="646" t="s">
        <v>891</v>
      </c>
      <c r="D242" s="456" t="str">
        <f>_xlfn.XLOOKUP(C242,EL!$E$4:$E$183,EL!$D$4:$D$183)</f>
        <v>Level 4 - Communications Routing Layout</v>
      </c>
      <c r="E242" s="597">
        <f>IF(VLOOKUP(C242,EL!$E$4:$AC$505,7,0)="","",VLOOKUP(C242,EL!$E$4:$AC$1004,7,0))</f>
        <v>0</v>
      </c>
      <c r="F242" s="462"/>
      <c r="G242" s="458">
        <f>IF(VLOOKUP(C242,EL!$E$4:$AC$514,5,0)="","",VLOOKUP(C242,EL!$E$4:$AC$514,5,0))</f>
        <v>46065</v>
      </c>
      <c r="H242" s="459" t="str">
        <f>IF(ISNA(MATCH($C242,EL!$E$4:$E$1012,0)),"",
IF($E242=0,IF(INDEX(EL!$R$4:$R$1012,MATCH($C242,EL!$E$4:$E$1012,0))="","",INDEX(EL!$R$4:$R$1012,MATCH($C242,EL!$E$4:$E$1012,0))),
IF($E242=1,IF(INDEX(EL!$W$4:$W$1012,MATCH($C242,EL!$E$4:$E$1012,0))="","",INDEX(EL!$W$4:$W$1012,MATCH($C242,EL!$E$4:$E$1012,0))),
IF($E242=2,IF(INDEX(EL!$AB$4:$AB$1012,MATCH($C242,EL!$E$4:$E$1012,0))="","",INDEX(EL!$AB$4:$AB$1012,MATCH($C242,EL!$E$4:$E$1012,0))),
IF($E242=3,IF(INDEX(EL!$AG$4:$AG$1012,MATCH($C242,EL!$E$4:$E$1012,0))="","",INDEX(EL!$AG$4:$AG$1012,MATCH($C242,EL!$E$4:$E$1012,0))),
IF($E242=4,IF(INDEX(EL!$AN$4:$AN$1012,MATCH($C242,EL!$E$4:$E$1012,0))="","",INDEX(EL!$AN$4:$AN$1012,MATCH($C242,EL!$E$4:$E$1012,0))),
IF($E242=5,IF(INDEX(EL!$AS$4:$AS$1012,MATCH($C242,EL!$E$4:$E$1012,0))="","",INDEX(EL!$AS$4:$AS$1012,MATCH($C242,EL!$E$4:$E$1012,0))),"")))))))</f>
        <v/>
      </c>
      <c r="I242" s="459" t="str">
        <f>IF(ISNA(MATCH($C242,EL!$E$4:$E$1012,0)),"",
IF($E242=0,IF(INDEX(EL!$S$4:$S$1012,MATCH($C242,EL!$E$4:$E$1012,0))="","",INDEX(EL!$S$4:$S$1012,MATCH($C242,EL!$E$4:$E$1012,0))),
IF($E242=1,IF(INDEX(EL!$X$4:$X$1012,MATCH($C242,EL!$E$4:$E$1012,0))="","",INDEX(EL!$X$4:$X$1012,MATCH($C242,EL!$E$4:$E$1012,0))),
IF($E242=2,IF(INDEX(EL!$AC$4:$AC$1012,MATCH($C242,EL!$E$4:$E$1012,0))="","",INDEX(EL!$AC$4:$AC$1012,MATCH($C242,EL!$E$4:$E$1012,0))),
IF($E242=3,IF(INDEX(EL!$AH$4:$AH$1012,MATCH($C242,EL!$E$4:$E$1012,0))="","",INDEX(EL!$AH$4:$AH$1012,MATCH($C242,EL!$E$4:$E$1012,0))),
IF($E242=4,IF(INDEX(EL!$AM$4:$AM$1012,MATCH($C242,EL!$E$4:$E$1012,0))="","",INDEX(EL!$AM$4:$AM$1012,MATCH($C242,EL!$E$4:$E$1012,0))),
IF($E242=5,IF(INDEX(EL!$AR$4:$AR$1012,MATCH($C242,EL!$E$4:$E$1012,0))="","",INDEX(EL!$AR$4:$AR$1012,MATCH($C242,EL!$E$4:$E$1012,0))),"")))))))</f>
        <v/>
      </c>
      <c r="J242" s="459" t="str">
        <f>IF(ISNA(MATCH($C242,EL!$E$4:$E$1012,0)),"",
IF($E242=0,IF(INDEX(EL!$T$4:$T$1012,MATCH($C242,EL!$E$4:$E$1012,0))="","",INDEX(EL!$T$4:$T$1012,MATCH($C242,EL!$E$4:$E$1012,0))),
IF($E242=1,IF(INDEX(EL!$Y$4:$Y$1012,MATCH($C242,EL!$E$4:$E$1012,0))="","",INDEX(EL!$Y$4:$Y$1012,MATCH($C242,EL!$E$4:$E$1012,0))),
IF($E242=2,IF(INDEX(EL!$AD$4:$AD$1012,MATCH($C242,EL!$E$4:$E$1012,0))="","",INDEX(EL!$AD$4:$AD$1012,MATCH($C242,EL!$E$4:$E$1012,0))),
IF($E242=3,IF(INDEX(EL!$AI$4:$AI$1012,MATCH($C242,EL!$E$4:$E$1012,0))="","",INDEX(EL!$AI$4:$AI$1012,MATCH($C242,EL!$E$4:$E$1012,0))),
IF($E242=4,IF(INDEX(EL!$AN$4:$AN$1012,MATCH($C242,EL!$E$4:$E$1012,0))="","",INDEX(EL!$AN$4:$AN$1012,MATCH($C242,EL!$E$4:$E$1012,0))),
IF($E242=5,IF(INDEX(EL!$AS$4:$AS$1012,MATCH($C242,EL!$E$4:$E$1012,0))="","",INDEX(EL!$AS$4:$AS$1012,MATCH($C242,EL!$E$4:$E$1012,0))),"")))))))</f>
        <v/>
      </c>
      <c r="K242" s="459" t="str">
        <f>EL!L156</f>
        <v>CTA</v>
      </c>
      <c r="L242" s="460" cm="1">
        <f t="array" aca="1" ref="L242" ca="1">_xlfn.IFS(AND($E242&lt;&gt;"",$M242="Pending",$K242="CTA"),TODAY()-$G242,AND($E242&lt;&gt;"",$M242="Pending",$K242="AUR"),TODAY()-$H242,AND($E242&lt;&gt;"",$M242="Pending",$K242="STT"),TODAY()-$I242,OR(K242="Closed",K242=""),"")</f>
        <v>1</v>
      </c>
      <c r="M242" s="461" t="str">
        <f>VLOOKUP(C242,EL!$E$4:$AC$622,9,0)</f>
        <v>Pending</v>
      </c>
      <c r="N242" s="461" t="str">
        <f t="shared" ca="1" si="7"/>
        <v/>
      </c>
      <c r="O242" s="739" t="str">
        <f>EL!O156</f>
        <v>GC</v>
      </c>
      <c r="P242" s="746" t="str">
        <v>NO</v>
      </c>
    </row>
    <row r="243" spans="1:16" s="385" customFormat="1" ht="27" customHeight="1">
      <c r="A243" s="399">
        <f t="shared" si="8"/>
        <v>150</v>
      </c>
      <c r="B243" s="477" t="s">
        <v>52</v>
      </c>
      <c r="C243" s="646" t="s">
        <v>894</v>
      </c>
      <c r="D243" s="456" t="str">
        <f>_xlfn.XLOOKUP(C243,EL!$E$4:$E$183,EL!$D$4:$D$183)</f>
        <v>Level 5 - Communications Routing Layout</v>
      </c>
      <c r="E243" s="597">
        <f>IF(VLOOKUP(C243,EL!$E$4:$AC$505,7,0)="","",VLOOKUP(C243,EL!$E$4:$AC$1004,7,0))</f>
        <v>0</v>
      </c>
      <c r="F243" s="462"/>
      <c r="G243" s="458">
        <f>IF(VLOOKUP(C243,EL!$E$4:$AC$514,5,0)="","",VLOOKUP(C243,EL!$E$4:$AC$514,5,0))</f>
        <v>46065</v>
      </c>
      <c r="H243" s="459" t="str">
        <f>IF(ISNA(MATCH($C243,EL!$E$4:$E$1012,0)),"",
IF($E243=0,IF(INDEX(EL!$R$4:$R$1012,MATCH($C243,EL!$E$4:$E$1012,0))="","",INDEX(EL!$R$4:$R$1012,MATCH($C243,EL!$E$4:$E$1012,0))),
IF($E243=1,IF(INDEX(EL!$W$4:$W$1012,MATCH($C243,EL!$E$4:$E$1012,0))="","",INDEX(EL!$W$4:$W$1012,MATCH($C243,EL!$E$4:$E$1012,0))),
IF($E243=2,IF(INDEX(EL!$AB$4:$AB$1012,MATCH($C243,EL!$E$4:$E$1012,0))="","",INDEX(EL!$AB$4:$AB$1012,MATCH($C243,EL!$E$4:$E$1012,0))),
IF($E243=3,IF(INDEX(EL!$AG$4:$AG$1012,MATCH($C243,EL!$E$4:$E$1012,0))="","",INDEX(EL!$AG$4:$AG$1012,MATCH($C243,EL!$E$4:$E$1012,0))),
IF($E243=4,IF(INDEX(EL!$AN$4:$AN$1012,MATCH($C243,EL!$E$4:$E$1012,0))="","",INDEX(EL!$AN$4:$AN$1012,MATCH($C243,EL!$E$4:$E$1012,0))),
IF($E243=5,IF(INDEX(EL!$AS$4:$AS$1012,MATCH($C243,EL!$E$4:$E$1012,0))="","",INDEX(EL!$AS$4:$AS$1012,MATCH($C243,EL!$E$4:$E$1012,0))),"")))))))</f>
        <v/>
      </c>
      <c r="I243" s="459" t="str">
        <f>IF(ISNA(MATCH($C243,EL!$E$4:$E$1012,0)),"",
IF($E243=0,IF(INDEX(EL!$S$4:$S$1012,MATCH($C243,EL!$E$4:$E$1012,0))="","",INDEX(EL!$S$4:$S$1012,MATCH($C243,EL!$E$4:$E$1012,0))),
IF($E243=1,IF(INDEX(EL!$X$4:$X$1012,MATCH($C243,EL!$E$4:$E$1012,0))="","",INDEX(EL!$X$4:$X$1012,MATCH($C243,EL!$E$4:$E$1012,0))),
IF($E243=2,IF(INDEX(EL!$AC$4:$AC$1012,MATCH($C243,EL!$E$4:$E$1012,0))="","",INDEX(EL!$AC$4:$AC$1012,MATCH($C243,EL!$E$4:$E$1012,0))),
IF($E243=3,IF(INDEX(EL!$AH$4:$AH$1012,MATCH($C243,EL!$E$4:$E$1012,0))="","",INDEX(EL!$AH$4:$AH$1012,MATCH($C243,EL!$E$4:$E$1012,0))),
IF($E243=4,IF(INDEX(EL!$AM$4:$AM$1012,MATCH($C243,EL!$E$4:$E$1012,0))="","",INDEX(EL!$AM$4:$AM$1012,MATCH($C243,EL!$E$4:$E$1012,0))),
IF($E243=5,IF(INDEX(EL!$AR$4:$AR$1012,MATCH($C243,EL!$E$4:$E$1012,0))="","",INDEX(EL!$AR$4:$AR$1012,MATCH($C243,EL!$E$4:$E$1012,0))),"")))))))</f>
        <v/>
      </c>
      <c r="J243" s="459" t="str">
        <f>IF(ISNA(MATCH($C243,EL!$E$4:$E$1012,0)),"",
IF($E243=0,IF(INDEX(EL!$T$4:$T$1012,MATCH($C243,EL!$E$4:$E$1012,0))="","",INDEX(EL!$T$4:$T$1012,MATCH($C243,EL!$E$4:$E$1012,0))),
IF($E243=1,IF(INDEX(EL!$Y$4:$Y$1012,MATCH($C243,EL!$E$4:$E$1012,0))="","",INDEX(EL!$Y$4:$Y$1012,MATCH($C243,EL!$E$4:$E$1012,0))),
IF($E243=2,IF(INDEX(EL!$AD$4:$AD$1012,MATCH($C243,EL!$E$4:$E$1012,0))="","",INDEX(EL!$AD$4:$AD$1012,MATCH($C243,EL!$E$4:$E$1012,0))),
IF($E243=3,IF(INDEX(EL!$AI$4:$AI$1012,MATCH($C243,EL!$E$4:$E$1012,0))="","",INDEX(EL!$AI$4:$AI$1012,MATCH($C243,EL!$E$4:$E$1012,0))),
IF($E243=4,IF(INDEX(EL!$AN$4:$AN$1012,MATCH($C243,EL!$E$4:$E$1012,0))="","",INDEX(EL!$AN$4:$AN$1012,MATCH($C243,EL!$E$4:$E$1012,0))),
IF($E243=5,IF(INDEX(EL!$AS$4:$AS$1012,MATCH($C243,EL!$E$4:$E$1012,0))="","",INDEX(EL!$AS$4:$AS$1012,MATCH($C243,EL!$E$4:$E$1012,0))),"")))))))</f>
        <v/>
      </c>
      <c r="K243" s="459" t="str">
        <f>EL!L157</f>
        <v>CTA</v>
      </c>
      <c r="L243" s="460" cm="1">
        <f t="array" aca="1" ref="L243" ca="1">_xlfn.IFS(AND($E243&lt;&gt;"",$M243="Pending",$K243="CTA"),TODAY()-$G243,AND($E243&lt;&gt;"",$M243="Pending",$K243="AUR"),TODAY()-$H243,AND($E243&lt;&gt;"",$M243="Pending",$K243="STT"),TODAY()-$I243,OR(K243="Closed",K243=""),"")</f>
        <v>1</v>
      </c>
      <c r="M243" s="461" t="str">
        <f>VLOOKUP(C243,EL!$E$4:$AC$622,9,0)</f>
        <v>Pending</v>
      </c>
      <c r="N243" s="461" t="str">
        <f t="shared" ca="1" si="7"/>
        <v/>
      </c>
      <c r="O243" s="739" t="str">
        <f>EL!O157</f>
        <v>GC</v>
      </c>
      <c r="P243" s="746" t="str">
        <v>YES</v>
      </c>
    </row>
    <row r="244" spans="1:16" s="385" customFormat="1" ht="27" hidden="1" customHeight="1">
      <c r="A244" s="399">
        <f t="shared" ref="A244:A275" si="9">A243+1</f>
        <v>151</v>
      </c>
      <c r="B244" s="477" t="s">
        <v>52</v>
      </c>
      <c r="C244" s="646" t="s">
        <v>897</v>
      </c>
      <c r="D244" s="456" t="str">
        <f>_xlfn.XLOOKUP(C244,EL!$E$4:$E$183,EL!$D$4:$D$183)</f>
        <v xml:space="preserve">Level 6 - ECMS Routing Layout </v>
      </c>
      <c r="E244" s="597" t="str">
        <f>IF(VLOOKUP(C244,EL!$E$4:$AC$505,7,0)="","",VLOOKUP(C244,EL!$E$4:$AC$1004,7,0))</f>
        <v/>
      </c>
      <c r="F244" s="462"/>
      <c r="G244" s="458" t="str">
        <f>IF(VLOOKUP(C244,EL!$E$4:$AC$514,5,0)="","",VLOOKUP(C244,EL!$E$4:$AC$514,5,0))</f>
        <v/>
      </c>
      <c r="H244" s="459" t="str">
        <f>IF(ISNA(MATCH($C244,EL!$E$4:$E$1012,0)),"",
IF($E244=0,IF(INDEX(EL!$R$4:$R$1012,MATCH($C244,EL!$E$4:$E$1012,0))="","",INDEX(EL!$R$4:$R$1012,MATCH($C244,EL!$E$4:$E$1012,0))),
IF($E244=1,IF(INDEX(EL!$W$4:$W$1012,MATCH($C244,EL!$E$4:$E$1012,0))="","",INDEX(EL!$W$4:$W$1012,MATCH($C244,EL!$E$4:$E$1012,0))),
IF($E244=2,IF(INDEX(EL!$AB$4:$AB$1012,MATCH($C244,EL!$E$4:$E$1012,0))="","",INDEX(EL!$AB$4:$AB$1012,MATCH($C244,EL!$E$4:$E$1012,0))),
IF($E244=3,IF(INDEX(EL!$AG$4:$AG$1012,MATCH($C244,EL!$E$4:$E$1012,0))="","",INDEX(EL!$AG$4:$AG$1012,MATCH($C244,EL!$E$4:$E$1012,0))),
IF($E244=4,IF(INDEX(EL!$AN$4:$AN$1012,MATCH($C244,EL!$E$4:$E$1012,0))="","",INDEX(EL!$AN$4:$AN$1012,MATCH($C244,EL!$E$4:$E$1012,0))),
IF($E244=5,IF(INDEX(EL!$AS$4:$AS$1012,MATCH($C244,EL!$E$4:$E$1012,0))="","",INDEX(EL!$AS$4:$AS$1012,MATCH($C244,EL!$E$4:$E$1012,0))),"")))))))</f>
        <v/>
      </c>
      <c r="I244" s="459" t="str">
        <f>IF(ISNA(MATCH($C244,EL!$E$4:$E$1012,0)),"",
IF($E244=0,IF(INDEX(EL!$S$4:$S$1012,MATCH($C244,EL!$E$4:$E$1012,0))="","",INDEX(EL!$S$4:$S$1012,MATCH($C244,EL!$E$4:$E$1012,0))),
IF($E244=1,IF(INDEX(EL!$X$4:$X$1012,MATCH($C244,EL!$E$4:$E$1012,0))="","",INDEX(EL!$X$4:$X$1012,MATCH($C244,EL!$E$4:$E$1012,0))),
IF($E244=2,IF(INDEX(EL!$AC$4:$AC$1012,MATCH($C244,EL!$E$4:$E$1012,0))="","",INDEX(EL!$AC$4:$AC$1012,MATCH($C244,EL!$E$4:$E$1012,0))),
IF($E244=3,IF(INDEX(EL!$AH$4:$AH$1012,MATCH($C244,EL!$E$4:$E$1012,0))="","",INDEX(EL!$AH$4:$AH$1012,MATCH($C244,EL!$E$4:$E$1012,0))),
IF($E244=4,IF(INDEX(EL!$AM$4:$AM$1012,MATCH($C244,EL!$E$4:$E$1012,0))="","",INDEX(EL!$AM$4:$AM$1012,MATCH($C244,EL!$E$4:$E$1012,0))),
IF($E244=5,IF(INDEX(EL!$AR$4:$AR$1012,MATCH($C244,EL!$E$4:$E$1012,0))="","",INDEX(EL!$AR$4:$AR$1012,MATCH($C244,EL!$E$4:$E$1012,0))),"")))))))</f>
        <v/>
      </c>
      <c r="J244" s="459" t="str">
        <f>IF(ISNA(MATCH($C244,EL!$E$4:$E$1012,0)),"",
IF($E244=0,IF(INDEX(EL!$T$4:$T$1012,MATCH($C244,EL!$E$4:$E$1012,0))="","",INDEX(EL!$T$4:$T$1012,MATCH($C244,EL!$E$4:$E$1012,0))),
IF($E244=1,IF(INDEX(EL!$Y$4:$Y$1012,MATCH($C244,EL!$E$4:$E$1012,0))="","",INDEX(EL!$Y$4:$Y$1012,MATCH($C244,EL!$E$4:$E$1012,0))),
IF($E244=2,IF(INDEX(EL!$AD$4:$AD$1012,MATCH($C244,EL!$E$4:$E$1012,0))="","",INDEX(EL!$AD$4:$AD$1012,MATCH($C244,EL!$E$4:$E$1012,0))),
IF($E244=3,IF(INDEX(EL!$AI$4:$AI$1012,MATCH($C244,EL!$E$4:$E$1012,0))="","",INDEX(EL!$AI$4:$AI$1012,MATCH($C244,EL!$E$4:$E$1012,0))),
IF($E244=4,IF(INDEX(EL!$AN$4:$AN$1012,MATCH($C244,EL!$E$4:$E$1012,0))="","",INDEX(EL!$AN$4:$AN$1012,MATCH($C244,EL!$E$4:$E$1012,0))),
IF($E244=5,IF(INDEX(EL!$AS$4:$AS$1012,MATCH($C244,EL!$E$4:$E$1012,0))="","",INDEX(EL!$AS$4:$AS$1012,MATCH($C244,EL!$E$4:$E$1012,0))),"")))))))</f>
        <v/>
      </c>
      <c r="K244" s="459">
        <f>EL!L158</f>
        <v>0</v>
      </c>
      <c r="L244" s="460" t="e" cm="1">
        <f t="array" aca="1" ref="L244" ca="1">_xlfn.IFS(AND($E244&lt;&gt;"",$M244="Pending",$K244="CTA"),TODAY()-$G244,AND($E244&lt;&gt;"",$M244="Pending",$K244="AUR"),TODAY()-$H244,AND($E244&lt;&gt;"",$M244="Pending",$K244="STT"),TODAY()-$I244,OR(K244="Closed",K244=""),"")</f>
        <v>#N/A</v>
      </c>
      <c r="M244" s="461">
        <f>VLOOKUP(C244,EL!$E$4:$AC$622,9,0)</f>
        <v>0</v>
      </c>
      <c r="N244" s="461" t="str">
        <f t="shared" si="7"/>
        <v/>
      </c>
      <c r="O244" s="739" t="str">
        <f>EL!O158</f>
        <v>GC</v>
      </c>
      <c r="P244" s="746" t="str">
        <v>YES</v>
      </c>
    </row>
    <row r="245" spans="1:16" s="385" customFormat="1" ht="27" hidden="1" customHeight="1">
      <c r="A245" s="399">
        <f t="shared" si="9"/>
        <v>152</v>
      </c>
      <c r="B245" s="477" t="s">
        <v>52</v>
      </c>
      <c r="C245" s="646" t="s">
        <v>900</v>
      </c>
      <c r="D245" s="456" t="str">
        <f>_xlfn.XLOOKUP(C245,EL!$E$4:$E$183,EL!$D$4:$D$183)</f>
        <v xml:space="preserve">Level 6 - Bms Routing Layout </v>
      </c>
      <c r="E245" s="597" t="str">
        <f>IF(VLOOKUP(C245,EL!$E$4:$AC$505,7,0)="","",VLOOKUP(C245,EL!$E$4:$AC$1004,7,0))</f>
        <v/>
      </c>
      <c r="F245" s="462"/>
      <c r="G245" s="458" t="str">
        <f>IF(VLOOKUP(C245,EL!$E$4:$AC$514,5,0)="","",VLOOKUP(C245,EL!$E$4:$AC$514,5,0))</f>
        <v/>
      </c>
      <c r="H245" s="459" t="str">
        <f>IF(ISNA(MATCH($C245,EL!$E$4:$E$1012,0)),"",
IF($E245=0,IF(INDEX(EL!$R$4:$R$1012,MATCH($C245,EL!$E$4:$E$1012,0))="","",INDEX(EL!$R$4:$R$1012,MATCH($C245,EL!$E$4:$E$1012,0))),
IF($E245=1,IF(INDEX(EL!$W$4:$W$1012,MATCH($C245,EL!$E$4:$E$1012,0))="","",INDEX(EL!$W$4:$W$1012,MATCH($C245,EL!$E$4:$E$1012,0))),
IF($E245=2,IF(INDEX(EL!$AB$4:$AB$1012,MATCH($C245,EL!$E$4:$E$1012,0))="","",INDEX(EL!$AB$4:$AB$1012,MATCH($C245,EL!$E$4:$E$1012,0))),
IF($E245=3,IF(INDEX(EL!$AG$4:$AG$1012,MATCH($C245,EL!$E$4:$E$1012,0))="","",INDEX(EL!$AG$4:$AG$1012,MATCH($C245,EL!$E$4:$E$1012,0))),
IF($E245=4,IF(INDEX(EL!$AN$4:$AN$1012,MATCH($C245,EL!$E$4:$E$1012,0))="","",INDEX(EL!$AN$4:$AN$1012,MATCH($C245,EL!$E$4:$E$1012,0))),
IF($E245=5,IF(INDEX(EL!$AS$4:$AS$1012,MATCH($C245,EL!$E$4:$E$1012,0))="","",INDEX(EL!$AS$4:$AS$1012,MATCH($C245,EL!$E$4:$E$1012,0))),"")))))))</f>
        <v/>
      </c>
      <c r="I245" s="459" t="str">
        <f>IF(ISNA(MATCH($C245,EL!$E$4:$E$1012,0)),"",
IF($E245=0,IF(INDEX(EL!$S$4:$S$1012,MATCH($C245,EL!$E$4:$E$1012,0))="","",INDEX(EL!$S$4:$S$1012,MATCH($C245,EL!$E$4:$E$1012,0))),
IF($E245=1,IF(INDEX(EL!$X$4:$X$1012,MATCH($C245,EL!$E$4:$E$1012,0))="","",INDEX(EL!$X$4:$X$1012,MATCH($C245,EL!$E$4:$E$1012,0))),
IF($E245=2,IF(INDEX(EL!$AC$4:$AC$1012,MATCH($C245,EL!$E$4:$E$1012,0))="","",INDEX(EL!$AC$4:$AC$1012,MATCH($C245,EL!$E$4:$E$1012,0))),
IF($E245=3,IF(INDEX(EL!$AH$4:$AH$1012,MATCH($C245,EL!$E$4:$E$1012,0))="","",INDEX(EL!$AH$4:$AH$1012,MATCH($C245,EL!$E$4:$E$1012,0))),
IF($E245=4,IF(INDEX(EL!$AM$4:$AM$1012,MATCH($C245,EL!$E$4:$E$1012,0))="","",INDEX(EL!$AM$4:$AM$1012,MATCH($C245,EL!$E$4:$E$1012,0))),
IF($E245=5,IF(INDEX(EL!$AR$4:$AR$1012,MATCH($C245,EL!$E$4:$E$1012,0))="","",INDEX(EL!$AR$4:$AR$1012,MATCH($C245,EL!$E$4:$E$1012,0))),"")))))))</f>
        <v/>
      </c>
      <c r="J245" s="459" t="str">
        <f>IF(ISNA(MATCH($C245,EL!$E$4:$E$1012,0)),"",
IF($E245=0,IF(INDEX(EL!$T$4:$T$1012,MATCH($C245,EL!$E$4:$E$1012,0))="","",INDEX(EL!$T$4:$T$1012,MATCH($C245,EL!$E$4:$E$1012,0))),
IF($E245=1,IF(INDEX(EL!$Y$4:$Y$1012,MATCH($C245,EL!$E$4:$E$1012,0))="","",INDEX(EL!$Y$4:$Y$1012,MATCH($C245,EL!$E$4:$E$1012,0))),
IF($E245=2,IF(INDEX(EL!$AD$4:$AD$1012,MATCH($C245,EL!$E$4:$E$1012,0))="","",INDEX(EL!$AD$4:$AD$1012,MATCH($C245,EL!$E$4:$E$1012,0))),
IF($E245=3,IF(INDEX(EL!$AI$4:$AI$1012,MATCH($C245,EL!$E$4:$E$1012,0))="","",INDEX(EL!$AI$4:$AI$1012,MATCH($C245,EL!$E$4:$E$1012,0))),
IF($E245=4,IF(INDEX(EL!$AN$4:$AN$1012,MATCH($C245,EL!$E$4:$E$1012,0))="","",INDEX(EL!$AN$4:$AN$1012,MATCH($C245,EL!$E$4:$E$1012,0))),
IF($E245=5,IF(INDEX(EL!$AS$4:$AS$1012,MATCH($C245,EL!$E$4:$E$1012,0))="","",INDEX(EL!$AS$4:$AS$1012,MATCH($C245,EL!$E$4:$E$1012,0))),"")))))))</f>
        <v/>
      </c>
      <c r="K245" s="459">
        <f>EL!L159</f>
        <v>0</v>
      </c>
      <c r="L245" s="460" t="e" cm="1">
        <f t="array" aca="1" ref="L245" ca="1">_xlfn.IFS(AND($E245&lt;&gt;"",$M245="Pending",$K245="CTA"),TODAY()-$G245,AND($E245&lt;&gt;"",$M245="Pending",$K245="AUR"),TODAY()-$H245,AND($E245&lt;&gt;"",$M245="Pending",$K245="STT"),TODAY()-$I245,OR(K245="Closed",K245=""),"")</f>
        <v>#N/A</v>
      </c>
      <c r="M245" s="461">
        <f>VLOOKUP(C245,EL!$E$4:$AC$622,9,0)</f>
        <v>0</v>
      </c>
      <c r="N245" s="461" t="str">
        <f t="shared" si="7"/>
        <v/>
      </c>
      <c r="O245" s="739" t="str">
        <f>EL!O159</f>
        <v>GC</v>
      </c>
      <c r="P245" s="746" t="str">
        <v>NO</v>
      </c>
    </row>
    <row r="246" spans="1:16" s="385" customFormat="1" ht="27" hidden="1" customHeight="1">
      <c r="A246" s="399">
        <f t="shared" si="9"/>
        <v>153</v>
      </c>
      <c r="B246" s="477" t="s">
        <v>52</v>
      </c>
      <c r="C246" s="646" t="s">
        <v>903</v>
      </c>
      <c r="D246" s="456" t="str">
        <f>_xlfn.XLOOKUP(C246,EL!$E$4:$E$183,EL!$D$4:$D$183)</f>
        <v xml:space="preserve">Level 6 - PMS &amp; EMS Routing Layout </v>
      </c>
      <c r="E246" s="597" t="str">
        <f>IF(VLOOKUP(C246,EL!$E$4:$AC$505,7,0)="","",VLOOKUP(C246,EL!$E$4:$AC$1004,7,0))</f>
        <v/>
      </c>
      <c r="F246" s="462"/>
      <c r="G246" s="458" t="str">
        <f>IF(VLOOKUP(C246,EL!$E$4:$AC$514,5,0)="","",VLOOKUP(C246,EL!$E$4:$AC$514,5,0))</f>
        <v/>
      </c>
      <c r="H246" s="459" t="str">
        <f>IF(ISNA(MATCH($C246,EL!$E$4:$E$1012,0)),"",
IF($E246=0,IF(INDEX(EL!$R$4:$R$1012,MATCH($C246,EL!$E$4:$E$1012,0))="","",INDEX(EL!$R$4:$R$1012,MATCH($C246,EL!$E$4:$E$1012,0))),
IF($E246=1,IF(INDEX(EL!$W$4:$W$1012,MATCH($C246,EL!$E$4:$E$1012,0))="","",INDEX(EL!$W$4:$W$1012,MATCH($C246,EL!$E$4:$E$1012,0))),
IF($E246=2,IF(INDEX(EL!$AB$4:$AB$1012,MATCH($C246,EL!$E$4:$E$1012,0))="","",INDEX(EL!$AB$4:$AB$1012,MATCH($C246,EL!$E$4:$E$1012,0))),
IF($E246=3,IF(INDEX(EL!$AG$4:$AG$1012,MATCH($C246,EL!$E$4:$E$1012,0))="","",INDEX(EL!$AG$4:$AG$1012,MATCH($C246,EL!$E$4:$E$1012,0))),
IF($E246=4,IF(INDEX(EL!$AN$4:$AN$1012,MATCH($C246,EL!$E$4:$E$1012,0))="","",INDEX(EL!$AN$4:$AN$1012,MATCH($C246,EL!$E$4:$E$1012,0))),
IF($E246=5,IF(INDEX(EL!$AS$4:$AS$1012,MATCH($C246,EL!$E$4:$E$1012,0))="","",INDEX(EL!$AS$4:$AS$1012,MATCH($C246,EL!$E$4:$E$1012,0))),"")))))))</f>
        <v/>
      </c>
      <c r="I246" s="459" t="str">
        <f>IF(ISNA(MATCH($C246,EL!$E$4:$E$1012,0)),"",
IF($E246=0,IF(INDEX(EL!$S$4:$S$1012,MATCH($C246,EL!$E$4:$E$1012,0))="","",INDEX(EL!$S$4:$S$1012,MATCH($C246,EL!$E$4:$E$1012,0))),
IF($E246=1,IF(INDEX(EL!$X$4:$X$1012,MATCH($C246,EL!$E$4:$E$1012,0))="","",INDEX(EL!$X$4:$X$1012,MATCH($C246,EL!$E$4:$E$1012,0))),
IF($E246=2,IF(INDEX(EL!$AC$4:$AC$1012,MATCH($C246,EL!$E$4:$E$1012,0))="","",INDEX(EL!$AC$4:$AC$1012,MATCH($C246,EL!$E$4:$E$1012,0))),
IF($E246=3,IF(INDEX(EL!$AH$4:$AH$1012,MATCH($C246,EL!$E$4:$E$1012,0))="","",INDEX(EL!$AH$4:$AH$1012,MATCH($C246,EL!$E$4:$E$1012,0))),
IF($E246=4,IF(INDEX(EL!$AM$4:$AM$1012,MATCH($C246,EL!$E$4:$E$1012,0))="","",INDEX(EL!$AM$4:$AM$1012,MATCH($C246,EL!$E$4:$E$1012,0))),
IF($E246=5,IF(INDEX(EL!$AR$4:$AR$1012,MATCH($C246,EL!$E$4:$E$1012,0))="","",INDEX(EL!$AR$4:$AR$1012,MATCH($C246,EL!$E$4:$E$1012,0))),"")))))))</f>
        <v/>
      </c>
      <c r="J246" s="459" t="str">
        <f>IF(ISNA(MATCH($C246,EL!$E$4:$E$1012,0)),"",
IF($E246=0,IF(INDEX(EL!$T$4:$T$1012,MATCH($C246,EL!$E$4:$E$1012,0))="","",INDEX(EL!$T$4:$T$1012,MATCH($C246,EL!$E$4:$E$1012,0))),
IF($E246=1,IF(INDEX(EL!$Y$4:$Y$1012,MATCH($C246,EL!$E$4:$E$1012,0))="","",INDEX(EL!$Y$4:$Y$1012,MATCH($C246,EL!$E$4:$E$1012,0))),
IF($E246=2,IF(INDEX(EL!$AD$4:$AD$1012,MATCH($C246,EL!$E$4:$E$1012,0))="","",INDEX(EL!$AD$4:$AD$1012,MATCH($C246,EL!$E$4:$E$1012,0))),
IF($E246=3,IF(INDEX(EL!$AI$4:$AI$1012,MATCH($C246,EL!$E$4:$E$1012,0))="","",INDEX(EL!$AI$4:$AI$1012,MATCH($C246,EL!$E$4:$E$1012,0))),
IF($E246=4,IF(INDEX(EL!$AN$4:$AN$1012,MATCH($C246,EL!$E$4:$E$1012,0))="","",INDEX(EL!$AN$4:$AN$1012,MATCH($C246,EL!$E$4:$E$1012,0))),
IF($E246=5,IF(INDEX(EL!$AS$4:$AS$1012,MATCH($C246,EL!$E$4:$E$1012,0))="","",INDEX(EL!$AS$4:$AS$1012,MATCH($C246,EL!$E$4:$E$1012,0))),"")))))))</f>
        <v/>
      </c>
      <c r="K246" s="459">
        <f>EL!L160</f>
        <v>0</v>
      </c>
      <c r="L246" s="460" t="e" cm="1">
        <f t="array" aca="1" ref="L246" ca="1">_xlfn.IFS(AND($E246&lt;&gt;"",$M246="Pending",$K246="CTA"),TODAY()-$G246,AND($E246&lt;&gt;"",$M246="Pending",$K246="AUR"),TODAY()-$H246,AND($E246&lt;&gt;"",$M246="Pending",$K246="STT"),TODAY()-$I246,OR(K246="Closed",K246=""),"")</f>
        <v>#N/A</v>
      </c>
      <c r="M246" s="461">
        <f>VLOOKUP(C246,EL!$E$4:$AC$622,9,0)</f>
        <v>0</v>
      </c>
      <c r="N246" s="461" t="str">
        <f t="shared" si="7"/>
        <v/>
      </c>
      <c r="O246" s="739" t="str">
        <f>EL!O160</f>
        <v>GC</v>
      </c>
      <c r="P246" s="746" t="str">
        <v>NO</v>
      </c>
    </row>
    <row r="247" spans="1:16" s="385" customFormat="1" ht="27" hidden="1" customHeight="1">
      <c r="A247" s="399">
        <f t="shared" si="9"/>
        <v>154</v>
      </c>
      <c r="B247" s="477" t="s">
        <v>52</v>
      </c>
      <c r="C247" s="646" t="s">
        <v>906</v>
      </c>
      <c r="D247" s="456" t="str">
        <f>_xlfn.XLOOKUP(C247,EL!$E$4:$E$183,EL!$D$4:$D$183)</f>
        <v xml:space="preserve">Level 6 - Fuel Control Routing Layout </v>
      </c>
      <c r="E247" s="597" t="str">
        <f>IF(VLOOKUP(C247,EL!$E$4:$AC$505,7,0)="","",VLOOKUP(C247,EL!$E$4:$AC$1004,7,0))</f>
        <v/>
      </c>
      <c r="F247" s="462"/>
      <c r="G247" s="458" t="str">
        <f>IF(VLOOKUP(C247,EL!$E$4:$AC$514,5,0)="","",VLOOKUP(C247,EL!$E$4:$AC$514,5,0))</f>
        <v/>
      </c>
      <c r="H247" s="459" t="str">
        <f>IF(ISNA(MATCH($C247,EL!$E$4:$E$1012,0)),"",
IF($E247=0,IF(INDEX(EL!$R$4:$R$1012,MATCH($C247,EL!$E$4:$E$1012,0))="","",INDEX(EL!$R$4:$R$1012,MATCH($C247,EL!$E$4:$E$1012,0))),
IF($E247=1,IF(INDEX(EL!$W$4:$W$1012,MATCH($C247,EL!$E$4:$E$1012,0))="","",INDEX(EL!$W$4:$W$1012,MATCH($C247,EL!$E$4:$E$1012,0))),
IF($E247=2,IF(INDEX(EL!$AB$4:$AB$1012,MATCH($C247,EL!$E$4:$E$1012,0))="","",INDEX(EL!$AB$4:$AB$1012,MATCH($C247,EL!$E$4:$E$1012,0))),
IF($E247=3,IF(INDEX(EL!$AG$4:$AG$1012,MATCH($C247,EL!$E$4:$E$1012,0))="","",INDEX(EL!$AG$4:$AG$1012,MATCH($C247,EL!$E$4:$E$1012,0))),
IF($E247=4,IF(INDEX(EL!$AN$4:$AN$1012,MATCH($C247,EL!$E$4:$E$1012,0))="","",INDEX(EL!$AN$4:$AN$1012,MATCH($C247,EL!$E$4:$E$1012,0))),
IF($E247=5,IF(INDEX(EL!$AS$4:$AS$1012,MATCH($C247,EL!$E$4:$E$1012,0))="","",INDEX(EL!$AS$4:$AS$1012,MATCH($C247,EL!$E$4:$E$1012,0))),"")))))))</f>
        <v/>
      </c>
      <c r="I247" s="459" t="str">
        <f>IF(ISNA(MATCH($C247,EL!$E$4:$E$1012,0)),"",
IF($E247=0,IF(INDEX(EL!$S$4:$S$1012,MATCH($C247,EL!$E$4:$E$1012,0))="","",INDEX(EL!$S$4:$S$1012,MATCH($C247,EL!$E$4:$E$1012,0))),
IF($E247=1,IF(INDEX(EL!$X$4:$X$1012,MATCH($C247,EL!$E$4:$E$1012,0))="","",INDEX(EL!$X$4:$X$1012,MATCH($C247,EL!$E$4:$E$1012,0))),
IF($E247=2,IF(INDEX(EL!$AC$4:$AC$1012,MATCH($C247,EL!$E$4:$E$1012,0))="","",INDEX(EL!$AC$4:$AC$1012,MATCH($C247,EL!$E$4:$E$1012,0))),
IF($E247=3,IF(INDEX(EL!$AH$4:$AH$1012,MATCH($C247,EL!$E$4:$E$1012,0))="","",INDEX(EL!$AH$4:$AH$1012,MATCH($C247,EL!$E$4:$E$1012,0))),
IF($E247=4,IF(INDEX(EL!$AM$4:$AM$1012,MATCH($C247,EL!$E$4:$E$1012,0))="","",INDEX(EL!$AM$4:$AM$1012,MATCH($C247,EL!$E$4:$E$1012,0))),
IF($E247=5,IF(INDEX(EL!$AR$4:$AR$1012,MATCH($C247,EL!$E$4:$E$1012,0))="","",INDEX(EL!$AR$4:$AR$1012,MATCH($C247,EL!$E$4:$E$1012,0))),"")))))))</f>
        <v/>
      </c>
      <c r="J247" s="459" t="str">
        <f>IF(ISNA(MATCH($C247,EL!$E$4:$E$1012,0)),"",
IF($E247=0,IF(INDEX(EL!$T$4:$T$1012,MATCH($C247,EL!$E$4:$E$1012,0))="","",INDEX(EL!$T$4:$T$1012,MATCH($C247,EL!$E$4:$E$1012,0))),
IF($E247=1,IF(INDEX(EL!$Y$4:$Y$1012,MATCH($C247,EL!$E$4:$E$1012,0))="","",INDEX(EL!$Y$4:$Y$1012,MATCH($C247,EL!$E$4:$E$1012,0))),
IF($E247=2,IF(INDEX(EL!$AD$4:$AD$1012,MATCH($C247,EL!$E$4:$E$1012,0))="","",INDEX(EL!$AD$4:$AD$1012,MATCH($C247,EL!$E$4:$E$1012,0))),
IF($E247=3,IF(INDEX(EL!$AI$4:$AI$1012,MATCH($C247,EL!$E$4:$E$1012,0))="","",INDEX(EL!$AI$4:$AI$1012,MATCH($C247,EL!$E$4:$E$1012,0))),
IF($E247=4,IF(INDEX(EL!$AN$4:$AN$1012,MATCH($C247,EL!$E$4:$E$1012,0))="","",INDEX(EL!$AN$4:$AN$1012,MATCH($C247,EL!$E$4:$E$1012,0))),
IF($E247=5,IF(INDEX(EL!$AS$4:$AS$1012,MATCH($C247,EL!$E$4:$E$1012,0))="","",INDEX(EL!$AS$4:$AS$1012,MATCH($C247,EL!$E$4:$E$1012,0))),"")))))))</f>
        <v/>
      </c>
      <c r="K247" s="459">
        <f>EL!L161</f>
        <v>0</v>
      </c>
      <c r="L247" s="460" t="e" cm="1">
        <f t="array" aca="1" ref="L247" ca="1">_xlfn.IFS(AND($E247&lt;&gt;"",$M247="Pending",$K247="CTA"),TODAY()-$G247,AND($E247&lt;&gt;"",$M247="Pending",$K247="AUR"),TODAY()-$H247,AND($E247&lt;&gt;"",$M247="Pending",$K247="STT"),TODAY()-$I247,OR(K247="Closed",K247=""),"")</f>
        <v>#N/A</v>
      </c>
      <c r="M247" s="461">
        <f>VLOOKUP(C247,EL!$E$4:$AC$622,9,0)</f>
        <v>0</v>
      </c>
      <c r="N247" s="461" t="str">
        <f t="shared" si="7"/>
        <v/>
      </c>
      <c r="O247" s="739" t="str">
        <f>EL!O161</f>
        <v>GC</v>
      </c>
      <c r="P247" s="746" t="str">
        <v>NO</v>
      </c>
    </row>
    <row r="248" spans="1:16" s="385" customFormat="1" ht="27" hidden="1" customHeight="1">
      <c r="A248" s="399">
        <f t="shared" si="9"/>
        <v>155</v>
      </c>
      <c r="B248" s="477" t="s">
        <v>52</v>
      </c>
      <c r="C248" s="646" t="s">
        <v>909</v>
      </c>
      <c r="D248" s="456" t="str">
        <f>_xlfn.XLOOKUP(C248,EL!$E$4:$E$183,EL!$D$4:$D$183)</f>
        <v>Level Roof - Communications Routing Layout</v>
      </c>
      <c r="E248" s="597" t="str">
        <f>IF(VLOOKUP(C248,EL!$E$4:$AC$505,7,0)="","",VLOOKUP(C248,EL!$E$4:$AC$1004,7,0))</f>
        <v/>
      </c>
      <c r="F248" s="462"/>
      <c r="G248" s="458" t="str">
        <f>IF(VLOOKUP(C248,EL!$E$4:$AC$514,5,0)="","",VLOOKUP(C248,EL!$E$4:$AC$514,5,0))</f>
        <v/>
      </c>
      <c r="H248" s="459" t="str">
        <f>IF(ISNA(MATCH($C248,EL!$E$4:$E$1012,0)),"",
IF($E248=0,IF(INDEX(EL!$R$4:$R$1012,MATCH($C248,EL!$E$4:$E$1012,0))="","",INDEX(EL!$R$4:$R$1012,MATCH($C248,EL!$E$4:$E$1012,0))),
IF($E248=1,IF(INDEX(EL!$W$4:$W$1012,MATCH($C248,EL!$E$4:$E$1012,0))="","",INDEX(EL!$W$4:$W$1012,MATCH($C248,EL!$E$4:$E$1012,0))),
IF($E248=2,IF(INDEX(EL!$AB$4:$AB$1012,MATCH($C248,EL!$E$4:$E$1012,0))="","",INDEX(EL!$AB$4:$AB$1012,MATCH($C248,EL!$E$4:$E$1012,0))),
IF($E248=3,IF(INDEX(EL!$AG$4:$AG$1012,MATCH($C248,EL!$E$4:$E$1012,0))="","",INDEX(EL!$AG$4:$AG$1012,MATCH($C248,EL!$E$4:$E$1012,0))),
IF($E248=4,IF(INDEX(EL!$AN$4:$AN$1012,MATCH($C248,EL!$E$4:$E$1012,0))="","",INDEX(EL!$AN$4:$AN$1012,MATCH($C248,EL!$E$4:$E$1012,0))),
IF($E248=5,IF(INDEX(EL!$AS$4:$AS$1012,MATCH($C248,EL!$E$4:$E$1012,0))="","",INDEX(EL!$AS$4:$AS$1012,MATCH($C248,EL!$E$4:$E$1012,0))),"")))))))</f>
        <v/>
      </c>
      <c r="I248" s="459" t="str">
        <f>IF(ISNA(MATCH($C248,EL!$E$4:$E$1012,0)),"",
IF($E248=0,IF(INDEX(EL!$S$4:$S$1012,MATCH($C248,EL!$E$4:$E$1012,0))="","",INDEX(EL!$S$4:$S$1012,MATCH($C248,EL!$E$4:$E$1012,0))),
IF($E248=1,IF(INDEX(EL!$X$4:$X$1012,MATCH($C248,EL!$E$4:$E$1012,0))="","",INDEX(EL!$X$4:$X$1012,MATCH($C248,EL!$E$4:$E$1012,0))),
IF($E248=2,IF(INDEX(EL!$AC$4:$AC$1012,MATCH($C248,EL!$E$4:$E$1012,0))="","",INDEX(EL!$AC$4:$AC$1012,MATCH($C248,EL!$E$4:$E$1012,0))),
IF($E248=3,IF(INDEX(EL!$AH$4:$AH$1012,MATCH($C248,EL!$E$4:$E$1012,0))="","",INDEX(EL!$AH$4:$AH$1012,MATCH($C248,EL!$E$4:$E$1012,0))),
IF($E248=4,IF(INDEX(EL!$AM$4:$AM$1012,MATCH($C248,EL!$E$4:$E$1012,0))="","",INDEX(EL!$AM$4:$AM$1012,MATCH($C248,EL!$E$4:$E$1012,0))),
IF($E248=5,IF(INDEX(EL!$AR$4:$AR$1012,MATCH($C248,EL!$E$4:$E$1012,0))="","",INDEX(EL!$AR$4:$AR$1012,MATCH($C248,EL!$E$4:$E$1012,0))),"")))))))</f>
        <v/>
      </c>
      <c r="J248" s="459" t="str">
        <f>IF(ISNA(MATCH($C248,EL!$E$4:$E$1012,0)),"",
IF($E248=0,IF(INDEX(EL!$T$4:$T$1012,MATCH($C248,EL!$E$4:$E$1012,0))="","",INDEX(EL!$T$4:$T$1012,MATCH($C248,EL!$E$4:$E$1012,0))),
IF($E248=1,IF(INDEX(EL!$Y$4:$Y$1012,MATCH($C248,EL!$E$4:$E$1012,0))="","",INDEX(EL!$Y$4:$Y$1012,MATCH($C248,EL!$E$4:$E$1012,0))),
IF($E248=2,IF(INDEX(EL!$AD$4:$AD$1012,MATCH($C248,EL!$E$4:$E$1012,0))="","",INDEX(EL!$AD$4:$AD$1012,MATCH($C248,EL!$E$4:$E$1012,0))),
IF($E248=3,IF(INDEX(EL!$AI$4:$AI$1012,MATCH($C248,EL!$E$4:$E$1012,0))="","",INDEX(EL!$AI$4:$AI$1012,MATCH($C248,EL!$E$4:$E$1012,0))),
IF($E248=4,IF(INDEX(EL!$AN$4:$AN$1012,MATCH($C248,EL!$E$4:$E$1012,0))="","",INDEX(EL!$AN$4:$AN$1012,MATCH($C248,EL!$E$4:$E$1012,0))),
IF($E248=5,IF(INDEX(EL!$AS$4:$AS$1012,MATCH($C248,EL!$E$4:$E$1012,0))="","",INDEX(EL!$AS$4:$AS$1012,MATCH($C248,EL!$E$4:$E$1012,0))),"")))))))</f>
        <v/>
      </c>
      <c r="K248" s="459">
        <f>EL!L162</f>
        <v>0</v>
      </c>
      <c r="L248" s="460" t="e" cm="1">
        <f t="array" aca="1" ref="L248" ca="1">_xlfn.IFS(AND($E248&lt;&gt;"",$M248="Pending",$K248="CTA"),TODAY()-$G248,AND($E248&lt;&gt;"",$M248="Pending",$K248="AUR"),TODAY()-$H248,AND($E248&lt;&gt;"",$M248="Pending",$K248="STT"),TODAY()-$I248,OR(K248="Closed",K248=""),"")</f>
        <v>#N/A</v>
      </c>
      <c r="M248" s="461">
        <f>VLOOKUP(C248,EL!$E$4:$AC$622,9,0)</f>
        <v>0</v>
      </c>
      <c r="N248" s="461" t="str">
        <f t="shared" si="7"/>
        <v/>
      </c>
      <c r="O248" s="739" t="str">
        <f>EL!O162</f>
        <v>GC</v>
      </c>
      <c r="P248" s="746" t="str">
        <v>NO</v>
      </c>
    </row>
    <row r="249" spans="1:16" s="385" customFormat="1" ht="27" hidden="1" customHeight="1">
      <c r="A249" s="399">
        <f t="shared" si="9"/>
        <v>156</v>
      </c>
      <c r="B249" s="477" t="s">
        <v>52</v>
      </c>
      <c r="C249" s="646" t="s">
        <v>912</v>
      </c>
      <c r="D249" s="456" t="str">
        <f>_xlfn.XLOOKUP(C249,EL!$E$4:$E$183,EL!$D$4:$D$183)</f>
        <v>Level 1 - General Lighting System Layout</v>
      </c>
      <c r="E249" s="597" t="str">
        <f>IF(VLOOKUP(C249,EL!$E$4:$AC$505,7,0)="","",VLOOKUP(C249,EL!$E$4:$AC$1004,7,0))</f>
        <v/>
      </c>
      <c r="F249" s="462"/>
      <c r="G249" s="458" t="str">
        <f>IF(VLOOKUP(C249,EL!$E$4:$AC$514,5,0)="","",VLOOKUP(C249,EL!$E$4:$AC$514,5,0))</f>
        <v/>
      </c>
      <c r="H249" s="459" t="str">
        <f>IF(ISNA(MATCH($C249,EL!$E$4:$E$1012,0)),"",
IF($E249=0,IF(INDEX(EL!$R$4:$R$1012,MATCH($C249,EL!$E$4:$E$1012,0))="","",INDEX(EL!$R$4:$R$1012,MATCH($C249,EL!$E$4:$E$1012,0))),
IF($E249=1,IF(INDEX(EL!$W$4:$W$1012,MATCH($C249,EL!$E$4:$E$1012,0))="","",INDEX(EL!$W$4:$W$1012,MATCH($C249,EL!$E$4:$E$1012,0))),
IF($E249=2,IF(INDEX(EL!$AB$4:$AB$1012,MATCH($C249,EL!$E$4:$E$1012,0))="","",INDEX(EL!$AB$4:$AB$1012,MATCH($C249,EL!$E$4:$E$1012,0))),
IF($E249=3,IF(INDEX(EL!$AG$4:$AG$1012,MATCH($C249,EL!$E$4:$E$1012,0))="","",INDEX(EL!$AG$4:$AG$1012,MATCH($C249,EL!$E$4:$E$1012,0))),
IF($E249=4,IF(INDEX(EL!$AN$4:$AN$1012,MATCH($C249,EL!$E$4:$E$1012,0))="","",INDEX(EL!$AN$4:$AN$1012,MATCH($C249,EL!$E$4:$E$1012,0))),
IF($E249=5,IF(INDEX(EL!$AS$4:$AS$1012,MATCH($C249,EL!$E$4:$E$1012,0))="","",INDEX(EL!$AS$4:$AS$1012,MATCH($C249,EL!$E$4:$E$1012,0))),"")))))))</f>
        <v/>
      </c>
      <c r="I249" s="459" t="str">
        <f>IF(ISNA(MATCH($C249,EL!$E$4:$E$1012,0)),"",
IF($E249=0,IF(INDEX(EL!$S$4:$S$1012,MATCH($C249,EL!$E$4:$E$1012,0))="","",INDEX(EL!$S$4:$S$1012,MATCH($C249,EL!$E$4:$E$1012,0))),
IF($E249=1,IF(INDEX(EL!$X$4:$X$1012,MATCH($C249,EL!$E$4:$E$1012,0))="","",INDEX(EL!$X$4:$X$1012,MATCH($C249,EL!$E$4:$E$1012,0))),
IF($E249=2,IF(INDEX(EL!$AC$4:$AC$1012,MATCH($C249,EL!$E$4:$E$1012,0))="","",INDEX(EL!$AC$4:$AC$1012,MATCH($C249,EL!$E$4:$E$1012,0))),
IF($E249=3,IF(INDEX(EL!$AH$4:$AH$1012,MATCH($C249,EL!$E$4:$E$1012,0))="","",INDEX(EL!$AH$4:$AH$1012,MATCH($C249,EL!$E$4:$E$1012,0))),
IF($E249=4,IF(INDEX(EL!$AM$4:$AM$1012,MATCH($C249,EL!$E$4:$E$1012,0))="","",INDEX(EL!$AM$4:$AM$1012,MATCH($C249,EL!$E$4:$E$1012,0))),
IF($E249=5,IF(INDEX(EL!$AR$4:$AR$1012,MATCH($C249,EL!$E$4:$E$1012,0))="","",INDEX(EL!$AR$4:$AR$1012,MATCH($C249,EL!$E$4:$E$1012,0))),"")))))))</f>
        <v/>
      </c>
      <c r="J249" s="459" t="str">
        <f>IF(ISNA(MATCH($C249,EL!$E$4:$E$1012,0)),"",
IF($E249=0,IF(INDEX(EL!$T$4:$T$1012,MATCH($C249,EL!$E$4:$E$1012,0))="","",INDEX(EL!$T$4:$T$1012,MATCH($C249,EL!$E$4:$E$1012,0))),
IF($E249=1,IF(INDEX(EL!$Y$4:$Y$1012,MATCH($C249,EL!$E$4:$E$1012,0))="","",INDEX(EL!$Y$4:$Y$1012,MATCH($C249,EL!$E$4:$E$1012,0))),
IF($E249=2,IF(INDEX(EL!$AD$4:$AD$1012,MATCH($C249,EL!$E$4:$E$1012,0))="","",INDEX(EL!$AD$4:$AD$1012,MATCH($C249,EL!$E$4:$E$1012,0))),
IF($E249=3,IF(INDEX(EL!$AI$4:$AI$1012,MATCH($C249,EL!$E$4:$E$1012,0))="","",INDEX(EL!$AI$4:$AI$1012,MATCH($C249,EL!$E$4:$E$1012,0))),
IF($E249=4,IF(INDEX(EL!$AN$4:$AN$1012,MATCH($C249,EL!$E$4:$E$1012,0))="","",INDEX(EL!$AN$4:$AN$1012,MATCH($C249,EL!$E$4:$E$1012,0))),
IF($E249=5,IF(INDEX(EL!$AS$4:$AS$1012,MATCH($C249,EL!$E$4:$E$1012,0))="","",INDEX(EL!$AS$4:$AS$1012,MATCH($C249,EL!$E$4:$E$1012,0))),"")))))))</f>
        <v/>
      </c>
      <c r="K249" s="459">
        <f>EL!L163</f>
        <v>0</v>
      </c>
      <c r="L249" s="460" t="e" cm="1">
        <f t="array" aca="1" ref="L249" ca="1">_xlfn.IFS(AND($E249&lt;&gt;"",$M249="Pending",$K249="CTA"),TODAY()-$G249,AND($E249&lt;&gt;"",$M249="Pending",$K249="AUR"),TODAY()-$H249,AND($E249&lt;&gt;"",$M249="Pending",$K249="STT"),TODAY()-$I249,OR(K249="Closed",K249=""),"")</f>
        <v>#N/A</v>
      </c>
      <c r="M249" s="461">
        <f>VLOOKUP(C249,EL!$E$4:$AC$622,9,0)</f>
        <v>0</v>
      </c>
      <c r="N249" s="461" t="str">
        <f t="shared" si="7"/>
        <v/>
      </c>
      <c r="O249" s="739" t="str">
        <f>EL!O163</f>
        <v>GC</v>
      </c>
      <c r="P249" s="746" t="str">
        <v>NO</v>
      </c>
    </row>
    <row r="250" spans="1:16" s="385" customFormat="1" ht="27" hidden="1" customHeight="1">
      <c r="A250" s="399">
        <f t="shared" si="9"/>
        <v>157</v>
      </c>
      <c r="B250" s="477" t="s">
        <v>52</v>
      </c>
      <c r="C250" s="646" t="s">
        <v>916</v>
      </c>
      <c r="D250" s="456" t="str">
        <f>_xlfn.XLOOKUP(C250,EL!$E$4:$E$183,EL!$D$4:$D$183)</f>
        <v>Level 1 - Emergency Light And Exit Sign Systems Layout</v>
      </c>
      <c r="E250" s="597" t="str">
        <f>IF(VLOOKUP(C250,EL!$E$4:$AC$505,7,0)="","",VLOOKUP(C250,EL!$E$4:$AC$1004,7,0))</f>
        <v/>
      </c>
      <c r="F250" s="462"/>
      <c r="G250" s="458" t="str">
        <f>IF(VLOOKUP(C250,EL!$E$4:$AC$514,5,0)="","",VLOOKUP(C250,EL!$E$4:$AC$514,5,0))</f>
        <v/>
      </c>
      <c r="H250" s="459" t="str">
        <f>IF(ISNA(MATCH($C250,EL!$E$4:$E$1012,0)),"",
IF($E250=0,IF(INDEX(EL!$R$4:$R$1012,MATCH($C250,EL!$E$4:$E$1012,0))="","",INDEX(EL!$R$4:$R$1012,MATCH($C250,EL!$E$4:$E$1012,0))),
IF($E250=1,IF(INDEX(EL!$W$4:$W$1012,MATCH($C250,EL!$E$4:$E$1012,0))="","",INDEX(EL!$W$4:$W$1012,MATCH($C250,EL!$E$4:$E$1012,0))),
IF($E250=2,IF(INDEX(EL!$AB$4:$AB$1012,MATCH($C250,EL!$E$4:$E$1012,0))="","",INDEX(EL!$AB$4:$AB$1012,MATCH($C250,EL!$E$4:$E$1012,0))),
IF($E250=3,IF(INDEX(EL!$AG$4:$AG$1012,MATCH($C250,EL!$E$4:$E$1012,0))="","",INDEX(EL!$AG$4:$AG$1012,MATCH($C250,EL!$E$4:$E$1012,0))),
IF($E250=4,IF(INDEX(EL!$AN$4:$AN$1012,MATCH($C250,EL!$E$4:$E$1012,0))="","",INDEX(EL!$AN$4:$AN$1012,MATCH($C250,EL!$E$4:$E$1012,0))),
IF($E250=5,IF(INDEX(EL!$AS$4:$AS$1012,MATCH($C250,EL!$E$4:$E$1012,0))="","",INDEX(EL!$AS$4:$AS$1012,MATCH($C250,EL!$E$4:$E$1012,0))),"")))))))</f>
        <v/>
      </c>
      <c r="I250" s="459" t="str">
        <f>IF(ISNA(MATCH($C250,EL!$E$4:$E$1012,0)),"",
IF($E250=0,IF(INDEX(EL!$S$4:$S$1012,MATCH($C250,EL!$E$4:$E$1012,0))="","",INDEX(EL!$S$4:$S$1012,MATCH($C250,EL!$E$4:$E$1012,0))),
IF($E250=1,IF(INDEX(EL!$X$4:$X$1012,MATCH($C250,EL!$E$4:$E$1012,0))="","",INDEX(EL!$X$4:$X$1012,MATCH($C250,EL!$E$4:$E$1012,0))),
IF($E250=2,IF(INDEX(EL!$AC$4:$AC$1012,MATCH($C250,EL!$E$4:$E$1012,0))="","",INDEX(EL!$AC$4:$AC$1012,MATCH($C250,EL!$E$4:$E$1012,0))),
IF($E250=3,IF(INDEX(EL!$AH$4:$AH$1012,MATCH($C250,EL!$E$4:$E$1012,0))="","",INDEX(EL!$AH$4:$AH$1012,MATCH($C250,EL!$E$4:$E$1012,0))),
IF($E250=4,IF(INDEX(EL!$AM$4:$AM$1012,MATCH($C250,EL!$E$4:$E$1012,0))="","",INDEX(EL!$AM$4:$AM$1012,MATCH($C250,EL!$E$4:$E$1012,0))),
IF($E250=5,IF(INDEX(EL!$AR$4:$AR$1012,MATCH($C250,EL!$E$4:$E$1012,0))="","",INDEX(EL!$AR$4:$AR$1012,MATCH($C250,EL!$E$4:$E$1012,0))),"")))))))</f>
        <v/>
      </c>
      <c r="J250" s="459" t="str">
        <f>IF(ISNA(MATCH($C250,EL!$E$4:$E$1012,0)),"",
IF($E250=0,IF(INDEX(EL!$T$4:$T$1012,MATCH($C250,EL!$E$4:$E$1012,0))="","",INDEX(EL!$T$4:$T$1012,MATCH($C250,EL!$E$4:$E$1012,0))),
IF($E250=1,IF(INDEX(EL!$Y$4:$Y$1012,MATCH($C250,EL!$E$4:$E$1012,0))="","",INDEX(EL!$Y$4:$Y$1012,MATCH($C250,EL!$E$4:$E$1012,0))),
IF($E250=2,IF(INDEX(EL!$AD$4:$AD$1012,MATCH($C250,EL!$E$4:$E$1012,0))="","",INDEX(EL!$AD$4:$AD$1012,MATCH($C250,EL!$E$4:$E$1012,0))),
IF($E250=3,IF(INDEX(EL!$AI$4:$AI$1012,MATCH($C250,EL!$E$4:$E$1012,0))="","",INDEX(EL!$AI$4:$AI$1012,MATCH($C250,EL!$E$4:$E$1012,0))),
IF($E250=4,IF(INDEX(EL!$AN$4:$AN$1012,MATCH($C250,EL!$E$4:$E$1012,0))="","",INDEX(EL!$AN$4:$AN$1012,MATCH($C250,EL!$E$4:$E$1012,0))),
IF($E250=5,IF(INDEX(EL!$AS$4:$AS$1012,MATCH($C250,EL!$E$4:$E$1012,0))="","",INDEX(EL!$AS$4:$AS$1012,MATCH($C250,EL!$E$4:$E$1012,0))),"")))))))</f>
        <v/>
      </c>
      <c r="K250" s="459">
        <f>EL!L164</f>
        <v>0</v>
      </c>
      <c r="L250" s="460" t="e" cm="1">
        <f t="array" aca="1" ref="L250" ca="1">_xlfn.IFS(AND($E250&lt;&gt;"",$M250="Pending",$K250="CTA"),TODAY()-$G250,AND($E250&lt;&gt;"",$M250="Pending",$K250="AUR"),TODAY()-$H250,AND($E250&lt;&gt;"",$M250="Pending",$K250="STT"),TODAY()-$I250,OR(K250="Closed",K250=""),"")</f>
        <v>#N/A</v>
      </c>
      <c r="M250" s="461">
        <f>VLOOKUP(C250,EL!$E$4:$AC$622,9,0)</f>
        <v>0</v>
      </c>
      <c r="N250" s="461" t="str">
        <f t="shared" si="7"/>
        <v/>
      </c>
      <c r="O250" s="739" t="str">
        <f>EL!O164</f>
        <v>GC</v>
      </c>
      <c r="P250" s="746" t="str">
        <v>NO</v>
      </c>
    </row>
    <row r="251" spans="1:16" s="385" customFormat="1" ht="27" hidden="1" customHeight="1">
      <c r="A251" s="399">
        <f t="shared" si="9"/>
        <v>158</v>
      </c>
      <c r="B251" s="477" t="s">
        <v>52</v>
      </c>
      <c r="C251" s="646" t="s">
        <v>920</v>
      </c>
      <c r="D251" s="456" t="str">
        <f>_xlfn.XLOOKUP(C251,EL!$E$4:$E$183,EL!$D$4:$D$183)</f>
        <v>Level 1 - Lighting Control Layout</v>
      </c>
      <c r="E251" s="597" t="str">
        <f>IF(VLOOKUP(C251,EL!$E$4:$AC$505,7,0)="","",VLOOKUP(C251,EL!$E$4:$AC$1004,7,0))</f>
        <v/>
      </c>
      <c r="F251" s="457"/>
      <c r="G251" s="458" t="str">
        <f>IF(VLOOKUP(C251,EL!$E$4:$AC$514,5,0)="","",VLOOKUP(C251,EL!$E$4:$AC$514,5,0))</f>
        <v/>
      </c>
      <c r="H251" s="459" t="str">
        <f>IF(ISNA(MATCH($C251,EL!$E$4:$E$1012,0)),"",
IF($E251=0,IF(INDEX(EL!$R$4:$R$1012,MATCH($C251,EL!$E$4:$E$1012,0))="","",INDEX(EL!$R$4:$R$1012,MATCH($C251,EL!$E$4:$E$1012,0))),
IF($E251=1,IF(INDEX(EL!$W$4:$W$1012,MATCH($C251,EL!$E$4:$E$1012,0))="","",INDEX(EL!$W$4:$W$1012,MATCH($C251,EL!$E$4:$E$1012,0))),
IF($E251=2,IF(INDEX(EL!$AB$4:$AB$1012,MATCH($C251,EL!$E$4:$E$1012,0))="","",INDEX(EL!$AB$4:$AB$1012,MATCH($C251,EL!$E$4:$E$1012,0))),
IF($E251=3,IF(INDEX(EL!$AG$4:$AG$1012,MATCH($C251,EL!$E$4:$E$1012,0))="","",INDEX(EL!$AG$4:$AG$1012,MATCH($C251,EL!$E$4:$E$1012,0))),
IF($E251=4,IF(INDEX(EL!$AN$4:$AN$1012,MATCH($C251,EL!$E$4:$E$1012,0))="","",INDEX(EL!$AN$4:$AN$1012,MATCH($C251,EL!$E$4:$E$1012,0))),
IF($E251=5,IF(INDEX(EL!$AS$4:$AS$1012,MATCH($C251,EL!$E$4:$E$1012,0))="","",INDEX(EL!$AS$4:$AS$1012,MATCH($C251,EL!$E$4:$E$1012,0))),"")))))))</f>
        <v/>
      </c>
      <c r="I251" s="459" t="str">
        <f>IF(ISNA(MATCH($C251,EL!$E$4:$E$1012,0)),"",
IF($E251=0,IF(INDEX(EL!$S$4:$S$1012,MATCH($C251,EL!$E$4:$E$1012,0))="","",INDEX(EL!$S$4:$S$1012,MATCH($C251,EL!$E$4:$E$1012,0))),
IF($E251=1,IF(INDEX(EL!$X$4:$X$1012,MATCH($C251,EL!$E$4:$E$1012,0))="","",INDEX(EL!$X$4:$X$1012,MATCH($C251,EL!$E$4:$E$1012,0))),
IF($E251=2,IF(INDEX(EL!$AC$4:$AC$1012,MATCH($C251,EL!$E$4:$E$1012,0))="","",INDEX(EL!$AC$4:$AC$1012,MATCH($C251,EL!$E$4:$E$1012,0))),
IF($E251=3,IF(INDEX(EL!$AH$4:$AH$1012,MATCH($C251,EL!$E$4:$E$1012,0))="","",INDEX(EL!$AH$4:$AH$1012,MATCH($C251,EL!$E$4:$E$1012,0))),
IF($E251=4,IF(INDEX(EL!$AM$4:$AM$1012,MATCH($C251,EL!$E$4:$E$1012,0))="","",INDEX(EL!$AM$4:$AM$1012,MATCH($C251,EL!$E$4:$E$1012,0))),
IF($E251=5,IF(INDEX(EL!$AR$4:$AR$1012,MATCH($C251,EL!$E$4:$E$1012,0))="","",INDEX(EL!$AR$4:$AR$1012,MATCH($C251,EL!$E$4:$E$1012,0))),"")))))))</f>
        <v/>
      </c>
      <c r="J251" s="459" t="str">
        <f>IF(ISNA(MATCH($C251,EL!$E$4:$E$1012,0)),"",
IF($E251=0,IF(INDEX(EL!$T$4:$T$1012,MATCH($C251,EL!$E$4:$E$1012,0))="","",INDEX(EL!$T$4:$T$1012,MATCH($C251,EL!$E$4:$E$1012,0))),
IF($E251=1,IF(INDEX(EL!$Y$4:$Y$1012,MATCH($C251,EL!$E$4:$E$1012,0))="","",INDEX(EL!$Y$4:$Y$1012,MATCH($C251,EL!$E$4:$E$1012,0))),
IF($E251=2,IF(INDEX(EL!$AD$4:$AD$1012,MATCH($C251,EL!$E$4:$E$1012,0))="","",INDEX(EL!$AD$4:$AD$1012,MATCH($C251,EL!$E$4:$E$1012,0))),
IF($E251=3,IF(INDEX(EL!$AI$4:$AI$1012,MATCH($C251,EL!$E$4:$E$1012,0))="","",INDEX(EL!$AI$4:$AI$1012,MATCH($C251,EL!$E$4:$E$1012,0))),
IF($E251=4,IF(INDEX(EL!$AN$4:$AN$1012,MATCH($C251,EL!$E$4:$E$1012,0))="","",INDEX(EL!$AN$4:$AN$1012,MATCH($C251,EL!$E$4:$E$1012,0))),
IF($E251=5,IF(INDEX(EL!$AS$4:$AS$1012,MATCH($C251,EL!$E$4:$E$1012,0))="","",INDEX(EL!$AS$4:$AS$1012,MATCH($C251,EL!$E$4:$E$1012,0))),"")))))))</f>
        <v/>
      </c>
      <c r="K251" s="459">
        <f>EL!L165</f>
        <v>0</v>
      </c>
      <c r="L251" s="460" t="e" cm="1">
        <f t="array" aca="1" ref="L251" ca="1">_xlfn.IFS(AND($E251&lt;&gt;"",$M251="Pending",$K251="CTA"),TODAY()-$G251,AND($E251&lt;&gt;"",$M251="Pending",$K251="AUR"),TODAY()-$H251,AND($E251&lt;&gt;"",$M251="Pending",$K251="STT"),TODAY()-$I251,OR(K251="Closed",K251=""),"")</f>
        <v>#N/A</v>
      </c>
      <c r="M251" s="461">
        <f>VLOOKUP(C251,EL!$E$4:$AC$622,9,0)</f>
        <v>0</v>
      </c>
      <c r="N251" s="461" t="str">
        <f t="shared" si="7"/>
        <v/>
      </c>
      <c r="O251" s="739" t="str">
        <f>EL!O165</f>
        <v>GC</v>
      </c>
      <c r="P251" s="746" t="str">
        <v>NO</v>
      </c>
    </row>
    <row r="252" spans="1:16" s="385" customFormat="1" ht="27" customHeight="1">
      <c r="A252" s="399">
        <f t="shared" si="9"/>
        <v>159</v>
      </c>
      <c r="B252" s="477" t="s">
        <v>52</v>
      </c>
      <c r="C252" s="646" t="s">
        <v>923</v>
      </c>
      <c r="D252" s="456" t="str">
        <f>_xlfn.XLOOKUP(C252,EL!$E$4:$E$183,EL!$D$4:$D$183)</f>
        <v>Level 2 - General Lighting System Layout</v>
      </c>
      <c r="E252" s="597">
        <f>IF(VLOOKUP(C252,EL!$E$4:$AC$505,7,0)="","",VLOOKUP(C252,EL!$E$4:$AC$1004,7,0))</f>
        <v>0</v>
      </c>
      <c r="F252" s="462"/>
      <c r="G252" s="458">
        <f>IF(VLOOKUP(C252,EL!$E$4:$AC$514,5,0)="","",VLOOKUP(C252,EL!$E$4:$AC$514,5,0))</f>
        <v>46063</v>
      </c>
      <c r="H252" s="459" t="str">
        <f>IF(ISNA(MATCH($C252,EL!$E$4:$E$1012,0)),"",
IF($E252=0,IF(INDEX(EL!$R$4:$R$1012,MATCH($C252,EL!$E$4:$E$1012,0))="","",INDEX(EL!$R$4:$R$1012,MATCH($C252,EL!$E$4:$E$1012,0))),
IF($E252=1,IF(INDEX(EL!$W$4:$W$1012,MATCH($C252,EL!$E$4:$E$1012,0))="","",INDEX(EL!$W$4:$W$1012,MATCH($C252,EL!$E$4:$E$1012,0))),
IF($E252=2,IF(INDEX(EL!$AB$4:$AB$1012,MATCH($C252,EL!$E$4:$E$1012,0))="","",INDEX(EL!$AB$4:$AB$1012,MATCH($C252,EL!$E$4:$E$1012,0))),
IF($E252=3,IF(INDEX(EL!$AG$4:$AG$1012,MATCH($C252,EL!$E$4:$E$1012,0))="","",INDEX(EL!$AG$4:$AG$1012,MATCH($C252,EL!$E$4:$E$1012,0))),
IF($E252=4,IF(INDEX(EL!$AN$4:$AN$1012,MATCH($C252,EL!$E$4:$E$1012,0))="","",INDEX(EL!$AN$4:$AN$1012,MATCH($C252,EL!$E$4:$E$1012,0))),
IF($E252=5,IF(INDEX(EL!$AS$4:$AS$1012,MATCH($C252,EL!$E$4:$E$1012,0))="","",INDEX(EL!$AS$4:$AS$1012,MATCH($C252,EL!$E$4:$E$1012,0))),"")))))))</f>
        <v/>
      </c>
      <c r="I252" s="459" t="str">
        <f>IF(ISNA(MATCH($C252,EL!$E$4:$E$1012,0)),"",
IF($E252=0,IF(INDEX(EL!$S$4:$S$1012,MATCH($C252,EL!$E$4:$E$1012,0))="","",INDEX(EL!$S$4:$S$1012,MATCH($C252,EL!$E$4:$E$1012,0))),
IF($E252=1,IF(INDEX(EL!$X$4:$X$1012,MATCH($C252,EL!$E$4:$E$1012,0))="","",INDEX(EL!$X$4:$X$1012,MATCH($C252,EL!$E$4:$E$1012,0))),
IF($E252=2,IF(INDEX(EL!$AC$4:$AC$1012,MATCH($C252,EL!$E$4:$E$1012,0))="","",INDEX(EL!$AC$4:$AC$1012,MATCH($C252,EL!$E$4:$E$1012,0))),
IF($E252=3,IF(INDEX(EL!$AH$4:$AH$1012,MATCH($C252,EL!$E$4:$E$1012,0))="","",INDEX(EL!$AH$4:$AH$1012,MATCH($C252,EL!$E$4:$E$1012,0))),
IF($E252=4,IF(INDEX(EL!$AM$4:$AM$1012,MATCH($C252,EL!$E$4:$E$1012,0))="","",INDEX(EL!$AM$4:$AM$1012,MATCH($C252,EL!$E$4:$E$1012,0))),
IF($E252=5,IF(INDEX(EL!$AR$4:$AR$1012,MATCH($C252,EL!$E$4:$E$1012,0))="","",INDEX(EL!$AR$4:$AR$1012,MATCH($C252,EL!$E$4:$E$1012,0))),"")))))))</f>
        <v/>
      </c>
      <c r="J252" s="459" t="str">
        <f>IF(ISNA(MATCH($C252,EL!$E$4:$E$1012,0)),"",
IF($E252=0,IF(INDEX(EL!$T$4:$T$1012,MATCH($C252,EL!$E$4:$E$1012,0))="","",INDEX(EL!$T$4:$T$1012,MATCH($C252,EL!$E$4:$E$1012,0))),
IF($E252=1,IF(INDEX(EL!$Y$4:$Y$1012,MATCH($C252,EL!$E$4:$E$1012,0))="","",INDEX(EL!$Y$4:$Y$1012,MATCH($C252,EL!$E$4:$E$1012,0))),
IF($E252=2,IF(INDEX(EL!$AD$4:$AD$1012,MATCH($C252,EL!$E$4:$E$1012,0))="","",INDEX(EL!$AD$4:$AD$1012,MATCH($C252,EL!$E$4:$E$1012,0))),
IF($E252=3,IF(INDEX(EL!$AI$4:$AI$1012,MATCH($C252,EL!$E$4:$E$1012,0))="","",INDEX(EL!$AI$4:$AI$1012,MATCH($C252,EL!$E$4:$E$1012,0))),
IF($E252=4,IF(INDEX(EL!$AN$4:$AN$1012,MATCH($C252,EL!$E$4:$E$1012,0))="","",INDEX(EL!$AN$4:$AN$1012,MATCH($C252,EL!$E$4:$E$1012,0))),
IF($E252=5,IF(INDEX(EL!$AS$4:$AS$1012,MATCH($C252,EL!$E$4:$E$1012,0))="","",INDEX(EL!$AS$4:$AS$1012,MATCH($C252,EL!$E$4:$E$1012,0))),"")))))))</f>
        <v/>
      </c>
      <c r="K252" s="459" t="str">
        <f>EL!L166</f>
        <v>CTA</v>
      </c>
      <c r="L252" s="460" cm="1">
        <f t="array" aca="1" ref="L252" ca="1">_xlfn.IFS(AND($E252&lt;&gt;"",$M252="Pending",$K252="CTA"),TODAY()-$G252,AND($E252&lt;&gt;"",$M252="Pending",$K252="AUR"),TODAY()-$H252,AND($E252&lt;&gt;"",$M252="Pending",$K252="STT"),TODAY()-$I252,OR(K252="Closed",K252=""),"")</f>
        <v>3</v>
      </c>
      <c r="M252" s="461" t="str">
        <f>VLOOKUP(C252,EL!$E$4:$AC$622,9,0)</f>
        <v>Pending</v>
      </c>
      <c r="N252" s="461" t="str">
        <f t="shared" ca="1" si="7"/>
        <v>High</v>
      </c>
      <c r="O252" s="739" t="str">
        <f>EL!O166</f>
        <v>GC</v>
      </c>
      <c r="P252" s="746" t="str">
        <v>NO</v>
      </c>
    </row>
    <row r="253" spans="1:16" s="385" customFormat="1" ht="27" hidden="1" customHeight="1">
      <c r="A253" s="399">
        <f t="shared" si="9"/>
        <v>160</v>
      </c>
      <c r="B253" s="477" t="s">
        <v>52</v>
      </c>
      <c r="C253" s="646" t="s">
        <v>926</v>
      </c>
      <c r="D253" s="456" t="str">
        <f>_xlfn.XLOOKUP(C253,EL!$E$4:$E$183,EL!$D$4:$D$183)</f>
        <v>Level 2 - Emergency Light And Exit Sign Systems Layout</v>
      </c>
      <c r="E253" s="597" t="str">
        <f>IF(VLOOKUP(C253,EL!$E$4:$AC$505,7,0)="","",VLOOKUP(C253,EL!$E$4:$AC$1004,7,0))</f>
        <v/>
      </c>
      <c r="F253" s="462"/>
      <c r="G253" s="458" t="str">
        <f>IF(VLOOKUP(C253,EL!$E$4:$AC$514,5,0)="","",VLOOKUP(C253,EL!$E$4:$AC$514,5,0))</f>
        <v/>
      </c>
      <c r="H253" s="459" t="str">
        <f>IF(ISNA(MATCH($C253,EL!$E$4:$E$1012,0)),"",
IF($E253=0,IF(INDEX(EL!$R$4:$R$1012,MATCH($C253,EL!$E$4:$E$1012,0))="","",INDEX(EL!$R$4:$R$1012,MATCH($C253,EL!$E$4:$E$1012,0))),
IF($E253=1,IF(INDEX(EL!$W$4:$W$1012,MATCH($C253,EL!$E$4:$E$1012,0))="","",INDEX(EL!$W$4:$W$1012,MATCH($C253,EL!$E$4:$E$1012,0))),
IF($E253=2,IF(INDEX(EL!$AB$4:$AB$1012,MATCH($C253,EL!$E$4:$E$1012,0))="","",INDEX(EL!$AB$4:$AB$1012,MATCH($C253,EL!$E$4:$E$1012,0))),
IF($E253=3,IF(INDEX(EL!$AG$4:$AG$1012,MATCH($C253,EL!$E$4:$E$1012,0))="","",INDEX(EL!$AG$4:$AG$1012,MATCH($C253,EL!$E$4:$E$1012,0))),
IF($E253=4,IF(INDEX(EL!$AN$4:$AN$1012,MATCH($C253,EL!$E$4:$E$1012,0))="","",INDEX(EL!$AN$4:$AN$1012,MATCH($C253,EL!$E$4:$E$1012,0))),
IF($E253=5,IF(INDEX(EL!$AS$4:$AS$1012,MATCH($C253,EL!$E$4:$E$1012,0))="","",INDEX(EL!$AS$4:$AS$1012,MATCH($C253,EL!$E$4:$E$1012,0))),"")))))))</f>
        <v/>
      </c>
      <c r="I253" s="459" t="str">
        <f>IF(ISNA(MATCH($C253,EL!$E$4:$E$1012,0)),"",
IF($E253=0,IF(INDEX(EL!$S$4:$S$1012,MATCH($C253,EL!$E$4:$E$1012,0))="","",INDEX(EL!$S$4:$S$1012,MATCH($C253,EL!$E$4:$E$1012,0))),
IF($E253=1,IF(INDEX(EL!$X$4:$X$1012,MATCH($C253,EL!$E$4:$E$1012,0))="","",INDEX(EL!$X$4:$X$1012,MATCH($C253,EL!$E$4:$E$1012,0))),
IF($E253=2,IF(INDEX(EL!$AC$4:$AC$1012,MATCH($C253,EL!$E$4:$E$1012,0))="","",INDEX(EL!$AC$4:$AC$1012,MATCH($C253,EL!$E$4:$E$1012,0))),
IF($E253=3,IF(INDEX(EL!$AH$4:$AH$1012,MATCH($C253,EL!$E$4:$E$1012,0))="","",INDEX(EL!$AH$4:$AH$1012,MATCH($C253,EL!$E$4:$E$1012,0))),
IF($E253=4,IF(INDEX(EL!$AM$4:$AM$1012,MATCH($C253,EL!$E$4:$E$1012,0))="","",INDEX(EL!$AM$4:$AM$1012,MATCH($C253,EL!$E$4:$E$1012,0))),
IF($E253=5,IF(INDEX(EL!$AR$4:$AR$1012,MATCH($C253,EL!$E$4:$E$1012,0))="","",INDEX(EL!$AR$4:$AR$1012,MATCH($C253,EL!$E$4:$E$1012,0))),"")))))))</f>
        <v/>
      </c>
      <c r="J253" s="459" t="str">
        <f>IF(ISNA(MATCH($C253,EL!$E$4:$E$1012,0)),"",
IF($E253=0,IF(INDEX(EL!$T$4:$T$1012,MATCH($C253,EL!$E$4:$E$1012,0))="","",INDEX(EL!$T$4:$T$1012,MATCH($C253,EL!$E$4:$E$1012,0))),
IF($E253=1,IF(INDEX(EL!$Y$4:$Y$1012,MATCH($C253,EL!$E$4:$E$1012,0))="","",INDEX(EL!$Y$4:$Y$1012,MATCH($C253,EL!$E$4:$E$1012,0))),
IF($E253=2,IF(INDEX(EL!$AD$4:$AD$1012,MATCH($C253,EL!$E$4:$E$1012,0))="","",INDEX(EL!$AD$4:$AD$1012,MATCH($C253,EL!$E$4:$E$1012,0))),
IF($E253=3,IF(INDEX(EL!$AI$4:$AI$1012,MATCH($C253,EL!$E$4:$E$1012,0))="","",INDEX(EL!$AI$4:$AI$1012,MATCH($C253,EL!$E$4:$E$1012,0))),
IF($E253=4,IF(INDEX(EL!$AN$4:$AN$1012,MATCH($C253,EL!$E$4:$E$1012,0))="","",INDEX(EL!$AN$4:$AN$1012,MATCH($C253,EL!$E$4:$E$1012,0))),
IF($E253=5,IF(INDEX(EL!$AS$4:$AS$1012,MATCH($C253,EL!$E$4:$E$1012,0))="","",INDEX(EL!$AS$4:$AS$1012,MATCH($C253,EL!$E$4:$E$1012,0))),"")))))))</f>
        <v/>
      </c>
      <c r="K253" s="459">
        <f>EL!L167</f>
        <v>0</v>
      </c>
      <c r="L253" s="460" t="e" cm="1">
        <f t="array" aca="1" ref="L253" ca="1">_xlfn.IFS(AND($E253&lt;&gt;"",$M253="Pending",$K253="CTA"),TODAY()-$G253,AND($E253&lt;&gt;"",$M253="Pending",$K253="AUR"),TODAY()-$H253,AND($E253&lt;&gt;"",$M253="Pending",$K253="STT"),TODAY()-$I253,OR(K253="Closed",K253=""),"")</f>
        <v>#N/A</v>
      </c>
      <c r="M253" s="461">
        <f>VLOOKUP(C253,EL!$E$4:$AC$622,9,0)</f>
        <v>0</v>
      </c>
      <c r="N253" s="461" t="str">
        <f t="shared" si="7"/>
        <v/>
      </c>
      <c r="O253" s="739" t="str">
        <f>EL!O167</f>
        <v>GC</v>
      </c>
      <c r="P253" s="746" t="str">
        <v>NO</v>
      </c>
    </row>
    <row r="254" spans="1:16" s="385" customFormat="1" ht="27" hidden="1" customHeight="1">
      <c r="A254" s="399">
        <f t="shared" si="9"/>
        <v>161</v>
      </c>
      <c r="B254" s="477" t="s">
        <v>52</v>
      </c>
      <c r="C254" s="646" t="s">
        <v>929</v>
      </c>
      <c r="D254" s="456" t="str">
        <f>_xlfn.XLOOKUP(C254,EL!$E$4:$E$183,EL!$D$4:$D$183)</f>
        <v>Level 2 - Lighting Control Layout</v>
      </c>
      <c r="E254" s="597" t="str">
        <f>IF(VLOOKUP(C254,EL!$E$4:$AC$505,7,0)="","",VLOOKUP(C254,EL!$E$4:$AC$1004,7,0))</f>
        <v/>
      </c>
      <c r="F254" s="462"/>
      <c r="G254" s="458" t="str">
        <f>IF(VLOOKUP(C254,EL!$E$4:$AC$514,5,0)="","",VLOOKUP(C254,EL!$E$4:$AC$514,5,0))</f>
        <v/>
      </c>
      <c r="H254" s="459" t="str">
        <f>IF(ISNA(MATCH($C254,EL!$E$4:$E$1012,0)),"",
IF($E254=0,IF(INDEX(EL!$R$4:$R$1012,MATCH($C254,EL!$E$4:$E$1012,0))="","",INDEX(EL!$R$4:$R$1012,MATCH($C254,EL!$E$4:$E$1012,0))),
IF($E254=1,IF(INDEX(EL!$W$4:$W$1012,MATCH($C254,EL!$E$4:$E$1012,0))="","",INDEX(EL!$W$4:$W$1012,MATCH($C254,EL!$E$4:$E$1012,0))),
IF($E254=2,IF(INDEX(EL!$AB$4:$AB$1012,MATCH($C254,EL!$E$4:$E$1012,0))="","",INDEX(EL!$AB$4:$AB$1012,MATCH($C254,EL!$E$4:$E$1012,0))),
IF($E254=3,IF(INDEX(EL!$AG$4:$AG$1012,MATCH($C254,EL!$E$4:$E$1012,0))="","",INDEX(EL!$AG$4:$AG$1012,MATCH($C254,EL!$E$4:$E$1012,0))),
IF($E254=4,IF(INDEX(EL!$AN$4:$AN$1012,MATCH($C254,EL!$E$4:$E$1012,0))="","",INDEX(EL!$AN$4:$AN$1012,MATCH($C254,EL!$E$4:$E$1012,0))),
IF($E254=5,IF(INDEX(EL!$AS$4:$AS$1012,MATCH($C254,EL!$E$4:$E$1012,0))="","",INDEX(EL!$AS$4:$AS$1012,MATCH($C254,EL!$E$4:$E$1012,0))),"")))))))</f>
        <v/>
      </c>
      <c r="I254" s="459" t="str">
        <f>IF(ISNA(MATCH($C254,EL!$E$4:$E$1012,0)),"",
IF($E254=0,IF(INDEX(EL!$S$4:$S$1012,MATCH($C254,EL!$E$4:$E$1012,0))="","",INDEX(EL!$S$4:$S$1012,MATCH($C254,EL!$E$4:$E$1012,0))),
IF($E254=1,IF(INDEX(EL!$X$4:$X$1012,MATCH($C254,EL!$E$4:$E$1012,0))="","",INDEX(EL!$X$4:$X$1012,MATCH($C254,EL!$E$4:$E$1012,0))),
IF($E254=2,IF(INDEX(EL!$AC$4:$AC$1012,MATCH($C254,EL!$E$4:$E$1012,0))="","",INDEX(EL!$AC$4:$AC$1012,MATCH($C254,EL!$E$4:$E$1012,0))),
IF($E254=3,IF(INDEX(EL!$AH$4:$AH$1012,MATCH($C254,EL!$E$4:$E$1012,0))="","",INDEX(EL!$AH$4:$AH$1012,MATCH($C254,EL!$E$4:$E$1012,0))),
IF($E254=4,IF(INDEX(EL!$AM$4:$AM$1012,MATCH($C254,EL!$E$4:$E$1012,0))="","",INDEX(EL!$AM$4:$AM$1012,MATCH($C254,EL!$E$4:$E$1012,0))),
IF($E254=5,IF(INDEX(EL!$AR$4:$AR$1012,MATCH($C254,EL!$E$4:$E$1012,0))="","",INDEX(EL!$AR$4:$AR$1012,MATCH($C254,EL!$E$4:$E$1012,0))),"")))))))</f>
        <v/>
      </c>
      <c r="J254" s="459" t="str">
        <f>IF(ISNA(MATCH($C254,EL!$E$4:$E$1012,0)),"",
IF($E254=0,IF(INDEX(EL!$T$4:$T$1012,MATCH($C254,EL!$E$4:$E$1012,0))="","",INDEX(EL!$T$4:$T$1012,MATCH($C254,EL!$E$4:$E$1012,0))),
IF($E254=1,IF(INDEX(EL!$Y$4:$Y$1012,MATCH($C254,EL!$E$4:$E$1012,0))="","",INDEX(EL!$Y$4:$Y$1012,MATCH($C254,EL!$E$4:$E$1012,0))),
IF($E254=2,IF(INDEX(EL!$AD$4:$AD$1012,MATCH($C254,EL!$E$4:$E$1012,0))="","",INDEX(EL!$AD$4:$AD$1012,MATCH($C254,EL!$E$4:$E$1012,0))),
IF($E254=3,IF(INDEX(EL!$AI$4:$AI$1012,MATCH($C254,EL!$E$4:$E$1012,0))="","",INDEX(EL!$AI$4:$AI$1012,MATCH($C254,EL!$E$4:$E$1012,0))),
IF($E254=4,IF(INDEX(EL!$AN$4:$AN$1012,MATCH($C254,EL!$E$4:$E$1012,0))="","",INDEX(EL!$AN$4:$AN$1012,MATCH($C254,EL!$E$4:$E$1012,0))),
IF($E254=5,IF(INDEX(EL!$AS$4:$AS$1012,MATCH($C254,EL!$E$4:$E$1012,0))="","",INDEX(EL!$AS$4:$AS$1012,MATCH($C254,EL!$E$4:$E$1012,0))),"")))))))</f>
        <v/>
      </c>
      <c r="K254" s="459">
        <f>EL!L168</f>
        <v>0</v>
      </c>
      <c r="L254" s="460" t="e" cm="1">
        <f t="array" aca="1" ref="L254" ca="1">_xlfn.IFS(AND($E254&lt;&gt;"",$M254="Pending",$K254="CTA"),TODAY()-$G254,AND($E254&lt;&gt;"",$M254="Pending",$K254="AUR"),TODAY()-$H254,AND($E254&lt;&gt;"",$M254="Pending",$K254="STT"),TODAY()-$I254,OR(K254="Closed",K254=""),"")</f>
        <v>#N/A</v>
      </c>
      <c r="M254" s="461">
        <f>VLOOKUP(C254,EL!$E$4:$AC$622,9,0)</f>
        <v>0</v>
      </c>
      <c r="N254" s="461" t="str">
        <f t="shared" ref="N254:N317" si="10">IF(AND(E254&lt;&gt;"",M254="Pending"),IF(L254&gt;=5,"Overdue",IF(L254&gt;=3,"High","")),"")</f>
        <v/>
      </c>
      <c r="O254" s="739" t="str">
        <f>EL!O168</f>
        <v>GC</v>
      </c>
      <c r="P254" s="746" t="str">
        <v>NO</v>
      </c>
    </row>
    <row r="255" spans="1:16" s="385" customFormat="1" ht="27" hidden="1" customHeight="1">
      <c r="A255" s="399">
        <f t="shared" si="9"/>
        <v>162</v>
      </c>
      <c r="B255" s="477" t="s">
        <v>52</v>
      </c>
      <c r="C255" s="646" t="s">
        <v>932</v>
      </c>
      <c r="D255" s="456" t="str">
        <f>_xlfn.XLOOKUP(C255,EL!$E$4:$E$183,EL!$D$4:$D$183)</f>
        <v>Level 3 - General Lighting System Layout</v>
      </c>
      <c r="E255" s="597" t="str">
        <f>IF(VLOOKUP(C255,EL!$E$4:$AC$505,7,0)="","",VLOOKUP(C255,EL!$E$4:$AC$1004,7,0))</f>
        <v/>
      </c>
      <c r="F255" s="462"/>
      <c r="G255" s="458" t="str">
        <f>IF(VLOOKUP(C255,EL!$E$4:$AC$514,5,0)="","",VLOOKUP(C255,EL!$E$4:$AC$514,5,0))</f>
        <v/>
      </c>
      <c r="H255" s="459" t="str">
        <f>IF(ISNA(MATCH($C255,EL!$E$4:$E$1012,0)),"",
IF($E255=0,IF(INDEX(EL!$R$4:$R$1012,MATCH($C255,EL!$E$4:$E$1012,0))="","",INDEX(EL!$R$4:$R$1012,MATCH($C255,EL!$E$4:$E$1012,0))),
IF($E255=1,IF(INDEX(EL!$W$4:$W$1012,MATCH($C255,EL!$E$4:$E$1012,0))="","",INDEX(EL!$W$4:$W$1012,MATCH($C255,EL!$E$4:$E$1012,0))),
IF($E255=2,IF(INDEX(EL!$AB$4:$AB$1012,MATCH($C255,EL!$E$4:$E$1012,0))="","",INDEX(EL!$AB$4:$AB$1012,MATCH($C255,EL!$E$4:$E$1012,0))),
IF($E255=3,IF(INDEX(EL!$AG$4:$AG$1012,MATCH($C255,EL!$E$4:$E$1012,0))="","",INDEX(EL!$AG$4:$AG$1012,MATCH($C255,EL!$E$4:$E$1012,0))),
IF($E255=4,IF(INDEX(EL!$AN$4:$AN$1012,MATCH($C255,EL!$E$4:$E$1012,0))="","",INDEX(EL!$AN$4:$AN$1012,MATCH($C255,EL!$E$4:$E$1012,0))),
IF($E255=5,IF(INDEX(EL!$AS$4:$AS$1012,MATCH($C255,EL!$E$4:$E$1012,0))="","",INDEX(EL!$AS$4:$AS$1012,MATCH($C255,EL!$E$4:$E$1012,0))),"")))))))</f>
        <v/>
      </c>
      <c r="I255" s="459" t="str">
        <f>IF(ISNA(MATCH($C255,EL!$E$4:$E$1012,0)),"",
IF($E255=0,IF(INDEX(EL!$S$4:$S$1012,MATCH($C255,EL!$E$4:$E$1012,0))="","",INDEX(EL!$S$4:$S$1012,MATCH($C255,EL!$E$4:$E$1012,0))),
IF($E255=1,IF(INDEX(EL!$X$4:$X$1012,MATCH($C255,EL!$E$4:$E$1012,0))="","",INDEX(EL!$X$4:$X$1012,MATCH($C255,EL!$E$4:$E$1012,0))),
IF($E255=2,IF(INDEX(EL!$AC$4:$AC$1012,MATCH($C255,EL!$E$4:$E$1012,0))="","",INDEX(EL!$AC$4:$AC$1012,MATCH($C255,EL!$E$4:$E$1012,0))),
IF($E255=3,IF(INDEX(EL!$AH$4:$AH$1012,MATCH($C255,EL!$E$4:$E$1012,0))="","",INDEX(EL!$AH$4:$AH$1012,MATCH($C255,EL!$E$4:$E$1012,0))),
IF($E255=4,IF(INDEX(EL!$AM$4:$AM$1012,MATCH($C255,EL!$E$4:$E$1012,0))="","",INDEX(EL!$AM$4:$AM$1012,MATCH($C255,EL!$E$4:$E$1012,0))),
IF($E255=5,IF(INDEX(EL!$AR$4:$AR$1012,MATCH($C255,EL!$E$4:$E$1012,0))="","",INDEX(EL!$AR$4:$AR$1012,MATCH($C255,EL!$E$4:$E$1012,0))),"")))))))</f>
        <v/>
      </c>
      <c r="J255" s="459" t="str">
        <f>IF(ISNA(MATCH($C255,EL!$E$4:$E$1012,0)),"",
IF($E255=0,IF(INDEX(EL!$T$4:$T$1012,MATCH($C255,EL!$E$4:$E$1012,0))="","",INDEX(EL!$T$4:$T$1012,MATCH($C255,EL!$E$4:$E$1012,0))),
IF($E255=1,IF(INDEX(EL!$Y$4:$Y$1012,MATCH($C255,EL!$E$4:$E$1012,0))="","",INDEX(EL!$Y$4:$Y$1012,MATCH($C255,EL!$E$4:$E$1012,0))),
IF($E255=2,IF(INDEX(EL!$AD$4:$AD$1012,MATCH($C255,EL!$E$4:$E$1012,0))="","",INDEX(EL!$AD$4:$AD$1012,MATCH($C255,EL!$E$4:$E$1012,0))),
IF($E255=3,IF(INDEX(EL!$AI$4:$AI$1012,MATCH($C255,EL!$E$4:$E$1012,0))="","",INDEX(EL!$AI$4:$AI$1012,MATCH($C255,EL!$E$4:$E$1012,0))),
IF($E255=4,IF(INDEX(EL!$AN$4:$AN$1012,MATCH($C255,EL!$E$4:$E$1012,0))="","",INDEX(EL!$AN$4:$AN$1012,MATCH($C255,EL!$E$4:$E$1012,0))),
IF($E255=5,IF(INDEX(EL!$AS$4:$AS$1012,MATCH($C255,EL!$E$4:$E$1012,0))="","",INDEX(EL!$AS$4:$AS$1012,MATCH($C255,EL!$E$4:$E$1012,0))),"")))))))</f>
        <v/>
      </c>
      <c r="K255" s="459">
        <f>EL!L169</f>
        <v>0</v>
      </c>
      <c r="L255" s="460" t="e" cm="1">
        <f t="array" aca="1" ref="L255" ca="1">_xlfn.IFS(AND($E255&lt;&gt;"",$M255="Pending",$K255="CTA"),TODAY()-$G255,AND($E255&lt;&gt;"",$M255="Pending",$K255="AUR"),TODAY()-$H255,AND($E255&lt;&gt;"",$M255="Pending",$K255="STT"),TODAY()-$I255,OR(K255="Closed",K255=""),"")</f>
        <v>#N/A</v>
      </c>
      <c r="M255" s="461">
        <f>VLOOKUP(C255,EL!$E$4:$AC$622,9,0)</f>
        <v>0</v>
      </c>
      <c r="N255" s="461" t="str">
        <f t="shared" si="10"/>
        <v/>
      </c>
      <c r="O255" s="739" t="str">
        <f>EL!O169</f>
        <v>GC</v>
      </c>
      <c r="P255" s="748" t="str">
        <v>NO</v>
      </c>
    </row>
    <row r="256" spans="1:16" s="385" customFormat="1" ht="27" hidden="1" customHeight="1">
      <c r="A256" s="399">
        <f t="shared" si="9"/>
        <v>163</v>
      </c>
      <c r="B256" s="477" t="s">
        <v>52</v>
      </c>
      <c r="C256" s="646" t="s">
        <v>935</v>
      </c>
      <c r="D256" s="456" t="str">
        <f>_xlfn.XLOOKUP(C256,EL!$E$4:$E$183,EL!$D$4:$D$183)</f>
        <v>Level 3 - Emergency Light And Exit Sign Systems Layout</v>
      </c>
      <c r="E256" s="597" t="str">
        <f>IF(VLOOKUP(C256,EL!$E$4:$AC$505,7,0)="","",VLOOKUP(C256,EL!$E$4:$AC$1004,7,0))</f>
        <v/>
      </c>
      <c r="F256" s="462"/>
      <c r="G256" s="458" t="str">
        <f>IF(VLOOKUP(C256,EL!$E$4:$AC$514,5,0)="","",VLOOKUP(C256,EL!$E$4:$AC$514,5,0))</f>
        <v/>
      </c>
      <c r="H256" s="459" t="str">
        <f>IF(ISNA(MATCH($C256,EL!$E$4:$E$1012,0)),"",
IF($E256=0,IF(INDEX(EL!$R$4:$R$1012,MATCH($C256,EL!$E$4:$E$1012,0))="","",INDEX(EL!$R$4:$R$1012,MATCH($C256,EL!$E$4:$E$1012,0))),
IF($E256=1,IF(INDEX(EL!$W$4:$W$1012,MATCH($C256,EL!$E$4:$E$1012,0))="","",INDEX(EL!$W$4:$W$1012,MATCH($C256,EL!$E$4:$E$1012,0))),
IF($E256=2,IF(INDEX(EL!$AB$4:$AB$1012,MATCH($C256,EL!$E$4:$E$1012,0))="","",INDEX(EL!$AB$4:$AB$1012,MATCH($C256,EL!$E$4:$E$1012,0))),
IF($E256=3,IF(INDEX(EL!$AG$4:$AG$1012,MATCH($C256,EL!$E$4:$E$1012,0))="","",INDEX(EL!$AG$4:$AG$1012,MATCH($C256,EL!$E$4:$E$1012,0))),
IF($E256=4,IF(INDEX(EL!$AN$4:$AN$1012,MATCH($C256,EL!$E$4:$E$1012,0))="","",INDEX(EL!$AN$4:$AN$1012,MATCH($C256,EL!$E$4:$E$1012,0))),
IF($E256=5,IF(INDEX(EL!$AS$4:$AS$1012,MATCH($C256,EL!$E$4:$E$1012,0))="","",INDEX(EL!$AS$4:$AS$1012,MATCH($C256,EL!$E$4:$E$1012,0))),"")))))))</f>
        <v/>
      </c>
      <c r="I256" s="459" t="str">
        <f>IF(ISNA(MATCH($C256,EL!$E$4:$E$1012,0)),"",
IF($E256=0,IF(INDEX(EL!$S$4:$S$1012,MATCH($C256,EL!$E$4:$E$1012,0))="","",INDEX(EL!$S$4:$S$1012,MATCH($C256,EL!$E$4:$E$1012,0))),
IF($E256=1,IF(INDEX(EL!$X$4:$X$1012,MATCH($C256,EL!$E$4:$E$1012,0))="","",INDEX(EL!$X$4:$X$1012,MATCH($C256,EL!$E$4:$E$1012,0))),
IF($E256=2,IF(INDEX(EL!$AC$4:$AC$1012,MATCH($C256,EL!$E$4:$E$1012,0))="","",INDEX(EL!$AC$4:$AC$1012,MATCH($C256,EL!$E$4:$E$1012,0))),
IF($E256=3,IF(INDEX(EL!$AH$4:$AH$1012,MATCH($C256,EL!$E$4:$E$1012,0))="","",INDEX(EL!$AH$4:$AH$1012,MATCH($C256,EL!$E$4:$E$1012,0))),
IF($E256=4,IF(INDEX(EL!$AM$4:$AM$1012,MATCH($C256,EL!$E$4:$E$1012,0))="","",INDEX(EL!$AM$4:$AM$1012,MATCH($C256,EL!$E$4:$E$1012,0))),
IF($E256=5,IF(INDEX(EL!$AR$4:$AR$1012,MATCH($C256,EL!$E$4:$E$1012,0))="","",INDEX(EL!$AR$4:$AR$1012,MATCH($C256,EL!$E$4:$E$1012,0))),"")))))))</f>
        <v/>
      </c>
      <c r="J256" s="459" t="str">
        <f>IF(ISNA(MATCH($C256,EL!$E$4:$E$1012,0)),"",
IF($E256=0,IF(INDEX(EL!$T$4:$T$1012,MATCH($C256,EL!$E$4:$E$1012,0))="","",INDEX(EL!$T$4:$T$1012,MATCH($C256,EL!$E$4:$E$1012,0))),
IF($E256=1,IF(INDEX(EL!$Y$4:$Y$1012,MATCH($C256,EL!$E$4:$E$1012,0))="","",INDEX(EL!$Y$4:$Y$1012,MATCH($C256,EL!$E$4:$E$1012,0))),
IF($E256=2,IF(INDEX(EL!$AD$4:$AD$1012,MATCH($C256,EL!$E$4:$E$1012,0))="","",INDEX(EL!$AD$4:$AD$1012,MATCH($C256,EL!$E$4:$E$1012,0))),
IF($E256=3,IF(INDEX(EL!$AI$4:$AI$1012,MATCH($C256,EL!$E$4:$E$1012,0))="","",INDEX(EL!$AI$4:$AI$1012,MATCH($C256,EL!$E$4:$E$1012,0))),
IF($E256=4,IF(INDEX(EL!$AN$4:$AN$1012,MATCH($C256,EL!$E$4:$E$1012,0))="","",INDEX(EL!$AN$4:$AN$1012,MATCH($C256,EL!$E$4:$E$1012,0))),
IF($E256=5,IF(INDEX(EL!$AS$4:$AS$1012,MATCH($C256,EL!$E$4:$E$1012,0))="","",INDEX(EL!$AS$4:$AS$1012,MATCH($C256,EL!$E$4:$E$1012,0))),"")))))))</f>
        <v/>
      </c>
      <c r="K256" s="459">
        <f>EL!L170</f>
        <v>0</v>
      </c>
      <c r="L256" s="460" t="e" cm="1">
        <f t="array" aca="1" ref="L256" ca="1">_xlfn.IFS(AND($E256&lt;&gt;"",$M256="Pending",$K256="CTA"),TODAY()-$G256,AND($E256&lt;&gt;"",$M256="Pending",$K256="AUR"),TODAY()-$H256,AND($E256&lt;&gt;"",$M256="Pending",$K256="STT"),TODAY()-$I256,OR(K256="Closed",K256=""),"")</f>
        <v>#N/A</v>
      </c>
      <c r="M256" s="461">
        <f>VLOOKUP(C256,EL!$E$4:$AC$622,9,0)</f>
        <v>0</v>
      </c>
      <c r="N256" s="461" t="str">
        <f t="shared" si="10"/>
        <v/>
      </c>
      <c r="O256" s="739" t="str">
        <f>EL!O170</f>
        <v>GC</v>
      </c>
      <c r="P256" s="746">
        <v>0</v>
      </c>
    </row>
    <row r="257" spans="1:17" s="385" customFormat="1" ht="27" hidden="1" customHeight="1">
      <c r="A257" s="399">
        <f t="shared" si="9"/>
        <v>164</v>
      </c>
      <c r="B257" s="477" t="s">
        <v>52</v>
      </c>
      <c r="C257" s="646" t="s">
        <v>938</v>
      </c>
      <c r="D257" s="456" t="str">
        <f>_xlfn.XLOOKUP(C257,EL!$E$4:$E$183,EL!$D$4:$D$183)</f>
        <v>Level 4 - General Lighting System Layout</v>
      </c>
      <c r="E257" s="597" t="str">
        <f>IF(VLOOKUP(C257,EL!$E$4:$AC$505,7,0)="","",VLOOKUP(C257,EL!$E$4:$AC$1004,7,0))</f>
        <v/>
      </c>
      <c r="F257" s="462"/>
      <c r="G257" s="458" t="str">
        <f>IF(VLOOKUP(C257,EL!$E$4:$AC$514,5,0)="","",VLOOKUP(C257,EL!$E$4:$AC$514,5,0))</f>
        <v/>
      </c>
      <c r="H257" s="459" t="str">
        <f>IF(ISNA(MATCH($C257,EL!$E$4:$E$1012,0)),"",
IF($E257=0,IF(INDEX(EL!$R$4:$R$1012,MATCH($C257,EL!$E$4:$E$1012,0))="","",INDEX(EL!$R$4:$R$1012,MATCH($C257,EL!$E$4:$E$1012,0))),
IF($E257=1,IF(INDEX(EL!$W$4:$W$1012,MATCH($C257,EL!$E$4:$E$1012,0))="","",INDEX(EL!$W$4:$W$1012,MATCH($C257,EL!$E$4:$E$1012,0))),
IF($E257=2,IF(INDEX(EL!$AB$4:$AB$1012,MATCH($C257,EL!$E$4:$E$1012,0))="","",INDEX(EL!$AB$4:$AB$1012,MATCH($C257,EL!$E$4:$E$1012,0))),
IF($E257=3,IF(INDEX(EL!$AG$4:$AG$1012,MATCH($C257,EL!$E$4:$E$1012,0))="","",INDEX(EL!$AG$4:$AG$1012,MATCH($C257,EL!$E$4:$E$1012,0))),
IF($E257=4,IF(INDEX(EL!$AN$4:$AN$1012,MATCH($C257,EL!$E$4:$E$1012,0))="","",INDEX(EL!$AN$4:$AN$1012,MATCH($C257,EL!$E$4:$E$1012,0))),
IF($E257=5,IF(INDEX(EL!$AS$4:$AS$1012,MATCH($C257,EL!$E$4:$E$1012,0))="","",INDEX(EL!$AS$4:$AS$1012,MATCH($C257,EL!$E$4:$E$1012,0))),"")))))))</f>
        <v/>
      </c>
      <c r="I257" s="459" t="str">
        <f>IF(ISNA(MATCH($C257,EL!$E$4:$E$1012,0)),"",
IF($E257=0,IF(INDEX(EL!$S$4:$S$1012,MATCH($C257,EL!$E$4:$E$1012,0))="","",INDEX(EL!$S$4:$S$1012,MATCH($C257,EL!$E$4:$E$1012,0))),
IF($E257=1,IF(INDEX(EL!$X$4:$X$1012,MATCH($C257,EL!$E$4:$E$1012,0))="","",INDEX(EL!$X$4:$X$1012,MATCH($C257,EL!$E$4:$E$1012,0))),
IF($E257=2,IF(INDEX(EL!$AC$4:$AC$1012,MATCH($C257,EL!$E$4:$E$1012,0))="","",INDEX(EL!$AC$4:$AC$1012,MATCH($C257,EL!$E$4:$E$1012,0))),
IF($E257=3,IF(INDEX(EL!$AH$4:$AH$1012,MATCH($C257,EL!$E$4:$E$1012,0))="","",INDEX(EL!$AH$4:$AH$1012,MATCH($C257,EL!$E$4:$E$1012,0))),
IF($E257=4,IF(INDEX(EL!$AM$4:$AM$1012,MATCH($C257,EL!$E$4:$E$1012,0))="","",INDEX(EL!$AM$4:$AM$1012,MATCH($C257,EL!$E$4:$E$1012,0))),
IF($E257=5,IF(INDEX(EL!$AR$4:$AR$1012,MATCH($C257,EL!$E$4:$E$1012,0))="","",INDEX(EL!$AR$4:$AR$1012,MATCH($C257,EL!$E$4:$E$1012,0))),"")))))))</f>
        <v/>
      </c>
      <c r="J257" s="459" t="str">
        <f>IF(ISNA(MATCH($C257,EL!$E$4:$E$1012,0)),"",
IF($E257=0,IF(INDEX(EL!$T$4:$T$1012,MATCH($C257,EL!$E$4:$E$1012,0))="","",INDEX(EL!$T$4:$T$1012,MATCH($C257,EL!$E$4:$E$1012,0))),
IF($E257=1,IF(INDEX(EL!$Y$4:$Y$1012,MATCH($C257,EL!$E$4:$E$1012,0))="","",INDEX(EL!$Y$4:$Y$1012,MATCH($C257,EL!$E$4:$E$1012,0))),
IF($E257=2,IF(INDEX(EL!$AD$4:$AD$1012,MATCH($C257,EL!$E$4:$E$1012,0))="","",INDEX(EL!$AD$4:$AD$1012,MATCH($C257,EL!$E$4:$E$1012,0))),
IF($E257=3,IF(INDEX(EL!$AI$4:$AI$1012,MATCH($C257,EL!$E$4:$E$1012,0))="","",INDEX(EL!$AI$4:$AI$1012,MATCH($C257,EL!$E$4:$E$1012,0))),
IF($E257=4,IF(INDEX(EL!$AN$4:$AN$1012,MATCH($C257,EL!$E$4:$E$1012,0))="","",INDEX(EL!$AN$4:$AN$1012,MATCH($C257,EL!$E$4:$E$1012,0))),
IF($E257=5,IF(INDEX(EL!$AS$4:$AS$1012,MATCH($C257,EL!$E$4:$E$1012,0))="","",INDEX(EL!$AS$4:$AS$1012,MATCH($C257,EL!$E$4:$E$1012,0))),"")))))))</f>
        <v/>
      </c>
      <c r="K257" s="459">
        <f>EL!L171</f>
        <v>0</v>
      </c>
      <c r="L257" s="460" t="e" cm="1">
        <f t="array" aca="1" ref="L257" ca="1">_xlfn.IFS(AND($E257&lt;&gt;"",$M257="Pending",$K257="CTA"),TODAY()-$G257,AND($E257&lt;&gt;"",$M257="Pending",$K257="AUR"),TODAY()-$H257,AND($E257&lt;&gt;"",$M257="Pending",$K257="STT"),TODAY()-$I257,OR(K257="Closed",K257=""),"")</f>
        <v>#N/A</v>
      </c>
      <c r="M257" s="461">
        <f>VLOOKUP(C257,EL!$E$4:$AC$622,9,0)</f>
        <v>0</v>
      </c>
      <c r="N257" s="461" t="str">
        <f t="shared" si="10"/>
        <v/>
      </c>
      <c r="O257" s="739" t="str">
        <f>EL!O171</f>
        <v>GC</v>
      </c>
      <c r="P257" s="746" t="str">
        <v>NO</v>
      </c>
    </row>
    <row r="258" spans="1:17" s="385" customFormat="1" ht="27" hidden="1" customHeight="1">
      <c r="A258" s="399">
        <f t="shared" si="9"/>
        <v>165</v>
      </c>
      <c r="B258" s="477" t="s">
        <v>52</v>
      </c>
      <c r="C258" s="646" t="s">
        <v>941</v>
      </c>
      <c r="D258" s="456" t="str">
        <f>_xlfn.XLOOKUP(C258,EL!$E$4:$E$183,EL!$D$4:$D$183)</f>
        <v>Level 4 - Emergency Light And Exit Sign Systems Layout</v>
      </c>
      <c r="E258" s="597" t="str">
        <f>IF(VLOOKUP(C258,EL!$E$4:$AC$505,7,0)="","",VLOOKUP(C258,EL!$E$4:$AC$1004,7,0))</f>
        <v/>
      </c>
      <c r="F258" s="462"/>
      <c r="G258" s="458" t="str">
        <f>IF(VLOOKUP(C258,EL!$E$4:$AC$514,5,0)="","",VLOOKUP(C258,EL!$E$4:$AC$514,5,0))</f>
        <v/>
      </c>
      <c r="H258" s="459" t="str">
        <f>IF(ISNA(MATCH($C258,EL!$E$4:$E$1012,0)),"",
IF($E258=0,IF(INDEX(EL!$R$4:$R$1012,MATCH($C258,EL!$E$4:$E$1012,0))="","",INDEX(EL!$R$4:$R$1012,MATCH($C258,EL!$E$4:$E$1012,0))),
IF($E258=1,IF(INDEX(EL!$W$4:$W$1012,MATCH($C258,EL!$E$4:$E$1012,0))="","",INDEX(EL!$W$4:$W$1012,MATCH($C258,EL!$E$4:$E$1012,0))),
IF($E258=2,IF(INDEX(EL!$AB$4:$AB$1012,MATCH($C258,EL!$E$4:$E$1012,0))="","",INDEX(EL!$AB$4:$AB$1012,MATCH($C258,EL!$E$4:$E$1012,0))),
IF($E258=3,IF(INDEX(EL!$AG$4:$AG$1012,MATCH($C258,EL!$E$4:$E$1012,0))="","",INDEX(EL!$AG$4:$AG$1012,MATCH($C258,EL!$E$4:$E$1012,0))),
IF($E258=4,IF(INDEX(EL!$AN$4:$AN$1012,MATCH($C258,EL!$E$4:$E$1012,0))="","",INDEX(EL!$AN$4:$AN$1012,MATCH($C258,EL!$E$4:$E$1012,0))),
IF($E258=5,IF(INDEX(EL!$AS$4:$AS$1012,MATCH($C258,EL!$E$4:$E$1012,0))="","",INDEX(EL!$AS$4:$AS$1012,MATCH($C258,EL!$E$4:$E$1012,0))),"")))))))</f>
        <v/>
      </c>
      <c r="I258" s="459" t="str">
        <f>IF(ISNA(MATCH($C258,EL!$E$4:$E$1012,0)),"",
IF($E258=0,IF(INDEX(EL!$S$4:$S$1012,MATCH($C258,EL!$E$4:$E$1012,0))="","",INDEX(EL!$S$4:$S$1012,MATCH($C258,EL!$E$4:$E$1012,0))),
IF($E258=1,IF(INDEX(EL!$X$4:$X$1012,MATCH($C258,EL!$E$4:$E$1012,0))="","",INDEX(EL!$X$4:$X$1012,MATCH($C258,EL!$E$4:$E$1012,0))),
IF($E258=2,IF(INDEX(EL!$AC$4:$AC$1012,MATCH($C258,EL!$E$4:$E$1012,0))="","",INDEX(EL!$AC$4:$AC$1012,MATCH($C258,EL!$E$4:$E$1012,0))),
IF($E258=3,IF(INDEX(EL!$AH$4:$AH$1012,MATCH($C258,EL!$E$4:$E$1012,0))="","",INDEX(EL!$AH$4:$AH$1012,MATCH($C258,EL!$E$4:$E$1012,0))),
IF($E258=4,IF(INDEX(EL!$AM$4:$AM$1012,MATCH($C258,EL!$E$4:$E$1012,0))="","",INDEX(EL!$AM$4:$AM$1012,MATCH($C258,EL!$E$4:$E$1012,0))),
IF($E258=5,IF(INDEX(EL!$AR$4:$AR$1012,MATCH($C258,EL!$E$4:$E$1012,0))="","",INDEX(EL!$AR$4:$AR$1012,MATCH($C258,EL!$E$4:$E$1012,0))),"")))))))</f>
        <v/>
      </c>
      <c r="J258" s="459" t="str">
        <f>IF(ISNA(MATCH($C258,EL!$E$4:$E$1012,0)),"",
IF($E258=0,IF(INDEX(EL!$T$4:$T$1012,MATCH($C258,EL!$E$4:$E$1012,0))="","",INDEX(EL!$T$4:$T$1012,MATCH($C258,EL!$E$4:$E$1012,0))),
IF($E258=1,IF(INDEX(EL!$Y$4:$Y$1012,MATCH($C258,EL!$E$4:$E$1012,0))="","",INDEX(EL!$Y$4:$Y$1012,MATCH($C258,EL!$E$4:$E$1012,0))),
IF($E258=2,IF(INDEX(EL!$AD$4:$AD$1012,MATCH($C258,EL!$E$4:$E$1012,0))="","",INDEX(EL!$AD$4:$AD$1012,MATCH($C258,EL!$E$4:$E$1012,0))),
IF($E258=3,IF(INDEX(EL!$AI$4:$AI$1012,MATCH($C258,EL!$E$4:$E$1012,0))="","",INDEX(EL!$AI$4:$AI$1012,MATCH($C258,EL!$E$4:$E$1012,0))),
IF($E258=4,IF(INDEX(EL!$AN$4:$AN$1012,MATCH($C258,EL!$E$4:$E$1012,0))="","",INDEX(EL!$AN$4:$AN$1012,MATCH($C258,EL!$E$4:$E$1012,0))),
IF($E258=5,IF(INDEX(EL!$AS$4:$AS$1012,MATCH($C258,EL!$E$4:$E$1012,0))="","",INDEX(EL!$AS$4:$AS$1012,MATCH($C258,EL!$E$4:$E$1012,0))),"")))))))</f>
        <v/>
      </c>
      <c r="K258" s="459">
        <f>EL!L172</f>
        <v>0</v>
      </c>
      <c r="L258" s="460" t="e" cm="1">
        <f t="array" aca="1" ref="L258" ca="1">_xlfn.IFS(AND($E258&lt;&gt;"",$M258="Pending",$K258="CTA"),TODAY()-$G258,AND($E258&lt;&gt;"",$M258="Pending",$K258="AUR"),TODAY()-$H258,AND($E258&lt;&gt;"",$M258="Pending",$K258="STT"),TODAY()-$I258,OR(K258="Closed",K258=""),"")</f>
        <v>#N/A</v>
      </c>
      <c r="M258" s="461">
        <f>VLOOKUP(C258,EL!$E$4:$AC$622,9,0)</f>
        <v>0</v>
      </c>
      <c r="N258" s="461" t="str">
        <f t="shared" si="10"/>
        <v/>
      </c>
      <c r="O258" s="739" t="str">
        <f>EL!O172</f>
        <v>GC</v>
      </c>
      <c r="P258" s="746" t="str">
        <v>NO</v>
      </c>
    </row>
    <row r="259" spans="1:17" s="385" customFormat="1" ht="27" hidden="1" customHeight="1">
      <c r="A259" s="399">
        <f t="shared" si="9"/>
        <v>166</v>
      </c>
      <c r="B259" s="477" t="s">
        <v>52</v>
      </c>
      <c r="C259" s="646" t="s">
        <v>944</v>
      </c>
      <c r="D259" s="456" t="str">
        <f>_xlfn.XLOOKUP(C259,EL!$E$4:$E$183,EL!$D$4:$D$183)</f>
        <v>Level 5 - General Lighting System Layout</v>
      </c>
      <c r="E259" s="597" t="str">
        <f>IF(VLOOKUP(C259,EL!$E$4:$AC$505,7,0)="","",VLOOKUP(C259,EL!$E$4:$AC$1004,7,0))</f>
        <v/>
      </c>
      <c r="F259" s="462"/>
      <c r="G259" s="458" t="str">
        <f>IF(VLOOKUP(C259,EL!$E$4:$AC$514,5,0)="","",VLOOKUP(C259,EL!$E$4:$AC$514,5,0))</f>
        <v/>
      </c>
      <c r="H259" s="459" t="str">
        <f>IF(ISNA(MATCH($C259,EL!$E$4:$E$1012,0)),"",
IF($E259=0,IF(INDEX(EL!$R$4:$R$1012,MATCH($C259,EL!$E$4:$E$1012,0))="","",INDEX(EL!$R$4:$R$1012,MATCH($C259,EL!$E$4:$E$1012,0))),
IF($E259=1,IF(INDEX(EL!$W$4:$W$1012,MATCH($C259,EL!$E$4:$E$1012,0))="","",INDEX(EL!$W$4:$W$1012,MATCH($C259,EL!$E$4:$E$1012,0))),
IF($E259=2,IF(INDEX(EL!$AB$4:$AB$1012,MATCH($C259,EL!$E$4:$E$1012,0))="","",INDEX(EL!$AB$4:$AB$1012,MATCH($C259,EL!$E$4:$E$1012,0))),
IF($E259=3,IF(INDEX(EL!$AG$4:$AG$1012,MATCH($C259,EL!$E$4:$E$1012,0))="","",INDEX(EL!$AG$4:$AG$1012,MATCH($C259,EL!$E$4:$E$1012,0))),
IF($E259=4,IF(INDEX(EL!$AN$4:$AN$1012,MATCH($C259,EL!$E$4:$E$1012,0))="","",INDEX(EL!$AN$4:$AN$1012,MATCH($C259,EL!$E$4:$E$1012,0))),
IF($E259=5,IF(INDEX(EL!$AS$4:$AS$1012,MATCH($C259,EL!$E$4:$E$1012,0))="","",INDEX(EL!$AS$4:$AS$1012,MATCH($C259,EL!$E$4:$E$1012,0))),"")))))))</f>
        <v/>
      </c>
      <c r="I259" s="459" t="str">
        <f>IF(ISNA(MATCH($C259,EL!$E$4:$E$1012,0)),"",
IF($E259=0,IF(INDEX(EL!$S$4:$S$1012,MATCH($C259,EL!$E$4:$E$1012,0))="","",INDEX(EL!$S$4:$S$1012,MATCH($C259,EL!$E$4:$E$1012,0))),
IF($E259=1,IF(INDEX(EL!$X$4:$X$1012,MATCH($C259,EL!$E$4:$E$1012,0))="","",INDEX(EL!$X$4:$X$1012,MATCH($C259,EL!$E$4:$E$1012,0))),
IF($E259=2,IF(INDEX(EL!$AC$4:$AC$1012,MATCH($C259,EL!$E$4:$E$1012,0))="","",INDEX(EL!$AC$4:$AC$1012,MATCH($C259,EL!$E$4:$E$1012,0))),
IF($E259=3,IF(INDEX(EL!$AH$4:$AH$1012,MATCH($C259,EL!$E$4:$E$1012,0))="","",INDEX(EL!$AH$4:$AH$1012,MATCH($C259,EL!$E$4:$E$1012,0))),
IF($E259=4,IF(INDEX(EL!$AM$4:$AM$1012,MATCH($C259,EL!$E$4:$E$1012,0))="","",INDEX(EL!$AM$4:$AM$1012,MATCH($C259,EL!$E$4:$E$1012,0))),
IF($E259=5,IF(INDEX(EL!$AR$4:$AR$1012,MATCH($C259,EL!$E$4:$E$1012,0))="","",INDEX(EL!$AR$4:$AR$1012,MATCH($C259,EL!$E$4:$E$1012,0))),"")))))))</f>
        <v/>
      </c>
      <c r="J259" s="459" t="str">
        <f>IF(ISNA(MATCH($C259,EL!$E$4:$E$1012,0)),"",
IF($E259=0,IF(INDEX(EL!$T$4:$T$1012,MATCH($C259,EL!$E$4:$E$1012,0))="","",INDEX(EL!$T$4:$T$1012,MATCH($C259,EL!$E$4:$E$1012,0))),
IF($E259=1,IF(INDEX(EL!$Y$4:$Y$1012,MATCH($C259,EL!$E$4:$E$1012,0))="","",INDEX(EL!$Y$4:$Y$1012,MATCH($C259,EL!$E$4:$E$1012,0))),
IF($E259=2,IF(INDEX(EL!$AD$4:$AD$1012,MATCH($C259,EL!$E$4:$E$1012,0))="","",INDEX(EL!$AD$4:$AD$1012,MATCH($C259,EL!$E$4:$E$1012,0))),
IF($E259=3,IF(INDEX(EL!$AI$4:$AI$1012,MATCH($C259,EL!$E$4:$E$1012,0))="","",INDEX(EL!$AI$4:$AI$1012,MATCH($C259,EL!$E$4:$E$1012,0))),
IF($E259=4,IF(INDEX(EL!$AN$4:$AN$1012,MATCH($C259,EL!$E$4:$E$1012,0))="","",INDEX(EL!$AN$4:$AN$1012,MATCH($C259,EL!$E$4:$E$1012,0))),
IF($E259=5,IF(INDEX(EL!$AS$4:$AS$1012,MATCH($C259,EL!$E$4:$E$1012,0))="","",INDEX(EL!$AS$4:$AS$1012,MATCH($C259,EL!$E$4:$E$1012,0))),"")))))))</f>
        <v/>
      </c>
      <c r="K259" s="459">
        <f>EL!L173</f>
        <v>0</v>
      </c>
      <c r="L259" s="460" t="e" cm="1">
        <f t="array" aca="1" ref="L259" ca="1">_xlfn.IFS(AND($E259&lt;&gt;"",$M259="Pending",$K259="CTA"),TODAY()-$G259,AND($E259&lt;&gt;"",$M259="Pending",$K259="AUR"),TODAY()-$H259,AND($E259&lt;&gt;"",$M259="Pending",$K259="STT"),TODAY()-$I259,OR(K259="Closed",K259=""),"")</f>
        <v>#N/A</v>
      </c>
      <c r="M259" s="461">
        <f>VLOOKUP(C259,EL!$E$4:$AC$622,9,0)</f>
        <v>0</v>
      </c>
      <c r="N259" s="461" t="str">
        <f t="shared" si="10"/>
        <v/>
      </c>
      <c r="O259" s="739" t="str">
        <f>EL!O173</f>
        <v>GC</v>
      </c>
      <c r="P259" s="746" t="str">
        <v>NO</v>
      </c>
    </row>
    <row r="260" spans="1:17" s="385" customFormat="1" ht="27" hidden="1" customHeight="1">
      <c r="A260" s="399">
        <f t="shared" si="9"/>
        <v>167</v>
      </c>
      <c r="B260" s="477" t="s">
        <v>52</v>
      </c>
      <c r="C260" s="646" t="s">
        <v>947</v>
      </c>
      <c r="D260" s="456" t="str">
        <f>_xlfn.XLOOKUP(C260,EL!$E$4:$E$183,EL!$D$4:$D$183)</f>
        <v>Level 5 - Emergency Light And Exit Sign Systems Layout</v>
      </c>
      <c r="E260" s="597" t="str">
        <f>IF(VLOOKUP(C260,EL!$E$4:$AC$505,7,0)="","",VLOOKUP(C260,EL!$E$4:$AC$1004,7,0))</f>
        <v/>
      </c>
      <c r="F260" s="462"/>
      <c r="G260" s="458" t="str">
        <f>IF(VLOOKUP(C260,EL!$E$4:$AC$514,5,0)="","",VLOOKUP(C260,EL!$E$4:$AC$514,5,0))</f>
        <v/>
      </c>
      <c r="H260" s="459" t="str">
        <f>IF(ISNA(MATCH($C260,EL!$E$4:$E$1012,0)),"",
IF($E260=0,IF(INDEX(EL!$R$4:$R$1012,MATCH($C260,EL!$E$4:$E$1012,0))="","",INDEX(EL!$R$4:$R$1012,MATCH($C260,EL!$E$4:$E$1012,0))),
IF($E260=1,IF(INDEX(EL!$W$4:$W$1012,MATCH($C260,EL!$E$4:$E$1012,0))="","",INDEX(EL!$W$4:$W$1012,MATCH($C260,EL!$E$4:$E$1012,0))),
IF($E260=2,IF(INDEX(EL!$AB$4:$AB$1012,MATCH($C260,EL!$E$4:$E$1012,0))="","",INDEX(EL!$AB$4:$AB$1012,MATCH($C260,EL!$E$4:$E$1012,0))),
IF($E260=3,IF(INDEX(EL!$AG$4:$AG$1012,MATCH($C260,EL!$E$4:$E$1012,0))="","",INDEX(EL!$AG$4:$AG$1012,MATCH($C260,EL!$E$4:$E$1012,0))),
IF($E260=4,IF(INDEX(EL!$AN$4:$AN$1012,MATCH($C260,EL!$E$4:$E$1012,0))="","",INDEX(EL!$AN$4:$AN$1012,MATCH($C260,EL!$E$4:$E$1012,0))),
IF($E260=5,IF(INDEX(EL!$AS$4:$AS$1012,MATCH($C260,EL!$E$4:$E$1012,0))="","",INDEX(EL!$AS$4:$AS$1012,MATCH($C260,EL!$E$4:$E$1012,0))),"")))))))</f>
        <v/>
      </c>
      <c r="I260" s="459" t="str">
        <f>IF(ISNA(MATCH($C260,EL!$E$4:$E$1012,0)),"",
IF($E260=0,IF(INDEX(EL!$S$4:$S$1012,MATCH($C260,EL!$E$4:$E$1012,0))="","",INDEX(EL!$S$4:$S$1012,MATCH($C260,EL!$E$4:$E$1012,0))),
IF($E260=1,IF(INDEX(EL!$X$4:$X$1012,MATCH($C260,EL!$E$4:$E$1012,0))="","",INDEX(EL!$X$4:$X$1012,MATCH($C260,EL!$E$4:$E$1012,0))),
IF($E260=2,IF(INDEX(EL!$AC$4:$AC$1012,MATCH($C260,EL!$E$4:$E$1012,0))="","",INDEX(EL!$AC$4:$AC$1012,MATCH($C260,EL!$E$4:$E$1012,0))),
IF($E260=3,IF(INDEX(EL!$AH$4:$AH$1012,MATCH($C260,EL!$E$4:$E$1012,0))="","",INDEX(EL!$AH$4:$AH$1012,MATCH($C260,EL!$E$4:$E$1012,0))),
IF($E260=4,IF(INDEX(EL!$AM$4:$AM$1012,MATCH($C260,EL!$E$4:$E$1012,0))="","",INDEX(EL!$AM$4:$AM$1012,MATCH($C260,EL!$E$4:$E$1012,0))),
IF($E260=5,IF(INDEX(EL!$AR$4:$AR$1012,MATCH($C260,EL!$E$4:$E$1012,0))="","",INDEX(EL!$AR$4:$AR$1012,MATCH($C260,EL!$E$4:$E$1012,0))),"")))))))</f>
        <v/>
      </c>
      <c r="J260" s="459" t="str">
        <f>IF(ISNA(MATCH($C260,EL!$E$4:$E$1012,0)),"",
IF($E260=0,IF(INDEX(EL!$T$4:$T$1012,MATCH($C260,EL!$E$4:$E$1012,0))="","",INDEX(EL!$T$4:$T$1012,MATCH($C260,EL!$E$4:$E$1012,0))),
IF($E260=1,IF(INDEX(EL!$Y$4:$Y$1012,MATCH($C260,EL!$E$4:$E$1012,0))="","",INDEX(EL!$Y$4:$Y$1012,MATCH($C260,EL!$E$4:$E$1012,0))),
IF($E260=2,IF(INDEX(EL!$AD$4:$AD$1012,MATCH($C260,EL!$E$4:$E$1012,0))="","",INDEX(EL!$AD$4:$AD$1012,MATCH($C260,EL!$E$4:$E$1012,0))),
IF($E260=3,IF(INDEX(EL!$AI$4:$AI$1012,MATCH($C260,EL!$E$4:$E$1012,0))="","",INDEX(EL!$AI$4:$AI$1012,MATCH($C260,EL!$E$4:$E$1012,0))),
IF($E260=4,IF(INDEX(EL!$AN$4:$AN$1012,MATCH($C260,EL!$E$4:$E$1012,0))="","",INDEX(EL!$AN$4:$AN$1012,MATCH($C260,EL!$E$4:$E$1012,0))),
IF($E260=5,IF(INDEX(EL!$AS$4:$AS$1012,MATCH($C260,EL!$E$4:$E$1012,0))="","",INDEX(EL!$AS$4:$AS$1012,MATCH($C260,EL!$E$4:$E$1012,0))),"")))))))</f>
        <v/>
      </c>
      <c r="K260" s="459">
        <f>EL!L174</f>
        <v>0</v>
      </c>
      <c r="L260" s="460" t="e" cm="1">
        <f t="array" aca="1" ref="L260" ca="1">_xlfn.IFS(AND($E260&lt;&gt;"",$M260="Pending",$K260="CTA"),TODAY()-$G260,AND($E260&lt;&gt;"",$M260="Pending",$K260="AUR"),TODAY()-$H260,AND($E260&lt;&gt;"",$M260="Pending",$K260="STT"),TODAY()-$I260,OR(K260="Closed",K260=""),"")</f>
        <v>#N/A</v>
      </c>
      <c r="M260" s="461">
        <f>VLOOKUP(C260,EL!$E$4:$AC$622,9,0)</f>
        <v>0</v>
      </c>
      <c r="N260" s="461" t="str">
        <f t="shared" si="10"/>
        <v/>
      </c>
      <c r="O260" s="739" t="str">
        <f>EL!O174</f>
        <v>GC</v>
      </c>
      <c r="P260" s="746" t="str">
        <v>NO</v>
      </c>
    </row>
    <row r="261" spans="1:17" s="385" customFormat="1" ht="27" customHeight="1">
      <c r="A261" s="399">
        <f t="shared" si="9"/>
        <v>168</v>
      </c>
      <c r="B261" s="477" t="s">
        <v>52</v>
      </c>
      <c r="C261" s="646" t="s">
        <v>950</v>
      </c>
      <c r="D261" s="456" t="str">
        <f>_xlfn.XLOOKUP(C261,EL!$E$4:$E$183,EL!$D$4:$D$183)</f>
        <v>Level 6 - General Lighting System Layout</v>
      </c>
      <c r="E261" s="597">
        <f>IF(VLOOKUP(C261,EL!$E$4:$AC$505,7,0)="","",VLOOKUP(C261,EL!$E$4:$AC$1004,7,0))</f>
        <v>0</v>
      </c>
      <c r="F261" s="462"/>
      <c r="G261" s="458">
        <f>IF(VLOOKUP(C261,EL!$E$4:$AC$514,5,0)="","",VLOOKUP(C261,EL!$E$4:$AC$514,5,0))</f>
        <v>46063</v>
      </c>
      <c r="H261" s="459" t="str">
        <f>IF(ISNA(MATCH($C261,EL!$E$4:$E$1012,0)),"",
IF($E261=0,IF(INDEX(EL!$R$4:$R$1012,MATCH($C261,EL!$E$4:$E$1012,0))="","",INDEX(EL!$R$4:$R$1012,MATCH($C261,EL!$E$4:$E$1012,0))),
IF($E261=1,IF(INDEX(EL!$W$4:$W$1012,MATCH($C261,EL!$E$4:$E$1012,0))="","",INDEX(EL!$W$4:$W$1012,MATCH($C261,EL!$E$4:$E$1012,0))),
IF($E261=2,IF(INDEX(EL!$AB$4:$AB$1012,MATCH($C261,EL!$E$4:$E$1012,0))="","",INDEX(EL!$AB$4:$AB$1012,MATCH($C261,EL!$E$4:$E$1012,0))),
IF($E261=3,IF(INDEX(EL!$AG$4:$AG$1012,MATCH($C261,EL!$E$4:$E$1012,0))="","",INDEX(EL!$AG$4:$AG$1012,MATCH($C261,EL!$E$4:$E$1012,0))),
IF($E261=4,IF(INDEX(EL!$AN$4:$AN$1012,MATCH($C261,EL!$E$4:$E$1012,0))="","",INDEX(EL!$AN$4:$AN$1012,MATCH($C261,EL!$E$4:$E$1012,0))),
IF($E261=5,IF(INDEX(EL!$AS$4:$AS$1012,MATCH($C261,EL!$E$4:$E$1012,0))="","",INDEX(EL!$AS$4:$AS$1012,MATCH($C261,EL!$E$4:$E$1012,0))),"")))))))</f>
        <v/>
      </c>
      <c r="I261" s="459" t="str">
        <f>IF(ISNA(MATCH($C261,EL!$E$4:$E$1012,0)),"",
IF($E261=0,IF(INDEX(EL!$S$4:$S$1012,MATCH($C261,EL!$E$4:$E$1012,0))="","",INDEX(EL!$S$4:$S$1012,MATCH($C261,EL!$E$4:$E$1012,0))),
IF($E261=1,IF(INDEX(EL!$X$4:$X$1012,MATCH($C261,EL!$E$4:$E$1012,0))="","",INDEX(EL!$X$4:$X$1012,MATCH($C261,EL!$E$4:$E$1012,0))),
IF($E261=2,IF(INDEX(EL!$AC$4:$AC$1012,MATCH($C261,EL!$E$4:$E$1012,0))="","",INDEX(EL!$AC$4:$AC$1012,MATCH($C261,EL!$E$4:$E$1012,0))),
IF($E261=3,IF(INDEX(EL!$AH$4:$AH$1012,MATCH($C261,EL!$E$4:$E$1012,0))="","",INDEX(EL!$AH$4:$AH$1012,MATCH($C261,EL!$E$4:$E$1012,0))),
IF($E261=4,IF(INDEX(EL!$AM$4:$AM$1012,MATCH($C261,EL!$E$4:$E$1012,0))="","",INDEX(EL!$AM$4:$AM$1012,MATCH($C261,EL!$E$4:$E$1012,0))),
IF($E261=5,IF(INDEX(EL!$AR$4:$AR$1012,MATCH($C261,EL!$E$4:$E$1012,0))="","",INDEX(EL!$AR$4:$AR$1012,MATCH($C261,EL!$E$4:$E$1012,0))),"")))))))</f>
        <v/>
      </c>
      <c r="J261" s="459" t="str">
        <f>IF(ISNA(MATCH($C261,EL!$E$4:$E$1012,0)),"",
IF($E261=0,IF(INDEX(EL!$T$4:$T$1012,MATCH($C261,EL!$E$4:$E$1012,0))="","",INDEX(EL!$T$4:$T$1012,MATCH($C261,EL!$E$4:$E$1012,0))),
IF($E261=1,IF(INDEX(EL!$Y$4:$Y$1012,MATCH($C261,EL!$E$4:$E$1012,0))="","",INDEX(EL!$Y$4:$Y$1012,MATCH($C261,EL!$E$4:$E$1012,0))),
IF($E261=2,IF(INDEX(EL!$AD$4:$AD$1012,MATCH($C261,EL!$E$4:$E$1012,0))="","",INDEX(EL!$AD$4:$AD$1012,MATCH($C261,EL!$E$4:$E$1012,0))),
IF($E261=3,IF(INDEX(EL!$AI$4:$AI$1012,MATCH($C261,EL!$E$4:$E$1012,0))="","",INDEX(EL!$AI$4:$AI$1012,MATCH($C261,EL!$E$4:$E$1012,0))),
IF($E261=4,IF(INDEX(EL!$AN$4:$AN$1012,MATCH($C261,EL!$E$4:$E$1012,0))="","",INDEX(EL!$AN$4:$AN$1012,MATCH($C261,EL!$E$4:$E$1012,0))),
IF($E261=5,IF(INDEX(EL!$AS$4:$AS$1012,MATCH($C261,EL!$E$4:$E$1012,0))="","",INDEX(EL!$AS$4:$AS$1012,MATCH($C261,EL!$E$4:$E$1012,0))),"")))))))</f>
        <v/>
      </c>
      <c r="K261" s="459" t="str">
        <f>EL!L175</f>
        <v>CTA</v>
      </c>
      <c r="L261" s="460" cm="1">
        <f t="array" aca="1" ref="L261" ca="1">_xlfn.IFS(AND($E261&lt;&gt;"",$M261="Pending",$K261="CTA"),TODAY()-$G261,AND($E261&lt;&gt;"",$M261="Pending",$K261="AUR"),TODAY()-$H261,AND($E261&lt;&gt;"",$M261="Pending",$K261="STT"),TODAY()-$I261,OR(K261="Closed",K261=""),"")</f>
        <v>3</v>
      </c>
      <c r="M261" s="461" t="str">
        <f>VLOOKUP(C261,EL!$E$4:$AC$622,9,0)</f>
        <v>Pending</v>
      </c>
      <c r="N261" s="461" t="str">
        <f t="shared" ca="1" si="10"/>
        <v>High</v>
      </c>
      <c r="O261" s="739" t="str">
        <f>EL!O175</f>
        <v>GC</v>
      </c>
      <c r="P261" s="746" t="str">
        <v>NO</v>
      </c>
    </row>
    <row r="262" spans="1:17" s="385" customFormat="1" ht="27" hidden="1" customHeight="1">
      <c r="A262" s="399">
        <f t="shared" si="9"/>
        <v>169</v>
      </c>
      <c r="B262" s="477" t="s">
        <v>52</v>
      </c>
      <c r="C262" s="646" t="s">
        <v>953</v>
      </c>
      <c r="D262" s="456" t="str">
        <f>_xlfn.XLOOKUP(C262,EL!$E$4:$E$183,EL!$D$4:$D$183)</f>
        <v>Level 6 - Emergency Light And Exit Sign Systems Layout</v>
      </c>
      <c r="E262" s="597" t="str">
        <f>IF(VLOOKUP(C262,EL!$E$4:$AC$505,7,0)="","",VLOOKUP(C262,EL!$E$4:$AC$1004,7,0))</f>
        <v/>
      </c>
      <c r="F262" s="462"/>
      <c r="G262" s="458" t="str">
        <f>IF(VLOOKUP(C262,EL!$E$4:$AC$514,5,0)="","",VLOOKUP(C262,EL!$E$4:$AC$514,5,0))</f>
        <v/>
      </c>
      <c r="H262" s="459" t="str">
        <f>IF(ISNA(MATCH($C262,EL!$E$4:$E$1012,0)),"",
IF($E262=0,IF(INDEX(EL!$R$4:$R$1012,MATCH($C262,EL!$E$4:$E$1012,0))="","",INDEX(EL!$R$4:$R$1012,MATCH($C262,EL!$E$4:$E$1012,0))),
IF($E262=1,IF(INDEX(EL!$W$4:$W$1012,MATCH($C262,EL!$E$4:$E$1012,0))="","",INDEX(EL!$W$4:$W$1012,MATCH($C262,EL!$E$4:$E$1012,0))),
IF($E262=2,IF(INDEX(EL!$AB$4:$AB$1012,MATCH($C262,EL!$E$4:$E$1012,0))="","",INDEX(EL!$AB$4:$AB$1012,MATCH($C262,EL!$E$4:$E$1012,0))),
IF($E262=3,IF(INDEX(EL!$AG$4:$AG$1012,MATCH($C262,EL!$E$4:$E$1012,0))="","",INDEX(EL!$AG$4:$AG$1012,MATCH($C262,EL!$E$4:$E$1012,0))),
IF($E262=4,IF(INDEX(EL!$AN$4:$AN$1012,MATCH($C262,EL!$E$4:$E$1012,0))="","",INDEX(EL!$AN$4:$AN$1012,MATCH($C262,EL!$E$4:$E$1012,0))),
IF($E262=5,IF(INDEX(EL!$AS$4:$AS$1012,MATCH($C262,EL!$E$4:$E$1012,0))="","",INDEX(EL!$AS$4:$AS$1012,MATCH($C262,EL!$E$4:$E$1012,0))),"")))))))</f>
        <v/>
      </c>
      <c r="I262" s="459" t="str">
        <f>IF(ISNA(MATCH($C262,EL!$E$4:$E$1012,0)),"",
IF($E262=0,IF(INDEX(EL!$S$4:$S$1012,MATCH($C262,EL!$E$4:$E$1012,0))="","",INDEX(EL!$S$4:$S$1012,MATCH($C262,EL!$E$4:$E$1012,0))),
IF($E262=1,IF(INDEX(EL!$X$4:$X$1012,MATCH($C262,EL!$E$4:$E$1012,0))="","",INDEX(EL!$X$4:$X$1012,MATCH($C262,EL!$E$4:$E$1012,0))),
IF($E262=2,IF(INDEX(EL!$AC$4:$AC$1012,MATCH($C262,EL!$E$4:$E$1012,0))="","",INDEX(EL!$AC$4:$AC$1012,MATCH($C262,EL!$E$4:$E$1012,0))),
IF($E262=3,IF(INDEX(EL!$AH$4:$AH$1012,MATCH($C262,EL!$E$4:$E$1012,0))="","",INDEX(EL!$AH$4:$AH$1012,MATCH($C262,EL!$E$4:$E$1012,0))),
IF($E262=4,IF(INDEX(EL!$AM$4:$AM$1012,MATCH($C262,EL!$E$4:$E$1012,0))="","",INDEX(EL!$AM$4:$AM$1012,MATCH($C262,EL!$E$4:$E$1012,0))),
IF($E262=5,IF(INDEX(EL!$AR$4:$AR$1012,MATCH($C262,EL!$E$4:$E$1012,0))="","",INDEX(EL!$AR$4:$AR$1012,MATCH($C262,EL!$E$4:$E$1012,0))),"")))))))</f>
        <v/>
      </c>
      <c r="J262" s="459" t="str">
        <f>IF(ISNA(MATCH($C262,EL!$E$4:$E$1012,0)),"",
IF($E262=0,IF(INDEX(EL!$T$4:$T$1012,MATCH($C262,EL!$E$4:$E$1012,0))="","",INDEX(EL!$T$4:$T$1012,MATCH($C262,EL!$E$4:$E$1012,0))),
IF($E262=1,IF(INDEX(EL!$Y$4:$Y$1012,MATCH($C262,EL!$E$4:$E$1012,0))="","",INDEX(EL!$Y$4:$Y$1012,MATCH($C262,EL!$E$4:$E$1012,0))),
IF($E262=2,IF(INDEX(EL!$AD$4:$AD$1012,MATCH($C262,EL!$E$4:$E$1012,0))="","",INDEX(EL!$AD$4:$AD$1012,MATCH($C262,EL!$E$4:$E$1012,0))),
IF($E262=3,IF(INDEX(EL!$AI$4:$AI$1012,MATCH($C262,EL!$E$4:$E$1012,0))="","",INDEX(EL!$AI$4:$AI$1012,MATCH($C262,EL!$E$4:$E$1012,0))),
IF($E262=4,IF(INDEX(EL!$AN$4:$AN$1012,MATCH($C262,EL!$E$4:$E$1012,0))="","",INDEX(EL!$AN$4:$AN$1012,MATCH($C262,EL!$E$4:$E$1012,0))),
IF($E262=5,IF(INDEX(EL!$AS$4:$AS$1012,MATCH($C262,EL!$E$4:$E$1012,0))="","",INDEX(EL!$AS$4:$AS$1012,MATCH($C262,EL!$E$4:$E$1012,0))),"")))))))</f>
        <v/>
      </c>
      <c r="K262" s="459">
        <f>EL!L176</f>
        <v>0</v>
      </c>
      <c r="L262" s="460" t="e" cm="1">
        <f t="array" aca="1" ref="L262" ca="1">_xlfn.IFS(AND($E262&lt;&gt;"",$M262="Pending",$K262="CTA"),TODAY()-$G262,AND($E262&lt;&gt;"",$M262="Pending",$K262="AUR"),TODAY()-$H262,AND($E262&lt;&gt;"",$M262="Pending",$K262="STT"),TODAY()-$I262,OR(K262="Closed",K262=""),"")</f>
        <v>#N/A</v>
      </c>
      <c r="M262" s="461">
        <f>VLOOKUP(C262,EL!$E$4:$AC$622,9,0)</f>
        <v>0</v>
      </c>
      <c r="N262" s="461" t="str">
        <f t="shared" si="10"/>
        <v/>
      </c>
      <c r="O262" s="739" t="str">
        <f>EL!O176</f>
        <v>GC</v>
      </c>
      <c r="P262" s="746" t="str">
        <v>NO</v>
      </c>
    </row>
    <row r="263" spans="1:17" s="385" customFormat="1" ht="27" hidden="1" customHeight="1">
      <c r="A263" s="399">
        <f t="shared" si="9"/>
        <v>170</v>
      </c>
      <c r="B263" s="477" t="s">
        <v>52</v>
      </c>
      <c r="C263" s="646" t="s">
        <v>956</v>
      </c>
      <c r="D263" s="456" t="str">
        <f>_xlfn.XLOOKUP(C263,EL!$E$4:$E$183,EL!$D$4:$D$183)</f>
        <v>Level 6 - Lighting Control Layout</v>
      </c>
      <c r="E263" s="597" t="str">
        <f>IF(VLOOKUP(C263,EL!$E$4:$AC$505,7,0)="","",VLOOKUP(C263,EL!$E$4:$AC$1004,7,0))</f>
        <v/>
      </c>
      <c r="F263" s="462"/>
      <c r="G263" s="458" t="str">
        <f>IF(VLOOKUP(C263,EL!$E$4:$AC$514,5,0)="","",VLOOKUP(C263,EL!$E$4:$AC$514,5,0))</f>
        <v/>
      </c>
      <c r="H263" s="459" t="str">
        <f>IF(ISNA(MATCH($C263,EL!$E$4:$E$1012,0)),"",
IF($E263=0,IF(INDEX(EL!$R$4:$R$1012,MATCH($C263,EL!$E$4:$E$1012,0))="","",INDEX(EL!$R$4:$R$1012,MATCH($C263,EL!$E$4:$E$1012,0))),
IF($E263=1,IF(INDEX(EL!$W$4:$W$1012,MATCH($C263,EL!$E$4:$E$1012,0))="","",INDEX(EL!$W$4:$W$1012,MATCH($C263,EL!$E$4:$E$1012,0))),
IF($E263=2,IF(INDEX(EL!$AB$4:$AB$1012,MATCH($C263,EL!$E$4:$E$1012,0))="","",INDEX(EL!$AB$4:$AB$1012,MATCH($C263,EL!$E$4:$E$1012,0))),
IF($E263=3,IF(INDEX(EL!$AG$4:$AG$1012,MATCH($C263,EL!$E$4:$E$1012,0))="","",INDEX(EL!$AG$4:$AG$1012,MATCH($C263,EL!$E$4:$E$1012,0))),
IF($E263=4,IF(INDEX(EL!$AN$4:$AN$1012,MATCH($C263,EL!$E$4:$E$1012,0))="","",INDEX(EL!$AN$4:$AN$1012,MATCH($C263,EL!$E$4:$E$1012,0))),
IF($E263=5,IF(INDEX(EL!$AS$4:$AS$1012,MATCH($C263,EL!$E$4:$E$1012,0))="","",INDEX(EL!$AS$4:$AS$1012,MATCH($C263,EL!$E$4:$E$1012,0))),"")))))))</f>
        <v/>
      </c>
      <c r="I263" s="459" t="str">
        <f>IF(ISNA(MATCH($C263,EL!$E$4:$E$1012,0)),"",
IF($E263=0,IF(INDEX(EL!$S$4:$S$1012,MATCH($C263,EL!$E$4:$E$1012,0))="","",INDEX(EL!$S$4:$S$1012,MATCH($C263,EL!$E$4:$E$1012,0))),
IF($E263=1,IF(INDEX(EL!$X$4:$X$1012,MATCH($C263,EL!$E$4:$E$1012,0))="","",INDEX(EL!$X$4:$X$1012,MATCH($C263,EL!$E$4:$E$1012,0))),
IF($E263=2,IF(INDEX(EL!$AC$4:$AC$1012,MATCH($C263,EL!$E$4:$E$1012,0))="","",INDEX(EL!$AC$4:$AC$1012,MATCH($C263,EL!$E$4:$E$1012,0))),
IF($E263=3,IF(INDEX(EL!$AH$4:$AH$1012,MATCH($C263,EL!$E$4:$E$1012,0))="","",INDEX(EL!$AH$4:$AH$1012,MATCH($C263,EL!$E$4:$E$1012,0))),
IF($E263=4,IF(INDEX(EL!$AM$4:$AM$1012,MATCH($C263,EL!$E$4:$E$1012,0))="","",INDEX(EL!$AM$4:$AM$1012,MATCH($C263,EL!$E$4:$E$1012,0))),
IF($E263=5,IF(INDEX(EL!$AR$4:$AR$1012,MATCH($C263,EL!$E$4:$E$1012,0))="","",INDEX(EL!$AR$4:$AR$1012,MATCH($C263,EL!$E$4:$E$1012,0))),"")))))))</f>
        <v/>
      </c>
      <c r="J263" s="459" t="str">
        <f>IF(ISNA(MATCH($C263,EL!$E$4:$E$1012,0)),"",
IF($E263=0,IF(INDEX(EL!$T$4:$T$1012,MATCH($C263,EL!$E$4:$E$1012,0))="","",INDEX(EL!$T$4:$T$1012,MATCH($C263,EL!$E$4:$E$1012,0))),
IF($E263=1,IF(INDEX(EL!$Y$4:$Y$1012,MATCH($C263,EL!$E$4:$E$1012,0))="","",INDEX(EL!$Y$4:$Y$1012,MATCH($C263,EL!$E$4:$E$1012,0))),
IF($E263=2,IF(INDEX(EL!$AD$4:$AD$1012,MATCH($C263,EL!$E$4:$E$1012,0))="","",INDEX(EL!$AD$4:$AD$1012,MATCH($C263,EL!$E$4:$E$1012,0))),
IF($E263=3,IF(INDEX(EL!$AI$4:$AI$1012,MATCH($C263,EL!$E$4:$E$1012,0))="","",INDEX(EL!$AI$4:$AI$1012,MATCH($C263,EL!$E$4:$E$1012,0))),
IF($E263=4,IF(INDEX(EL!$AN$4:$AN$1012,MATCH($C263,EL!$E$4:$E$1012,0))="","",INDEX(EL!$AN$4:$AN$1012,MATCH($C263,EL!$E$4:$E$1012,0))),
IF($E263=5,IF(INDEX(EL!$AS$4:$AS$1012,MATCH($C263,EL!$E$4:$E$1012,0))="","",INDEX(EL!$AS$4:$AS$1012,MATCH($C263,EL!$E$4:$E$1012,0))),"")))))))</f>
        <v/>
      </c>
      <c r="K263" s="459">
        <f>EL!L177</f>
        <v>0</v>
      </c>
      <c r="L263" s="460" t="e" cm="1">
        <f t="array" aca="1" ref="L263" ca="1">_xlfn.IFS(AND($E263&lt;&gt;"",$M263="Pending",$K263="CTA"),TODAY()-$G263,AND($E263&lt;&gt;"",$M263="Pending",$K263="AUR"),TODAY()-$H263,AND($E263&lt;&gt;"",$M263="Pending",$K263="STT"),TODAY()-$I263,OR(K263="Closed",K263=""),"")</f>
        <v>#N/A</v>
      </c>
      <c r="M263" s="461">
        <f>VLOOKUP(C263,EL!$E$4:$AC$622,9,0)</f>
        <v>0</v>
      </c>
      <c r="N263" s="461" t="str">
        <f t="shared" si="10"/>
        <v/>
      </c>
      <c r="O263" s="739" t="str">
        <f>EL!O177</f>
        <v>GC</v>
      </c>
      <c r="P263" s="746" t="str">
        <v>NO</v>
      </c>
    </row>
    <row r="264" spans="1:17" s="385" customFormat="1" ht="27" hidden="1" customHeight="1">
      <c r="A264" s="399">
        <f t="shared" si="9"/>
        <v>171</v>
      </c>
      <c r="B264" s="477" t="s">
        <v>52</v>
      </c>
      <c r="C264" s="646" t="s">
        <v>959</v>
      </c>
      <c r="D264" s="456" t="str">
        <f>_xlfn.XLOOKUP(C264,EL!$E$4:$E$183,EL!$D$4:$D$183)</f>
        <v>Level  Roof - General Lighting System Layout</v>
      </c>
      <c r="E264" s="597" t="str">
        <f>IF(VLOOKUP(C264,EL!$E$4:$AC$505,7,0)="","",VLOOKUP(C264,EL!$E$4:$AC$1004,7,0))</f>
        <v/>
      </c>
      <c r="F264" s="462"/>
      <c r="G264" s="458" t="str">
        <f>IF(VLOOKUP(C264,EL!$E$4:$AC$514,5,0)="","",VLOOKUP(C264,EL!$E$4:$AC$514,5,0))</f>
        <v/>
      </c>
      <c r="H264" s="459" t="str">
        <f>IF(ISNA(MATCH($C264,EL!$E$4:$E$1012,0)),"",
IF($E264=0,IF(INDEX(EL!$R$4:$R$1012,MATCH($C264,EL!$E$4:$E$1012,0))="","",INDEX(EL!$R$4:$R$1012,MATCH($C264,EL!$E$4:$E$1012,0))),
IF($E264=1,IF(INDEX(EL!$W$4:$W$1012,MATCH($C264,EL!$E$4:$E$1012,0))="","",INDEX(EL!$W$4:$W$1012,MATCH($C264,EL!$E$4:$E$1012,0))),
IF($E264=2,IF(INDEX(EL!$AB$4:$AB$1012,MATCH($C264,EL!$E$4:$E$1012,0))="","",INDEX(EL!$AB$4:$AB$1012,MATCH($C264,EL!$E$4:$E$1012,0))),
IF($E264=3,IF(INDEX(EL!$AG$4:$AG$1012,MATCH($C264,EL!$E$4:$E$1012,0))="","",INDEX(EL!$AG$4:$AG$1012,MATCH($C264,EL!$E$4:$E$1012,0))),
IF($E264=4,IF(INDEX(EL!$AN$4:$AN$1012,MATCH($C264,EL!$E$4:$E$1012,0))="","",INDEX(EL!$AN$4:$AN$1012,MATCH($C264,EL!$E$4:$E$1012,0))),
IF($E264=5,IF(INDEX(EL!$AS$4:$AS$1012,MATCH($C264,EL!$E$4:$E$1012,0))="","",INDEX(EL!$AS$4:$AS$1012,MATCH($C264,EL!$E$4:$E$1012,0))),"")))))))</f>
        <v/>
      </c>
      <c r="I264" s="459" t="str">
        <f>IF(ISNA(MATCH($C264,EL!$E$4:$E$1012,0)),"",
IF($E264=0,IF(INDEX(EL!$S$4:$S$1012,MATCH($C264,EL!$E$4:$E$1012,0))="","",INDEX(EL!$S$4:$S$1012,MATCH($C264,EL!$E$4:$E$1012,0))),
IF($E264=1,IF(INDEX(EL!$X$4:$X$1012,MATCH($C264,EL!$E$4:$E$1012,0))="","",INDEX(EL!$X$4:$X$1012,MATCH($C264,EL!$E$4:$E$1012,0))),
IF($E264=2,IF(INDEX(EL!$AC$4:$AC$1012,MATCH($C264,EL!$E$4:$E$1012,0))="","",INDEX(EL!$AC$4:$AC$1012,MATCH($C264,EL!$E$4:$E$1012,0))),
IF($E264=3,IF(INDEX(EL!$AH$4:$AH$1012,MATCH($C264,EL!$E$4:$E$1012,0))="","",INDEX(EL!$AH$4:$AH$1012,MATCH($C264,EL!$E$4:$E$1012,0))),
IF($E264=4,IF(INDEX(EL!$AM$4:$AM$1012,MATCH($C264,EL!$E$4:$E$1012,0))="","",INDEX(EL!$AM$4:$AM$1012,MATCH($C264,EL!$E$4:$E$1012,0))),
IF($E264=5,IF(INDEX(EL!$AR$4:$AR$1012,MATCH($C264,EL!$E$4:$E$1012,0))="","",INDEX(EL!$AR$4:$AR$1012,MATCH($C264,EL!$E$4:$E$1012,0))),"")))))))</f>
        <v/>
      </c>
      <c r="J264" s="459" t="str">
        <f>IF(ISNA(MATCH($C264,EL!$E$4:$E$1012,0)),"",
IF($E264=0,IF(INDEX(EL!$T$4:$T$1012,MATCH($C264,EL!$E$4:$E$1012,0))="","",INDEX(EL!$T$4:$T$1012,MATCH($C264,EL!$E$4:$E$1012,0))),
IF($E264=1,IF(INDEX(EL!$Y$4:$Y$1012,MATCH($C264,EL!$E$4:$E$1012,0))="","",INDEX(EL!$Y$4:$Y$1012,MATCH($C264,EL!$E$4:$E$1012,0))),
IF($E264=2,IF(INDEX(EL!$AD$4:$AD$1012,MATCH($C264,EL!$E$4:$E$1012,0))="","",INDEX(EL!$AD$4:$AD$1012,MATCH($C264,EL!$E$4:$E$1012,0))),
IF($E264=3,IF(INDEX(EL!$AI$4:$AI$1012,MATCH($C264,EL!$E$4:$E$1012,0))="","",INDEX(EL!$AI$4:$AI$1012,MATCH($C264,EL!$E$4:$E$1012,0))),
IF($E264=4,IF(INDEX(EL!$AN$4:$AN$1012,MATCH($C264,EL!$E$4:$E$1012,0))="","",INDEX(EL!$AN$4:$AN$1012,MATCH($C264,EL!$E$4:$E$1012,0))),
IF($E264=5,IF(INDEX(EL!$AS$4:$AS$1012,MATCH($C264,EL!$E$4:$E$1012,0))="","",INDEX(EL!$AS$4:$AS$1012,MATCH($C264,EL!$E$4:$E$1012,0))),"")))))))</f>
        <v/>
      </c>
      <c r="K264" s="459">
        <f>EL!L178</f>
        <v>0</v>
      </c>
      <c r="L264" s="460" t="e" cm="1">
        <f t="array" aca="1" ref="L264" ca="1">_xlfn.IFS(AND($E264&lt;&gt;"",$M264="Pending",$K264="CTA"),TODAY()-$G264,AND($E264&lt;&gt;"",$M264="Pending",$K264="AUR"),TODAY()-$H264,AND($E264&lt;&gt;"",$M264="Pending",$K264="STT"),TODAY()-$I264,OR(K264="Closed",K264=""),"")</f>
        <v>#N/A</v>
      </c>
      <c r="M264" s="461">
        <f>VLOOKUP(C264,EL!$E$4:$AC$622,9,0)</f>
        <v>0</v>
      </c>
      <c r="N264" s="461" t="str">
        <f t="shared" si="10"/>
        <v/>
      </c>
      <c r="O264" s="739" t="str">
        <f>EL!O178</f>
        <v>GC</v>
      </c>
      <c r="P264" s="746" t="str">
        <v>NO</v>
      </c>
    </row>
    <row r="265" spans="1:17" s="385" customFormat="1" ht="27" hidden="1" customHeight="1">
      <c r="A265" s="399">
        <f t="shared" si="9"/>
        <v>172</v>
      </c>
      <c r="B265" s="477" t="s">
        <v>52</v>
      </c>
      <c r="C265" s="646" t="s">
        <v>962</v>
      </c>
      <c r="D265" s="456" t="str">
        <f>_xlfn.XLOOKUP(C265,EL!$E$4:$E$183,EL!$D$4:$D$183)</f>
        <v>Level Roof - Emergency Light And Exit Sign Systems Layout</v>
      </c>
      <c r="E265" s="597" t="str">
        <f>IF(VLOOKUP(C265,EL!$E$4:$AC$505,7,0)="","",VLOOKUP(C265,EL!$E$4:$AC$1004,7,0))</f>
        <v/>
      </c>
      <c r="F265" s="462"/>
      <c r="G265" s="458" t="str">
        <f>IF(VLOOKUP(C265,EL!$E$4:$AC$514,5,0)="","",VLOOKUP(C265,EL!$E$4:$AC$514,5,0))</f>
        <v/>
      </c>
      <c r="H265" s="459" t="str">
        <f>IF(ISNA(MATCH($C265,EL!$E$4:$E$1012,0)),"",
IF($E265=0,IF(INDEX(EL!$R$4:$R$1012,MATCH($C265,EL!$E$4:$E$1012,0))="","",INDEX(EL!$R$4:$R$1012,MATCH($C265,EL!$E$4:$E$1012,0))),
IF($E265=1,IF(INDEX(EL!$W$4:$W$1012,MATCH($C265,EL!$E$4:$E$1012,0))="","",INDEX(EL!$W$4:$W$1012,MATCH($C265,EL!$E$4:$E$1012,0))),
IF($E265=2,IF(INDEX(EL!$AB$4:$AB$1012,MATCH($C265,EL!$E$4:$E$1012,0))="","",INDEX(EL!$AB$4:$AB$1012,MATCH($C265,EL!$E$4:$E$1012,0))),
IF($E265=3,IF(INDEX(EL!$AG$4:$AG$1012,MATCH($C265,EL!$E$4:$E$1012,0))="","",INDEX(EL!$AG$4:$AG$1012,MATCH($C265,EL!$E$4:$E$1012,0))),
IF($E265=4,IF(INDEX(EL!$AN$4:$AN$1012,MATCH($C265,EL!$E$4:$E$1012,0))="","",INDEX(EL!$AN$4:$AN$1012,MATCH($C265,EL!$E$4:$E$1012,0))),
IF($E265=5,IF(INDEX(EL!$AS$4:$AS$1012,MATCH($C265,EL!$E$4:$E$1012,0))="","",INDEX(EL!$AS$4:$AS$1012,MATCH($C265,EL!$E$4:$E$1012,0))),"")))))))</f>
        <v/>
      </c>
      <c r="I265" s="459" t="str">
        <f>IF(ISNA(MATCH($C265,EL!$E$4:$E$1012,0)),"",
IF($E265=0,IF(INDEX(EL!$S$4:$S$1012,MATCH($C265,EL!$E$4:$E$1012,0))="","",INDEX(EL!$S$4:$S$1012,MATCH($C265,EL!$E$4:$E$1012,0))),
IF($E265=1,IF(INDEX(EL!$X$4:$X$1012,MATCH($C265,EL!$E$4:$E$1012,0))="","",INDEX(EL!$X$4:$X$1012,MATCH($C265,EL!$E$4:$E$1012,0))),
IF($E265=2,IF(INDEX(EL!$AC$4:$AC$1012,MATCH($C265,EL!$E$4:$E$1012,0))="","",INDEX(EL!$AC$4:$AC$1012,MATCH($C265,EL!$E$4:$E$1012,0))),
IF($E265=3,IF(INDEX(EL!$AH$4:$AH$1012,MATCH($C265,EL!$E$4:$E$1012,0))="","",INDEX(EL!$AH$4:$AH$1012,MATCH($C265,EL!$E$4:$E$1012,0))),
IF($E265=4,IF(INDEX(EL!$AM$4:$AM$1012,MATCH($C265,EL!$E$4:$E$1012,0))="","",INDEX(EL!$AM$4:$AM$1012,MATCH($C265,EL!$E$4:$E$1012,0))),
IF($E265=5,IF(INDEX(EL!$AR$4:$AR$1012,MATCH($C265,EL!$E$4:$E$1012,0))="","",INDEX(EL!$AR$4:$AR$1012,MATCH($C265,EL!$E$4:$E$1012,0))),"")))))))</f>
        <v/>
      </c>
      <c r="J265" s="459" t="str">
        <f>IF(ISNA(MATCH($C265,EL!$E$4:$E$1012,0)),"",
IF($E265=0,IF(INDEX(EL!$T$4:$T$1012,MATCH($C265,EL!$E$4:$E$1012,0))="","",INDEX(EL!$T$4:$T$1012,MATCH($C265,EL!$E$4:$E$1012,0))),
IF($E265=1,IF(INDEX(EL!$Y$4:$Y$1012,MATCH($C265,EL!$E$4:$E$1012,0))="","",INDEX(EL!$Y$4:$Y$1012,MATCH($C265,EL!$E$4:$E$1012,0))),
IF($E265=2,IF(INDEX(EL!$AD$4:$AD$1012,MATCH($C265,EL!$E$4:$E$1012,0))="","",INDEX(EL!$AD$4:$AD$1012,MATCH($C265,EL!$E$4:$E$1012,0))),
IF($E265=3,IF(INDEX(EL!$AI$4:$AI$1012,MATCH($C265,EL!$E$4:$E$1012,0))="","",INDEX(EL!$AI$4:$AI$1012,MATCH($C265,EL!$E$4:$E$1012,0))),
IF($E265=4,IF(INDEX(EL!$AN$4:$AN$1012,MATCH($C265,EL!$E$4:$E$1012,0))="","",INDEX(EL!$AN$4:$AN$1012,MATCH($C265,EL!$E$4:$E$1012,0))),
IF($E265=5,IF(INDEX(EL!$AS$4:$AS$1012,MATCH($C265,EL!$E$4:$E$1012,0))="","",INDEX(EL!$AS$4:$AS$1012,MATCH($C265,EL!$E$4:$E$1012,0))),"")))))))</f>
        <v/>
      </c>
      <c r="K265" s="459">
        <f>EL!L179</f>
        <v>0</v>
      </c>
      <c r="L265" s="460" t="e" cm="1">
        <f t="array" aca="1" ref="L265" ca="1">_xlfn.IFS(AND($E265&lt;&gt;"",$M265="Pending",$K265="CTA"),TODAY()-$G265,AND($E265&lt;&gt;"",$M265="Pending",$K265="AUR"),TODAY()-$H265,AND($E265&lt;&gt;"",$M265="Pending",$K265="STT"),TODAY()-$I265,OR(K265="Closed",K265=""),"")</f>
        <v>#N/A</v>
      </c>
      <c r="M265" s="461">
        <f>VLOOKUP(C265,EL!$E$4:$AC$622,9,0)</f>
        <v>0</v>
      </c>
      <c r="N265" s="461" t="str">
        <f t="shared" si="10"/>
        <v/>
      </c>
      <c r="O265" s="739" t="str">
        <f>EL!O179</f>
        <v>GC</v>
      </c>
      <c r="P265" s="746" t="str">
        <v>NO</v>
      </c>
    </row>
    <row r="266" spans="1:17" s="385" customFormat="1" ht="27" hidden="1" customHeight="1">
      <c r="A266" s="399">
        <f t="shared" si="9"/>
        <v>173</v>
      </c>
      <c r="B266" s="477" t="s">
        <v>52</v>
      </c>
      <c r="C266" s="646" t="s">
        <v>965</v>
      </c>
      <c r="D266" s="456" t="str">
        <f>_xlfn.XLOOKUP(C266,EL!$E$4:$E$183,EL!$D$4:$D$183)</f>
        <v xml:space="preserve">Level 1 - Power And Receptacle Outlet System Layout </v>
      </c>
      <c r="E266" s="597" t="str">
        <f>IF(VLOOKUP(C266,EL!$E$4:$AC$505,7,0)="","",VLOOKUP(C266,EL!$E$4:$AC$1004,7,0))</f>
        <v/>
      </c>
      <c r="F266" s="457"/>
      <c r="G266" s="458" t="str">
        <f>IF(VLOOKUP(C266,EL!$E$4:$AC$514,5,0)="","",VLOOKUP(C266,EL!$E$4:$AC$514,5,0))</f>
        <v/>
      </c>
      <c r="H266" s="459" t="str">
        <f>IF(ISNA(MATCH($C266,EL!$E$4:$E$1012,0)),"",
IF($E266=0,IF(INDEX(EL!$R$4:$R$1012,MATCH($C266,EL!$E$4:$E$1012,0))="","",INDEX(EL!$R$4:$R$1012,MATCH($C266,EL!$E$4:$E$1012,0))),
IF($E266=1,IF(INDEX(EL!$W$4:$W$1012,MATCH($C266,EL!$E$4:$E$1012,0))="","",INDEX(EL!$W$4:$W$1012,MATCH($C266,EL!$E$4:$E$1012,0))),
IF($E266=2,IF(INDEX(EL!$AB$4:$AB$1012,MATCH($C266,EL!$E$4:$E$1012,0))="","",INDEX(EL!$AB$4:$AB$1012,MATCH($C266,EL!$E$4:$E$1012,0))),
IF($E266=3,IF(INDEX(EL!$AG$4:$AG$1012,MATCH($C266,EL!$E$4:$E$1012,0))="","",INDEX(EL!$AG$4:$AG$1012,MATCH($C266,EL!$E$4:$E$1012,0))),
IF($E266=4,IF(INDEX(EL!$AN$4:$AN$1012,MATCH($C266,EL!$E$4:$E$1012,0))="","",INDEX(EL!$AN$4:$AN$1012,MATCH($C266,EL!$E$4:$E$1012,0))),
IF($E266=5,IF(INDEX(EL!$AS$4:$AS$1012,MATCH($C266,EL!$E$4:$E$1012,0))="","",INDEX(EL!$AS$4:$AS$1012,MATCH($C266,EL!$E$4:$E$1012,0))),"")))))))</f>
        <v/>
      </c>
      <c r="I266" s="459" t="str">
        <f>IF(ISNA(MATCH($C266,EL!$E$4:$E$1012,0)),"",
IF($E266=0,IF(INDEX(EL!$S$4:$S$1012,MATCH($C266,EL!$E$4:$E$1012,0))="","",INDEX(EL!$S$4:$S$1012,MATCH($C266,EL!$E$4:$E$1012,0))),
IF($E266=1,IF(INDEX(EL!$X$4:$X$1012,MATCH($C266,EL!$E$4:$E$1012,0))="","",INDEX(EL!$X$4:$X$1012,MATCH($C266,EL!$E$4:$E$1012,0))),
IF($E266=2,IF(INDEX(EL!$AC$4:$AC$1012,MATCH($C266,EL!$E$4:$E$1012,0))="","",INDEX(EL!$AC$4:$AC$1012,MATCH($C266,EL!$E$4:$E$1012,0))),
IF($E266=3,IF(INDEX(EL!$AH$4:$AH$1012,MATCH($C266,EL!$E$4:$E$1012,0))="","",INDEX(EL!$AH$4:$AH$1012,MATCH($C266,EL!$E$4:$E$1012,0))),
IF($E266=4,IF(INDEX(EL!$AM$4:$AM$1012,MATCH($C266,EL!$E$4:$E$1012,0))="","",INDEX(EL!$AM$4:$AM$1012,MATCH($C266,EL!$E$4:$E$1012,0))),
IF($E266=5,IF(INDEX(EL!$AR$4:$AR$1012,MATCH($C266,EL!$E$4:$E$1012,0))="","",INDEX(EL!$AR$4:$AR$1012,MATCH($C266,EL!$E$4:$E$1012,0))),"")))))))</f>
        <v/>
      </c>
      <c r="J266" s="459" t="str">
        <f>IF(ISNA(MATCH($C266,EL!$E$4:$E$1012,0)),"",
IF($E266=0,IF(INDEX(EL!$T$4:$T$1012,MATCH($C266,EL!$E$4:$E$1012,0))="","",INDEX(EL!$T$4:$T$1012,MATCH($C266,EL!$E$4:$E$1012,0))),
IF($E266=1,IF(INDEX(EL!$Y$4:$Y$1012,MATCH($C266,EL!$E$4:$E$1012,0))="","",INDEX(EL!$Y$4:$Y$1012,MATCH($C266,EL!$E$4:$E$1012,0))),
IF($E266=2,IF(INDEX(EL!$AD$4:$AD$1012,MATCH($C266,EL!$E$4:$E$1012,0))="","",INDEX(EL!$AD$4:$AD$1012,MATCH($C266,EL!$E$4:$E$1012,0))),
IF($E266=3,IF(INDEX(EL!$AI$4:$AI$1012,MATCH($C266,EL!$E$4:$E$1012,0))="","",INDEX(EL!$AI$4:$AI$1012,MATCH($C266,EL!$E$4:$E$1012,0))),
IF($E266=4,IF(INDEX(EL!$AN$4:$AN$1012,MATCH($C266,EL!$E$4:$E$1012,0))="","",INDEX(EL!$AN$4:$AN$1012,MATCH($C266,EL!$E$4:$E$1012,0))),
IF($E266=5,IF(INDEX(EL!$AS$4:$AS$1012,MATCH($C266,EL!$E$4:$E$1012,0))="","",INDEX(EL!$AS$4:$AS$1012,MATCH($C266,EL!$E$4:$E$1012,0))),"")))))))</f>
        <v/>
      </c>
      <c r="K266" s="459">
        <f>EL!L180</f>
        <v>0</v>
      </c>
      <c r="L266" s="460" t="e" cm="1">
        <f t="array" aca="1" ref="L266" ca="1">_xlfn.IFS(AND($E266&lt;&gt;"",$M266="Pending",$K266="CTA"),TODAY()-$G266,AND($E266&lt;&gt;"",$M266="Pending",$K266="AUR"),TODAY()-$H266,AND($E266&lt;&gt;"",$M266="Pending",$K266="STT"),TODAY()-$I266,OR(K266="Closed",K266=""),"")</f>
        <v>#N/A</v>
      </c>
      <c r="M266" s="461">
        <f>VLOOKUP(C266,EL!$E$4:$AC$622,9,0)</f>
        <v>0</v>
      </c>
      <c r="N266" s="461" t="str">
        <f t="shared" si="10"/>
        <v/>
      </c>
      <c r="O266" s="739" t="str">
        <f>EL!O180</f>
        <v>GC</v>
      </c>
      <c r="P266" s="746" t="str">
        <v>NO</v>
      </c>
    </row>
    <row r="267" spans="1:17" s="385" customFormat="1" ht="27" hidden="1" customHeight="1">
      <c r="A267" s="399">
        <f t="shared" si="9"/>
        <v>174</v>
      </c>
      <c r="B267" s="477" t="s">
        <v>52</v>
      </c>
      <c r="C267" s="646" t="s">
        <v>969</v>
      </c>
      <c r="D267" s="456" t="str">
        <f>_xlfn.XLOOKUP(C267,EL!$E$4:$E$183,EL!$D$4:$D$183)</f>
        <v xml:space="preserve">Level 1 - Power Supply Mech System Layout, </v>
      </c>
      <c r="E267" s="597" t="str">
        <f>IF(VLOOKUP(C267,EL!$E$4:$AC$505,7,0)="","",VLOOKUP(C267,EL!$E$4:$AC$1004,7,0))</f>
        <v/>
      </c>
      <c r="F267" s="462"/>
      <c r="G267" s="458" t="str">
        <f>IF(VLOOKUP(C267,EL!$E$4:$AC$514,5,0)="","",VLOOKUP(C267,EL!$E$4:$AC$514,5,0))</f>
        <v/>
      </c>
      <c r="H267" s="459" t="str">
        <f>IF(ISNA(MATCH($C267,EL!$E$4:$E$1012,0)),"",
IF($E267=0,IF(INDEX(EL!$R$4:$R$1012,MATCH($C267,EL!$E$4:$E$1012,0))="","",INDEX(EL!$R$4:$R$1012,MATCH($C267,EL!$E$4:$E$1012,0))),
IF($E267=1,IF(INDEX(EL!$W$4:$W$1012,MATCH($C267,EL!$E$4:$E$1012,0))="","",INDEX(EL!$W$4:$W$1012,MATCH($C267,EL!$E$4:$E$1012,0))),
IF($E267=2,IF(INDEX(EL!$AB$4:$AB$1012,MATCH($C267,EL!$E$4:$E$1012,0))="","",INDEX(EL!$AB$4:$AB$1012,MATCH($C267,EL!$E$4:$E$1012,0))),
IF($E267=3,IF(INDEX(EL!$AG$4:$AG$1012,MATCH($C267,EL!$E$4:$E$1012,0))="","",INDEX(EL!$AG$4:$AG$1012,MATCH($C267,EL!$E$4:$E$1012,0))),
IF($E267=4,IF(INDEX(EL!$AN$4:$AN$1012,MATCH($C267,EL!$E$4:$E$1012,0))="","",INDEX(EL!$AN$4:$AN$1012,MATCH($C267,EL!$E$4:$E$1012,0))),
IF($E267=5,IF(INDEX(EL!$AS$4:$AS$1012,MATCH($C267,EL!$E$4:$E$1012,0))="","",INDEX(EL!$AS$4:$AS$1012,MATCH($C267,EL!$E$4:$E$1012,0))),"")))))))</f>
        <v/>
      </c>
      <c r="I267" s="459" t="str">
        <f>IF(ISNA(MATCH($C267,EL!$E$4:$E$1012,0)),"",
IF($E267=0,IF(INDEX(EL!$S$4:$S$1012,MATCH($C267,EL!$E$4:$E$1012,0))="","",INDEX(EL!$S$4:$S$1012,MATCH($C267,EL!$E$4:$E$1012,0))),
IF($E267=1,IF(INDEX(EL!$X$4:$X$1012,MATCH($C267,EL!$E$4:$E$1012,0))="","",INDEX(EL!$X$4:$X$1012,MATCH($C267,EL!$E$4:$E$1012,0))),
IF($E267=2,IF(INDEX(EL!$AC$4:$AC$1012,MATCH($C267,EL!$E$4:$E$1012,0))="","",INDEX(EL!$AC$4:$AC$1012,MATCH($C267,EL!$E$4:$E$1012,0))),
IF($E267=3,IF(INDEX(EL!$AH$4:$AH$1012,MATCH($C267,EL!$E$4:$E$1012,0))="","",INDEX(EL!$AH$4:$AH$1012,MATCH($C267,EL!$E$4:$E$1012,0))),
IF($E267=4,IF(INDEX(EL!$AM$4:$AM$1012,MATCH($C267,EL!$E$4:$E$1012,0))="","",INDEX(EL!$AM$4:$AM$1012,MATCH($C267,EL!$E$4:$E$1012,0))),
IF($E267=5,IF(INDEX(EL!$AR$4:$AR$1012,MATCH($C267,EL!$E$4:$E$1012,0))="","",INDEX(EL!$AR$4:$AR$1012,MATCH($C267,EL!$E$4:$E$1012,0))),"")))))))</f>
        <v/>
      </c>
      <c r="J267" s="459" t="str">
        <f>IF(ISNA(MATCH($C267,EL!$E$4:$E$1012,0)),"",
IF($E267=0,IF(INDEX(EL!$T$4:$T$1012,MATCH($C267,EL!$E$4:$E$1012,0))="","",INDEX(EL!$T$4:$T$1012,MATCH($C267,EL!$E$4:$E$1012,0))),
IF($E267=1,IF(INDEX(EL!$Y$4:$Y$1012,MATCH($C267,EL!$E$4:$E$1012,0))="","",INDEX(EL!$Y$4:$Y$1012,MATCH($C267,EL!$E$4:$E$1012,0))),
IF($E267=2,IF(INDEX(EL!$AD$4:$AD$1012,MATCH($C267,EL!$E$4:$E$1012,0))="","",INDEX(EL!$AD$4:$AD$1012,MATCH($C267,EL!$E$4:$E$1012,0))),
IF($E267=3,IF(INDEX(EL!$AI$4:$AI$1012,MATCH($C267,EL!$E$4:$E$1012,0))="","",INDEX(EL!$AI$4:$AI$1012,MATCH($C267,EL!$E$4:$E$1012,0))),
IF($E267=4,IF(INDEX(EL!$AN$4:$AN$1012,MATCH($C267,EL!$E$4:$E$1012,0))="","",INDEX(EL!$AN$4:$AN$1012,MATCH($C267,EL!$E$4:$E$1012,0))),
IF($E267=5,IF(INDEX(EL!$AS$4:$AS$1012,MATCH($C267,EL!$E$4:$E$1012,0))="","",INDEX(EL!$AS$4:$AS$1012,MATCH($C267,EL!$E$4:$E$1012,0))),"")))))))</f>
        <v/>
      </c>
      <c r="K267" s="459">
        <f>EL!L181</f>
        <v>0</v>
      </c>
      <c r="L267" s="460" t="e" cm="1">
        <f t="array" aca="1" ref="L267" ca="1">_xlfn.IFS(AND($E267&lt;&gt;"",$M267="Pending",$K267="CTA"),TODAY()-$G267,AND($E267&lt;&gt;"",$M267="Pending",$K267="AUR"),TODAY()-$H267,AND($E267&lt;&gt;"",$M267="Pending",$K267="STT"),TODAY()-$I267,OR(K267="Closed",K267=""),"")</f>
        <v>#N/A</v>
      </c>
      <c r="M267" s="461">
        <f>VLOOKUP(C267,EL!$E$4:$AC$622,9,0)</f>
        <v>0</v>
      </c>
      <c r="N267" s="461" t="str">
        <f t="shared" si="10"/>
        <v/>
      </c>
      <c r="O267" s="739" t="str">
        <f>EL!O181</f>
        <v>GC</v>
      </c>
      <c r="P267" s="746" t="str">
        <v>NO</v>
      </c>
      <c r="Q267" s="385" t="s">
        <v>1696</v>
      </c>
    </row>
    <row r="268" spans="1:17" s="385" customFormat="1" ht="27" hidden="1" customHeight="1">
      <c r="A268" s="399">
        <f t="shared" si="9"/>
        <v>175</v>
      </c>
      <c r="B268" s="477" t="s">
        <v>52</v>
      </c>
      <c r="C268" s="646" t="s">
        <v>973</v>
      </c>
      <c r="D268" s="456" t="str">
        <f>_xlfn.XLOOKUP(C268,EL!$E$4:$E$183,EL!$D$4:$D$183)</f>
        <v>Level 1 - Power Supply Mcp System Layout</v>
      </c>
      <c r="E268" s="597" t="str">
        <f>IF(VLOOKUP(C268,EL!$E$4:$AC$505,7,0)="","",VLOOKUP(C268,EL!$E$4:$AC$1004,7,0))</f>
        <v/>
      </c>
      <c r="F268" s="462"/>
      <c r="G268" s="458" t="str">
        <f>IF(VLOOKUP(C268,EL!$E$4:$AC$514,5,0)="","",VLOOKUP(C268,EL!$E$4:$AC$514,5,0))</f>
        <v/>
      </c>
      <c r="H268" s="459" t="str">
        <f>IF(ISNA(MATCH($C268,EL!$E$4:$E$1012,0)),"",
IF($E268=0,IF(INDEX(EL!$R$4:$R$1012,MATCH($C268,EL!$E$4:$E$1012,0))="","",INDEX(EL!$R$4:$R$1012,MATCH($C268,EL!$E$4:$E$1012,0))),
IF($E268=1,IF(INDEX(EL!$W$4:$W$1012,MATCH($C268,EL!$E$4:$E$1012,0))="","",INDEX(EL!$W$4:$W$1012,MATCH($C268,EL!$E$4:$E$1012,0))),
IF($E268=2,IF(INDEX(EL!$AB$4:$AB$1012,MATCH($C268,EL!$E$4:$E$1012,0))="","",INDEX(EL!$AB$4:$AB$1012,MATCH($C268,EL!$E$4:$E$1012,0))),
IF($E268=3,IF(INDEX(EL!$AG$4:$AG$1012,MATCH($C268,EL!$E$4:$E$1012,0))="","",INDEX(EL!$AG$4:$AG$1012,MATCH($C268,EL!$E$4:$E$1012,0))),
IF($E268=4,IF(INDEX(EL!$AN$4:$AN$1012,MATCH($C268,EL!$E$4:$E$1012,0))="","",INDEX(EL!$AN$4:$AN$1012,MATCH($C268,EL!$E$4:$E$1012,0))),
IF($E268=5,IF(INDEX(EL!$AS$4:$AS$1012,MATCH($C268,EL!$E$4:$E$1012,0))="","",INDEX(EL!$AS$4:$AS$1012,MATCH($C268,EL!$E$4:$E$1012,0))),"")))))))</f>
        <v/>
      </c>
      <c r="I268" s="459" t="str">
        <f>IF(ISNA(MATCH($C268,EL!$E$4:$E$1012,0)),"",
IF($E268=0,IF(INDEX(EL!$S$4:$S$1012,MATCH($C268,EL!$E$4:$E$1012,0))="","",INDEX(EL!$S$4:$S$1012,MATCH($C268,EL!$E$4:$E$1012,0))),
IF($E268=1,IF(INDEX(EL!$X$4:$X$1012,MATCH($C268,EL!$E$4:$E$1012,0))="","",INDEX(EL!$X$4:$X$1012,MATCH($C268,EL!$E$4:$E$1012,0))),
IF($E268=2,IF(INDEX(EL!$AC$4:$AC$1012,MATCH($C268,EL!$E$4:$E$1012,0))="","",INDEX(EL!$AC$4:$AC$1012,MATCH($C268,EL!$E$4:$E$1012,0))),
IF($E268=3,IF(INDEX(EL!$AH$4:$AH$1012,MATCH($C268,EL!$E$4:$E$1012,0))="","",INDEX(EL!$AH$4:$AH$1012,MATCH($C268,EL!$E$4:$E$1012,0))),
IF($E268=4,IF(INDEX(EL!$AM$4:$AM$1012,MATCH($C268,EL!$E$4:$E$1012,0))="","",INDEX(EL!$AM$4:$AM$1012,MATCH($C268,EL!$E$4:$E$1012,0))),
IF($E268=5,IF(INDEX(EL!$AR$4:$AR$1012,MATCH($C268,EL!$E$4:$E$1012,0))="","",INDEX(EL!$AR$4:$AR$1012,MATCH($C268,EL!$E$4:$E$1012,0))),"")))))))</f>
        <v/>
      </c>
      <c r="J268" s="459" t="str">
        <f>IF(ISNA(MATCH($C268,EL!$E$4:$E$1012,0)),"",
IF($E268=0,IF(INDEX(EL!$T$4:$T$1012,MATCH($C268,EL!$E$4:$E$1012,0))="","",INDEX(EL!$T$4:$T$1012,MATCH($C268,EL!$E$4:$E$1012,0))),
IF($E268=1,IF(INDEX(EL!$Y$4:$Y$1012,MATCH($C268,EL!$E$4:$E$1012,0))="","",INDEX(EL!$Y$4:$Y$1012,MATCH($C268,EL!$E$4:$E$1012,0))),
IF($E268=2,IF(INDEX(EL!$AD$4:$AD$1012,MATCH($C268,EL!$E$4:$E$1012,0))="","",INDEX(EL!$AD$4:$AD$1012,MATCH($C268,EL!$E$4:$E$1012,0))),
IF($E268=3,IF(INDEX(EL!$AI$4:$AI$1012,MATCH($C268,EL!$E$4:$E$1012,0))="","",INDEX(EL!$AI$4:$AI$1012,MATCH($C268,EL!$E$4:$E$1012,0))),
IF($E268=4,IF(INDEX(EL!$AN$4:$AN$1012,MATCH($C268,EL!$E$4:$E$1012,0))="","",INDEX(EL!$AN$4:$AN$1012,MATCH($C268,EL!$E$4:$E$1012,0))),
IF($E268=5,IF(INDEX(EL!$AS$4:$AS$1012,MATCH($C268,EL!$E$4:$E$1012,0))="","",INDEX(EL!$AS$4:$AS$1012,MATCH($C268,EL!$E$4:$E$1012,0))),"")))))))</f>
        <v/>
      </c>
      <c r="K268" s="459">
        <f>EL!L182</f>
        <v>0</v>
      </c>
      <c r="L268" s="460" t="e" cm="1">
        <f t="array" aca="1" ref="L268" ca="1">_xlfn.IFS(AND($E268&lt;&gt;"",$M268="Pending",$K268="CTA"),TODAY()-$G268,AND($E268&lt;&gt;"",$M268="Pending",$K268="AUR"),TODAY()-$H268,AND($E268&lt;&gt;"",$M268="Pending",$K268="STT"),TODAY()-$I268,OR(K268="Closed",K268=""),"")</f>
        <v>#N/A</v>
      </c>
      <c r="M268" s="461">
        <f>VLOOKUP(C268,EL!$E$4:$AC$622,9,0)</f>
        <v>0</v>
      </c>
      <c r="N268" s="461" t="str">
        <f t="shared" si="10"/>
        <v/>
      </c>
      <c r="O268" s="739" t="str">
        <f>EL!O182</f>
        <v>GC</v>
      </c>
      <c r="P268" s="746" t="str">
        <v>NO</v>
      </c>
    </row>
    <row r="269" spans="1:17" s="385" customFormat="1" ht="27" hidden="1" customHeight="1">
      <c r="A269" s="399">
        <f t="shared" si="9"/>
        <v>176</v>
      </c>
      <c r="B269" s="477" t="s">
        <v>52</v>
      </c>
      <c r="C269" s="646" t="s">
        <v>976</v>
      </c>
      <c r="D269" s="456" t="str">
        <f>_xlfn.XLOOKUP(C269,EL!$E$4:$E$390,EL!$D$4:$D$390)</f>
        <v xml:space="preserve">Level 1 - Data Outlet System Layout </v>
      </c>
      <c r="E269" s="597" t="str">
        <f>IF(VLOOKUP(C269,EL!$E$4:$AC$505,7,0)="","",VLOOKUP(C269,EL!$E$4:$AC$1004,7,0))</f>
        <v/>
      </c>
      <c r="F269" s="462"/>
      <c r="G269" s="458" t="str">
        <f>IF(VLOOKUP(C269,EL!$E$4:$AC$514,5,0)="","",VLOOKUP(C269,EL!$E$4:$AC$514,5,0))</f>
        <v/>
      </c>
      <c r="H269" s="459" t="str">
        <f>IF(ISNA(MATCH($C269,EL!$E$4:$E$1012,0)),"",
IF($E269=0,IF(INDEX(EL!$R$4:$R$1012,MATCH($C269,EL!$E$4:$E$1012,0))="","",INDEX(EL!$R$4:$R$1012,MATCH($C269,EL!$E$4:$E$1012,0))),
IF($E269=1,IF(INDEX(EL!$W$4:$W$1012,MATCH($C269,EL!$E$4:$E$1012,0))="","",INDEX(EL!$W$4:$W$1012,MATCH($C269,EL!$E$4:$E$1012,0))),
IF($E269=2,IF(INDEX(EL!$AB$4:$AB$1012,MATCH($C269,EL!$E$4:$E$1012,0))="","",INDEX(EL!$AB$4:$AB$1012,MATCH($C269,EL!$E$4:$E$1012,0))),
IF($E269=3,IF(INDEX(EL!$AG$4:$AG$1012,MATCH($C269,EL!$E$4:$E$1012,0))="","",INDEX(EL!$AG$4:$AG$1012,MATCH($C269,EL!$E$4:$E$1012,0))),
IF($E269=4,IF(INDEX(EL!$AN$4:$AN$1012,MATCH($C269,EL!$E$4:$E$1012,0))="","",INDEX(EL!$AN$4:$AN$1012,MATCH($C269,EL!$E$4:$E$1012,0))),
IF($E269=5,IF(INDEX(EL!$AS$4:$AS$1012,MATCH($C269,EL!$E$4:$E$1012,0))="","",INDEX(EL!$AS$4:$AS$1012,MATCH($C269,EL!$E$4:$E$1012,0))),"")))))))</f>
        <v/>
      </c>
      <c r="I269" s="459" t="str">
        <f>IF(ISNA(MATCH($C269,EL!$E$4:$E$1012,0)),"",
IF($E269=0,IF(INDEX(EL!$S$4:$S$1012,MATCH($C269,EL!$E$4:$E$1012,0))="","",INDEX(EL!$S$4:$S$1012,MATCH($C269,EL!$E$4:$E$1012,0))),
IF($E269=1,IF(INDEX(EL!$X$4:$X$1012,MATCH($C269,EL!$E$4:$E$1012,0))="","",INDEX(EL!$X$4:$X$1012,MATCH($C269,EL!$E$4:$E$1012,0))),
IF($E269=2,IF(INDEX(EL!$AC$4:$AC$1012,MATCH($C269,EL!$E$4:$E$1012,0))="","",INDEX(EL!$AC$4:$AC$1012,MATCH($C269,EL!$E$4:$E$1012,0))),
IF($E269=3,IF(INDEX(EL!$AH$4:$AH$1012,MATCH($C269,EL!$E$4:$E$1012,0))="","",INDEX(EL!$AH$4:$AH$1012,MATCH($C269,EL!$E$4:$E$1012,0))),
IF($E269=4,IF(INDEX(EL!$AM$4:$AM$1012,MATCH($C269,EL!$E$4:$E$1012,0))="","",INDEX(EL!$AM$4:$AM$1012,MATCH($C269,EL!$E$4:$E$1012,0))),
IF($E269=5,IF(INDEX(EL!$AR$4:$AR$1012,MATCH($C269,EL!$E$4:$E$1012,0))="","",INDEX(EL!$AR$4:$AR$1012,MATCH($C269,EL!$E$4:$E$1012,0))),"")))))))</f>
        <v/>
      </c>
      <c r="J269" s="459" t="str">
        <f>IF(ISNA(MATCH($C269,EL!$E$4:$E$1012,0)),"",
IF($E269=0,IF(INDEX(EL!$T$4:$T$1012,MATCH($C269,EL!$E$4:$E$1012,0))="","",INDEX(EL!$T$4:$T$1012,MATCH($C269,EL!$E$4:$E$1012,0))),
IF($E269=1,IF(INDEX(EL!$Y$4:$Y$1012,MATCH($C269,EL!$E$4:$E$1012,0))="","",INDEX(EL!$Y$4:$Y$1012,MATCH($C269,EL!$E$4:$E$1012,0))),
IF($E269=2,IF(INDEX(EL!$AD$4:$AD$1012,MATCH($C269,EL!$E$4:$E$1012,0))="","",INDEX(EL!$AD$4:$AD$1012,MATCH($C269,EL!$E$4:$E$1012,0))),
IF($E269=3,IF(INDEX(EL!$AI$4:$AI$1012,MATCH($C269,EL!$E$4:$E$1012,0))="","",INDEX(EL!$AI$4:$AI$1012,MATCH($C269,EL!$E$4:$E$1012,0))),
IF($E269=4,IF(INDEX(EL!$AN$4:$AN$1012,MATCH($C269,EL!$E$4:$E$1012,0))="","",INDEX(EL!$AN$4:$AN$1012,MATCH($C269,EL!$E$4:$E$1012,0))),
IF($E269=5,IF(INDEX(EL!$AS$4:$AS$1012,MATCH($C269,EL!$E$4:$E$1012,0))="","",INDEX(EL!$AS$4:$AS$1012,MATCH($C269,EL!$E$4:$E$1012,0))),"")))))))</f>
        <v/>
      </c>
      <c r="K269" s="459">
        <f>EL!L183</f>
        <v>0</v>
      </c>
      <c r="L269" s="460" t="e" cm="1">
        <f t="array" aca="1" ref="L269" ca="1">_xlfn.IFS(AND($E269&lt;&gt;"",$M269="Pending",$K269="CTA"),TODAY()-$G269,AND($E269&lt;&gt;"",$M269="Pending",$K269="AUR"),TODAY()-$H269,AND($E269&lt;&gt;"",$M269="Pending",$K269="STT"),TODAY()-$I269,OR(K269="Closed",K269=""),"")</f>
        <v>#N/A</v>
      </c>
      <c r="M269" s="461">
        <f>VLOOKUP(C269,EL!$E$4:$AC$622,9,0)</f>
        <v>0</v>
      </c>
      <c r="N269" s="461" t="str">
        <f t="shared" si="10"/>
        <v/>
      </c>
      <c r="O269" s="739" t="str">
        <f>EL!O183</f>
        <v>GC</v>
      </c>
      <c r="P269" s="746" t="str">
        <v>NO</v>
      </c>
    </row>
    <row r="270" spans="1:17" s="385" customFormat="1" ht="27" hidden="1" customHeight="1">
      <c r="A270" s="399">
        <f t="shared" si="9"/>
        <v>177</v>
      </c>
      <c r="B270" s="477" t="s">
        <v>52</v>
      </c>
      <c r="C270" s="646" t="s">
        <v>979</v>
      </c>
      <c r="D270" s="456" t="str">
        <f>_xlfn.XLOOKUP(C270,EL!$E$4:$E$390,EL!$D$4:$D$390)</f>
        <v xml:space="preserve">Level 1 - Ceeform System Layout </v>
      </c>
      <c r="E270" s="597" t="str">
        <f>IF(VLOOKUP(C270,EL!$E$4:$AC$505,7,0)="","",VLOOKUP(C270,EL!$E$4:$AC$1004,7,0))</f>
        <v/>
      </c>
      <c r="F270" s="462"/>
      <c r="G270" s="458" t="str">
        <f>IF(VLOOKUP(C270,EL!$E$4:$AC$514,5,0)="","",VLOOKUP(C270,EL!$E$4:$AC$514,5,0))</f>
        <v/>
      </c>
      <c r="H270" s="459" t="str">
        <f>IF(ISNA(MATCH($C270,EL!$E$4:$E$1012,0)),"",
IF($E270=0,IF(INDEX(EL!$R$4:$R$1012,MATCH($C270,EL!$E$4:$E$1012,0))="","",INDEX(EL!$R$4:$R$1012,MATCH($C270,EL!$E$4:$E$1012,0))),
IF($E270=1,IF(INDEX(EL!$W$4:$W$1012,MATCH($C270,EL!$E$4:$E$1012,0))="","",INDEX(EL!$W$4:$W$1012,MATCH($C270,EL!$E$4:$E$1012,0))),
IF($E270=2,IF(INDEX(EL!$AB$4:$AB$1012,MATCH($C270,EL!$E$4:$E$1012,0))="","",INDEX(EL!$AB$4:$AB$1012,MATCH($C270,EL!$E$4:$E$1012,0))),
IF($E270=3,IF(INDEX(EL!$AG$4:$AG$1012,MATCH($C270,EL!$E$4:$E$1012,0))="","",INDEX(EL!$AG$4:$AG$1012,MATCH($C270,EL!$E$4:$E$1012,0))),
IF($E270=4,IF(INDEX(EL!$AN$4:$AN$1012,MATCH($C270,EL!$E$4:$E$1012,0))="","",INDEX(EL!$AN$4:$AN$1012,MATCH($C270,EL!$E$4:$E$1012,0))),
IF($E270=5,IF(INDEX(EL!$AS$4:$AS$1012,MATCH($C270,EL!$E$4:$E$1012,0))="","",INDEX(EL!$AS$4:$AS$1012,MATCH($C270,EL!$E$4:$E$1012,0))),"")))))))</f>
        <v/>
      </c>
      <c r="I270" s="459" t="str">
        <f>IF(ISNA(MATCH($C270,EL!$E$4:$E$1012,0)),"",
IF($E270=0,IF(INDEX(EL!$S$4:$S$1012,MATCH($C270,EL!$E$4:$E$1012,0))="","",INDEX(EL!$S$4:$S$1012,MATCH($C270,EL!$E$4:$E$1012,0))),
IF($E270=1,IF(INDEX(EL!$X$4:$X$1012,MATCH($C270,EL!$E$4:$E$1012,0))="","",INDEX(EL!$X$4:$X$1012,MATCH($C270,EL!$E$4:$E$1012,0))),
IF($E270=2,IF(INDEX(EL!$AC$4:$AC$1012,MATCH($C270,EL!$E$4:$E$1012,0))="","",INDEX(EL!$AC$4:$AC$1012,MATCH($C270,EL!$E$4:$E$1012,0))),
IF($E270=3,IF(INDEX(EL!$AH$4:$AH$1012,MATCH($C270,EL!$E$4:$E$1012,0))="","",INDEX(EL!$AH$4:$AH$1012,MATCH($C270,EL!$E$4:$E$1012,0))),
IF($E270=4,IF(INDEX(EL!$AM$4:$AM$1012,MATCH($C270,EL!$E$4:$E$1012,0))="","",INDEX(EL!$AM$4:$AM$1012,MATCH($C270,EL!$E$4:$E$1012,0))),
IF($E270=5,IF(INDEX(EL!$AR$4:$AR$1012,MATCH($C270,EL!$E$4:$E$1012,0))="","",INDEX(EL!$AR$4:$AR$1012,MATCH($C270,EL!$E$4:$E$1012,0))),"")))))))</f>
        <v/>
      </c>
      <c r="J270" s="459" t="str">
        <f>IF(ISNA(MATCH($C270,EL!$E$4:$E$1012,0)),"",
IF($E270=0,IF(INDEX(EL!$T$4:$T$1012,MATCH($C270,EL!$E$4:$E$1012,0))="","",INDEX(EL!$T$4:$T$1012,MATCH($C270,EL!$E$4:$E$1012,0))),
IF($E270=1,IF(INDEX(EL!$Y$4:$Y$1012,MATCH($C270,EL!$E$4:$E$1012,0))="","",INDEX(EL!$Y$4:$Y$1012,MATCH($C270,EL!$E$4:$E$1012,0))),
IF($E270=2,IF(INDEX(EL!$AD$4:$AD$1012,MATCH($C270,EL!$E$4:$E$1012,0))="","",INDEX(EL!$AD$4:$AD$1012,MATCH($C270,EL!$E$4:$E$1012,0))),
IF($E270=3,IF(INDEX(EL!$AI$4:$AI$1012,MATCH($C270,EL!$E$4:$E$1012,0))="","",INDEX(EL!$AI$4:$AI$1012,MATCH($C270,EL!$E$4:$E$1012,0))),
IF($E270=4,IF(INDEX(EL!$AN$4:$AN$1012,MATCH($C270,EL!$E$4:$E$1012,0))="","",INDEX(EL!$AN$4:$AN$1012,MATCH($C270,EL!$E$4:$E$1012,0))),
IF($E270=5,IF(INDEX(EL!$AS$4:$AS$1012,MATCH($C270,EL!$E$4:$E$1012,0))="","",INDEX(EL!$AS$4:$AS$1012,MATCH($C270,EL!$E$4:$E$1012,0))),"")))))))</f>
        <v/>
      </c>
      <c r="K270" s="459">
        <f>EL!L184</f>
        <v>0</v>
      </c>
      <c r="L270" s="460" t="e" cm="1">
        <f t="array" aca="1" ref="L270" ca="1">_xlfn.IFS(AND($E270&lt;&gt;"",$M270="Pending",$K270="CTA"),TODAY()-$G270,AND($E270&lt;&gt;"",$M270="Pending",$K270="AUR"),TODAY()-$H270,AND($E270&lt;&gt;"",$M270="Pending",$K270="STT"),TODAY()-$I270,OR(K270="Closed",K270=""),"")</f>
        <v>#N/A</v>
      </c>
      <c r="M270" s="461">
        <f>VLOOKUP(C270,EL!$E$4:$AC$622,9,0)</f>
        <v>0</v>
      </c>
      <c r="N270" s="461" t="str">
        <f t="shared" si="10"/>
        <v/>
      </c>
      <c r="O270" s="739" t="str">
        <f>EL!O184</f>
        <v>GC</v>
      </c>
      <c r="P270" s="746" t="str">
        <v>NO</v>
      </c>
    </row>
    <row r="271" spans="1:17" s="385" customFormat="1" ht="27" hidden="1" customHeight="1">
      <c r="A271" s="399">
        <f t="shared" si="9"/>
        <v>178</v>
      </c>
      <c r="B271" s="477" t="s">
        <v>52</v>
      </c>
      <c r="C271" s="646" t="s">
        <v>982</v>
      </c>
      <c r="D271" s="456" t="str">
        <f>_xlfn.XLOOKUP(C271,EL!$E$4:$E$390,EL!$D$4:$D$390)</f>
        <v xml:space="preserve">Level 2 - Power And Receptacle Outlet System Layout </v>
      </c>
      <c r="E271" s="597" t="str">
        <f>IF(VLOOKUP(C271,EL!$E$4:$AC$505,7,0)="","",VLOOKUP(C271,EL!$E$4:$AC$1004,7,0))</f>
        <v/>
      </c>
      <c r="F271" s="462"/>
      <c r="G271" s="458" t="str">
        <f>IF(VLOOKUP(C271,EL!$E$4:$AC$514,5,0)="","",VLOOKUP(C271,EL!$E$4:$AC$514,5,0))</f>
        <v/>
      </c>
      <c r="H271" s="459" t="str">
        <f>IF(ISNA(MATCH($C271,EL!$E$4:$E$1012,0)),"",
IF($E271=0,IF(INDEX(EL!$R$4:$R$1012,MATCH($C271,EL!$E$4:$E$1012,0))="","",INDEX(EL!$R$4:$R$1012,MATCH($C271,EL!$E$4:$E$1012,0))),
IF($E271=1,IF(INDEX(EL!$W$4:$W$1012,MATCH($C271,EL!$E$4:$E$1012,0))="","",INDEX(EL!$W$4:$W$1012,MATCH($C271,EL!$E$4:$E$1012,0))),
IF($E271=2,IF(INDEX(EL!$AB$4:$AB$1012,MATCH($C271,EL!$E$4:$E$1012,0))="","",INDEX(EL!$AB$4:$AB$1012,MATCH($C271,EL!$E$4:$E$1012,0))),
IF($E271=3,IF(INDEX(EL!$AG$4:$AG$1012,MATCH($C271,EL!$E$4:$E$1012,0))="","",INDEX(EL!$AG$4:$AG$1012,MATCH($C271,EL!$E$4:$E$1012,0))),
IF($E271=4,IF(INDEX(EL!$AN$4:$AN$1012,MATCH($C271,EL!$E$4:$E$1012,0))="","",INDEX(EL!$AN$4:$AN$1012,MATCH($C271,EL!$E$4:$E$1012,0))),
IF($E271=5,IF(INDEX(EL!$AS$4:$AS$1012,MATCH($C271,EL!$E$4:$E$1012,0))="","",INDEX(EL!$AS$4:$AS$1012,MATCH($C271,EL!$E$4:$E$1012,0))),"")))))))</f>
        <v/>
      </c>
      <c r="I271" s="459" t="str">
        <f>IF(ISNA(MATCH($C271,EL!$E$4:$E$1012,0)),"",
IF($E271=0,IF(INDEX(EL!$S$4:$S$1012,MATCH($C271,EL!$E$4:$E$1012,0))="","",INDEX(EL!$S$4:$S$1012,MATCH($C271,EL!$E$4:$E$1012,0))),
IF($E271=1,IF(INDEX(EL!$X$4:$X$1012,MATCH($C271,EL!$E$4:$E$1012,0))="","",INDEX(EL!$X$4:$X$1012,MATCH($C271,EL!$E$4:$E$1012,0))),
IF($E271=2,IF(INDEX(EL!$AC$4:$AC$1012,MATCH($C271,EL!$E$4:$E$1012,0))="","",INDEX(EL!$AC$4:$AC$1012,MATCH($C271,EL!$E$4:$E$1012,0))),
IF($E271=3,IF(INDEX(EL!$AH$4:$AH$1012,MATCH($C271,EL!$E$4:$E$1012,0))="","",INDEX(EL!$AH$4:$AH$1012,MATCH($C271,EL!$E$4:$E$1012,0))),
IF($E271=4,IF(INDEX(EL!$AM$4:$AM$1012,MATCH($C271,EL!$E$4:$E$1012,0))="","",INDEX(EL!$AM$4:$AM$1012,MATCH($C271,EL!$E$4:$E$1012,0))),
IF($E271=5,IF(INDEX(EL!$AR$4:$AR$1012,MATCH($C271,EL!$E$4:$E$1012,0))="","",INDEX(EL!$AR$4:$AR$1012,MATCH($C271,EL!$E$4:$E$1012,0))),"")))))))</f>
        <v/>
      </c>
      <c r="J271" s="459" t="str">
        <f>IF(ISNA(MATCH($C271,EL!$E$4:$E$1012,0)),"",
IF($E271=0,IF(INDEX(EL!$T$4:$T$1012,MATCH($C271,EL!$E$4:$E$1012,0))="","",INDEX(EL!$T$4:$T$1012,MATCH($C271,EL!$E$4:$E$1012,0))),
IF($E271=1,IF(INDEX(EL!$Y$4:$Y$1012,MATCH($C271,EL!$E$4:$E$1012,0))="","",INDEX(EL!$Y$4:$Y$1012,MATCH($C271,EL!$E$4:$E$1012,0))),
IF($E271=2,IF(INDEX(EL!$AD$4:$AD$1012,MATCH($C271,EL!$E$4:$E$1012,0))="","",INDEX(EL!$AD$4:$AD$1012,MATCH($C271,EL!$E$4:$E$1012,0))),
IF($E271=3,IF(INDEX(EL!$AI$4:$AI$1012,MATCH($C271,EL!$E$4:$E$1012,0))="","",INDEX(EL!$AI$4:$AI$1012,MATCH($C271,EL!$E$4:$E$1012,0))),
IF($E271=4,IF(INDEX(EL!$AN$4:$AN$1012,MATCH($C271,EL!$E$4:$E$1012,0))="","",INDEX(EL!$AN$4:$AN$1012,MATCH($C271,EL!$E$4:$E$1012,0))),
IF($E271=5,IF(INDEX(EL!$AS$4:$AS$1012,MATCH($C271,EL!$E$4:$E$1012,0))="","",INDEX(EL!$AS$4:$AS$1012,MATCH($C271,EL!$E$4:$E$1012,0))),"")))))))</f>
        <v/>
      </c>
      <c r="K271" s="459">
        <f>EL!L185</f>
        <v>0</v>
      </c>
      <c r="L271" s="460" t="e" cm="1">
        <f t="array" aca="1" ref="L271" ca="1">_xlfn.IFS(AND($E271&lt;&gt;"",$M271="Pending",$K271="CTA"),TODAY()-$G271,AND($E271&lt;&gt;"",$M271="Pending",$K271="AUR"),TODAY()-$H271,AND($E271&lt;&gt;"",$M271="Pending",$K271="STT"),TODAY()-$I271,OR(K271="Closed",K271=""),"")</f>
        <v>#N/A</v>
      </c>
      <c r="M271" s="461">
        <f>VLOOKUP(C271,EL!$E$4:$AC$622,9,0)</f>
        <v>0</v>
      </c>
      <c r="N271" s="461" t="str">
        <f t="shared" si="10"/>
        <v/>
      </c>
      <c r="O271" s="739" t="str">
        <f>EL!O185</f>
        <v>GC</v>
      </c>
      <c r="P271" s="746" t="str">
        <v>NO</v>
      </c>
    </row>
    <row r="272" spans="1:17" s="385" customFormat="1" ht="27" hidden="1" customHeight="1">
      <c r="A272" s="399">
        <f t="shared" si="9"/>
        <v>179</v>
      </c>
      <c r="B272" s="477" t="s">
        <v>52</v>
      </c>
      <c r="C272" s="646" t="s">
        <v>985</v>
      </c>
      <c r="D272" s="456" t="str">
        <f>_xlfn.XLOOKUP(C272,EL!$E$4:$E$390,EL!$D$4:$D$390)</f>
        <v>Level 2 - Power Supply Mech System Layout</v>
      </c>
      <c r="E272" s="597" t="str">
        <f>IF(VLOOKUP(C272,EL!$E$4:$AC$505,7,0)="","",VLOOKUP(C272,EL!$E$4:$AC$1004,7,0))</f>
        <v/>
      </c>
      <c r="F272" s="462"/>
      <c r="G272" s="458" t="str">
        <f>IF(VLOOKUP(C272,EL!$E$4:$AC$514,5,0)="","",VLOOKUP(C272,EL!$E$4:$AC$514,5,0))</f>
        <v/>
      </c>
      <c r="H272" s="459" t="str">
        <f>IF(ISNA(MATCH($C272,EL!$E$4:$E$1012,0)),"",
IF($E272=0,IF(INDEX(EL!$R$4:$R$1012,MATCH($C272,EL!$E$4:$E$1012,0))="","",INDEX(EL!$R$4:$R$1012,MATCH($C272,EL!$E$4:$E$1012,0))),
IF($E272=1,IF(INDEX(EL!$W$4:$W$1012,MATCH($C272,EL!$E$4:$E$1012,0))="","",INDEX(EL!$W$4:$W$1012,MATCH($C272,EL!$E$4:$E$1012,0))),
IF($E272=2,IF(INDEX(EL!$AB$4:$AB$1012,MATCH($C272,EL!$E$4:$E$1012,0))="","",INDEX(EL!$AB$4:$AB$1012,MATCH($C272,EL!$E$4:$E$1012,0))),
IF($E272=3,IF(INDEX(EL!$AG$4:$AG$1012,MATCH($C272,EL!$E$4:$E$1012,0))="","",INDEX(EL!$AG$4:$AG$1012,MATCH($C272,EL!$E$4:$E$1012,0))),
IF($E272=4,IF(INDEX(EL!$AN$4:$AN$1012,MATCH($C272,EL!$E$4:$E$1012,0))="","",INDEX(EL!$AN$4:$AN$1012,MATCH($C272,EL!$E$4:$E$1012,0))),
IF($E272=5,IF(INDEX(EL!$AS$4:$AS$1012,MATCH($C272,EL!$E$4:$E$1012,0))="","",INDEX(EL!$AS$4:$AS$1012,MATCH($C272,EL!$E$4:$E$1012,0))),"")))))))</f>
        <v/>
      </c>
      <c r="I272" s="459" t="str">
        <f>IF(ISNA(MATCH($C272,EL!$E$4:$E$1012,0)),"",
IF($E272=0,IF(INDEX(EL!$S$4:$S$1012,MATCH($C272,EL!$E$4:$E$1012,0))="","",INDEX(EL!$S$4:$S$1012,MATCH($C272,EL!$E$4:$E$1012,0))),
IF($E272=1,IF(INDEX(EL!$X$4:$X$1012,MATCH($C272,EL!$E$4:$E$1012,0))="","",INDEX(EL!$X$4:$X$1012,MATCH($C272,EL!$E$4:$E$1012,0))),
IF($E272=2,IF(INDEX(EL!$AC$4:$AC$1012,MATCH($C272,EL!$E$4:$E$1012,0))="","",INDEX(EL!$AC$4:$AC$1012,MATCH($C272,EL!$E$4:$E$1012,0))),
IF($E272=3,IF(INDEX(EL!$AH$4:$AH$1012,MATCH($C272,EL!$E$4:$E$1012,0))="","",INDEX(EL!$AH$4:$AH$1012,MATCH($C272,EL!$E$4:$E$1012,0))),
IF($E272=4,IF(INDEX(EL!$AM$4:$AM$1012,MATCH($C272,EL!$E$4:$E$1012,0))="","",INDEX(EL!$AM$4:$AM$1012,MATCH($C272,EL!$E$4:$E$1012,0))),
IF($E272=5,IF(INDEX(EL!$AR$4:$AR$1012,MATCH($C272,EL!$E$4:$E$1012,0))="","",INDEX(EL!$AR$4:$AR$1012,MATCH($C272,EL!$E$4:$E$1012,0))),"")))))))</f>
        <v/>
      </c>
      <c r="J272" s="459" t="str">
        <f>IF(ISNA(MATCH($C272,EL!$E$4:$E$1012,0)),"",
IF($E272=0,IF(INDEX(EL!$T$4:$T$1012,MATCH($C272,EL!$E$4:$E$1012,0))="","",INDEX(EL!$T$4:$T$1012,MATCH($C272,EL!$E$4:$E$1012,0))),
IF($E272=1,IF(INDEX(EL!$Y$4:$Y$1012,MATCH($C272,EL!$E$4:$E$1012,0))="","",INDEX(EL!$Y$4:$Y$1012,MATCH($C272,EL!$E$4:$E$1012,0))),
IF($E272=2,IF(INDEX(EL!$AD$4:$AD$1012,MATCH($C272,EL!$E$4:$E$1012,0))="","",INDEX(EL!$AD$4:$AD$1012,MATCH($C272,EL!$E$4:$E$1012,0))),
IF($E272=3,IF(INDEX(EL!$AI$4:$AI$1012,MATCH($C272,EL!$E$4:$E$1012,0))="","",INDEX(EL!$AI$4:$AI$1012,MATCH($C272,EL!$E$4:$E$1012,0))),
IF($E272=4,IF(INDEX(EL!$AN$4:$AN$1012,MATCH($C272,EL!$E$4:$E$1012,0))="","",INDEX(EL!$AN$4:$AN$1012,MATCH($C272,EL!$E$4:$E$1012,0))),
IF($E272=5,IF(INDEX(EL!$AS$4:$AS$1012,MATCH($C272,EL!$E$4:$E$1012,0))="","",INDEX(EL!$AS$4:$AS$1012,MATCH($C272,EL!$E$4:$E$1012,0))),"")))))))</f>
        <v/>
      </c>
      <c r="K272" s="459">
        <f>EL!L186</f>
        <v>0</v>
      </c>
      <c r="L272" s="460" t="e" cm="1">
        <f t="array" aca="1" ref="L272" ca="1">_xlfn.IFS(AND($E272&lt;&gt;"",$M272="Pending",$K272="CTA"),TODAY()-$G272,AND($E272&lt;&gt;"",$M272="Pending",$K272="AUR"),TODAY()-$H272,AND($E272&lt;&gt;"",$M272="Pending",$K272="STT"),TODAY()-$I272,OR(K272="Closed",K272=""),"")</f>
        <v>#N/A</v>
      </c>
      <c r="M272" s="461">
        <f>VLOOKUP(C272,EL!$E$4:$AC$622,9,0)</f>
        <v>0</v>
      </c>
      <c r="N272" s="461" t="str">
        <f t="shared" si="10"/>
        <v/>
      </c>
      <c r="O272" s="739" t="str">
        <f>EL!O186</f>
        <v>GC</v>
      </c>
      <c r="P272" s="746" t="str">
        <v>NO</v>
      </c>
    </row>
    <row r="273" spans="1:16" s="385" customFormat="1" ht="27" hidden="1" customHeight="1">
      <c r="A273" s="399">
        <f t="shared" si="9"/>
        <v>180</v>
      </c>
      <c r="B273" s="477" t="s">
        <v>52</v>
      </c>
      <c r="C273" s="646" t="s">
        <v>989</v>
      </c>
      <c r="D273" s="456" t="str">
        <f>_xlfn.XLOOKUP(C273,EL!$E$4:$E$390,EL!$D$4:$D$390)</f>
        <v>Level 2 - Power Supply Mcp System Layout</v>
      </c>
      <c r="E273" s="597" t="str">
        <f>IF(VLOOKUP(C273,EL!$E$4:$AC$505,7,0)="","",VLOOKUP(C273,EL!$E$4:$AC$1004,7,0))</f>
        <v/>
      </c>
      <c r="F273" s="462"/>
      <c r="G273" s="458" t="str">
        <f>IF(VLOOKUP(C273,EL!$E$4:$AC$514,5,0)="","",VLOOKUP(C273,EL!$E$4:$AC$514,5,0))</f>
        <v/>
      </c>
      <c r="H273" s="459" t="str">
        <f>IF(ISNA(MATCH($C273,EL!$E$4:$E$1012,0)),"",
IF($E273=0,IF(INDEX(EL!$R$4:$R$1012,MATCH($C273,EL!$E$4:$E$1012,0))="","",INDEX(EL!$R$4:$R$1012,MATCH($C273,EL!$E$4:$E$1012,0))),
IF($E273=1,IF(INDEX(EL!$W$4:$W$1012,MATCH($C273,EL!$E$4:$E$1012,0))="","",INDEX(EL!$W$4:$W$1012,MATCH($C273,EL!$E$4:$E$1012,0))),
IF($E273=2,IF(INDEX(EL!$AB$4:$AB$1012,MATCH($C273,EL!$E$4:$E$1012,0))="","",INDEX(EL!$AB$4:$AB$1012,MATCH($C273,EL!$E$4:$E$1012,0))),
IF($E273=3,IF(INDEX(EL!$AG$4:$AG$1012,MATCH($C273,EL!$E$4:$E$1012,0))="","",INDEX(EL!$AG$4:$AG$1012,MATCH($C273,EL!$E$4:$E$1012,0))),
IF($E273=4,IF(INDEX(EL!$AN$4:$AN$1012,MATCH($C273,EL!$E$4:$E$1012,0))="","",INDEX(EL!$AN$4:$AN$1012,MATCH($C273,EL!$E$4:$E$1012,0))),
IF($E273=5,IF(INDEX(EL!$AS$4:$AS$1012,MATCH($C273,EL!$E$4:$E$1012,0))="","",INDEX(EL!$AS$4:$AS$1012,MATCH($C273,EL!$E$4:$E$1012,0))),"")))))))</f>
        <v/>
      </c>
      <c r="I273" s="459" t="str">
        <f>IF(ISNA(MATCH($C273,EL!$E$4:$E$1012,0)),"",
IF($E273=0,IF(INDEX(EL!$S$4:$S$1012,MATCH($C273,EL!$E$4:$E$1012,0))="","",INDEX(EL!$S$4:$S$1012,MATCH($C273,EL!$E$4:$E$1012,0))),
IF($E273=1,IF(INDEX(EL!$X$4:$X$1012,MATCH($C273,EL!$E$4:$E$1012,0))="","",INDEX(EL!$X$4:$X$1012,MATCH($C273,EL!$E$4:$E$1012,0))),
IF($E273=2,IF(INDEX(EL!$AC$4:$AC$1012,MATCH($C273,EL!$E$4:$E$1012,0))="","",INDEX(EL!$AC$4:$AC$1012,MATCH($C273,EL!$E$4:$E$1012,0))),
IF($E273=3,IF(INDEX(EL!$AH$4:$AH$1012,MATCH($C273,EL!$E$4:$E$1012,0))="","",INDEX(EL!$AH$4:$AH$1012,MATCH($C273,EL!$E$4:$E$1012,0))),
IF($E273=4,IF(INDEX(EL!$AM$4:$AM$1012,MATCH($C273,EL!$E$4:$E$1012,0))="","",INDEX(EL!$AM$4:$AM$1012,MATCH($C273,EL!$E$4:$E$1012,0))),
IF($E273=5,IF(INDEX(EL!$AR$4:$AR$1012,MATCH($C273,EL!$E$4:$E$1012,0))="","",INDEX(EL!$AR$4:$AR$1012,MATCH($C273,EL!$E$4:$E$1012,0))),"")))))))</f>
        <v/>
      </c>
      <c r="J273" s="459" t="str">
        <f>IF(ISNA(MATCH($C273,EL!$E$4:$E$1012,0)),"",
IF($E273=0,IF(INDEX(EL!$T$4:$T$1012,MATCH($C273,EL!$E$4:$E$1012,0))="","",INDEX(EL!$T$4:$T$1012,MATCH($C273,EL!$E$4:$E$1012,0))),
IF($E273=1,IF(INDEX(EL!$Y$4:$Y$1012,MATCH($C273,EL!$E$4:$E$1012,0))="","",INDEX(EL!$Y$4:$Y$1012,MATCH($C273,EL!$E$4:$E$1012,0))),
IF($E273=2,IF(INDEX(EL!$AD$4:$AD$1012,MATCH($C273,EL!$E$4:$E$1012,0))="","",INDEX(EL!$AD$4:$AD$1012,MATCH($C273,EL!$E$4:$E$1012,0))),
IF($E273=3,IF(INDEX(EL!$AI$4:$AI$1012,MATCH($C273,EL!$E$4:$E$1012,0))="","",INDEX(EL!$AI$4:$AI$1012,MATCH($C273,EL!$E$4:$E$1012,0))),
IF($E273=4,IF(INDEX(EL!$AN$4:$AN$1012,MATCH($C273,EL!$E$4:$E$1012,0))="","",INDEX(EL!$AN$4:$AN$1012,MATCH($C273,EL!$E$4:$E$1012,0))),
IF($E273=5,IF(INDEX(EL!$AS$4:$AS$1012,MATCH($C273,EL!$E$4:$E$1012,0))="","",INDEX(EL!$AS$4:$AS$1012,MATCH($C273,EL!$E$4:$E$1012,0))),"")))))))</f>
        <v/>
      </c>
      <c r="K273" s="459">
        <f>EL!L187</f>
        <v>0</v>
      </c>
      <c r="L273" s="460" t="e" cm="1">
        <f t="array" aca="1" ref="L273" ca="1">_xlfn.IFS(AND($E273&lt;&gt;"",$M273="Pending",$K273="CTA"),TODAY()-$G273,AND($E273&lt;&gt;"",$M273="Pending",$K273="AUR"),TODAY()-$H273,AND($E273&lt;&gt;"",$M273="Pending",$K273="STT"),TODAY()-$I273,OR(K273="Closed",K273=""),"")</f>
        <v>#N/A</v>
      </c>
      <c r="M273" s="461">
        <f>VLOOKUP(C273,EL!$E$4:$AC$622,9,0)</f>
        <v>0</v>
      </c>
      <c r="N273" s="461" t="str">
        <f t="shared" si="10"/>
        <v/>
      </c>
      <c r="O273" s="739" t="str">
        <f>EL!O187</f>
        <v>GC</v>
      </c>
      <c r="P273" s="746" t="str">
        <v>NO</v>
      </c>
    </row>
    <row r="274" spans="1:16" s="385" customFormat="1" ht="27" customHeight="1">
      <c r="A274" s="399">
        <f t="shared" si="9"/>
        <v>181</v>
      </c>
      <c r="B274" s="477" t="s">
        <v>52</v>
      </c>
      <c r="C274" s="646" t="s">
        <v>992</v>
      </c>
      <c r="D274" s="456" t="str">
        <f>_xlfn.XLOOKUP(C274,EL!$E$4:$E$390,EL!$D$4:$D$390)</f>
        <v xml:space="preserve">Level 2 - Data Outlet System Layout </v>
      </c>
      <c r="E274" s="597">
        <f>IF(VLOOKUP(C274,EL!$E$4:$AC$505,7,0)="","",VLOOKUP(C274,EL!$E$4:$AC$1004,7,0))</f>
        <v>0</v>
      </c>
      <c r="F274" s="462"/>
      <c r="G274" s="458">
        <f>IF(VLOOKUP(C274,EL!$E$4:$AC$514,5,0)="","",VLOOKUP(C274,EL!$E$4:$AC$514,5,0))</f>
        <v>46062</v>
      </c>
      <c r="H274" s="459" t="str">
        <f>IF(ISNA(MATCH($C274,EL!$E$4:$E$1012,0)),"",
IF($E274=0,IF(INDEX(EL!$R$4:$R$1012,MATCH($C274,EL!$E$4:$E$1012,0))="","",INDEX(EL!$R$4:$R$1012,MATCH($C274,EL!$E$4:$E$1012,0))),
IF($E274=1,IF(INDEX(EL!$W$4:$W$1012,MATCH($C274,EL!$E$4:$E$1012,0))="","",INDEX(EL!$W$4:$W$1012,MATCH($C274,EL!$E$4:$E$1012,0))),
IF($E274=2,IF(INDEX(EL!$AB$4:$AB$1012,MATCH($C274,EL!$E$4:$E$1012,0))="","",INDEX(EL!$AB$4:$AB$1012,MATCH($C274,EL!$E$4:$E$1012,0))),
IF($E274=3,IF(INDEX(EL!$AG$4:$AG$1012,MATCH($C274,EL!$E$4:$E$1012,0))="","",INDEX(EL!$AG$4:$AG$1012,MATCH($C274,EL!$E$4:$E$1012,0))),
IF($E274=4,IF(INDEX(EL!$AN$4:$AN$1012,MATCH($C274,EL!$E$4:$E$1012,0))="","",INDEX(EL!$AN$4:$AN$1012,MATCH($C274,EL!$E$4:$E$1012,0))),
IF($E274=5,IF(INDEX(EL!$AS$4:$AS$1012,MATCH($C274,EL!$E$4:$E$1012,0))="","",INDEX(EL!$AS$4:$AS$1012,MATCH($C274,EL!$E$4:$E$1012,0))),"")))))))</f>
        <v/>
      </c>
      <c r="I274" s="459" t="str">
        <f>IF(ISNA(MATCH($C274,EL!$E$4:$E$1012,0)),"",
IF($E274=0,IF(INDEX(EL!$S$4:$S$1012,MATCH($C274,EL!$E$4:$E$1012,0))="","",INDEX(EL!$S$4:$S$1012,MATCH($C274,EL!$E$4:$E$1012,0))),
IF($E274=1,IF(INDEX(EL!$X$4:$X$1012,MATCH($C274,EL!$E$4:$E$1012,0))="","",INDEX(EL!$X$4:$X$1012,MATCH($C274,EL!$E$4:$E$1012,0))),
IF($E274=2,IF(INDEX(EL!$AC$4:$AC$1012,MATCH($C274,EL!$E$4:$E$1012,0))="","",INDEX(EL!$AC$4:$AC$1012,MATCH($C274,EL!$E$4:$E$1012,0))),
IF($E274=3,IF(INDEX(EL!$AH$4:$AH$1012,MATCH($C274,EL!$E$4:$E$1012,0))="","",INDEX(EL!$AH$4:$AH$1012,MATCH($C274,EL!$E$4:$E$1012,0))),
IF($E274=4,IF(INDEX(EL!$AM$4:$AM$1012,MATCH($C274,EL!$E$4:$E$1012,0))="","",INDEX(EL!$AM$4:$AM$1012,MATCH($C274,EL!$E$4:$E$1012,0))),
IF($E274=5,IF(INDEX(EL!$AR$4:$AR$1012,MATCH($C274,EL!$E$4:$E$1012,0))="","",INDEX(EL!$AR$4:$AR$1012,MATCH($C274,EL!$E$4:$E$1012,0))),"")))))))</f>
        <v/>
      </c>
      <c r="J274" s="459" t="str">
        <f>IF(ISNA(MATCH($C274,EL!$E$4:$E$1012,0)),"",
IF($E274=0,IF(INDEX(EL!$T$4:$T$1012,MATCH($C274,EL!$E$4:$E$1012,0))="","",INDEX(EL!$T$4:$T$1012,MATCH($C274,EL!$E$4:$E$1012,0))),
IF($E274=1,IF(INDEX(EL!$Y$4:$Y$1012,MATCH($C274,EL!$E$4:$E$1012,0))="","",INDEX(EL!$Y$4:$Y$1012,MATCH($C274,EL!$E$4:$E$1012,0))),
IF($E274=2,IF(INDEX(EL!$AD$4:$AD$1012,MATCH($C274,EL!$E$4:$E$1012,0))="","",INDEX(EL!$AD$4:$AD$1012,MATCH($C274,EL!$E$4:$E$1012,0))),
IF($E274=3,IF(INDEX(EL!$AI$4:$AI$1012,MATCH($C274,EL!$E$4:$E$1012,0))="","",INDEX(EL!$AI$4:$AI$1012,MATCH($C274,EL!$E$4:$E$1012,0))),
IF($E274=4,IF(INDEX(EL!$AN$4:$AN$1012,MATCH($C274,EL!$E$4:$E$1012,0))="","",INDEX(EL!$AN$4:$AN$1012,MATCH($C274,EL!$E$4:$E$1012,0))),
IF($E274=5,IF(INDEX(EL!$AS$4:$AS$1012,MATCH($C274,EL!$E$4:$E$1012,0))="","",INDEX(EL!$AS$4:$AS$1012,MATCH($C274,EL!$E$4:$E$1012,0))),"")))))))</f>
        <v/>
      </c>
      <c r="K274" s="459" t="str">
        <f>EL!L188</f>
        <v>CTA</v>
      </c>
      <c r="L274" s="460" cm="1">
        <f t="array" aca="1" ref="L274" ca="1">_xlfn.IFS(AND($E274&lt;&gt;"",$M274="Pending",$K274="CTA"),TODAY()-$G274,AND($E274&lt;&gt;"",$M274="Pending",$K274="AUR"),TODAY()-$H274,AND($E274&lt;&gt;"",$M274="Pending",$K274="STT"),TODAY()-$I274,OR(K274="Closed",K274=""),"")</f>
        <v>4</v>
      </c>
      <c r="M274" s="461" t="str">
        <f>VLOOKUP(C274,EL!$E$4:$AC$622,9,0)</f>
        <v>Pending</v>
      </c>
      <c r="N274" s="461" t="str">
        <f t="shared" ca="1" si="10"/>
        <v>High</v>
      </c>
      <c r="O274" s="739" t="str">
        <f>EL!O188</f>
        <v>GC</v>
      </c>
      <c r="P274" s="746" t="str">
        <v>NO</v>
      </c>
    </row>
    <row r="275" spans="1:16" s="385" customFormat="1" ht="27" hidden="1" customHeight="1">
      <c r="A275" s="399">
        <f t="shared" si="9"/>
        <v>182</v>
      </c>
      <c r="B275" s="477" t="s">
        <v>52</v>
      </c>
      <c r="C275" s="646" t="s">
        <v>995</v>
      </c>
      <c r="D275" s="456" t="str">
        <f>_xlfn.XLOOKUP(C275,EL!$E$4:$E$390,EL!$D$4:$D$390)</f>
        <v xml:space="preserve">Level 2 - Ceeform System Layout </v>
      </c>
      <c r="E275" s="597" t="str">
        <f>IF(VLOOKUP(C275,EL!$E$4:$AC$505,7,0)="","",VLOOKUP(C275,EL!$E$4:$AC$1004,7,0))</f>
        <v/>
      </c>
      <c r="F275" s="462"/>
      <c r="G275" s="458" t="str">
        <f>IF(VLOOKUP(C275,EL!$E$4:$AC$514,5,0)="","",VLOOKUP(C275,EL!$E$4:$AC$514,5,0))</f>
        <v/>
      </c>
      <c r="H275" s="459" t="str">
        <f>IF(ISNA(MATCH($C275,EL!$E$4:$E$1012,0)),"",
IF($E275=0,IF(INDEX(EL!$R$4:$R$1012,MATCH($C275,EL!$E$4:$E$1012,0))="","",INDEX(EL!$R$4:$R$1012,MATCH($C275,EL!$E$4:$E$1012,0))),
IF($E275=1,IF(INDEX(EL!$W$4:$W$1012,MATCH($C275,EL!$E$4:$E$1012,0))="","",INDEX(EL!$W$4:$W$1012,MATCH($C275,EL!$E$4:$E$1012,0))),
IF($E275=2,IF(INDEX(EL!$AB$4:$AB$1012,MATCH($C275,EL!$E$4:$E$1012,0))="","",INDEX(EL!$AB$4:$AB$1012,MATCH($C275,EL!$E$4:$E$1012,0))),
IF($E275=3,IF(INDEX(EL!$AG$4:$AG$1012,MATCH($C275,EL!$E$4:$E$1012,0))="","",INDEX(EL!$AG$4:$AG$1012,MATCH($C275,EL!$E$4:$E$1012,0))),
IF($E275=4,IF(INDEX(EL!$AN$4:$AN$1012,MATCH($C275,EL!$E$4:$E$1012,0))="","",INDEX(EL!$AN$4:$AN$1012,MATCH($C275,EL!$E$4:$E$1012,0))),
IF($E275=5,IF(INDEX(EL!$AS$4:$AS$1012,MATCH($C275,EL!$E$4:$E$1012,0))="","",INDEX(EL!$AS$4:$AS$1012,MATCH($C275,EL!$E$4:$E$1012,0))),"")))))))</f>
        <v/>
      </c>
      <c r="I275" s="459" t="str">
        <f>IF(ISNA(MATCH($C275,EL!$E$4:$E$1012,0)),"",
IF($E275=0,IF(INDEX(EL!$S$4:$S$1012,MATCH($C275,EL!$E$4:$E$1012,0))="","",INDEX(EL!$S$4:$S$1012,MATCH($C275,EL!$E$4:$E$1012,0))),
IF($E275=1,IF(INDEX(EL!$X$4:$X$1012,MATCH($C275,EL!$E$4:$E$1012,0))="","",INDEX(EL!$X$4:$X$1012,MATCH($C275,EL!$E$4:$E$1012,0))),
IF($E275=2,IF(INDEX(EL!$AC$4:$AC$1012,MATCH($C275,EL!$E$4:$E$1012,0))="","",INDEX(EL!$AC$4:$AC$1012,MATCH($C275,EL!$E$4:$E$1012,0))),
IF($E275=3,IF(INDEX(EL!$AH$4:$AH$1012,MATCH($C275,EL!$E$4:$E$1012,0))="","",INDEX(EL!$AH$4:$AH$1012,MATCH($C275,EL!$E$4:$E$1012,0))),
IF($E275=4,IF(INDEX(EL!$AM$4:$AM$1012,MATCH($C275,EL!$E$4:$E$1012,0))="","",INDEX(EL!$AM$4:$AM$1012,MATCH($C275,EL!$E$4:$E$1012,0))),
IF($E275=5,IF(INDEX(EL!$AR$4:$AR$1012,MATCH($C275,EL!$E$4:$E$1012,0))="","",INDEX(EL!$AR$4:$AR$1012,MATCH($C275,EL!$E$4:$E$1012,0))),"")))))))</f>
        <v/>
      </c>
      <c r="J275" s="459" t="str">
        <f>IF(ISNA(MATCH($C275,EL!$E$4:$E$1012,0)),"",
IF($E275=0,IF(INDEX(EL!$T$4:$T$1012,MATCH($C275,EL!$E$4:$E$1012,0))="","",INDEX(EL!$T$4:$T$1012,MATCH($C275,EL!$E$4:$E$1012,0))),
IF($E275=1,IF(INDEX(EL!$Y$4:$Y$1012,MATCH($C275,EL!$E$4:$E$1012,0))="","",INDEX(EL!$Y$4:$Y$1012,MATCH($C275,EL!$E$4:$E$1012,0))),
IF($E275=2,IF(INDEX(EL!$AD$4:$AD$1012,MATCH($C275,EL!$E$4:$E$1012,0))="","",INDEX(EL!$AD$4:$AD$1012,MATCH($C275,EL!$E$4:$E$1012,0))),
IF($E275=3,IF(INDEX(EL!$AI$4:$AI$1012,MATCH($C275,EL!$E$4:$E$1012,0))="","",INDEX(EL!$AI$4:$AI$1012,MATCH($C275,EL!$E$4:$E$1012,0))),
IF($E275=4,IF(INDEX(EL!$AN$4:$AN$1012,MATCH($C275,EL!$E$4:$E$1012,0))="","",INDEX(EL!$AN$4:$AN$1012,MATCH($C275,EL!$E$4:$E$1012,0))),
IF($E275=5,IF(INDEX(EL!$AS$4:$AS$1012,MATCH($C275,EL!$E$4:$E$1012,0))="","",INDEX(EL!$AS$4:$AS$1012,MATCH($C275,EL!$E$4:$E$1012,0))),"")))))))</f>
        <v/>
      </c>
      <c r="K275" s="459">
        <f>EL!L189</f>
        <v>0</v>
      </c>
      <c r="L275" s="460" t="e" cm="1">
        <f t="array" aca="1" ref="L275" ca="1">_xlfn.IFS(AND($E275&lt;&gt;"",$M275="Pending",$K275="CTA"),TODAY()-$G275,AND($E275&lt;&gt;"",$M275="Pending",$K275="AUR"),TODAY()-$H275,AND($E275&lt;&gt;"",$M275="Pending",$K275="STT"),TODAY()-$I275,OR(K275="Closed",K275=""),"")</f>
        <v>#N/A</v>
      </c>
      <c r="M275" s="461">
        <f>VLOOKUP(C275,EL!$E$4:$AC$622,9,0)</f>
        <v>0</v>
      </c>
      <c r="N275" s="461" t="str">
        <f t="shared" si="10"/>
        <v/>
      </c>
      <c r="O275" s="739" t="str">
        <f>EL!O189</f>
        <v>GC</v>
      </c>
      <c r="P275" s="746" t="str">
        <v>NO</v>
      </c>
    </row>
    <row r="276" spans="1:16" s="385" customFormat="1" ht="27" hidden="1" customHeight="1">
      <c r="A276" s="399">
        <f t="shared" ref="A276:A307" si="11">A275+1</f>
        <v>183</v>
      </c>
      <c r="B276" s="477" t="s">
        <v>52</v>
      </c>
      <c r="C276" s="646" t="s">
        <v>998</v>
      </c>
      <c r="D276" s="456" t="str">
        <f>_xlfn.XLOOKUP(C276,EL!$E$4:$E$390,EL!$D$4:$D$390)</f>
        <v>Level 3 - Power ,Voice And Data Outlet System Layout</v>
      </c>
      <c r="E276" s="597" t="str">
        <f>IF(VLOOKUP(C276,EL!$E$4:$AC$505,7,0)="","",VLOOKUP(C276,EL!$E$4:$AC$1004,7,0))</f>
        <v/>
      </c>
      <c r="F276" s="462"/>
      <c r="G276" s="458" t="str">
        <f>IF(VLOOKUP(C276,EL!$E$4:$AC$514,5,0)="","",VLOOKUP(C276,EL!$E$4:$AC$514,5,0))</f>
        <v/>
      </c>
      <c r="H276" s="459" t="str">
        <f>IF(ISNA(MATCH($C276,EL!$E$4:$E$1012,0)),"",
IF($E276=0,IF(INDEX(EL!$R$4:$R$1012,MATCH($C276,EL!$E$4:$E$1012,0))="","",INDEX(EL!$R$4:$R$1012,MATCH($C276,EL!$E$4:$E$1012,0))),
IF($E276=1,IF(INDEX(EL!$W$4:$W$1012,MATCH($C276,EL!$E$4:$E$1012,0))="","",INDEX(EL!$W$4:$W$1012,MATCH($C276,EL!$E$4:$E$1012,0))),
IF($E276=2,IF(INDEX(EL!$AB$4:$AB$1012,MATCH($C276,EL!$E$4:$E$1012,0))="","",INDEX(EL!$AB$4:$AB$1012,MATCH($C276,EL!$E$4:$E$1012,0))),
IF($E276=3,IF(INDEX(EL!$AG$4:$AG$1012,MATCH($C276,EL!$E$4:$E$1012,0))="","",INDEX(EL!$AG$4:$AG$1012,MATCH($C276,EL!$E$4:$E$1012,0))),
IF($E276=4,IF(INDEX(EL!$AN$4:$AN$1012,MATCH($C276,EL!$E$4:$E$1012,0))="","",INDEX(EL!$AN$4:$AN$1012,MATCH($C276,EL!$E$4:$E$1012,0))),
IF($E276=5,IF(INDEX(EL!$AS$4:$AS$1012,MATCH($C276,EL!$E$4:$E$1012,0))="","",INDEX(EL!$AS$4:$AS$1012,MATCH($C276,EL!$E$4:$E$1012,0))),"")))))))</f>
        <v/>
      </c>
      <c r="I276" s="459" t="str">
        <f>IF(ISNA(MATCH($C276,EL!$E$4:$E$1012,0)),"",
IF($E276=0,IF(INDEX(EL!$S$4:$S$1012,MATCH($C276,EL!$E$4:$E$1012,0))="","",INDEX(EL!$S$4:$S$1012,MATCH($C276,EL!$E$4:$E$1012,0))),
IF($E276=1,IF(INDEX(EL!$X$4:$X$1012,MATCH($C276,EL!$E$4:$E$1012,0))="","",INDEX(EL!$X$4:$X$1012,MATCH($C276,EL!$E$4:$E$1012,0))),
IF($E276=2,IF(INDEX(EL!$AC$4:$AC$1012,MATCH($C276,EL!$E$4:$E$1012,0))="","",INDEX(EL!$AC$4:$AC$1012,MATCH($C276,EL!$E$4:$E$1012,0))),
IF($E276=3,IF(INDEX(EL!$AH$4:$AH$1012,MATCH($C276,EL!$E$4:$E$1012,0))="","",INDEX(EL!$AH$4:$AH$1012,MATCH($C276,EL!$E$4:$E$1012,0))),
IF($E276=4,IF(INDEX(EL!$AM$4:$AM$1012,MATCH($C276,EL!$E$4:$E$1012,0))="","",INDEX(EL!$AM$4:$AM$1012,MATCH($C276,EL!$E$4:$E$1012,0))),
IF($E276=5,IF(INDEX(EL!$AR$4:$AR$1012,MATCH($C276,EL!$E$4:$E$1012,0))="","",INDEX(EL!$AR$4:$AR$1012,MATCH($C276,EL!$E$4:$E$1012,0))),"")))))))</f>
        <v/>
      </c>
      <c r="J276" s="459" t="str">
        <f>IF(ISNA(MATCH($C276,EL!$E$4:$E$1012,0)),"",
IF($E276=0,IF(INDEX(EL!$T$4:$T$1012,MATCH($C276,EL!$E$4:$E$1012,0))="","",INDEX(EL!$T$4:$T$1012,MATCH($C276,EL!$E$4:$E$1012,0))),
IF($E276=1,IF(INDEX(EL!$Y$4:$Y$1012,MATCH($C276,EL!$E$4:$E$1012,0))="","",INDEX(EL!$Y$4:$Y$1012,MATCH($C276,EL!$E$4:$E$1012,0))),
IF($E276=2,IF(INDEX(EL!$AD$4:$AD$1012,MATCH($C276,EL!$E$4:$E$1012,0))="","",INDEX(EL!$AD$4:$AD$1012,MATCH($C276,EL!$E$4:$E$1012,0))),
IF($E276=3,IF(INDEX(EL!$AI$4:$AI$1012,MATCH($C276,EL!$E$4:$E$1012,0))="","",INDEX(EL!$AI$4:$AI$1012,MATCH($C276,EL!$E$4:$E$1012,0))),
IF($E276=4,IF(INDEX(EL!$AN$4:$AN$1012,MATCH($C276,EL!$E$4:$E$1012,0))="","",INDEX(EL!$AN$4:$AN$1012,MATCH($C276,EL!$E$4:$E$1012,0))),
IF($E276=5,IF(INDEX(EL!$AS$4:$AS$1012,MATCH($C276,EL!$E$4:$E$1012,0))="","",INDEX(EL!$AS$4:$AS$1012,MATCH($C276,EL!$E$4:$E$1012,0))),"")))))))</f>
        <v/>
      </c>
      <c r="K276" s="459">
        <f>EL!L190</f>
        <v>0</v>
      </c>
      <c r="L276" s="460" t="e" cm="1">
        <f t="array" aca="1" ref="L276" ca="1">_xlfn.IFS(AND($E276&lt;&gt;"",$M276="Pending",$K276="CTA"),TODAY()-$G276,AND($E276&lt;&gt;"",$M276="Pending",$K276="AUR"),TODAY()-$H276,AND($E276&lt;&gt;"",$M276="Pending",$K276="STT"),TODAY()-$I276,OR(K276="Closed",K276=""),"")</f>
        <v>#N/A</v>
      </c>
      <c r="M276" s="461">
        <f>VLOOKUP(C276,EL!$E$4:$AC$622,9,0)</f>
        <v>0</v>
      </c>
      <c r="N276" s="461" t="str">
        <f t="shared" si="10"/>
        <v/>
      </c>
      <c r="O276" s="739" t="str">
        <f>EL!O190</f>
        <v>GC</v>
      </c>
      <c r="P276" s="746" t="str">
        <v>NO</v>
      </c>
    </row>
    <row r="277" spans="1:16" s="385" customFormat="1" ht="27" hidden="1" customHeight="1">
      <c r="A277" s="399">
        <f t="shared" si="11"/>
        <v>184</v>
      </c>
      <c r="B277" s="477" t="s">
        <v>52</v>
      </c>
      <c r="C277" s="646" t="s">
        <v>1001</v>
      </c>
      <c r="D277" s="456" t="str">
        <f>_xlfn.XLOOKUP(C277,EL!$E$4:$E$390,EL!$D$4:$D$390)</f>
        <v>Level 4 - Power ,Voice And Data Outlet System Layout</v>
      </c>
      <c r="E277" s="597" t="str">
        <f>IF(VLOOKUP(C277,EL!$E$4:$AC$505,7,0)="","",VLOOKUP(C277,EL!$E$4:$AC$1004,7,0))</f>
        <v/>
      </c>
      <c r="F277" s="462"/>
      <c r="G277" s="458" t="str">
        <f>IF(VLOOKUP(C277,EL!$E$4:$AC$514,5,0)="","",VLOOKUP(C277,EL!$E$4:$AC$514,5,0))</f>
        <v/>
      </c>
      <c r="H277" s="459" t="str">
        <f>IF(ISNA(MATCH($C277,EL!$E$4:$E$1012,0)),"",
IF($E277=0,IF(INDEX(EL!$R$4:$R$1012,MATCH($C277,EL!$E$4:$E$1012,0))="","",INDEX(EL!$R$4:$R$1012,MATCH($C277,EL!$E$4:$E$1012,0))),
IF($E277=1,IF(INDEX(EL!$W$4:$W$1012,MATCH($C277,EL!$E$4:$E$1012,0))="","",INDEX(EL!$W$4:$W$1012,MATCH($C277,EL!$E$4:$E$1012,0))),
IF($E277=2,IF(INDEX(EL!$AB$4:$AB$1012,MATCH($C277,EL!$E$4:$E$1012,0))="","",INDEX(EL!$AB$4:$AB$1012,MATCH($C277,EL!$E$4:$E$1012,0))),
IF($E277=3,IF(INDEX(EL!$AG$4:$AG$1012,MATCH($C277,EL!$E$4:$E$1012,0))="","",INDEX(EL!$AG$4:$AG$1012,MATCH($C277,EL!$E$4:$E$1012,0))),
IF($E277=4,IF(INDEX(EL!$AN$4:$AN$1012,MATCH($C277,EL!$E$4:$E$1012,0))="","",INDEX(EL!$AN$4:$AN$1012,MATCH($C277,EL!$E$4:$E$1012,0))),
IF($E277=5,IF(INDEX(EL!$AS$4:$AS$1012,MATCH($C277,EL!$E$4:$E$1012,0))="","",INDEX(EL!$AS$4:$AS$1012,MATCH($C277,EL!$E$4:$E$1012,0))),"")))))))</f>
        <v/>
      </c>
      <c r="I277" s="459" t="str">
        <f>IF(ISNA(MATCH($C277,EL!$E$4:$E$1012,0)),"",
IF($E277=0,IF(INDEX(EL!$S$4:$S$1012,MATCH($C277,EL!$E$4:$E$1012,0))="","",INDEX(EL!$S$4:$S$1012,MATCH($C277,EL!$E$4:$E$1012,0))),
IF($E277=1,IF(INDEX(EL!$X$4:$X$1012,MATCH($C277,EL!$E$4:$E$1012,0))="","",INDEX(EL!$X$4:$X$1012,MATCH($C277,EL!$E$4:$E$1012,0))),
IF($E277=2,IF(INDEX(EL!$AC$4:$AC$1012,MATCH($C277,EL!$E$4:$E$1012,0))="","",INDEX(EL!$AC$4:$AC$1012,MATCH($C277,EL!$E$4:$E$1012,0))),
IF($E277=3,IF(INDEX(EL!$AH$4:$AH$1012,MATCH($C277,EL!$E$4:$E$1012,0))="","",INDEX(EL!$AH$4:$AH$1012,MATCH($C277,EL!$E$4:$E$1012,0))),
IF($E277=4,IF(INDEX(EL!$AM$4:$AM$1012,MATCH($C277,EL!$E$4:$E$1012,0))="","",INDEX(EL!$AM$4:$AM$1012,MATCH($C277,EL!$E$4:$E$1012,0))),
IF($E277=5,IF(INDEX(EL!$AR$4:$AR$1012,MATCH($C277,EL!$E$4:$E$1012,0))="","",INDEX(EL!$AR$4:$AR$1012,MATCH($C277,EL!$E$4:$E$1012,0))),"")))))))</f>
        <v/>
      </c>
      <c r="J277" s="459" t="str">
        <f>IF(ISNA(MATCH($C277,EL!$E$4:$E$1012,0)),"",
IF($E277=0,IF(INDEX(EL!$T$4:$T$1012,MATCH($C277,EL!$E$4:$E$1012,0))="","",INDEX(EL!$T$4:$T$1012,MATCH($C277,EL!$E$4:$E$1012,0))),
IF($E277=1,IF(INDEX(EL!$Y$4:$Y$1012,MATCH($C277,EL!$E$4:$E$1012,0))="","",INDEX(EL!$Y$4:$Y$1012,MATCH($C277,EL!$E$4:$E$1012,0))),
IF($E277=2,IF(INDEX(EL!$AD$4:$AD$1012,MATCH($C277,EL!$E$4:$E$1012,0))="","",INDEX(EL!$AD$4:$AD$1012,MATCH($C277,EL!$E$4:$E$1012,0))),
IF($E277=3,IF(INDEX(EL!$AI$4:$AI$1012,MATCH($C277,EL!$E$4:$E$1012,0))="","",INDEX(EL!$AI$4:$AI$1012,MATCH($C277,EL!$E$4:$E$1012,0))),
IF($E277=4,IF(INDEX(EL!$AN$4:$AN$1012,MATCH($C277,EL!$E$4:$E$1012,0))="","",INDEX(EL!$AN$4:$AN$1012,MATCH($C277,EL!$E$4:$E$1012,0))),
IF($E277=5,IF(INDEX(EL!$AS$4:$AS$1012,MATCH($C277,EL!$E$4:$E$1012,0))="","",INDEX(EL!$AS$4:$AS$1012,MATCH($C277,EL!$E$4:$E$1012,0))),"")))))))</f>
        <v/>
      </c>
      <c r="K277" s="459">
        <f>EL!L191</f>
        <v>0</v>
      </c>
      <c r="L277" s="460" t="e" cm="1">
        <f t="array" aca="1" ref="L277" ca="1">_xlfn.IFS(AND($E277&lt;&gt;"",$M277="Pending",$K277="CTA"),TODAY()-$G277,AND($E277&lt;&gt;"",$M277="Pending",$K277="AUR"),TODAY()-$H277,AND($E277&lt;&gt;"",$M277="Pending",$K277="STT"),TODAY()-$I277,OR(K277="Closed",K277=""),"")</f>
        <v>#N/A</v>
      </c>
      <c r="M277" s="461">
        <f>VLOOKUP(C277,EL!$E$4:$AC$622,9,0)</f>
        <v>0</v>
      </c>
      <c r="N277" s="461" t="str">
        <f t="shared" si="10"/>
        <v/>
      </c>
      <c r="O277" s="739" t="str">
        <f>EL!O191</f>
        <v>GC</v>
      </c>
      <c r="P277" s="746" t="str">
        <v>NO</v>
      </c>
    </row>
    <row r="278" spans="1:16" s="385" customFormat="1" ht="27" hidden="1" customHeight="1">
      <c r="A278" s="399">
        <f t="shared" si="11"/>
        <v>185</v>
      </c>
      <c r="B278" s="477" t="s">
        <v>52</v>
      </c>
      <c r="C278" s="646" t="s">
        <v>1004</v>
      </c>
      <c r="D278" s="456" t="str">
        <f>_xlfn.XLOOKUP(C278,EL!$E$4:$E$390,EL!$D$4:$D$390)</f>
        <v>Level 5 - Power ,Voice And Data Outlet System Layout</v>
      </c>
      <c r="E278" s="597" t="str">
        <f>IF(VLOOKUP(C278,EL!$E$4:$AC$505,7,0)="","",VLOOKUP(C278,EL!$E$4:$AC$1004,7,0))</f>
        <v/>
      </c>
      <c r="F278" s="462"/>
      <c r="G278" s="458" t="str">
        <f>IF(VLOOKUP(C278,EL!$E$4:$AC$514,5,0)="","",VLOOKUP(C278,EL!$E$4:$AC$514,5,0))</f>
        <v/>
      </c>
      <c r="H278" s="459" t="str">
        <f>IF(ISNA(MATCH($C278,EL!$E$4:$E$1012,0)),"",
IF($E278=0,IF(INDEX(EL!$R$4:$R$1012,MATCH($C278,EL!$E$4:$E$1012,0))="","",INDEX(EL!$R$4:$R$1012,MATCH($C278,EL!$E$4:$E$1012,0))),
IF($E278=1,IF(INDEX(EL!$W$4:$W$1012,MATCH($C278,EL!$E$4:$E$1012,0))="","",INDEX(EL!$W$4:$W$1012,MATCH($C278,EL!$E$4:$E$1012,0))),
IF($E278=2,IF(INDEX(EL!$AB$4:$AB$1012,MATCH($C278,EL!$E$4:$E$1012,0))="","",INDEX(EL!$AB$4:$AB$1012,MATCH($C278,EL!$E$4:$E$1012,0))),
IF($E278=3,IF(INDEX(EL!$AG$4:$AG$1012,MATCH($C278,EL!$E$4:$E$1012,0))="","",INDEX(EL!$AG$4:$AG$1012,MATCH($C278,EL!$E$4:$E$1012,0))),
IF($E278=4,IF(INDEX(EL!$AN$4:$AN$1012,MATCH($C278,EL!$E$4:$E$1012,0))="","",INDEX(EL!$AN$4:$AN$1012,MATCH($C278,EL!$E$4:$E$1012,0))),
IF($E278=5,IF(INDEX(EL!$AS$4:$AS$1012,MATCH($C278,EL!$E$4:$E$1012,0))="","",INDEX(EL!$AS$4:$AS$1012,MATCH($C278,EL!$E$4:$E$1012,0))),"")))))))</f>
        <v/>
      </c>
      <c r="I278" s="459" t="str">
        <f>IF(ISNA(MATCH($C278,EL!$E$4:$E$1012,0)),"",
IF($E278=0,IF(INDEX(EL!$S$4:$S$1012,MATCH($C278,EL!$E$4:$E$1012,0))="","",INDEX(EL!$S$4:$S$1012,MATCH($C278,EL!$E$4:$E$1012,0))),
IF($E278=1,IF(INDEX(EL!$X$4:$X$1012,MATCH($C278,EL!$E$4:$E$1012,0))="","",INDEX(EL!$X$4:$X$1012,MATCH($C278,EL!$E$4:$E$1012,0))),
IF($E278=2,IF(INDEX(EL!$AC$4:$AC$1012,MATCH($C278,EL!$E$4:$E$1012,0))="","",INDEX(EL!$AC$4:$AC$1012,MATCH($C278,EL!$E$4:$E$1012,0))),
IF($E278=3,IF(INDEX(EL!$AH$4:$AH$1012,MATCH($C278,EL!$E$4:$E$1012,0))="","",INDEX(EL!$AH$4:$AH$1012,MATCH($C278,EL!$E$4:$E$1012,0))),
IF($E278=4,IF(INDEX(EL!$AM$4:$AM$1012,MATCH($C278,EL!$E$4:$E$1012,0))="","",INDEX(EL!$AM$4:$AM$1012,MATCH($C278,EL!$E$4:$E$1012,0))),
IF($E278=5,IF(INDEX(EL!$AR$4:$AR$1012,MATCH($C278,EL!$E$4:$E$1012,0))="","",INDEX(EL!$AR$4:$AR$1012,MATCH($C278,EL!$E$4:$E$1012,0))),"")))))))</f>
        <v/>
      </c>
      <c r="J278" s="459" t="str">
        <f>IF(ISNA(MATCH($C278,EL!$E$4:$E$1012,0)),"",
IF($E278=0,IF(INDEX(EL!$T$4:$T$1012,MATCH($C278,EL!$E$4:$E$1012,0))="","",INDEX(EL!$T$4:$T$1012,MATCH($C278,EL!$E$4:$E$1012,0))),
IF($E278=1,IF(INDEX(EL!$Y$4:$Y$1012,MATCH($C278,EL!$E$4:$E$1012,0))="","",INDEX(EL!$Y$4:$Y$1012,MATCH($C278,EL!$E$4:$E$1012,0))),
IF($E278=2,IF(INDEX(EL!$AD$4:$AD$1012,MATCH($C278,EL!$E$4:$E$1012,0))="","",INDEX(EL!$AD$4:$AD$1012,MATCH($C278,EL!$E$4:$E$1012,0))),
IF($E278=3,IF(INDEX(EL!$AI$4:$AI$1012,MATCH($C278,EL!$E$4:$E$1012,0))="","",INDEX(EL!$AI$4:$AI$1012,MATCH($C278,EL!$E$4:$E$1012,0))),
IF($E278=4,IF(INDEX(EL!$AN$4:$AN$1012,MATCH($C278,EL!$E$4:$E$1012,0))="","",INDEX(EL!$AN$4:$AN$1012,MATCH($C278,EL!$E$4:$E$1012,0))),
IF($E278=5,IF(INDEX(EL!$AS$4:$AS$1012,MATCH($C278,EL!$E$4:$E$1012,0))="","",INDEX(EL!$AS$4:$AS$1012,MATCH($C278,EL!$E$4:$E$1012,0))),"")))))))</f>
        <v/>
      </c>
      <c r="K278" s="459">
        <f>EL!L192</f>
        <v>0</v>
      </c>
      <c r="L278" s="460" t="e" cm="1">
        <f t="array" aca="1" ref="L278" ca="1">_xlfn.IFS(AND($E278&lt;&gt;"",$M278="Pending",$K278="CTA"),TODAY()-$G278,AND($E278&lt;&gt;"",$M278="Pending",$K278="AUR"),TODAY()-$H278,AND($E278&lt;&gt;"",$M278="Pending",$K278="STT"),TODAY()-$I278,OR(K278="Closed",K278=""),"")</f>
        <v>#N/A</v>
      </c>
      <c r="M278" s="461">
        <f>VLOOKUP(C278,EL!$E$4:$AC$622,9,0)</f>
        <v>0</v>
      </c>
      <c r="N278" s="461" t="str">
        <f t="shared" si="10"/>
        <v/>
      </c>
      <c r="O278" s="739" t="str">
        <f>EL!O192</f>
        <v>GC</v>
      </c>
      <c r="P278" s="746" t="str">
        <v>NO</v>
      </c>
    </row>
    <row r="279" spans="1:16" s="385" customFormat="1" ht="27" hidden="1" customHeight="1">
      <c r="A279" s="399">
        <f t="shared" si="11"/>
        <v>186</v>
      </c>
      <c r="B279" s="477" t="s">
        <v>52</v>
      </c>
      <c r="C279" s="646" t="s">
        <v>1007</v>
      </c>
      <c r="D279" s="456" t="str">
        <f>_xlfn.XLOOKUP(C279,EL!$E$4:$E$390,EL!$D$4:$D$390)</f>
        <v xml:space="preserve">Level 6 - Power And Receptacle Outlet System Layout </v>
      </c>
      <c r="E279" s="597" t="str">
        <f>IF(VLOOKUP(C279,EL!$E$4:$AC$505,7,0)="","",VLOOKUP(C279,EL!$E$4:$AC$1004,7,0))</f>
        <v/>
      </c>
      <c r="F279" s="462"/>
      <c r="G279" s="458" t="str">
        <f>IF(VLOOKUP(C279,EL!$E$4:$AC$514,5,0)="","",VLOOKUP(C279,EL!$E$4:$AC$514,5,0))</f>
        <v/>
      </c>
      <c r="H279" s="459" t="str">
        <f>IF(ISNA(MATCH($C279,EL!$E$4:$E$1012,0)),"",
IF($E279=0,IF(INDEX(EL!$R$4:$R$1012,MATCH($C279,EL!$E$4:$E$1012,0))="","",INDEX(EL!$R$4:$R$1012,MATCH($C279,EL!$E$4:$E$1012,0))),
IF($E279=1,IF(INDEX(EL!$W$4:$W$1012,MATCH($C279,EL!$E$4:$E$1012,0))="","",INDEX(EL!$W$4:$W$1012,MATCH($C279,EL!$E$4:$E$1012,0))),
IF($E279=2,IF(INDEX(EL!$AB$4:$AB$1012,MATCH($C279,EL!$E$4:$E$1012,0))="","",INDEX(EL!$AB$4:$AB$1012,MATCH($C279,EL!$E$4:$E$1012,0))),
IF($E279=3,IF(INDEX(EL!$AG$4:$AG$1012,MATCH($C279,EL!$E$4:$E$1012,0))="","",INDEX(EL!$AG$4:$AG$1012,MATCH($C279,EL!$E$4:$E$1012,0))),
IF($E279=4,IF(INDEX(EL!$AN$4:$AN$1012,MATCH($C279,EL!$E$4:$E$1012,0))="","",INDEX(EL!$AN$4:$AN$1012,MATCH($C279,EL!$E$4:$E$1012,0))),
IF($E279=5,IF(INDEX(EL!$AS$4:$AS$1012,MATCH($C279,EL!$E$4:$E$1012,0))="","",INDEX(EL!$AS$4:$AS$1012,MATCH($C279,EL!$E$4:$E$1012,0))),"")))))))</f>
        <v/>
      </c>
      <c r="I279" s="459" t="str">
        <f>IF(ISNA(MATCH($C279,EL!$E$4:$E$1012,0)),"",
IF($E279=0,IF(INDEX(EL!$S$4:$S$1012,MATCH($C279,EL!$E$4:$E$1012,0))="","",INDEX(EL!$S$4:$S$1012,MATCH($C279,EL!$E$4:$E$1012,0))),
IF($E279=1,IF(INDEX(EL!$X$4:$X$1012,MATCH($C279,EL!$E$4:$E$1012,0))="","",INDEX(EL!$X$4:$X$1012,MATCH($C279,EL!$E$4:$E$1012,0))),
IF($E279=2,IF(INDEX(EL!$AC$4:$AC$1012,MATCH($C279,EL!$E$4:$E$1012,0))="","",INDEX(EL!$AC$4:$AC$1012,MATCH($C279,EL!$E$4:$E$1012,0))),
IF($E279=3,IF(INDEX(EL!$AH$4:$AH$1012,MATCH($C279,EL!$E$4:$E$1012,0))="","",INDEX(EL!$AH$4:$AH$1012,MATCH($C279,EL!$E$4:$E$1012,0))),
IF($E279=4,IF(INDEX(EL!$AM$4:$AM$1012,MATCH($C279,EL!$E$4:$E$1012,0))="","",INDEX(EL!$AM$4:$AM$1012,MATCH($C279,EL!$E$4:$E$1012,0))),
IF($E279=5,IF(INDEX(EL!$AR$4:$AR$1012,MATCH($C279,EL!$E$4:$E$1012,0))="","",INDEX(EL!$AR$4:$AR$1012,MATCH($C279,EL!$E$4:$E$1012,0))),"")))))))</f>
        <v/>
      </c>
      <c r="J279" s="459" t="str">
        <f>IF(ISNA(MATCH($C279,EL!$E$4:$E$1012,0)),"",
IF($E279=0,IF(INDEX(EL!$T$4:$T$1012,MATCH($C279,EL!$E$4:$E$1012,0))="","",INDEX(EL!$T$4:$T$1012,MATCH($C279,EL!$E$4:$E$1012,0))),
IF($E279=1,IF(INDEX(EL!$Y$4:$Y$1012,MATCH($C279,EL!$E$4:$E$1012,0))="","",INDEX(EL!$Y$4:$Y$1012,MATCH($C279,EL!$E$4:$E$1012,0))),
IF($E279=2,IF(INDEX(EL!$AD$4:$AD$1012,MATCH($C279,EL!$E$4:$E$1012,0))="","",INDEX(EL!$AD$4:$AD$1012,MATCH($C279,EL!$E$4:$E$1012,0))),
IF($E279=3,IF(INDEX(EL!$AI$4:$AI$1012,MATCH($C279,EL!$E$4:$E$1012,0))="","",INDEX(EL!$AI$4:$AI$1012,MATCH($C279,EL!$E$4:$E$1012,0))),
IF($E279=4,IF(INDEX(EL!$AN$4:$AN$1012,MATCH($C279,EL!$E$4:$E$1012,0))="","",INDEX(EL!$AN$4:$AN$1012,MATCH($C279,EL!$E$4:$E$1012,0))),
IF($E279=5,IF(INDEX(EL!$AS$4:$AS$1012,MATCH($C279,EL!$E$4:$E$1012,0))="","",INDEX(EL!$AS$4:$AS$1012,MATCH($C279,EL!$E$4:$E$1012,0))),"")))))))</f>
        <v/>
      </c>
      <c r="K279" s="459">
        <f>EL!L193</f>
        <v>0</v>
      </c>
      <c r="L279" s="460" t="e" cm="1">
        <f t="array" aca="1" ref="L279" ca="1">_xlfn.IFS(AND($E279&lt;&gt;"",$M279="Pending",$K279="CTA"),TODAY()-$G279,AND($E279&lt;&gt;"",$M279="Pending",$K279="AUR"),TODAY()-$H279,AND($E279&lt;&gt;"",$M279="Pending",$K279="STT"),TODAY()-$I279,OR(K279="Closed",K279=""),"")</f>
        <v>#N/A</v>
      </c>
      <c r="M279" s="461">
        <f>VLOOKUP(C279,EL!$E$4:$AC$622,9,0)</f>
        <v>0</v>
      </c>
      <c r="N279" s="461" t="str">
        <f t="shared" si="10"/>
        <v/>
      </c>
      <c r="O279" s="739" t="str">
        <f>EL!O193</f>
        <v>GC</v>
      </c>
      <c r="P279" s="746" t="str">
        <v>NO</v>
      </c>
    </row>
    <row r="280" spans="1:16" s="385" customFormat="1" ht="27" hidden="1" customHeight="1">
      <c r="A280" s="399">
        <f t="shared" si="11"/>
        <v>187</v>
      </c>
      <c r="B280" s="477" t="s">
        <v>52</v>
      </c>
      <c r="C280" s="646" t="s">
        <v>1010</v>
      </c>
      <c r="D280" s="456" t="str">
        <f>_xlfn.XLOOKUP(C280,EL!$E$4:$E$390,EL!$D$4:$D$390)</f>
        <v>Level 6 - Power Supply Mech System Layout</v>
      </c>
      <c r="E280" s="597" t="str">
        <f>IF(VLOOKUP(C280,EL!$E$4:$AC$505,7,0)="","",VLOOKUP(C280,EL!$E$4:$AC$1004,7,0))</f>
        <v/>
      </c>
      <c r="F280" s="462"/>
      <c r="G280" s="458" t="str">
        <f>IF(VLOOKUP(C280,EL!$E$4:$AC$514,5,0)="","",VLOOKUP(C280,EL!$E$4:$AC$514,5,0))</f>
        <v/>
      </c>
      <c r="H280" s="459" t="str">
        <f>IF(ISNA(MATCH($C280,EL!$E$4:$E$1012,0)),"",
IF($E280=0,IF(INDEX(EL!$R$4:$R$1012,MATCH($C280,EL!$E$4:$E$1012,0))="","",INDEX(EL!$R$4:$R$1012,MATCH($C280,EL!$E$4:$E$1012,0))),
IF($E280=1,IF(INDEX(EL!$W$4:$W$1012,MATCH($C280,EL!$E$4:$E$1012,0))="","",INDEX(EL!$W$4:$W$1012,MATCH($C280,EL!$E$4:$E$1012,0))),
IF($E280=2,IF(INDEX(EL!$AB$4:$AB$1012,MATCH($C280,EL!$E$4:$E$1012,0))="","",INDEX(EL!$AB$4:$AB$1012,MATCH($C280,EL!$E$4:$E$1012,0))),
IF($E280=3,IF(INDEX(EL!$AG$4:$AG$1012,MATCH($C280,EL!$E$4:$E$1012,0))="","",INDEX(EL!$AG$4:$AG$1012,MATCH($C280,EL!$E$4:$E$1012,0))),
IF($E280=4,IF(INDEX(EL!$AN$4:$AN$1012,MATCH($C280,EL!$E$4:$E$1012,0))="","",INDEX(EL!$AN$4:$AN$1012,MATCH($C280,EL!$E$4:$E$1012,0))),
IF($E280=5,IF(INDEX(EL!$AS$4:$AS$1012,MATCH($C280,EL!$E$4:$E$1012,0))="","",INDEX(EL!$AS$4:$AS$1012,MATCH($C280,EL!$E$4:$E$1012,0))),"")))))))</f>
        <v/>
      </c>
      <c r="I280" s="459" t="str">
        <f>IF(ISNA(MATCH($C280,EL!$E$4:$E$1012,0)),"",
IF($E280=0,IF(INDEX(EL!$S$4:$S$1012,MATCH($C280,EL!$E$4:$E$1012,0))="","",INDEX(EL!$S$4:$S$1012,MATCH($C280,EL!$E$4:$E$1012,0))),
IF($E280=1,IF(INDEX(EL!$X$4:$X$1012,MATCH($C280,EL!$E$4:$E$1012,0))="","",INDEX(EL!$X$4:$X$1012,MATCH($C280,EL!$E$4:$E$1012,0))),
IF($E280=2,IF(INDEX(EL!$AC$4:$AC$1012,MATCH($C280,EL!$E$4:$E$1012,0))="","",INDEX(EL!$AC$4:$AC$1012,MATCH($C280,EL!$E$4:$E$1012,0))),
IF($E280=3,IF(INDEX(EL!$AH$4:$AH$1012,MATCH($C280,EL!$E$4:$E$1012,0))="","",INDEX(EL!$AH$4:$AH$1012,MATCH($C280,EL!$E$4:$E$1012,0))),
IF($E280=4,IF(INDEX(EL!$AM$4:$AM$1012,MATCH($C280,EL!$E$4:$E$1012,0))="","",INDEX(EL!$AM$4:$AM$1012,MATCH($C280,EL!$E$4:$E$1012,0))),
IF($E280=5,IF(INDEX(EL!$AR$4:$AR$1012,MATCH($C280,EL!$E$4:$E$1012,0))="","",INDEX(EL!$AR$4:$AR$1012,MATCH($C280,EL!$E$4:$E$1012,0))),"")))))))</f>
        <v/>
      </c>
      <c r="J280" s="459" t="str">
        <f>IF(ISNA(MATCH($C280,EL!$E$4:$E$1012,0)),"",
IF($E280=0,IF(INDEX(EL!$T$4:$T$1012,MATCH($C280,EL!$E$4:$E$1012,0))="","",INDEX(EL!$T$4:$T$1012,MATCH($C280,EL!$E$4:$E$1012,0))),
IF($E280=1,IF(INDEX(EL!$Y$4:$Y$1012,MATCH($C280,EL!$E$4:$E$1012,0))="","",INDEX(EL!$Y$4:$Y$1012,MATCH($C280,EL!$E$4:$E$1012,0))),
IF($E280=2,IF(INDEX(EL!$AD$4:$AD$1012,MATCH($C280,EL!$E$4:$E$1012,0))="","",INDEX(EL!$AD$4:$AD$1012,MATCH($C280,EL!$E$4:$E$1012,0))),
IF($E280=3,IF(INDEX(EL!$AI$4:$AI$1012,MATCH($C280,EL!$E$4:$E$1012,0))="","",INDEX(EL!$AI$4:$AI$1012,MATCH($C280,EL!$E$4:$E$1012,0))),
IF($E280=4,IF(INDEX(EL!$AN$4:$AN$1012,MATCH($C280,EL!$E$4:$E$1012,0))="","",INDEX(EL!$AN$4:$AN$1012,MATCH($C280,EL!$E$4:$E$1012,0))),
IF($E280=5,IF(INDEX(EL!$AS$4:$AS$1012,MATCH($C280,EL!$E$4:$E$1012,0))="","",INDEX(EL!$AS$4:$AS$1012,MATCH($C280,EL!$E$4:$E$1012,0))),"")))))))</f>
        <v/>
      </c>
      <c r="K280" s="459">
        <f>EL!L194</f>
        <v>0</v>
      </c>
      <c r="L280" s="460" t="e" cm="1">
        <f t="array" aca="1" ref="L280" ca="1">_xlfn.IFS(AND($E280&lt;&gt;"",$M280="Pending",$K280="CTA"),TODAY()-$G280,AND($E280&lt;&gt;"",$M280="Pending",$K280="AUR"),TODAY()-$H280,AND($E280&lt;&gt;"",$M280="Pending",$K280="STT"),TODAY()-$I280,OR(K280="Closed",K280=""),"")</f>
        <v>#N/A</v>
      </c>
      <c r="M280" s="461">
        <f>VLOOKUP(C280,EL!$E$4:$AC$622,9,0)</f>
        <v>0</v>
      </c>
      <c r="N280" s="461" t="str">
        <f t="shared" si="10"/>
        <v/>
      </c>
      <c r="O280" s="739" t="str">
        <f>EL!O194</f>
        <v>GC</v>
      </c>
      <c r="P280" s="746" t="str">
        <v>NO</v>
      </c>
    </row>
    <row r="281" spans="1:16" s="385" customFormat="1" ht="27" hidden="1" customHeight="1">
      <c r="A281" s="399">
        <f t="shared" si="11"/>
        <v>188</v>
      </c>
      <c r="B281" s="477" t="s">
        <v>52</v>
      </c>
      <c r="C281" s="646" t="s">
        <v>1013</v>
      </c>
      <c r="D281" s="456" t="str">
        <f>_xlfn.XLOOKUP(C281,EL!$E$4:$E$390,EL!$D$4:$D$390)</f>
        <v>Level 6 - Power Supply Mcp System Layout</v>
      </c>
      <c r="E281" s="597" t="str">
        <f>IF(VLOOKUP(C281,EL!$E$4:$AC$505,7,0)="","",VLOOKUP(C281,EL!$E$4:$AC$1004,7,0))</f>
        <v/>
      </c>
      <c r="F281" s="462"/>
      <c r="G281" s="458" t="str">
        <f>IF(VLOOKUP(C281,EL!$E$4:$AC$514,5,0)="","",VLOOKUP(C281,EL!$E$4:$AC$514,5,0))</f>
        <v/>
      </c>
      <c r="H281" s="459" t="str">
        <f>IF(ISNA(MATCH($C281,EL!$E$4:$E$1012,0)),"",
IF($E281=0,IF(INDEX(EL!$R$4:$R$1012,MATCH($C281,EL!$E$4:$E$1012,0))="","",INDEX(EL!$R$4:$R$1012,MATCH($C281,EL!$E$4:$E$1012,0))),
IF($E281=1,IF(INDEX(EL!$W$4:$W$1012,MATCH($C281,EL!$E$4:$E$1012,0))="","",INDEX(EL!$W$4:$W$1012,MATCH($C281,EL!$E$4:$E$1012,0))),
IF($E281=2,IF(INDEX(EL!$AB$4:$AB$1012,MATCH($C281,EL!$E$4:$E$1012,0))="","",INDEX(EL!$AB$4:$AB$1012,MATCH($C281,EL!$E$4:$E$1012,0))),
IF($E281=3,IF(INDEX(EL!$AG$4:$AG$1012,MATCH($C281,EL!$E$4:$E$1012,0))="","",INDEX(EL!$AG$4:$AG$1012,MATCH($C281,EL!$E$4:$E$1012,0))),
IF($E281=4,IF(INDEX(EL!$AN$4:$AN$1012,MATCH($C281,EL!$E$4:$E$1012,0))="","",INDEX(EL!$AN$4:$AN$1012,MATCH($C281,EL!$E$4:$E$1012,0))),
IF($E281=5,IF(INDEX(EL!$AS$4:$AS$1012,MATCH($C281,EL!$E$4:$E$1012,0))="","",INDEX(EL!$AS$4:$AS$1012,MATCH($C281,EL!$E$4:$E$1012,0))),"")))))))</f>
        <v/>
      </c>
      <c r="I281" s="459" t="str">
        <f>IF(ISNA(MATCH($C281,EL!$E$4:$E$1012,0)),"",
IF($E281=0,IF(INDEX(EL!$S$4:$S$1012,MATCH($C281,EL!$E$4:$E$1012,0))="","",INDEX(EL!$S$4:$S$1012,MATCH($C281,EL!$E$4:$E$1012,0))),
IF($E281=1,IF(INDEX(EL!$X$4:$X$1012,MATCH($C281,EL!$E$4:$E$1012,0))="","",INDEX(EL!$X$4:$X$1012,MATCH($C281,EL!$E$4:$E$1012,0))),
IF($E281=2,IF(INDEX(EL!$AC$4:$AC$1012,MATCH($C281,EL!$E$4:$E$1012,0))="","",INDEX(EL!$AC$4:$AC$1012,MATCH($C281,EL!$E$4:$E$1012,0))),
IF($E281=3,IF(INDEX(EL!$AH$4:$AH$1012,MATCH($C281,EL!$E$4:$E$1012,0))="","",INDEX(EL!$AH$4:$AH$1012,MATCH($C281,EL!$E$4:$E$1012,0))),
IF($E281=4,IF(INDEX(EL!$AM$4:$AM$1012,MATCH($C281,EL!$E$4:$E$1012,0))="","",INDEX(EL!$AM$4:$AM$1012,MATCH($C281,EL!$E$4:$E$1012,0))),
IF($E281=5,IF(INDEX(EL!$AR$4:$AR$1012,MATCH($C281,EL!$E$4:$E$1012,0))="","",INDEX(EL!$AR$4:$AR$1012,MATCH($C281,EL!$E$4:$E$1012,0))),"")))))))</f>
        <v/>
      </c>
      <c r="J281" s="459" t="str">
        <f>IF(ISNA(MATCH($C281,EL!$E$4:$E$1012,0)),"",
IF($E281=0,IF(INDEX(EL!$T$4:$T$1012,MATCH($C281,EL!$E$4:$E$1012,0))="","",INDEX(EL!$T$4:$T$1012,MATCH($C281,EL!$E$4:$E$1012,0))),
IF($E281=1,IF(INDEX(EL!$Y$4:$Y$1012,MATCH($C281,EL!$E$4:$E$1012,0))="","",INDEX(EL!$Y$4:$Y$1012,MATCH($C281,EL!$E$4:$E$1012,0))),
IF($E281=2,IF(INDEX(EL!$AD$4:$AD$1012,MATCH($C281,EL!$E$4:$E$1012,0))="","",INDEX(EL!$AD$4:$AD$1012,MATCH($C281,EL!$E$4:$E$1012,0))),
IF($E281=3,IF(INDEX(EL!$AI$4:$AI$1012,MATCH($C281,EL!$E$4:$E$1012,0))="","",INDEX(EL!$AI$4:$AI$1012,MATCH($C281,EL!$E$4:$E$1012,0))),
IF($E281=4,IF(INDEX(EL!$AN$4:$AN$1012,MATCH($C281,EL!$E$4:$E$1012,0))="","",INDEX(EL!$AN$4:$AN$1012,MATCH($C281,EL!$E$4:$E$1012,0))),
IF($E281=5,IF(INDEX(EL!$AS$4:$AS$1012,MATCH($C281,EL!$E$4:$E$1012,0))="","",INDEX(EL!$AS$4:$AS$1012,MATCH($C281,EL!$E$4:$E$1012,0))),"")))))))</f>
        <v/>
      </c>
      <c r="K281" s="459">
        <f>EL!L195</f>
        <v>0</v>
      </c>
      <c r="L281" s="460" t="e" cm="1">
        <f t="array" aca="1" ref="L281" ca="1">_xlfn.IFS(AND($E281&lt;&gt;"",$M281="Pending",$K281="CTA"),TODAY()-$G281,AND($E281&lt;&gt;"",$M281="Pending",$K281="AUR"),TODAY()-$H281,AND($E281&lt;&gt;"",$M281="Pending",$K281="STT"),TODAY()-$I281,OR(K281="Closed",K281=""),"")</f>
        <v>#N/A</v>
      </c>
      <c r="M281" s="461">
        <f>VLOOKUP(C281,EL!$E$4:$AC$622,9,0)</f>
        <v>0</v>
      </c>
      <c r="N281" s="461" t="str">
        <f t="shared" si="10"/>
        <v/>
      </c>
      <c r="O281" s="739" t="str">
        <f>EL!O195</f>
        <v>GC</v>
      </c>
      <c r="P281" s="746" t="str">
        <v>NO</v>
      </c>
    </row>
    <row r="282" spans="1:16" s="385" customFormat="1" ht="27" hidden="1" customHeight="1">
      <c r="A282" s="399">
        <f t="shared" si="11"/>
        <v>189</v>
      </c>
      <c r="B282" s="477" t="s">
        <v>52</v>
      </c>
      <c r="C282" s="646" t="s">
        <v>1016</v>
      </c>
      <c r="D282" s="456" t="str">
        <f>_xlfn.XLOOKUP(C282,EL!$E$4:$E$390,EL!$D$4:$D$390)</f>
        <v xml:space="preserve">Level 6 - Data Outlet System Layout </v>
      </c>
      <c r="E282" s="597" t="str">
        <f>IF(VLOOKUP(C282,EL!$E$4:$AC$505,7,0)="","",VLOOKUP(C282,EL!$E$4:$AC$1004,7,0))</f>
        <v/>
      </c>
      <c r="F282" s="462"/>
      <c r="G282" s="458" t="str">
        <f>IF(VLOOKUP(C282,EL!$E$4:$AC$514,5,0)="","",VLOOKUP(C282,EL!$E$4:$AC$514,5,0))</f>
        <v/>
      </c>
      <c r="H282" s="459" t="str">
        <f>IF(ISNA(MATCH($C282,EL!$E$4:$E$1012,0)),"",
IF($E282=0,IF(INDEX(EL!$R$4:$R$1012,MATCH($C282,EL!$E$4:$E$1012,0))="","",INDEX(EL!$R$4:$R$1012,MATCH($C282,EL!$E$4:$E$1012,0))),
IF($E282=1,IF(INDEX(EL!$W$4:$W$1012,MATCH($C282,EL!$E$4:$E$1012,0))="","",INDEX(EL!$W$4:$W$1012,MATCH($C282,EL!$E$4:$E$1012,0))),
IF($E282=2,IF(INDEX(EL!$AB$4:$AB$1012,MATCH($C282,EL!$E$4:$E$1012,0))="","",INDEX(EL!$AB$4:$AB$1012,MATCH($C282,EL!$E$4:$E$1012,0))),
IF($E282=3,IF(INDEX(EL!$AG$4:$AG$1012,MATCH($C282,EL!$E$4:$E$1012,0))="","",INDEX(EL!$AG$4:$AG$1012,MATCH($C282,EL!$E$4:$E$1012,0))),
IF($E282=4,IF(INDEX(EL!$AN$4:$AN$1012,MATCH($C282,EL!$E$4:$E$1012,0))="","",INDEX(EL!$AN$4:$AN$1012,MATCH($C282,EL!$E$4:$E$1012,0))),
IF($E282=5,IF(INDEX(EL!$AS$4:$AS$1012,MATCH($C282,EL!$E$4:$E$1012,0))="","",INDEX(EL!$AS$4:$AS$1012,MATCH($C282,EL!$E$4:$E$1012,0))),"")))))))</f>
        <v/>
      </c>
      <c r="I282" s="459" t="str">
        <f>IF(ISNA(MATCH($C282,EL!$E$4:$E$1012,0)),"",
IF($E282=0,IF(INDEX(EL!$S$4:$S$1012,MATCH($C282,EL!$E$4:$E$1012,0))="","",INDEX(EL!$S$4:$S$1012,MATCH($C282,EL!$E$4:$E$1012,0))),
IF($E282=1,IF(INDEX(EL!$X$4:$X$1012,MATCH($C282,EL!$E$4:$E$1012,0))="","",INDEX(EL!$X$4:$X$1012,MATCH($C282,EL!$E$4:$E$1012,0))),
IF($E282=2,IF(INDEX(EL!$AC$4:$AC$1012,MATCH($C282,EL!$E$4:$E$1012,0))="","",INDEX(EL!$AC$4:$AC$1012,MATCH($C282,EL!$E$4:$E$1012,0))),
IF($E282=3,IF(INDEX(EL!$AH$4:$AH$1012,MATCH($C282,EL!$E$4:$E$1012,0))="","",INDEX(EL!$AH$4:$AH$1012,MATCH($C282,EL!$E$4:$E$1012,0))),
IF($E282=4,IF(INDEX(EL!$AM$4:$AM$1012,MATCH($C282,EL!$E$4:$E$1012,0))="","",INDEX(EL!$AM$4:$AM$1012,MATCH($C282,EL!$E$4:$E$1012,0))),
IF($E282=5,IF(INDEX(EL!$AR$4:$AR$1012,MATCH($C282,EL!$E$4:$E$1012,0))="","",INDEX(EL!$AR$4:$AR$1012,MATCH($C282,EL!$E$4:$E$1012,0))),"")))))))</f>
        <v/>
      </c>
      <c r="J282" s="459" t="str">
        <f>IF(ISNA(MATCH($C282,EL!$E$4:$E$1012,0)),"",
IF($E282=0,IF(INDEX(EL!$T$4:$T$1012,MATCH($C282,EL!$E$4:$E$1012,0))="","",INDEX(EL!$T$4:$T$1012,MATCH($C282,EL!$E$4:$E$1012,0))),
IF($E282=1,IF(INDEX(EL!$Y$4:$Y$1012,MATCH($C282,EL!$E$4:$E$1012,0))="","",INDEX(EL!$Y$4:$Y$1012,MATCH($C282,EL!$E$4:$E$1012,0))),
IF($E282=2,IF(INDEX(EL!$AD$4:$AD$1012,MATCH($C282,EL!$E$4:$E$1012,0))="","",INDEX(EL!$AD$4:$AD$1012,MATCH($C282,EL!$E$4:$E$1012,0))),
IF($E282=3,IF(INDEX(EL!$AI$4:$AI$1012,MATCH($C282,EL!$E$4:$E$1012,0))="","",INDEX(EL!$AI$4:$AI$1012,MATCH($C282,EL!$E$4:$E$1012,0))),
IF($E282=4,IF(INDEX(EL!$AN$4:$AN$1012,MATCH($C282,EL!$E$4:$E$1012,0))="","",INDEX(EL!$AN$4:$AN$1012,MATCH($C282,EL!$E$4:$E$1012,0))),
IF($E282=5,IF(INDEX(EL!$AS$4:$AS$1012,MATCH($C282,EL!$E$4:$E$1012,0))="","",INDEX(EL!$AS$4:$AS$1012,MATCH($C282,EL!$E$4:$E$1012,0))),"")))))))</f>
        <v/>
      </c>
      <c r="K282" s="459">
        <f>EL!L196</f>
        <v>0</v>
      </c>
      <c r="L282" s="460" t="e" cm="1">
        <f t="array" aca="1" ref="L282" ca="1">_xlfn.IFS(AND($E282&lt;&gt;"",$M282="Pending",$K282="CTA"),TODAY()-$G282,AND($E282&lt;&gt;"",$M282="Pending",$K282="AUR"),TODAY()-$H282,AND($E282&lt;&gt;"",$M282="Pending",$K282="STT"),TODAY()-$I282,OR(K282="Closed",K282=""),"")</f>
        <v>#N/A</v>
      </c>
      <c r="M282" s="461">
        <f>VLOOKUP(C282,EL!$E$4:$AC$622,9,0)</f>
        <v>0</v>
      </c>
      <c r="N282" s="461" t="str">
        <f t="shared" si="10"/>
        <v/>
      </c>
      <c r="O282" s="739" t="str">
        <f>EL!O196</f>
        <v>GC</v>
      </c>
      <c r="P282" s="746" t="str">
        <v>NO</v>
      </c>
    </row>
    <row r="283" spans="1:16" s="385" customFormat="1" ht="27" hidden="1" customHeight="1">
      <c r="A283" s="399">
        <f t="shared" si="11"/>
        <v>190</v>
      </c>
      <c r="B283" s="477" t="s">
        <v>52</v>
      </c>
      <c r="C283" s="646" t="s">
        <v>1019</v>
      </c>
      <c r="D283" s="456" t="str">
        <f>_xlfn.XLOOKUP(C283,EL!$E$4:$E$390,EL!$D$4:$D$390)</f>
        <v>Level Roof - Power ,Voice And Data Outlet System Layout</v>
      </c>
      <c r="E283" s="597" t="str">
        <f>IF(VLOOKUP(C283,EL!$E$4:$AC$505,7,0)="","",VLOOKUP(C283,EL!$E$4:$AC$1004,7,0))</f>
        <v/>
      </c>
      <c r="F283" s="462"/>
      <c r="G283" s="458" t="str">
        <f>IF(VLOOKUP(C283,EL!$E$4:$AC$514,5,0)="","",VLOOKUP(C283,EL!$E$4:$AC$514,5,0))</f>
        <v/>
      </c>
      <c r="H283" s="459" t="str">
        <f>IF(ISNA(MATCH($C283,EL!$E$4:$E$1012,0)),"",
IF($E283=0,IF(INDEX(EL!$R$4:$R$1012,MATCH($C283,EL!$E$4:$E$1012,0))="","",INDEX(EL!$R$4:$R$1012,MATCH($C283,EL!$E$4:$E$1012,0))),
IF($E283=1,IF(INDEX(EL!$W$4:$W$1012,MATCH($C283,EL!$E$4:$E$1012,0))="","",INDEX(EL!$W$4:$W$1012,MATCH($C283,EL!$E$4:$E$1012,0))),
IF($E283=2,IF(INDEX(EL!$AB$4:$AB$1012,MATCH($C283,EL!$E$4:$E$1012,0))="","",INDEX(EL!$AB$4:$AB$1012,MATCH($C283,EL!$E$4:$E$1012,0))),
IF($E283=3,IF(INDEX(EL!$AG$4:$AG$1012,MATCH($C283,EL!$E$4:$E$1012,0))="","",INDEX(EL!$AG$4:$AG$1012,MATCH($C283,EL!$E$4:$E$1012,0))),
IF($E283=4,IF(INDEX(EL!$AN$4:$AN$1012,MATCH($C283,EL!$E$4:$E$1012,0))="","",INDEX(EL!$AN$4:$AN$1012,MATCH($C283,EL!$E$4:$E$1012,0))),
IF($E283=5,IF(INDEX(EL!$AS$4:$AS$1012,MATCH($C283,EL!$E$4:$E$1012,0))="","",INDEX(EL!$AS$4:$AS$1012,MATCH($C283,EL!$E$4:$E$1012,0))),"")))))))</f>
        <v/>
      </c>
      <c r="I283" s="459" t="str">
        <f>IF(ISNA(MATCH($C283,EL!$E$4:$E$1012,0)),"",
IF($E283=0,IF(INDEX(EL!$S$4:$S$1012,MATCH($C283,EL!$E$4:$E$1012,0))="","",INDEX(EL!$S$4:$S$1012,MATCH($C283,EL!$E$4:$E$1012,0))),
IF($E283=1,IF(INDEX(EL!$X$4:$X$1012,MATCH($C283,EL!$E$4:$E$1012,0))="","",INDEX(EL!$X$4:$X$1012,MATCH($C283,EL!$E$4:$E$1012,0))),
IF($E283=2,IF(INDEX(EL!$AC$4:$AC$1012,MATCH($C283,EL!$E$4:$E$1012,0))="","",INDEX(EL!$AC$4:$AC$1012,MATCH($C283,EL!$E$4:$E$1012,0))),
IF($E283=3,IF(INDEX(EL!$AH$4:$AH$1012,MATCH($C283,EL!$E$4:$E$1012,0))="","",INDEX(EL!$AH$4:$AH$1012,MATCH($C283,EL!$E$4:$E$1012,0))),
IF($E283=4,IF(INDEX(EL!$AM$4:$AM$1012,MATCH($C283,EL!$E$4:$E$1012,0))="","",INDEX(EL!$AM$4:$AM$1012,MATCH($C283,EL!$E$4:$E$1012,0))),
IF($E283=5,IF(INDEX(EL!$AR$4:$AR$1012,MATCH($C283,EL!$E$4:$E$1012,0))="","",INDEX(EL!$AR$4:$AR$1012,MATCH($C283,EL!$E$4:$E$1012,0))),"")))))))</f>
        <v/>
      </c>
      <c r="J283" s="459" t="str">
        <f>IF(ISNA(MATCH($C283,EL!$E$4:$E$1012,0)),"",
IF($E283=0,IF(INDEX(EL!$T$4:$T$1012,MATCH($C283,EL!$E$4:$E$1012,0))="","",INDEX(EL!$T$4:$T$1012,MATCH($C283,EL!$E$4:$E$1012,0))),
IF($E283=1,IF(INDEX(EL!$Y$4:$Y$1012,MATCH($C283,EL!$E$4:$E$1012,0))="","",INDEX(EL!$Y$4:$Y$1012,MATCH($C283,EL!$E$4:$E$1012,0))),
IF($E283=2,IF(INDEX(EL!$AD$4:$AD$1012,MATCH($C283,EL!$E$4:$E$1012,0))="","",INDEX(EL!$AD$4:$AD$1012,MATCH($C283,EL!$E$4:$E$1012,0))),
IF($E283=3,IF(INDEX(EL!$AI$4:$AI$1012,MATCH($C283,EL!$E$4:$E$1012,0))="","",INDEX(EL!$AI$4:$AI$1012,MATCH($C283,EL!$E$4:$E$1012,0))),
IF($E283=4,IF(INDEX(EL!$AN$4:$AN$1012,MATCH($C283,EL!$E$4:$E$1012,0))="","",INDEX(EL!$AN$4:$AN$1012,MATCH($C283,EL!$E$4:$E$1012,0))),
IF($E283=5,IF(INDEX(EL!$AS$4:$AS$1012,MATCH($C283,EL!$E$4:$E$1012,0))="","",INDEX(EL!$AS$4:$AS$1012,MATCH($C283,EL!$E$4:$E$1012,0))),"")))))))</f>
        <v/>
      </c>
      <c r="K283" s="459">
        <f>EL!L197</f>
        <v>0</v>
      </c>
      <c r="L283" s="460" t="e" cm="1">
        <f t="array" aca="1" ref="L283" ca="1">_xlfn.IFS(AND($E283&lt;&gt;"",$M283="Pending",$K283="CTA"),TODAY()-$G283,AND($E283&lt;&gt;"",$M283="Pending",$K283="AUR"),TODAY()-$H283,AND($E283&lt;&gt;"",$M283="Pending",$K283="STT"),TODAY()-$I283,OR(K283="Closed",K283=""),"")</f>
        <v>#N/A</v>
      </c>
      <c r="M283" s="461">
        <f>VLOOKUP(C283,EL!$E$4:$AC$622,9,0)</f>
        <v>0</v>
      </c>
      <c r="N283" s="461" t="str">
        <f t="shared" si="10"/>
        <v/>
      </c>
      <c r="O283" s="739" t="str">
        <f>EL!O197</f>
        <v>GC</v>
      </c>
      <c r="P283" s="746" t="str">
        <v>NO</v>
      </c>
    </row>
    <row r="284" spans="1:16" s="385" customFormat="1" ht="27" hidden="1" customHeight="1">
      <c r="A284" s="399">
        <f t="shared" si="11"/>
        <v>191</v>
      </c>
      <c r="B284" s="477" t="s">
        <v>52</v>
      </c>
      <c r="C284" s="646" t="s">
        <v>1022</v>
      </c>
      <c r="D284" s="456" t="str">
        <f>_xlfn.XLOOKUP(C284,EL!$E$4:$E$390,EL!$D$4:$D$390)</f>
        <v xml:space="preserve">Level 1 - Fire Alarm System Layout </v>
      </c>
      <c r="E284" s="597" t="str">
        <f>IF(VLOOKUP(C284,EL!$E$4:$AC$505,7,0)="","",VLOOKUP(C284,EL!$E$4:$AC$1004,7,0))</f>
        <v/>
      </c>
      <c r="F284" s="462"/>
      <c r="G284" s="458" t="str">
        <f>IF(VLOOKUP(C284,EL!$E$4:$AC$514,5,0)="","",VLOOKUP(C284,EL!$E$4:$AC$514,5,0))</f>
        <v/>
      </c>
      <c r="H284" s="459" t="str">
        <f>IF(ISNA(MATCH($C284,EL!$E$4:$E$1012,0)),"",
IF($E284=0,IF(INDEX(EL!$R$4:$R$1012,MATCH($C284,EL!$E$4:$E$1012,0))="","",INDEX(EL!$R$4:$R$1012,MATCH($C284,EL!$E$4:$E$1012,0))),
IF($E284=1,IF(INDEX(EL!$W$4:$W$1012,MATCH($C284,EL!$E$4:$E$1012,0))="","",INDEX(EL!$W$4:$W$1012,MATCH($C284,EL!$E$4:$E$1012,0))),
IF($E284=2,IF(INDEX(EL!$AB$4:$AB$1012,MATCH($C284,EL!$E$4:$E$1012,0))="","",INDEX(EL!$AB$4:$AB$1012,MATCH($C284,EL!$E$4:$E$1012,0))),
IF($E284=3,IF(INDEX(EL!$AG$4:$AG$1012,MATCH($C284,EL!$E$4:$E$1012,0))="","",INDEX(EL!$AG$4:$AG$1012,MATCH($C284,EL!$E$4:$E$1012,0))),
IF($E284=4,IF(INDEX(EL!$AN$4:$AN$1012,MATCH($C284,EL!$E$4:$E$1012,0))="","",INDEX(EL!$AN$4:$AN$1012,MATCH($C284,EL!$E$4:$E$1012,0))),
IF($E284=5,IF(INDEX(EL!$AS$4:$AS$1012,MATCH($C284,EL!$E$4:$E$1012,0))="","",INDEX(EL!$AS$4:$AS$1012,MATCH($C284,EL!$E$4:$E$1012,0))),"")))))))</f>
        <v/>
      </c>
      <c r="I284" s="459" t="str">
        <f>IF(ISNA(MATCH($C284,EL!$E$4:$E$1012,0)),"",
IF($E284=0,IF(INDEX(EL!$S$4:$S$1012,MATCH($C284,EL!$E$4:$E$1012,0))="","",INDEX(EL!$S$4:$S$1012,MATCH($C284,EL!$E$4:$E$1012,0))),
IF($E284=1,IF(INDEX(EL!$X$4:$X$1012,MATCH($C284,EL!$E$4:$E$1012,0))="","",INDEX(EL!$X$4:$X$1012,MATCH($C284,EL!$E$4:$E$1012,0))),
IF($E284=2,IF(INDEX(EL!$AC$4:$AC$1012,MATCH($C284,EL!$E$4:$E$1012,0))="","",INDEX(EL!$AC$4:$AC$1012,MATCH($C284,EL!$E$4:$E$1012,0))),
IF($E284=3,IF(INDEX(EL!$AH$4:$AH$1012,MATCH($C284,EL!$E$4:$E$1012,0))="","",INDEX(EL!$AH$4:$AH$1012,MATCH($C284,EL!$E$4:$E$1012,0))),
IF($E284=4,IF(INDEX(EL!$AM$4:$AM$1012,MATCH($C284,EL!$E$4:$E$1012,0))="","",INDEX(EL!$AM$4:$AM$1012,MATCH($C284,EL!$E$4:$E$1012,0))),
IF($E284=5,IF(INDEX(EL!$AR$4:$AR$1012,MATCH($C284,EL!$E$4:$E$1012,0))="","",INDEX(EL!$AR$4:$AR$1012,MATCH($C284,EL!$E$4:$E$1012,0))),"")))))))</f>
        <v/>
      </c>
      <c r="J284" s="459" t="str">
        <f>IF(ISNA(MATCH($C284,EL!$E$4:$E$1012,0)),"",
IF($E284=0,IF(INDEX(EL!$T$4:$T$1012,MATCH($C284,EL!$E$4:$E$1012,0))="","",INDEX(EL!$T$4:$T$1012,MATCH($C284,EL!$E$4:$E$1012,0))),
IF($E284=1,IF(INDEX(EL!$Y$4:$Y$1012,MATCH($C284,EL!$E$4:$E$1012,0))="","",INDEX(EL!$Y$4:$Y$1012,MATCH($C284,EL!$E$4:$E$1012,0))),
IF($E284=2,IF(INDEX(EL!$AD$4:$AD$1012,MATCH($C284,EL!$E$4:$E$1012,0))="","",INDEX(EL!$AD$4:$AD$1012,MATCH($C284,EL!$E$4:$E$1012,0))),
IF($E284=3,IF(INDEX(EL!$AI$4:$AI$1012,MATCH($C284,EL!$E$4:$E$1012,0))="","",INDEX(EL!$AI$4:$AI$1012,MATCH($C284,EL!$E$4:$E$1012,0))),
IF($E284=4,IF(INDEX(EL!$AN$4:$AN$1012,MATCH($C284,EL!$E$4:$E$1012,0))="","",INDEX(EL!$AN$4:$AN$1012,MATCH($C284,EL!$E$4:$E$1012,0))),
IF($E284=5,IF(INDEX(EL!$AS$4:$AS$1012,MATCH($C284,EL!$E$4:$E$1012,0))="","",INDEX(EL!$AS$4:$AS$1012,MATCH($C284,EL!$E$4:$E$1012,0))),"")))))))</f>
        <v/>
      </c>
      <c r="K284" s="459">
        <f>EL!L198</f>
        <v>0</v>
      </c>
      <c r="L284" s="460" t="e" cm="1">
        <f t="array" aca="1" ref="L284" ca="1">_xlfn.IFS(AND($E284&lt;&gt;"",$M284="Pending",$K284="CTA"),TODAY()-$G284,AND($E284&lt;&gt;"",$M284="Pending",$K284="AUR"),TODAY()-$H284,AND($E284&lt;&gt;"",$M284="Pending",$K284="STT"),TODAY()-$I284,OR(K284="Closed",K284=""),"")</f>
        <v>#N/A</v>
      </c>
      <c r="M284" s="461">
        <f>VLOOKUP(C284,EL!$E$4:$AC$622,9,0)</f>
        <v>0</v>
      </c>
      <c r="N284" s="461" t="str">
        <f t="shared" si="10"/>
        <v/>
      </c>
      <c r="O284" s="739" t="str">
        <f>EL!O198</f>
        <v>GC</v>
      </c>
      <c r="P284" s="746" t="str">
        <v>NO</v>
      </c>
    </row>
    <row r="285" spans="1:16" s="385" customFormat="1" ht="27" hidden="1" customHeight="1">
      <c r="A285" s="399">
        <f t="shared" si="11"/>
        <v>192</v>
      </c>
      <c r="B285" s="477" t="s">
        <v>52</v>
      </c>
      <c r="C285" s="646" t="s">
        <v>1026</v>
      </c>
      <c r="D285" s="456" t="str">
        <f>_xlfn.XLOOKUP(C285,EL!$E$4:$E$390,EL!$D$4:$D$390)</f>
        <v xml:space="preserve">Level 1 - Public Address System Layout </v>
      </c>
      <c r="E285" s="597" t="str">
        <f>IF(VLOOKUP(C285,EL!$E$4:$AC$505,7,0)="","",VLOOKUP(C285,EL!$E$4:$AC$1004,7,0))</f>
        <v/>
      </c>
      <c r="F285" s="462"/>
      <c r="G285" s="458" t="str">
        <f>IF(VLOOKUP(C285,EL!$E$4:$AC$514,5,0)="","",VLOOKUP(C285,EL!$E$4:$AC$514,5,0))</f>
        <v/>
      </c>
      <c r="H285" s="459" t="str">
        <f>IF(ISNA(MATCH($C285,EL!$E$4:$E$1012,0)),"",
IF($E285=0,IF(INDEX(EL!$R$4:$R$1012,MATCH($C285,EL!$E$4:$E$1012,0))="","",INDEX(EL!$R$4:$R$1012,MATCH($C285,EL!$E$4:$E$1012,0))),
IF($E285=1,IF(INDEX(EL!$W$4:$W$1012,MATCH($C285,EL!$E$4:$E$1012,0))="","",INDEX(EL!$W$4:$W$1012,MATCH($C285,EL!$E$4:$E$1012,0))),
IF($E285=2,IF(INDEX(EL!$AB$4:$AB$1012,MATCH($C285,EL!$E$4:$E$1012,0))="","",INDEX(EL!$AB$4:$AB$1012,MATCH($C285,EL!$E$4:$E$1012,0))),
IF($E285=3,IF(INDEX(EL!$AG$4:$AG$1012,MATCH($C285,EL!$E$4:$E$1012,0))="","",INDEX(EL!$AG$4:$AG$1012,MATCH($C285,EL!$E$4:$E$1012,0))),
IF($E285=4,IF(INDEX(EL!$AN$4:$AN$1012,MATCH($C285,EL!$E$4:$E$1012,0))="","",INDEX(EL!$AN$4:$AN$1012,MATCH($C285,EL!$E$4:$E$1012,0))),
IF($E285=5,IF(INDEX(EL!$AS$4:$AS$1012,MATCH($C285,EL!$E$4:$E$1012,0))="","",INDEX(EL!$AS$4:$AS$1012,MATCH($C285,EL!$E$4:$E$1012,0))),"")))))))</f>
        <v/>
      </c>
      <c r="I285" s="459" t="str">
        <f>IF(ISNA(MATCH($C285,EL!$E$4:$E$1012,0)),"",
IF($E285=0,IF(INDEX(EL!$S$4:$S$1012,MATCH($C285,EL!$E$4:$E$1012,0))="","",INDEX(EL!$S$4:$S$1012,MATCH($C285,EL!$E$4:$E$1012,0))),
IF($E285=1,IF(INDEX(EL!$X$4:$X$1012,MATCH($C285,EL!$E$4:$E$1012,0))="","",INDEX(EL!$X$4:$X$1012,MATCH($C285,EL!$E$4:$E$1012,0))),
IF($E285=2,IF(INDEX(EL!$AC$4:$AC$1012,MATCH($C285,EL!$E$4:$E$1012,0))="","",INDEX(EL!$AC$4:$AC$1012,MATCH($C285,EL!$E$4:$E$1012,0))),
IF($E285=3,IF(INDEX(EL!$AH$4:$AH$1012,MATCH($C285,EL!$E$4:$E$1012,0))="","",INDEX(EL!$AH$4:$AH$1012,MATCH($C285,EL!$E$4:$E$1012,0))),
IF($E285=4,IF(INDEX(EL!$AM$4:$AM$1012,MATCH($C285,EL!$E$4:$E$1012,0))="","",INDEX(EL!$AM$4:$AM$1012,MATCH($C285,EL!$E$4:$E$1012,0))),
IF($E285=5,IF(INDEX(EL!$AR$4:$AR$1012,MATCH($C285,EL!$E$4:$E$1012,0))="","",INDEX(EL!$AR$4:$AR$1012,MATCH($C285,EL!$E$4:$E$1012,0))),"")))))))</f>
        <v/>
      </c>
      <c r="J285" s="459" t="str">
        <f>IF(ISNA(MATCH($C285,EL!$E$4:$E$1012,0)),"",
IF($E285=0,IF(INDEX(EL!$T$4:$T$1012,MATCH($C285,EL!$E$4:$E$1012,0))="","",INDEX(EL!$T$4:$T$1012,MATCH($C285,EL!$E$4:$E$1012,0))),
IF($E285=1,IF(INDEX(EL!$Y$4:$Y$1012,MATCH($C285,EL!$E$4:$E$1012,0))="","",INDEX(EL!$Y$4:$Y$1012,MATCH($C285,EL!$E$4:$E$1012,0))),
IF($E285=2,IF(INDEX(EL!$AD$4:$AD$1012,MATCH($C285,EL!$E$4:$E$1012,0))="","",INDEX(EL!$AD$4:$AD$1012,MATCH($C285,EL!$E$4:$E$1012,0))),
IF($E285=3,IF(INDEX(EL!$AI$4:$AI$1012,MATCH($C285,EL!$E$4:$E$1012,0))="","",INDEX(EL!$AI$4:$AI$1012,MATCH($C285,EL!$E$4:$E$1012,0))),
IF($E285=4,IF(INDEX(EL!$AN$4:$AN$1012,MATCH($C285,EL!$E$4:$E$1012,0))="","",INDEX(EL!$AN$4:$AN$1012,MATCH($C285,EL!$E$4:$E$1012,0))),
IF($E285=5,IF(INDEX(EL!$AS$4:$AS$1012,MATCH($C285,EL!$E$4:$E$1012,0))="","",INDEX(EL!$AS$4:$AS$1012,MATCH($C285,EL!$E$4:$E$1012,0))),"")))))))</f>
        <v/>
      </c>
      <c r="K285" s="459">
        <f>EL!L199</f>
        <v>0</v>
      </c>
      <c r="L285" s="460" t="e" cm="1">
        <f t="array" aca="1" ref="L285" ca="1">_xlfn.IFS(AND($E285&lt;&gt;"",$M285="Pending",$K285="CTA"),TODAY()-$G285,AND($E285&lt;&gt;"",$M285="Pending",$K285="AUR"),TODAY()-$H285,AND($E285&lt;&gt;"",$M285="Pending",$K285="STT"),TODAY()-$I285,OR(K285="Closed",K285=""),"")</f>
        <v>#N/A</v>
      </c>
      <c r="M285" s="461">
        <f>VLOOKUP(C285,EL!$E$4:$AC$622,9,0)</f>
        <v>0</v>
      </c>
      <c r="N285" s="461" t="str">
        <f t="shared" si="10"/>
        <v/>
      </c>
      <c r="O285" s="739" t="str">
        <f>EL!O199</f>
        <v>GC</v>
      </c>
      <c r="P285" s="746" t="str">
        <v>NO</v>
      </c>
    </row>
    <row r="286" spans="1:16" s="385" customFormat="1" ht="27" hidden="1" customHeight="1">
      <c r="A286" s="399">
        <f t="shared" si="11"/>
        <v>193</v>
      </c>
      <c r="B286" s="477" t="s">
        <v>52</v>
      </c>
      <c r="C286" s="646" t="s">
        <v>1029</v>
      </c>
      <c r="D286" s="456" t="str">
        <f>_xlfn.XLOOKUP(C286,EL!$E$4:$E$390,EL!$D$4:$D$390)</f>
        <v>Level 1 - Aspirated Smoke Detection Layout</v>
      </c>
      <c r="E286" s="597" t="str">
        <f>IF(VLOOKUP(C286,EL!$E$4:$AC$505,7,0)="","",VLOOKUP(C286,EL!$E$4:$AC$1004,7,0))</f>
        <v/>
      </c>
      <c r="F286" s="462"/>
      <c r="G286" s="458" t="str">
        <f>IF(VLOOKUP(C286,EL!$E$4:$AC$514,5,0)="","",VLOOKUP(C286,EL!$E$4:$AC$514,5,0))</f>
        <v/>
      </c>
      <c r="H286" s="459" t="str">
        <f>IF(ISNA(MATCH($C286,EL!$E$4:$E$1012,0)),"",
IF($E286=0,IF(INDEX(EL!$R$4:$R$1012,MATCH($C286,EL!$E$4:$E$1012,0))="","",INDEX(EL!$R$4:$R$1012,MATCH($C286,EL!$E$4:$E$1012,0))),
IF($E286=1,IF(INDEX(EL!$W$4:$W$1012,MATCH($C286,EL!$E$4:$E$1012,0))="","",INDEX(EL!$W$4:$W$1012,MATCH($C286,EL!$E$4:$E$1012,0))),
IF($E286=2,IF(INDEX(EL!$AB$4:$AB$1012,MATCH($C286,EL!$E$4:$E$1012,0))="","",INDEX(EL!$AB$4:$AB$1012,MATCH($C286,EL!$E$4:$E$1012,0))),
IF($E286=3,IF(INDEX(EL!$AG$4:$AG$1012,MATCH($C286,EL!$E$4:$E$1012,0))="","",INDEX(EL!$AG$4:$AG$1012,MATCH($C286,EL!$E$4:$E$1012,0))),
IF($E286=4,IF(INDEX(EL!$AN$4:$AN$1012,MATCH($C286,EL!$E$4:$E$1012,0))="","",INDEX(EL!$AN$4:$AN$1012,MATCH($C286,EL!$E$4:$E$1012,0))),
IF($E286=5,IF(INDEX(EL!$AS$4:$AS$1012,MATCH($C286,EL!$E$4:$E$1012,0))="","",INDEX(EL!$AS$4:$AS$1012,MATCH($C286,EL!$E$4:$E$1012,0))),"")))))))</f>
        <v/>
      </c>
      <c r="I286" s="459" t="str">
        <f>IF(ISNA(MATCH($C286,EL!$E$4:$E$1012,0)),"",
IF($E286=0,IF(INDEX(EL!$S$4:$S$1012,MATCH($C286,EL!$E$4:$E$1012,0))="","",INDEX(EL!$S$4:$S$1012,MATCH($C286,EL!$E$4:$E$1012,0))),
IF($E286=1,IF(INDEX(EL!$X$4:$X$1012,MATCH($C286,EL!$E$4:$E$1012,0))="","",INDEX(EL!$X$4:$X$1012,MATCH($C286,EL!$E$4:$E$1012,0))),
IF($E286=2,IF(INDEX(EL!$AC$4:$AC$1012,MATCH($C286,EL!$E$4:$E$1012,0))="","",INDEX(EL!$AC$4:$AC$1012,MATCH($C286,EL!$E$4:$E$1012,0))),
IF($E286=3,IF(INDEX(EL!$AH$4:$AH$1012,MATCH($C286,EL!$E$4:$E$1012,0))="","",INDEX(EL!$AH$4:$AH$1012,MATCH($C286,EL!$E$4:$E$1012,0))),
IF($E286=4,IF(INDEX(EL!$AM$4:$AM$1012,MATCH($C286,EL!$E$4:$E$1012,0))="","",INDEX(EL!$AM$4:$AM$1012,MATCH($C286,EL!$E$4:$E$1012,0))),
IF($E286=5,IF(INDEX(EL!$AR$4:$AR$1012,MATCH($C286,EL!$E$4:$E$1012,0))="","",INDEX(EL!$AR$4:$AR$1012,MATCH($C286,EL!$E$4:$E$1012,0))),"")))))))</f>
        <v/>
      </c>
      <c r="J286" s="459" t="str">
        <f>IF(ISNA(MATCH($C286,EL!$E$4:$E$1012,0)),"",
IF($E286=0,IF(INDEX(EL!$T$4:$T$1012,MATCH($C286,EL!$E$4:$E$1012,0))="","",INDEX(EL!$T$4:$T$1012,MATCH($C286,EL!$E$4:$E$1012,0))),
IF($E286=1,IF(INDEX(EL!$Y$4:$Y$1012,MATCH($C286,EL!$E$4:$E$1012,0))="","",INDEX(EL!$Y$4:$Y$1012,MATCH($C286,EL!$E$4:$E$1012,0))),
IF($E286=2,IF(INDEX(EL!$AD$4:$AD$1012,MATCH($C286,EL!$E$4:$E$1012,0))="","",INDEX(EL!$AD$4:$AD$1012,MATCH($C286,EL!$E$4:$E$1012,0))),
IF($E286=3,IF(INDEX(EL!$AI$4:$AI$1012,MATCH($C286,EL!$E$4:$E$1012,0))="","",INDEX(EL!$AI$4:$AI$1012,MATCH($C286,EL!$E$4:$E$1012,0))),
IF($E286=4,IF(INDEX(EL!$AN$4:$AN$1012,MATCH($C286,EL!$E$4:$E$1012,0))="","",INDEX(EL!$AN$4:$AN$1012,MATCH($C286,EL!$E$4:$E$1012,0))),
IF($E286=5,IF(INDEX(EL!$AS$4:$AS$1012,MATCH($C286,EL!$E$4:$E$1012,0))="","",INDEX(EL!$AS$4:$AS$1012,MATCH($C286,EL!$E$4:$E$1012,0))),"")))))))</f>
        <v/>
      </c>
      <c r="K286" s="459">
        <f>EL!L200</f>
        <v>0</v>
      </c>
      <c r="L286" s="460" t="e" cm="1">
        <f t="array" aca="1" ref="L286" ca="1">_xlfn.IFS(AND($E286&lt;&gt;"",$M286="Pending",$K286="CTA"),TODAY()-$G286,AND($E286&lt;&gt;"",$M286="Pending",$K286="AUR"),TODAY()-$H286,AND($E286&lt;&gt;"",$M286="Pending",$K286="STT"),TODAY()-$I286,OR(K286="Closed",K286=""),"")</f>
        <v>#N/A</v>
      </c>
      <c r="M286" s="461">
        <f>VLOOKUP(C286,EL!$E$4:$AC$622,9,0)</f>
        <v>0</v>
      </c>
      <c r="N286" s="461" t="str">
        <f t="shared" si="10"/>
        <v/>
      </c>
      <c r="O286" s="739" t="str">
        <f>EL!O200</f>
        <v>GC</v>
      </c>
      <c r="P286" s="746" t="str">
        <v>NO</v>
      </c>
    </row>
    <row r="287" spans="1:16" s="385" customFormat="1" ht="27" customHeight="1">
      <c r="A287" s="399">
        <f t="shared" si="11"/>
        <v>194</v>
      </c>
      <c r="B287" s="477" t="s">
        <v>52</v>
      </c>
      <c r="C287" s="646" t="s">
        <v>1033</v>
      </c>
      <c r="D287" s="456" t="str">
        <f>_xlfn.XLOOKUP(C287,EL!$E$4:$E$390,EL!$D$4:$D$390)</f>
        <v xml:space="preserve">Level 2 - Fire Alarm System Layout </v>
      </c>
      <c r="E287" s="597">
        <f>IF(VLOOKUP(C287,EL!$E$4:$AC$505,7,0)="","",VLOOKUP(C287,EL!$E$4:$AC$1004,7,0))</f>
        <v>0</v>
      </c>
      <c r="F287" s="462"/>
      <c r="G287" s="458">
        <f>IF(VLOOKUP(C287,EL!$E$4:$AC$514,5,0)="","",VLOOKUP(C287,EL!$E$4:$AC$514,5,0))</f>
        <v>46065</v>
      </c>
      <c r="H287" s="459" t="str">
        <f>IF(ISNA(MATCH($C287,EL!$E$4:$E$1012,0)),"",
IF($E287=0,IF(INDEX(EL!$R$4:$R$1012,MATCH($C287,EL!$E$4:$E$1012,0))="","",INDEX(EL!$R$4:$R$1012,MATCH($C287,EL!$E$4:$E$1012,0))),
IF($E287=1,IF(INDEX(EL!$W$4:$W$1012,MATCH($C287,EL!$E$4:$E$1012,0))="","",INDEX(EL!$W$4:$W$1012,MATCH($C287,EL!$E$4:$E$1012,0))),
IF($E287=2,IF(INDEX(EL!$AB$4:$AB$1012,MATCH($C287,EL!$E$4:$E$1012,0))="","",INDEX(EL!$AB$4:$AB$1012,MATCH($C287,EL!$E$4:$E$1012,0))),
IF($E287=3,IF(INDEX(EL!$AG$4:$AG$1012,MATCH($C287,EL!$E$4:$E$1012,0))="","",INDEX(EL!$AG$4:$AG$1012,MATCH($C287,EL!$E$4:$E$1012,0))),
IF($E287=4,IF(INDEX(EL!$AN$4:$AN$1012,MATCH($C287,EL!$E$4:$E$1012,0))="","",INDEX(EL!$AN$4:$AN$1012,MATCH($C287,EL!$E$4:$E$1012,0))),
IF($E287=5,IF(INDEX(EL!$AS$4:$AS$1012,MATCH($C287,EL!$E$4:$E$1012,0))="","",INDEX(EL!$AS$4:$AS$1012,MATCH($C287,EL!$E$4:$E$1012,0))),"")))))))</f>
        <v/>
      </c>
      <c r="I287" s="459" t="str">
        <f>IF(ISNA(MATCH($C287,EL!$E$4:$E$1012,0)),"",
IF($E287=0,IF(INDEX(EL!$S$4:$S$1012,MATCH($C287,EL!$E$4:$E$1012,0))="","",INDEX(EL!$S$4:$S$1012,MATCH($C287,EL!$E$4:$E$1012,0))),
IF($E287=1,IF(INDEX(EL!$X$4:$X$1012,MATCH($C287,EL!$E$4:$E$1012,0))="","",INDEX(EL!$X$4:$X$1012,MATCH($C287,EL!$E$4:$E$1012,0))),
IF($E287=2,IF(INDEX(EL!$AC$4:$AC$1012,MATCH($C287,EL!$E$4:$E$1012,0))="","",INDEX(EL!$AC$4:$AC$1012,MATCH($C287,EL!$E$4:$E$1012,0))),
IF($E287=3,IF(INDEX(EL!$AH$4:$AH$1012,MATCH($C287,EL!$E$4:$E$1012,0))="","",INDEX(EL!$AH$4:$AH$1012,MATCH($C287,EL!$E$4:$E$1012,0))),
IF($E287=4,IF(INDEX(EL!$AM$4:$AM$1012,MATCH($C287,EL!$E$4:$E$1012,0))="","",INDEX(EL!$AM$4:$AM$1012,MATCH($C287,EL!$E$4:$E$1012,0))),
IF($E287=5,IF(INDEX(EL!$AR$4:$AR$1012,MATCH($C287,EL!$E$4:$E$1012,0))="","",INDEX(EL!$AR$4:$AR$1012,MATCH($C287,EL!$E$4:$E$1012,0))),"")))))))</f>
        <v/>
      </c>
      <c r="J287" s="459" t="str">
        <f>IF(ISNA(MATCH($C287,EL!$E$4:$E$1012,0)),"",
IF($E287=0,IF(INDEX(EL!$T$4:$T$1012,MATCH($C287,EL!$E$4:$E$1012,0))="","",INDEX(EL!$T$4:$T$1012,MATCH($C287,EL!$E$4:$E$1012,0))),
IF($E287=1,IF(INDEX(EL!$Y$4:$Y$1012,MATCH($C287,EL!$E$4:$E$1012,0))="","",INDEX(EL!$Y$4:$Y$1012,MATCH($C287,EL!$E$4:$E$1012,0))),
IF($E287=2,IF(INDEX(EL!$AD$4:$AD$1012,MATCH($C287,EL!$E$4:$E$1012,0))="","",INDEX(EL!$AD$4:$AD$1012,MATCH($C287,EL!$E$4:$E$1012,0))),
IF($E287=3,IF(INDEX(EL!$AI$4:$AI$1012,MATCH($C287,EL!$E$4:$E$1012,0))="","",INDEX(EL!$AI$4:$AI$1012,MATCH($C287,EL!$E$4:$E$1012,0))),
IF($E287=4,IF(INDEX(EL!$AN$4:$AN$1012,MATCH($C287,EL!$E$4:$E$1012,0))="","",INDEX(EL!$AN$4:$AN$1012,MATCH($C287,EL!$E$4:$E$1012,0))),
IF($E287=5,IF(INDEX(EL!$AS$4:$AS$1012,MATCH($C287,EL!$E$4:$E$1012,0))="","",INDEX(EL!$AS$4:$AS$1012,MATCH($C287,EL!$E$4:$E$1012,0))),"")))))))</f>
        <v/>
      </c>
      <c r="K287" s="459" t="str">
        <f>EL!L201</f>
        <v>CTA</v>
      </c>
      <c r="L287" s="460" cm="1">
        <f t="array" aca="1" ref="L287" ca="1">_xlfn.IFS(AND($E287&lt;&gt;"",$M287="Pending",$K287="CTA"),TODAY()-$G287,AND($E287&lt;&gt;"",$M287="Pending",$K287="AUR"),TODAY()-$H287,AND($E287&lt;&gt;"",$M287="Pending",$K287="STT"),TODAY()-$I287,OR(K287="Closed",K287=""),"")</f>
        <v>1</v>
      </c>
      <c r="M287" s="461" t="str">
        <f>VLOOKUP(C287,EL!$E$4:$AC$622,9,0)</f>
        <v>Pending</v>
      </c>
      <c r="N287" s="461" t="str">
        <f t="shared" ca="1" si="10"/>
        <v/>
      </c>
      <c r="O287" s="739" t="str">
        <f>EL!O201</f>
        <v>GC</v>
      </c>
      <c r="P287" s="746" t="str">
        <v>NO</v>
      </c>
    </row>
    <row r="288" spans="1:16" s="385" customFormat="1" ht="27" customHeight="1">
      <c r="A288" s="399">
        <f t="shared" si="11"/>
        <v>195</v>
      </c>
      <c r="B288" s="477" t="s">
        <v>52</v>
      </c>
      <c r="C288" s="646" t="s">
        <v>1036</v>
      </c>
      <c r="D288" s="456" t="str">
        <f>_xlfn.XLOOKUP(C288,EL!$E$4:$E$390,EL!$D$4:$D$390)</f>
        <v xml:space="preserve">Level 2 - Public Address System Layout </v>
      </c>
      <c r="E288" s="597">
        <f>IF(VLOOKUP(C288,EL!$E$4:$AC$505,7,0)="","",VLOOKUP(C288,EL!$E$4:$AC$1004,7,0))</f>
        <v>0</v>
      </c>
      <c r="F288" s="462"/>
      <c r="G288" s="458">
        <f>IF(VLOOKUP(C288,EL!$E$4:$AC$514,5,0)="","",VLOOKUP(C288,EL!$E$4:$AC$514,5,0))</f>
        <v>46058</v>
      </c>
      <c r="H288" s="459">
        <f>IF(ISNA(MATCH($C288,EL!$E$4:$E$1012,0)),"",
IF($E288=0,IF(INDEX(EL!$R$4:$R$1012,MATCH($C288,EL!$E$4:$E$1012,0))="","",INDEX(EL!$R$4:$R$1012,MATCH($C288,EL!$E$4:$E$1012,0))),
IF($E288=1,IF(INDEX(EL!$W$4:$W$1012,MATCH($C288,EL!$E$4:$E$1012,0))="","",INDEX(EL!$W$4:$W$1012,MATCH($C288,EL!$E$4:$E$1012,0))),
IF($E288=2,IF(INDEX(EL!$AB$4:$AB$1012,MATCH($C288,EL!$E$4:$E$1012,0))="","",INDEX(EL!$AB$4:$AB$1012,MATCH($C288,EL!$E$4:$E$1012,0))),
IF($E288=3,IF(INDEX(EL!$AG$4:$AG$1012,MATCH($C288,EL!$E$4:$E$1012,0))="","",INDEX(EL!$AG$4:$AG$1012,MATCH($C288,EL!$E$4:$E$1012,0))),
IF($E288=4,IF(INDEX(EL!$AN$4:$AN$1012,MATCH($C288,EL!$E$4:$E$1012,0))="","",INDEX(EL!$AN$4:$AN$1012,MATCH($C288,EL!$E$4:$E$1012,0))),
IF($E288=5,IF(INDEX(EL!$AS$4:$AS$1012,MATCH($C288,EL!$E$4:$E$1012,0))="","",INDEX(EL!$AS$4:$AS$1012,MATCH($C288,EL!$E$4:$E$1012,0))),"")))))))</f>
        <v>46065</v>
      </c>
      <c r="I288" s="459" t="str">
        <f>IF(ISNA(MATCH($C288,EL!$E$4:$E$1012,0)),"",
IF($E288=0,IF(INDEX(EL!$S$4:$S$1012,MATCH($C288,EL!$E$4:$E$1012,0))="","",INDEX(EL!$S$4:$S$1012,MATCH($C288,EL!$E$4:$E$1012,0))),
IF($E288=1,IF(INDEX(EL!$X$4:$X$1012,MATCH($C288,EL!$E$4:$E$1012,0))="","",INDEX(EL!$X$4:$X$1012,MATCH($C288,EL!$E$4:$E$1012,0))),
IF($E288=2,IF(INDEX(EL!$AC$4:$AC$1012,MATCH($C288,EL!$E$4:$E$1012,0))="","",INDEX(EL!$AC$4:$AC$1012,MATCH($C288,EL!$E$4:$E$1012,0))),
IF($E288=3,IF(INDEX(EL!$AH$4:$AH$1012,MATCH($C288,EL!$E$4:$E$1012,0))="","",INDEX(EL!$AH$4:$AH$1012,MATCH($C288,EL!$E$4:$E$1012,0))),
IF($E288=4,IF(INDEX(EL!$AM$4:$AM$1012,MATCH($C288,EL!$E$4:$E$1012,0))="","",INDEX(EL!$AM$4:$AM$1012,MATCH($C288,EL!$E$4:$E$1012,0))),
IF($E288=5,IF(INDEX(EL!$AR$4:$AR$1012,MATCH($C288,EL!$E$4:$E$1012,0))="","",INDEX(EL!$AR$4:$AR$1012,MATCH($C288,EL!$E$4:$E$1012,0))),"")))))))</f>
        <v/>
      </c>
      <c r="J288" s="459" t="str">
        <f>IF(ISNA(MATCH($C288,EL!$E$4:$E$1012,0)),"",
IF($E288=0,IF(INDEX(EL!$T$4:$T$1012,MATCH($C288,EL!$E$4:$E$1012,0))="","",INDEX(EL!$T$4:$T$1012,MATCH($C288,EL!$E$4:$E$1012,0))),
IF($E288=1,IF(INDEX(EL!$Y$4:$Y$1012,MATCH($C288,EL!$E$4:$E$1012,0))="","",INDEX(EL!$Y$4:$Y$1012,MATCH($C288,EL!$E$4:$E$1012,0))),
IF($E288=2,IF(INDEX(EL!$AD$4:$AD$1012,MATCH($C288,EL!$E$4:$E$1012,0))="","",INDEX(EL!$AD$4:$AD$1012,MATCH($C288,EL!$E$4:$E$1012,0))),
IF($E288=3,IF(INDEX(EL!$AI$4:$AI$1012,MATCH($C288,EL!$E$4:$E$1012,0))="","",INDEX(EL!$AI$4:$AI$1012,MATCH($C288,EL!$E$4:$E$1012,0))),
IF($E288=4,IF(INDEX(EL!$AN$4:$AN$1012,MATCH($C288,EL!$E$4:$E$1012,0))="","",INDEX(EL!$AN$4:$AN$1012,MATCH($C288,EL!$E$4:$E$1012,0))),
IF($E288=5,IF(INDEX(EL!$AS$4:$AS$1012,MATCH($C288,EL!$E$4:$E$1012,0))="","",INDEX(EL!$AS$4:$AS$1012,MATCH($C288,EL!$E$4:$E$1012,0))),"")))))))</f>
        <v/>
      </c>
      <c r="K288" s="459" t="str">
        <f>EL!L202</f>
        <v>AUR</v>
      </c>
      <c r="L288" s="460" cm="1">
        <f t="array" aca="1" ref="L288" ca="1">_xlfn.IFS(AND($E288&lt;&gt;"",$M288="Pending",$K288="CTA"),TODAY()-$G288,AND($E288&lt;&gt;"",$M288="Pending",$K288="AUR"),TODAY()-$H288,AND($E288&lt;&gt;"",$M288="Pending",$K288="STT"),TODAY()-$I288,OR(K288="Closed",K288=""),"")</f>
        <v>1</v>
      </c>
      <c r="M288" s="461" t="str">
        <f>VLOOKUP(C288,EL!$E$4:$AC$622,9,0)</f>
        <v>Pending</v>
      </c>
      <c r="N288" s="461" t="str">
        <f t="shared" ca="1" si="10"/>
        <v/>
      </c>
      <c r="O288" s="739" t="str">
        <f>EL!O202</f>
        <v>GC</v>
      </c>
      <c r="P288" s="746" t="str">
        <v>NO</v>
      </c>
    </row>
    <row r="289" spans="1:16" s="385" customFormat="1" ht="27" hidden="1" customHeight="1">
      <c r="A289" s="399">
        <f t="shared" si="11"/>
        <v>196</v>
      </c>
      <c r="B289" s="477" t="s">
        <v>52</v>
      </c>
      <c r="C289" s="646" t="s">
        <v>1039</v>
      </c>
      <c r="D289" s="456" t="str">
        <f>_xlfn.XLOOKUP(C289,EL!$E$4:$E$390,EL!$D$4:$D$390)</f>
        <v>Level 2 - Aspirated Smoke Detection Layout</v>
      </c>
      <c r="E289" s="597" t="str">
        <f>IF(VLOOKUP(C289,EL!$E$4:$AC$505,7,0)="","",VLOOKUP(C289,EL!$E$4:$AC$1004,7,0))</f>
        <v/>
      </c>
      <c r="F289" s="462"/>
      <c r="G289" s="458" t="str">
        <f>IF(VLOOKUP(C289,EL!$E$4:$AC$514,5,0)="","",VLOOKUP(C289,EL!$E$4:$AC$514,5,0))</f>
        <v/>
      </c>
      <c r="H289" s="459" t="str">
        <f>IF(ISNA(MATCH($C289,EL!$E$4:$E$1012,0)),"",
IF($E289=0,IF(INDEX(EL!$R$4:$R$1012,MATCH($C289,EL!$E$4:$E$1012,0))="","",INDEX(EL!$R$4:$R$1012,MATCH($C289,EL!$E$4:$E$1012,0))),
IF($E289=1,IF(INDEX(EL!$W$4:$W$1012,MATCH($C289,EL!$E$4:$E$1012,0))="","",INDEX(EL!$W$4:$W$1012,MATCH($C289,EL!$E$4:$E$1012,0))),
IF($E289=2,IF(INDEX(EL!$AB$4:$AB$1012,MATCH($C289,EL!$E$4:$E$1012,0))="","",INDEX(EL!$AB$4:$AB$1012,MATCH($C289,EL!$E$4:$E$1012,0))),
IF($E289=3,IF(INDEX(EL!$AG$4:$AG$1012,MATCH($C289,EL!$E$4:$E$1012,0))="","",INDEX(EL!$AG$4:$AG$1012,MATCH($C289,EL!$E$4:$E$1012,0))),
IF($E289=4,IF(INDEX(EL!$AN$4:$AN$1012,MATCH($C289,EL!$E$4:$E$1012,0))="","",INDEX(EL!$AN$4:$AN$1012,MATCH($C289,EL!$E$4:$E$1012,0))),
IF($E289=5,IF(INDEX(EL!$AS$4:$AS$1012,MATCH($C289,EL!$E$4:$E$1012,0))="","",INDEX(EL!$AS$4:$AS$1012,MATCH($C289,EL!$E$4:$E$1012,0))),"")))))))</f>
        <v/>
      </c>
      <c r="I289" s="459" t="str">
        <f>IF(ISNA(MATCH($C289,EL!$E$4:$E$1012,0)),"",
IF($E289=0,IF(INDEX(EL!$S$4:$S$1012,MATCH($C289,EL!$E$4:$E$1012,0))="","",INDEX(EL!$S$4:$S$1012,MATCH($C289,EL!$E$4:$E$1012,0))),
IF($E289=1,IF(INDEX(EL!$X$4:$X$1012,MATCH($C289,EL!$E$4:$E$1012,0))="","",INDEX(EL!$X$4:$X$1012,MATCH($C289,EL!$E$4:$E$1012,0))),
IF($E289=2,IF(INDEX(EL!$AC$4:$AC$1012,MATCH($C289,EL!$E$4:$E$1012,0))="","",INDEX(EL!$AC$4:$AC$1012,MATCH($C289,EL!$E$4:$E$1012,0))),
IF($E289=3,IF(INDEX(EL!$AH$4:$AH$1012,MATCH($C289,EL!$E$4:$E$1012,0))="","",INDEX(EL!$AH$4:$AH$1012,MATCH($C289,EL!$E$4:$E$1012,0))),
IF($E289=4,IF(INDEX(EL!$AM$4:$AM$1012,MATCH($C289,EL!$E$4:$E$1012,0))="","",INDEX(EL!$AM$4:$AM$1012,MATCH($C289,EL!$E$4:$E$1012,0))),
IF($E289=5,IF(INDEX(EL!$AR$4:$AR$1012,MATCH($C289,EL!$E$4:$E$1012,0))="","",INDEX(EL!$AR$4:$AR$1012,MATCH($C289,EL!$E$4:$E$1012,0))),"")))))))</f>
        <v/>
      </c>
      <c r="J289" s="459" t="str">
        <f>IF(ISNA(MATCH($C289,EL!$E$4:$E$1012,0)),"",
IF($E289=0,IF(INDEX(EL!$T$4:$T$1012,MATCH($C289,EL!$E$4:$E$1012,0))="","",INDEX(EL!$T$4:$T$1012,MATCH($C289,EL!$E$4:$E$1012,0))),
IF($E289=1,IF(INDEX(EL!$Y$4:$Y$1012,MATCH($C289,EL!$E$4:$E$1012,0))="","",INDEX(EL!$Y$4:$Y$1012,MATCH($C289,EL!$E$4:$E$1012,0))),
IF($E289=2,IF(INDEX(EL!$AD$4:$AD$1012,MATCH($C289,EL!$E$4:$E$1012,0))="","",INDEX(EL!$AD$4:$AD$1012,MATCH($C289,EL!$E$4:$E$1012,0))),
IF($E289=3,IF(INDEX(EL!$AI$4:$AI$1012,MATCH($C289,EL!$E$4:$E$1012,0))="","",INDEX(EL!$AI$4:$AI$1012,MATCH($C289,EL!$E$4:$E$1012,0))),
IF($E289=4,IF(INDEX(EL!$AN$4:$AN$1012,MATCH($C289,EL!$E$4:$E$1012,0))="","",INDEX(EL!$AN$4:$AN$1012,MATCH($C289,EL!$E$4:$E$1012,0))),
IF($E289=5,IF(INDEX(EL!$AS$4:$AS$1012,MATCH($C289,EL!$E$4:$E$1012,0))="","",INDEX(EL!$AS$4:$AS$1012,MATCH($C289,EL!$E$4:$E$1012,0))),"")))))))</f>
        <v/>
      </c>
      <c r="K289" s="459">
        <f>EL!L203</f>
        <v>0</v>
      </c>
      <c r="L289" s="460" t="e" cm="1">
        <f t="array" aca="1" ref="L289" ca="1">_xlfn.IFS(AND($E289&lt;&gt;"",$M289="Pending",$K289="CTA"),TODAY()-$G289,AND($E289&lt;&gt;"",$M289="Pending",$K289="AUR"),TODAY()-$H289,AND($E289&lt;&gt;"",$M289="Pending",$K289="STT"),TODAY()-$I289,OR(K289="Closed",K289=""),"")</f>
        <v>#N/A</v>
      </c>
      <c r="M289" s="461">
        <f>VLOOKUP(C289,EL!$E$4:$AC$622,9,0)</f>
        <v>0</v>
      </c>
      <c r="N289" s="461" t="str">
        <f t="shared" si="10"/>
        <v/>
      </c>
      <c r="O289" s="739" t="str">
        <f>EL!O203</f>
        <v>GC</v>
      </c>
      <c r="P289" s="746" t="str">
        <v>NO</v>
      </c>
    </row>
    <row r="290" spans="1:16" s="385" customFormat="1" ht="27" hidden="1" customHeight="1">
      <c r="A290" s="399">
        <f t="shared" si="11"/>
        <v>197</v>
      </c>
      <c r="B290" s="477" t="s">
        <v>52</v>
      </c>
      <c r="C290" s="646" t="s">
        <v>1042</v>
      </c>
      <c r="D290" s="456" t="str">
        <f>_xlfn.XLOOKUP(C290,EL!$E$4:$E$390,EL!$D$4:$D$390)</f>
        <v xml:space="preserve">Level 3 - Fire Alarm System Layout </v>
      </c>
      <c r="E290" s="597" t="str">
        <f>IF(VLOOKUP(C290,EL!$E$4:$AC$505,7,0)="","",VLOOKUP(C290,EL!$E$4:$AC$1004,7,0))</f>
        <v/>
      </c>
      <c r="F290" s="462"/>
      <c r="G290" s="458" t="str">
        <f>IF(VLOOKUP(C290,EL!$E$4:$AC$514,5,0)="","",VLOOKUP(C290,EL!$E$4:$AC$514,5,0))</f>
        <v/>
      </c>
      <c r="H290" s="459" t="str">
        <f>IF(ISNA(MATCH($C290,EL!$E$4:$E$1012,0)),"",
IF($E290=0,IF(INDEX(EL!$R$4:$R$1012,MATCH($C290,EL!$E$4:$E$1012,0))="","",INDEX(EL!$R$4:$R$1012,MATCH($C290,EL!$E$4:$E$1012,0))),
IF($E290=1,IF(INDEX(EL!$W$4:$W$1012,MATCH($C290,EL!$E$4:$E$1012,0))="","",INDEX(EL!$W$4:$W$1012,MATCH($C290,EL!$E$4:$E$1012,0))),
IF($E290=2,IF(INDEX(EL!$AB$4:$AB$1012,MATCH($C290,EL!$E$4:$E$1012,0))="","",INDEX(EL!$AB$4:$AB$1012,MATCH($C290,EL!$E$4:$E$1012,0))),
IF($E290=3,IF(INDEX(EL!$AG$4:$AG$1012,MATCH($C290,EL!$E$4:$E$1012,0))="","",INDEX(EL!$AG$4:$AG$1012,MATCH($C290,EL!$E$4:$E$1012,0))),
IF($E290=4,IF(INDEX(EL!$AN$4:$AN$1012,MATCH($C290,EL!$E$4:$E$1012,0))="","",INDEX(EL!$AN$4:$AN$1012,MATCH($C290,EL!$E$4:$E$1012,0))),
IF($E290=5,IF(INDEX(EL!$AS$4:$AS$1012,MATCH($C290,EL!$E$4:$E$1012,0))="","",INDEX(EL!$AS$4:$AS$1012,MATCH($C290,EL!$E$4:$E$1012,0))),"")))))))</f>
        <v/>
      </c>
      <c r="I290" s="459" t="str">
        <f>IF(ISNA(MATCH($C290,EL!$E$4:$E$1012,0)),"",
IF($E290=0,IF(INDEX(EL!$S$4:$S$1012,MATCH($C290,EL!$E$4:$E$1012,0))="","",INDEX(EL!$S$4:$S$1012,MATCH($C290,EL!$E$4:$E$1012,0))),
IF($E290=1,IF(INDEX(EL!$X$4:$X$1012,MATCH($C290,EL!$E$4:$E$1012,0))="","",INDEX(EL!$X$4:$X$1012,MATCH($C290,EL!$E$4:$E$1012,0))),
IF($E290=2,IF(INDEX(EL!$AC$4:$AC$1012,MATCH($C290,EL!$E$4:$E$1012,0))="","",INDEX(EL!$AC$4:$AC$1012,MATCH($C290,EL!$E$4:$E$1012,0))),
IF($E290=3,IF(INDEX(EL!$AH$4:$AH$1012,MATCH($C290,EL!$E$4:$E$1012,0))="","",INDEX(EL!$AH$4:$AH$1012,MATCH($C290,EL!$E$4:$E$1012,0))),
IF($E290=4,IF(INDEX(EL!$AM$4:$AM$1012,MATCH($C290,EL!$E$4:$E$1012,0))="","",INDEX(EL!$AM$4:$AM$1012,MATCH($C290,EL!$E$4:$E$1012,0))),
IF($E290=5,IF(INDEX(EL!$AR$4:$AR$1012,MATCH($C290,EL!$E$4:$E$1012,0))="","",INDEX(EL!$AR$4:$AR$1012,MATCH($C290,EL!$E$4:$E$1012,0))),"")))))))</f>
        <v/>
      </c>
      <c r="J290" s="459" t="str">
        <f>IF(ISNA(MATCH($C290,EL!$E$4:$E$1012,0)),"",
IF($E290=0,IF(INDEX(EL!$T$4:$T$1012,MATCH($C290,EL!$E$4:$E$1012,0))="","",INDEX(EL!$T$4:$T$1012,MATCH($C290,EL!$E$4:$E$1012,0))),
IF($E290=1,IF(INDEX(EL!$Y$4:$Y$1012,MATCH($C290,EL!$E$4:$E$1012,0))="","",INDEX(EL!$Y$4:$Y$1012,MATCH($C290,EL!$E$4:$E$1012,0))),
IF($E290=2,IF(INDEX(EL!$AD$4:$AD$1012,MATCH($C290,EL!$E$4:$E$1012,0))="","",INDEX(EL!$AD$4:$AD$1012,MATCH($C290,EL!$E$4:$E$1012,0))),
IF($E290=3,IF(INDEX(EL!$AI$4:$AI$1012,MATCH($C290,EL!$E$4:$E$1012,0))="","",INDEX(EL!$AI$4:$AI$1012,MATCH($C290,EL!$E$4:$E$1012,0))),
IF($E290=4,IF(INDEX(EL!$AN$4:$AN$1012,MATCH($C290,EL!$E$4:$E$1012,0))="","",INDEX(EL!$AN$4:$AN$1012,MATCH($C290,EL!$E$4:$E$1012,0))),
IF($E290=5,IF(INDEX(EL!$AS$4:$AS$1012,MATCH($C290,EL!$E$4:$E$1012,0))="","",INDEX(EL!$AS$4:$AS$1012,MATCH($C290,EL!$E$4:$E$1012,0))),"")))))))</f>
        <v/>
      </c>
      <c r="K290" s="459">
        <f>EL!L204</f>
        <v>0</v>
      </c>
      <c r="L290" s="460" t="e" cm="1">
        <f t="array" aca="1" ref="L290" ca="1">_xlfn.IFS(AND($E290&lt;&gt;"",$M290="Pending",$K290="CTA"),TODAY()-$G290,AND($E290&lt;&gt;"",$M290="Pending",$K290="AUR"),TODAY()-$H290,AND($E290&lt;&gt;"",$M290="Pending",$K290="STT"),TODAY()-$I290,OR(K290="Closed",K290=""),"")</f>
        <v>#N/A</v>
      </c>
      <c r="M290" s="461">
        <f>VLOOKUP(C290,EL!$E$4:$AC$622,9,0)</f>
        <v>0</v>
      </c>
      <c r="N290" s="461" t="str">
        <f t="shared" si="10"/>
        <v/>
      </c>
      <c r="O290" s="739" t="str">
        <f>EL!O204</f>
        <v>GC</v>
      </c>
      <c r="P290" s="746" t="str">
        <v>NO</v>
      </c>
    </row>
    <row r="291" spans="1:16" s="385" customFormat="1" ht="27" customHeight="1">
      <c r="A291" s="399">
        <f t="shared" si="11"/>
        <v>198</v>
      </c>
      <c r="B291" s="477" t="s">
        <v>52</v>
      </c>
      <c r="C291" s="646" t="s">
        <v>1045</v>
      </c>
      <c r="D291" s="456" t="str">
        <f>_xlfn.XLOOKUP(C291,EL!$E$4:$E$390,EL!$D$4:$D$390)</f>
        <v xml:space="preserve">Level 3 - Public Address System Layout </v>
      </c>
      <c r="E291" s="597">
        <f>IF(VLOOKUP(C291,EL!$E$4:$AC$505,7,0)="","",VLOOKUP(C291,EL!$E$4:$AC$1004,7,0))</f>
        <v>0</v>
      </c>
      <c r="F291" s="462"/>
      <c r="G291" s="458">
        <f>IF(VLOOKUP(C291,EL!$E$4:$AC$514,5,0)="","",VLOOKUP(C291,EL!$E$4:$AC$514,5,0))</f>
        <v>46058</v>
      </c>
      <c r="H291" s="459">
        <f>IF(ISNA(MATCH($C291,EL!$E$4:$E$1012,0)),"",
IF($E291=0,IF(INDEX(EL!$R$4:$R$1012,MATCH($C291,EL!$E$4:$E$1012,0))="","",INDEX(EL!$R$4:$R$1012,MATCH($C291,EL!$E$4:$E$1012,0))),
IF($E291=1,IF(INDEX(EL!$W$4:$W$1012,MATCH($C291,EL!$E$4:$E$1012,0))="","",INDEX(EL!$W$4:$W$1012,MATCH($C291,EL!$E$4:$E$1012,0))),
IF($E291=2,IF(INDEX(EL!$AB$4:$AB$1012,MATCH($C291,EL!$E$4:$E$1012,0))="","",INDEX(EL!$AB$4:$AB$1012,MATCH($C291,EL!$E$4:$E$1012,0))),
IF($E291=3,IF(INDEX(EL!$AG$4:$AG$1012,MATCH($C291,EL!$E$4:$E$1012,0))="","",INDEX(EL!$AG$4:$AG$1012,MATCH($C291,EL!$E$4:$E$1012,0))),
IF($E291=4,IF(INDEX(EL!$AN$4:$AN$1012,MATCH($C291,EL!$E$4:$E$1012,0))="","",INDEX(EL!$AN$4:$AN$1012,MATCH($C291,EL!$E$4:$E$1012,0))),
IF($E291=5,IF(INDEX(EL!$AS$4:$AS$1012,MATCH($C291,EL!$E$4:$E$1012,0))="","",INDEX(EL!$AS$4:$AS$1012,MATCH($C291,EL!$E$4:$E$1012,0))),"")))))))</f>
        <v>46065</v>
      </c>
      <c r="I291" s="459" t="str">
        <f>IF(ISNA(MATCH($C291,EL!$E$4:$E$1012,0)),"",
IF($E291=0,IF(INDEX(EL!$S$4:$S$1012,MATCH($C291,EL!$E$4:$E$1012,0))="","",INDEX(EL!$S$4:$S$1012,MATCH($C291,EL!$E$4:$E$1012,0))),
IF($E291=1,IF(INDEX(EL!$X$4:$X$1012,MATCH($C291,EL!$E$4:$E$1012,0))="","",INDEX(EL!$X$4:$X$1012,MATCH($C291,EL!$E$4:$E$1012,0))),
IF($E291=2,IF(INDEX(EL!$AC$4:$AC$1012,MATCH($C291,EL!$E$4:$E$1012,0))="","",INDEX(EL!$AC$4:$AC$1012,MATCH($C291,EL!$E$4:$E$1012,0))),
IF($E291=3,IF(INDEX(EL!$AH$4:$AH$1012,MATCH($C291,EL!$E$4:$E$1012,0))="","",INDEX(EL!$AH$4:$AH$1012,MATCH($C291,EL!$E$4:$E$1012,0))),
IF($E291=4,IF(INDEX(EL!$AM$4:$AM$1012,MATCH($C291,EL!$E$4:$E$1012,0))="","",INDEX(EL!$AM$4:$AM$1012,MATCH($C291,EL!$E$4:$E$1012,0))),
IF($E291=5,IF(INDEX(EL!$AR$4:$AR$1012,MATCH($C291,EL!$E$4:$E$1012,0))="","",INDEX(EL!$AR$4:$AR$1012,MATCH($C291,EL!$E$4:$E$1012,0))),"")))))))</f>
        <v/>
      </c>
      <c r="J291" s="459" t="str">
        <f>IF(ISNA(MATCH($C291,EL!$E$4:$E$1012,0)),"",
IF($E291=0,IF(INDEX(EL!$T$4:$T$1012,MATCH($C291,EL!$E$4:$E$1012,0))="","",INDEX(EL!$T$4:$T$1012,MATCH($C291,EL!$E$4:$E$1012,0))),
IF($E291=1,IF(INDEX(EL!$Y$4:$Y$1012,MATCH($C291,EL!$E$4:$E$1012,0))="","",INDEX(EL!$Y$4:$Y$1012,MATCH($C291,EL!$E$4:$E$1012,0))),
IF($E291=2,IF(INDEX(EL!$AD$4:$AD$1012,MATCH($C291,EL!$E$4:$E$1012,0))="","",INDEX(EL!$AD$4:$AD$1012,MATCH($C291,EL!$E$4:$E$1012,0))),
IF($E291=3,IF(INDEX(EL!$AI$4:$AI$1012,MATCH($C291,EL!$E$4:$E$1012,0))="","",INDEX(EL!$AI$4:$AI$1012,MATCH($C291,EL!$E$4:$E$1012,0))),
IF($E291=4,IF(INDEX(EL!$AN$4:$AN$1012,MATCH($C291,EL!$E$4:$E$1012,0))="","",INDEX(EL!$AN$4:$AN$1012,MATCH($C291,EL!$E$4:$E$1012,0))),
IF($E291=5,IF(INDEX(EL!$AS$4:$AS$1012,MATCH($C291,EL!$E$4:$E$1012,0))="","",INDEX(EL!$AS$4:$AS$1012,MATCH($C291,EL!$E$4:$E$1012,0))),"")))))))</f>
        <v/>
      </c>
      <c r="K291" s="459" t="str">
        <f>EL!L205</f>
        <v>AUR</v>
      </c>
      <c r="L291" s="460" cm="1">
        <f t="array" aca="1" ref="L291" ca="1">_xlfn.IFS(AND($E291&lt;&gt;"",$M291="Pending",$K291="CTA"),TODAY()-$G291,AND($E291&lt;&gt;"",$M291="Pending",$K291="AUR"),TODAY()-$H291,AND($E291&lt;&gt;"",$M291="Pending",$K291="STT"),TODAY()-$I291,OR(K291="Closed",K291=""),"")</f>
        <v>1</v>
      </c>
      <c r="M291" s="461" t="str">
        <f>VLOOKUP(C291,EL!$E$4:$AC$622,9,0)</f>
        <v>Pending</v>
      </c>
      <c r="N291" s="461" t="str">
        <f t="shared" ca="1" si="10"/>
        <v/>
      </c>
      <c r="O291" s="739" t="str">
        <f>EL!O205</f>
        <v>GC</v>
      </c>
      <c r="P291" s="746" t="str">
        <v>NO</v>
      </c>
    </row>
    <row r="292" spans="1:16" s="385" customFormat="1" ht="27" hidden="1" customHeight="1">
      <c r="A292" s="399">
        <f t="shared" si="11"/>
        <v>199</v>
      </c>
      <c r="B292" s="477" t="s">
        <v>52</v>
      </c>
      <c r="C292" s="646" t="s">
        <v>1048</v>
      </c>
      <c r="D292" s="456" t="str">
        <f>_xlfn.XLOOKUP(C292,EL!$E$4:$E$390,EL!$D$4:$D$390)</f>
        <v>Level 3 - Aspirated Smoke Detection Layout</v>
      </c>
      <c r="E292" s="597" t="str">
        <f>IF(VLOOKUP(C292,EL!$E$4:$AC$505,7,0)="","",VLOOKUP(C292,EL!$E$4:$AC$1004,7,0))</f>
        <v/>
      </c>
      <c r="F292" s="462"/>
      <c r="G292" s="458" t="str">
        <f>IF(VLOOKUP(C292,EL!$E$4:$AC$514,5,0)="","",VLOOKUP(C292,EL!$E$4:$AC$514,5,0))</f>
        <v/>
      </c>
      <c r="H292" s="459" t="str">
        <f>IF(ISNA(MATCH($C292,EL!$E$4:$E$1012,0)),"",
IF($E292=0,IF(INDEX(EL!$R$4:$R$1012,MATCH($C292,EL!$E$4:$E$1012,0))="","",INDEX(EL!$R$4:$R$1012,MATCH($C292,EL!$E$4:$E$1012,0))),
IF($E292=1,IF(INDEX(EL!$W$4:$W$1012,MATCH($C292,EL!$E$4:$E$1012,0))="","",INDEX(EL!$W$4:$W$1012,MATCH($C292,EL!$E$4:$E$1012,0))),
IF($E292=2,IF(INDEX(EL!$AB$4:$AB$1012,MATCH($C292,EL!$E$4:$E$1012,0))="","",INDEX(EL!$AB$4:$AB$1012,MATCH($C292,EL!$E$4:$E$1012,0))),
IF($E292=3,IF(INDEX(EL!$AG$4:$AG$1012,MATCH($C292,EL!$E$4:$E$1012,0))="","",INDEX(EL!$AG$4:$AG$1012,MATCH($C292,EL!$E$4:$E$1012,0))),
IF($E292=4,IF(INDEX(EL!$AN$4:$AN$1012,MATCH($C292,EL!$E$4:$E$1012,0))="","",INDEX(EL!$AN$4:$AN$1012,MATCH($C292,EL!$E$4:$E$1012,0))),
IF($E292=5,IF(INDEX(EL!$AS$4:$AS$1012,MATCH($C292,EL!$E$4:$E$1012,0))="","",INDEX(EL!$AS$4:$AS$1012,MATCH($C292,EL!$E$4:$E$1012,0))),"")))))))</f>
        <v/>
      </c>
      <c r="I292" s="459" t="str">
        <f>IF(ISNA(MATCH($C292,EL!$E$4:$E$1012,0)),"",
IF($E292=0,IF(INDEX(EL!$S$4:$S$1012,MATCH($C292,EL!$E$4:$E$1012,0))="","",INDEX(EL!$S$4:$S$1012,MATCH($C292,EL!$E$4:$E$1012,0))),
IF($E292=1,IF(INDEX(EL!$X$4:$X$1012,MATCH($C292,EL!$E$4:$E$1012,0))="","",INDEX(EL!$X$4:$X$1012,MATCH($C292,EL!$E$4:$E$1012,0))),
IF($E292=2,IF(INDEX(EL!$AC$4:$AC$1012,MATCH($C292,EL!$E$4:$E$1012,0))="","",INDEX(EL!$AC$4:$AC$1012,MATCH($C292,EL!$E$4:$E$1012,0))),
IF($E292=3,IF(INDEX(EL!$AH$4:$AH$1012,MATCH($C292,EL!$E$4:$E$1012,0))="","",INDEX(EL!$AH$4:$AH$1012,MATCH($C292,EL!$E$4:$E$1012,0))),
IF($E292=4,IF(INDEX(EL!$AM$4:$AM$1012,MATCH($C292,EL!$E$4:$E$1012,0))="","",INDEX(EL!$AM$4:$AM$1012,MATCH($C292,EL!$E$4:$E$1012,0))),
IF($E292=5,IF(INDEX(EL!$AR$4:$AR$1012,MATCH($C292,EL!$E$4:$E$1012,0))="","",INDEX(EL!$AR$4:$AR$1012,MATCH($C292,EL!$E$4:$E$1012,0))),"")))))))</f>
        <v/>
      </c>
      <c r="J292" s="459" t="str">
        <f>IF(ISNA(MATCH($C292,EL!$E$4:$E$1012,0)),"",
IF($E292=0,IF(INDEX(EL!$T$4:$T$1012,MATCH($C292,EL!$E$4:$E$1012,0))="","",INDEX(EL!$T$4:$T$1012,MATCH($C292,EL!$E$4:$E$1012,0))),
IF($E292=1,IF(INDEX(EL!$Y$4:$Y$1012,MATCH($C292,EL!$E$4:$E$1012,0))="","",INDEX(EL!$Y$4:$Y$1012,MATCH($C292,EL!$E$4:$E$1012,0))),
IF($E292=2,IF(INDEX(EL!$AD$4:$AD$1012,MATCH($C292,EL!$E$4:$E$1012,0))="","",INDEX(EL!$AD$4:$AD$1012,MATCH($C292,EL!$E$4:$E$1012,0))),
IF($E292=3,IF(INDEX(EL!$AI$4:$AI$1012,MATCH($C292,EL!$E$4:$E$1012,0))="","",INDEX(EL!$AI$4:$AI$1012,MATCH($C292,EL!$E$4:$E$1012,0))),
IF($E292=4,IF(INDEX(EL!$AN$4:$AN$1012,MATCH($C292,EL!$E$4:$E$1012,0))="","",INDEX(EL!$AN$4:$AN$1012,MATCH($C292,EL!$E$4:$E$1012,0))),
IF($E292=5,IF(INDEX(EL!$AS$4:$AS$1012,MATCH($C292,EL!$E$4:$E$1012,0))="","",INDEX(EL!$AS$4:$AS$1012,MATCH($C292,EL!$E$4:$E$1012,0))),"")))))))</f>
        <v/>
      </c>
      <c r="K292" s="459">
        <f>EL!L206</f>
        <v>0</v>
      </c>
      <c r="L292" s="460" t="e" cm="1">
        <f t="array" aca="1" ref="L292" ca="1">_xlfn.IFS(AND($E292&lt;&gt;"",$M292="Pending",$K292="CTA"),TODAY()-$G292,AND($E292&lt;&gt;"",$M292="Pending",$K292="AUR"),TODAY()-$H292,AND($E292&lt;&gt;"",$M292="Pending",$K292="STT"),TODAY()-$I292,OR(K292="Closed",K292=""),"")</f>
        <v>#N/A</v>
      </c>
      <c r="M292" s="461">
        <f>VLOOKUP(C292,EL!$E$4:$AC$622,9,0)</f>
        <v>0</v>
      </c>
      <c r="N292" s="461" t="str">
        <f t="shared" si="10"/>
        <v/>
      </c>
      <c r="O292" s="739" t="str">
        <f>EL!O206</f>
        <v>GC</v>
      </c>
      <c r="P292" s="746" t="str">
        <v>NO</v>
      </c>
    </row>
    <row r="293" spans="1:16" s="385" customFormat="1" ht="27" customHeight="1">
      <c r="A293" s="399">
        <f t="shared" si="11"/>
        <v>200</v>
      </c>
      <c r="B293" s="477" t="s">
        <v>52</v>
      </c>
      <c r="C293" s="646" t="s">
        <v>1051</v>
      </c>
      <c r="D293" s="456" t="str">
        <f>_xlfn.XLOOKUP(C293,EL!$E$4:$E$390,EL!$D$4:$D$390)</f>
        <v xml:space="preserve">Level 4 - Fire Alarm System Layout </v>
      </c>
      <c r="E293" s="597">
        <f>IF(VLOOKUP(C293,EL!$E$4:$AC$505,7,0)="","",VLOOKUP(C293,EL!$E$4:$AC$1004,7,0))</f>
        <v>0</v>
      </c>
      <c r="F293" s="462"/>
      <c r="G293" s="458">
        <f>IF(VLOOKUP(C293,EL!$E$4:$AC$514,5,0)="","",VLOOKUP(C293,EL!$E$4:$AC$514,5,0))</f>
        <v>46062</v>
      </c>
      <c r="H293" s="459" t="str">
        <f>IF(ISNA(MATCH($C293,EL!$E$4:$E$1012,0)),"",
IF($E293=0,IF(INDEX(EL!$R$4:$R$1012,MATCH($C293,EL!$E$4:$E$1012,0))="","",INDEX(EL!$R$4:$R$1012,MATCH($C293,EL!$E$4:$E$1012,0))),
IF($E293=1,IF(INDEX(EL!$W$4:$W$1012,MATCH($C293,EL!$E$4:$E$1012,0))="","",INDEX(EL!$W$4:$W$1012,MATCH($C293,EL!$E$4:$E$1012,0))),
IF($E293=2,IF(INDEX(EL!$AB$4:$AB$1012,MATCH($C293,EL!$E$4:$E$1012,0))="","",INDEX(EL!$AB$4:$AB$1012,MATCH($C293,EL!$E$4:$E$1012,0))),
IF($E293=3,IF(INDEX(EL!$AG$4:$AG$1012,MATCH($C293,EL!$E$4:$E$1012,0))="","",INDEX(EL!$AG$4:$AG$1012,MATCH($C293,EL!$E$4:$E$1012,0))),
IF($E293=4,IF(INDEX(EL!$AN$4:$AN$1012,MATCH($C293,EL!$E$4:$E$1012,0))="","",INDEX(EL!$AN$4:$AN$1012,MATCH($C293,EL!$E$4:$E$1012,0))),
IF($E293=5,IF(INDEX(EL!$AS$4:$AS$1012,MATCH($C293,EL!$E$4:$E$1012,0))="","",INDEX(EL!$AS$4:$AS$1012,MATCH($C293,EL!$E$4:$E$1012,0))),"")))))))</f>
        <v/>
      </c>
      <c r="I293" s="459" t="str">
        <f>IF(ISNA(MATCH($C293,EL!$E$4:$E$1012,0)),"",
IF($E293=0,IF(INDEX(EL!$S$4:$S$1012,MATCH($C293,EL!$E$4:$E$1012,0))="","",INDEX(EL!$S$4:$S$1012,MATCH($C293,EL!$E$4:$E$1012,0))),
IF($E293=1,IF(INDEX(EL!$X$4:$X$1012,MATCH($C293,EL!$E$4:$E$1012,0))="","",INDEX(EL!$X$4:$X$1012,MATCH($C293,EL!$E$4:$E$1012,0))),
IF($E293=2,IF(INDEX(EL!$AC$4:$AC$1012,MATCH($C293,EL!$E$4:$E$1012,0))="","",INDEX(EL!$AC$4:$AC$1012,MATCH($C293,EL!$E$4:$E$1012,0))),
IF($E293=3,IF(INDEX(EL!$AH$4:$AH$1012,MATCH($C293,EL!$E$4:$E$1012,0))="","",INDEX(EL!$AH$4:$AH$1012,MATCH($C293,EL!$E$4:$E$1012,0))),
IF($E293=4,IF(INDEX(EL!$AM$4:$AM$1012,MATCH($C293,EL!$E$4:$E$1012,0))="","",INDEX(EL!$AM$4:$AM$1012,MATCH($C293,EL!$E$4:$E$1012,0))),
IF($E293=5,IF(INDEX(EL!$AR$4:$AR$1012,MATCH($C293,EL!$E$4:$E$1012,0))="","",INDEX(EL!$AR$4:$AR$1012,MATCH($C293,EL!$E$4:$E$1012,0))),"")))))))</f>
        <v/>
      </c>
      <c r="J293" s="459" t="str">
        <f>IF(ISNA(MATCH($C293,EL!$E$4:$E$1012,0)),"",
IF($E293=0,IF(INDEX(EL!$T$4:$T$1012,MATCH($C293,EL!$E$4:$E$1012,0))="","",INDEX(EL!$T$4:$T$1012,MATCH($C293,EL!$E$4:$E$1012,0))),
IF($E293=1,IF(INDEX(EL!$Y$4:$Y$1012,MATCH($C293,EL!$E$4:$E$1012,0))="","",INDEX(EL!$Y$4:$Y$1012,MATCH($C293,EL!$E$4:$E$1012,0))),
IF($E293=2,IF(INDEX(EL!$AD$4:$AD$1012,MATCH($C293,EL!$E$4:$E$1012,0))="","",INDEX(EL!$AD$4:$AD$1012,MATCH($C293,EL!$E$4:$E$1012,0))),
IF($E293=3,IF(INDEX(EL!$AI$4:$AI$1012,MATCH($C293,EL!$E$4:$E$1012,0))="","",INDEX(EL!$AI$4:$AI$1012,MATCH($C293,EL!$E$4:$E$1012,0))),
IF($E293=4,IF(INDEX(EL!$AN$4:$AN$1012,MATCH($C293,EL!$E$4:$E$1012,0))="","",INDEX(EL!$AN$4:$AN$1012,MATCH($C293,EL!$E$4:$E$1012,0))),
IF($E293=5,IF(INDEX(EL!$AS$4:$AS$1012,MATCH($C293,EL!$E$4:$E$1012,0))="","",INDEX(EL!$AS$4:$AS$1012,MATCH($C293,EL!$E$4:$E$1012,0))),"")))))))</f>
        <v/>
      </c>
      <c r="K293" s="459" t="str">
        <f>EL!L207</f>
        <v>CTA</v>
      </c>
      <c r="L293" s="460" cm="1">
        <f t="array" aca="1" ref="L293" ca="1">_xlfn.IFS(AND($E293&lt;&gt;"",$M293="Pending",$K293="CTA"),TODAY()-$G293,AND($E293&lt;&gt;"",$M293="Pending",$K293="AUR"),TODAY()-$H293,AND($E293&lt;&gt;"",$M293="Pending",$K293="STT"),TODAY()-$I293,OR(K293="Closed",K293=""),"")</f>
        <v>4</v>
      </c>
      <c r="M293" s="461" t="str">
        <f>VLOOKUP(C293,EL!$E$4:$AC$622,9,0)</f>
        <v>Pending</v>
      </c>
      <c r="N293" s="461" t="str">
        <f t="shared" ca="1" si="10"/>
        <v>High</v>
      </c>
      <c r="O293" s="739" t="str">
        <f>EL!O207</f>
        <v>GC</v>
      </c>
      <c r="P293" s="746" t="str">
        <v>NO</v>
      </c>
    </row>
    <row r="294" spans="1:16" s="385" customFormat="1" ht="27" customHeight="1">
      <c r="A294" s="399">
        <f t="shared" si="11"/>
        <v>201</v>
      </c>
      <c r="B294" s="477" t="s">
        <v>52</v>
      </c>
      <c r="C294" s="646" t="s">
        <v>1054</v>
      </c>
      <c r="D294" s="456" t="str">
        <f>_xlfn.XLOOKUP(C294,EL!$E$4:$E$390,EL!$D$4:$D$390)</f>
        <v xml:space="preserve">Level 4 - Public Address System Layout </v>
      </c>
      <c r="E294" s="597">
        <f>IF(VLOOKUP(C294,EL!$E$4:$AC$505,7,0)="","",VLOOKUP(C294,EL!$E$4:$AC$1004,7,0))</f>
        <v>0</v>
      </c>
      <c r="F294" s="462"/>
      <c r="G294" s="458">
        <f>IF(VLOOKUP(C294,EL!$E$4:$AC$514,5,0)="","",VLOOKUP(C294,EL!$E$4:$AC$514,5,0))</f>
        <v>46058</v>
      </c>
      <c r="H294" s="459" t="str">
        <f>IF(ISNA(MATCH($C294,EL!$E$4:$E$1012,0)),"",
IF($E294=0,IF(INDEX(EL!$R$4:$R$1012,MATCH($C294,EL!$E$4:$E$1012,0))="","",INDEX(EL!$R$4:$R$1012,MATCH($C294,EL!$E$4:$E$1012,0))),
IF($E294=1,IF(INDEX(EL!$W$4:$W$1012,MATCH($C294,EL!$E$4:$E$1012,0))="","",INDEX(EL!$W$4:$W$1012,MATCH($C294,EL!$E$4:$E$1012,0))),
IF($E294=2,IF(INDEX(EL!$AB$4:$AB$1012,MATCH($C294,EL!$E$4:$E$1012,0))="","",INDEX(EL!$AB$4:$AB$1012,MATCH($C294,EL!$E$4:$E$1012,0))),
IF($E294=3,IF(INDEX(EL!$AG$4:$AG$1012,MATCH($C294,EL!$E$4:$E$1012,0))="","",INDEX(EL!$AG$4:$AG$1012,MATCH($C294,EL!$E$4:$E$1012,0))),
IF($E294=4,IF(INDEX(EL!$AN$4:$AN$1012,MATCH($C294,EL!$E$4:$E$1012,0))="","",INDEX(EL!$AN$4:$AN$1012,MATCH($C294,EL!$E$4:$E$1012,0))),
IF($E294=5,IF(INDEX(EL!$AS$4:$AS$1012,MATCH($C294,EL!$E$4:$E$1012,0))="","",INDEX(EL!$AS$4:$AS$1012,MATCH($C294,EL!$E$4:$E$1012,0))),"")))))))</f>
        <v/>
      </c>
      <c r="I294" s="459" t="str">
        <f>IF(ISNA(MATCH($C294,EL!$E$4:$E$1012,0)),"",
IF($E294=0,IF(INDEX(EL!$S$4:$S$1012,MATCH($C294,EL!$E$4:$E$1012,0))="","",INDEX(EL!$S$4:$S$1012,MATCH($C294,EL!$E$4:$E$1012,0))),
IF($E294=1,IF(INDEX(EL!$X$4:$X$1012,MATCH($C294,EL!$E$4:$E$1012,0))="","",INDEX(EL!$X$4:$X$1012,MATCH($C294,EL!$E$4:$E$1012,0))),
IF($E294=2,IF(INDEX(EL!$AC$4:$AC$1012,MATCH($C294,EL!$E$4:$E$1012,0))="","",INDEX(EL!$AC$4:$AC$1012,MATCH($C294,EL!$E$4:$E$1012,0))),
IF($E294=3,IF(INDEX(EL!$AH$4:$AH$1012,MATCH($C294,EL!$E$4:$E$1012,0))="","",INDEX(EL!$AH$4:$AH$1012,MATCH($C294,EL!$E$4:$E$1012,0))),
IF($E294=4,IF(INDEX(EL!$AM$4:$AM$1012,MATCH($C294,EL!$E$4:$E$1012,0))="","",INDEX(EL!$AM$4:$AM$1012,MATCH($C294,EL!$E$4:$E$1012,0))),
IF($E294=5,IF(INDEX(EL!$AR$4:$AR$1012,MATCH($C294,EL!$E$4:$E$1012,0))="","",INDEX(EL!$AR$4:$AR$1012,MATCH($C294,EL!$E$4:$E$1012,0))),"")))))))</f>
        <v/>
      </c>
      <c r="J294" s="459" t="str">
        <f>IF(ISNA(MATCH($C294,EL!$E$4:$E$1012,0)),"",
IF($E294=0,IF(INDEX(EL!$T$4:$T$1012,MATCH($C294,EL!$E$4:$E$1012,0))="","",INDEX(EL!$T$4:$T$1012,MATCH($C294,EL!$E$4:$E$1012,0))),
IF($E294=1,IF(INDEX(EL!$Y$4:$Y$1012,MATCH($C294,EL!$E$4:$E$1012,0))="","",INDEX(EL!$Y$4:$Y$1012,MATCH($C294,EL!$E$4:$E$1012,0))),
IF($E294=2,IF(INDEX(EL!$AD$4:$AD$1012,MATCH($C294,EL!$E$4:$E$1012,0))="","",INDEX(EL!$AD$4:$AD$1012,MATCH($C294,EL!$E$4:$E$1012,0))),
IF($E294=3,IF(INDEX(EL!$AI$4:$AI$1012,MATCH($C294,EL!$E$4:$E$1012,0))="","",INDEX(EL!$AI$4:$AI$1012,MATCH($C294,EL!$E$4:$E$1012,0))),
IF($E294=4,IF(INDEX(EL!$AN$4:$AN$1012,MATCH($C294,EL!$E$4:$E$1012,0))="","",INDEX(EL!$AN$4:$AN$1012,MATCH($C294,EL!$E$4:$E$1012,0))),
IF($E294=5,IF(INDEX(EL!$AS$4:$AS$1012,MATCH($C294,EL!$E$4:$E$1012,0))="","",INDEX(EL!$AS$4:$AS$1012,MATCH($C294,EL!$E$4:$E$1012,0))),"")))))))</f>
        <v/>
      </c>
      <c r="K294" s="459" t="str">
        <f>EL!L208</f>
        <v>CTA</v>
      </c>
      <c r="L294" s="460" cm="1">
        <f t="array" aca="1" ref="L294" ca="1">_xlfn.IFS(AND($E294&lt;&gt;"",$M294="Pending",$K294="CTA"),TODAY()-$G294,AND($E294&lt;&gt;"",$M294="Pending",$K294="AUR"),TODAY()-$H294,AND($E294&lt;&gt;"",$M294="Pending",$K294="STT"),TODAY()-$I294,OR(K294="Closed",K294=""),"")</f>
        <v>8</v>
      </c>
      <c r="M294" s="461" t="str">
        <f>VLOOKUP(C294,EL!$E$4:$AC$622,9,0)</f>
        <v>Pending</v>
      </c>
      <c r="N294" s="461" t="str">
        <f t="shared" ca="1" si="10"/>
        <v>Overdue</v>
      </c>
      <c r="O294" s="739" t="str">
        <f>EL!O208</f>
        <v>GC</v>
      </c>
      <c r="P294" s="746" t="str">
        <v>NO</v>
      </c>
    </row>
    <row r="295" spans="1:16" s="385" customFormat="1" ht="27" customHeight="1">
      <c r="A295" s="399">
        <f t="shared" si="11"/>
        <v>202</v>
      </c>
      <c r="B295" s="477" t="s">
        <v>52</v>
      </c>
      <c r="C295" s="646" t="s">
        <v>1057</v>
      </c>
      <c r="D295" s="456" t="str">
        <f>_xlfn.XLOOKUP(C295,EL!$E$4:$E$390,EL!$D$4:$D$390)</f>
        <v xml:space="preserve">Level 5 - Fire Alarm System Layout </v>
      </c>
      <c r="E295" s="597">
        <f>IF(VLOOKUP(C295,EL!$E$4:$AC$505,7,0)="","",VLOOKUP(C295,EL!$E$4:$AC$1004,7,0))</f>
        <v>0</v>
      </c>
      <c r="F295" s="462"/>
      <c r="G295" s="458">
        <f>IF(VLOOKUP(C295,EL!$E$4:$AC$514,5,0)="","",VLOOKUP(C295,EL!$E$4:$AC$514,5,0))</f>
        <v>46062</v>
      </c>
      <c r="H295" s="459" t="str">
        <f>IF(ISNA(MATCH($C295,EL!$E$4:$E$1012,0)),"",
IF($E295=0,IF(INDEX(EL!$R$4:$R$1012,MATCH($C295,EL!$E$4:$E$1012,0))="","",INDEX(EL!$R$4:$R$1012,MATCH($C295,EL!$E$4:$E$1012,0))),
IF($E295=1,IF(INDEX(EL!$W$4:$W$1012,MATCH($C295,EL!$E$4:$E$1012,0))="","",INDEX(EL!$W$4:$W$1012,MATCH($C295,EL!$E$4:$E$1012,0))),
IF($E295=2,IF(INDEX(EL!$AB$4:$AB$1012,MATCH($C295,EL!$E$4:$E$1012,0))="","",INDEX(EL!$AB$4:$AB$1012,MATCH($C295,EL!$E$4:$E$1012,0))),
IF($E295=3,IF(INDEX(EL!$AG$4:$AG$1012,MATCH($C295,EL!$E$4:$E$1012,0))="","",INDEX(EL!$AG$4:$AG$1012,MATCH($C295,EL!$E$4:$E$1012,0))),
IF($E295=4,IF(INDEX(EL!$AN$4:$AN$1012,MATCH($C295,EL!$E$4:$E$1012,0))="","",INDEX(EL!$AN$4:$AN$1012,MATCH($C295,EL!$E$4:$E$1012,0))),
IF($E295=5,IF(INDEX(EL!$AS$4:$AS$1012,MATCH($C295,EL!$E$4:$E$1012,0))="","",INDEX(EL!$AS$4:$AS$1012,MATCH($C295,EL!$E$4:$E$1012,0))),"")))))))</f>
        <v/>
      </c>
      <c r="I295" s="459" t="str">
        <f>IF(ISNA(MATCH($C295,EL!$E$4:$E$1012,0)),"",
IF($E295=0,IF(INDEX(EL!$S$4:$S$1012,MATCH($C295,EL!$E$4:$E$1012,0))="","",INDEX(EL!$S$4:$S$1012,MATCH($C295,EL!$E$4:$E$1012,0))),
IF($E295=1,IF(INDEX(EL!$X$4:$X$1012,MATCH($C295,EL!$E$4:$E$1012,0))="","",INDEX(EL!$X$4:$X$1012,MATCH($C295,EL!$E$4:$E$1012,0))),
IF($E295=2,IF(INDEX(EL!$AC$4:$AC$1012,MATCH($C295,EL!$E$4:$E$1012,0))="","",INDEX(EL!$AC$4:$AC$1012,MATCH($C295,EL!$E$4:$E$1012,0))),
IF($E295=3,IF(INDEX(EL!$AH$4:$AH$1012,MATCH($C295,EL!$E$4:$E$1012,0))="","",INDEX(EL!$AH$4:$AH$1012,MATCH($C295,EL!$E$4:$E$1012,0))),
IF($E295=4,IF(INDEX(EL!$AM$4:$AM$1012,MATCH($C295,EL!$E$4:$E$1012,0))="","",INDEX(EL!$AM$4:$AM$1012,MATCH($C295,EL!$E$4:$E$1012,0))),
IF($E295=5,IF(INDEX(EL!$AR$4:$AR$1012,MATCH($C295,EL!$E$4:$E$1012,0))="","",INDEX(EL!$AR$4:$AR$1012,MATCH($C295,EL!$E$4:$E$1012,0))),"")))))))</f>
        <v/>
      </c>
      <c r="J295" s="459" t="str">
        <f>IF(ISNA(MATCH($C295,EL!$E$4:$E$1012,0)),"",
IF($E295=0,IF(INDEX(EL!$T$4:$T$1012,MATCH($C295,EL!$E$4:$E$1012,0))="","",INDEX(EL!$T$4:$T$1012,MATCH($C295,EL!$E$4:$E$1012,0))),
IF($E295=1,IF(INDEX(EL!$Y$4:$Y$1012,MATCH($C295,EL!$E$4:$E$1012,0))="","",INDEX(EL!$Y$4:$Y$1012,MATCH($C295,EL!$E$4:$E$1012,0))),
IF($E295=2,IF(INDEX(EL!$AD$4:$AD$1012,MATCH($C295,EL!$E$4:$E$1012,0))="","",INDEX(EL!$AD$4:$AD$1012,MATCH($C295,EL!$E$4:$E$1012,0))),
IF($E295=3,IF(INDEX(EL!$AI$4:$AI$1012,MATCH($C295,EL!$E$4:$E$1012,0))="","",INDEX(EL!$AI$4:$AI$1012,MATCH($C295,EL!$E$4:$E$1012,0))),
IF($E295=4,IF(INDEX(EL!$AN$4:$AN$1012,MATCH($C295,EL!$E$4:$E$1012,0))="","",INDEX(EL!$AN$4:$AN$1012,MATCH($C295,EL!$E$4:$E$1012,0))),
IF($E295=5,IF(INDEX(EL!$AS$4:$AS$1012,MATCH($C295,EL!$E$4:$E$1012,0))="","",INDEX(EL!$AS$4:$AS$1012,MATCH($C295,EL!$E$4:$E$1012,0))),"")))))))</f>
        <v/>
      </c>
      <c r="K295" s="459" t="str">
        <f>EL!L209</f>
        <v>CTA</v>
      </c>
      <c r="L295" s="460" cm="1">
        <f t="array" aca="1" ref="L295" ca="1">_xlfn.IFS(AND($E295&lt;&gt;"",$M295="Pending",$K295="CTA"),TODAY()-$G295,AND($E295&lt;&gt;"",$M295="Pending",$K295="AUR"),TODAY()-$H295,AND($E295&lt;&gt;"",$M295="Pending",$K295="STT"),TODAY()-$I295,OR(K295="Closed",K295=""),"")</f>
        <v>4</v>
      </c>
      <c r="M295" s="461" t="str">
        <f>VLOOKUP(C295,EL!$E$4:$AC$622,9,0)</f>
        <v>Pending</v>
      </c>
      <c r="N295" s="461" t="str">
        <f t="shared" ca="1" si="10"/>
        <v>High</v>
      </c>
      <c r="O295" s="739" t="str">
        <f>EL!O209</f>
        <v>GC</v>
      </c>
      <c r="P295" s="746" t="str">
        <v>NO</v>
      </c>
    </row>
    <row r="296" spans="1:16" s="385" customFormat="1" ht="27" customHeight="1">
      <c r="A296" s="399">
        <f t="shared" si="11"/>
        <v>203</v>
      </c>
      <c r="B296" s="477" t="s">
        <v>52</v>
      </c>
      <c r="C296" s="646" t="s">
        <v>1060</v>
      </c>
      <c r="D296" s="456" t="str">
        <f>_xlfn.XLOOKUP(C296,EL!$E$4:$E$390,EL!$D$4:$D$390)</f>
        <v xml:space="preserve">Level 5 - Public Address System Layout </v>
      </c>
      <c r="E296" s="597">
        <f>IF(VLOOKUP(C296,EL!$E$4:$AC$505,7,0)="","",VLOOKUP(C296,EL!$E$4:$AC$1004,7,0))</f>
        <v>0</v>
      </c>
      <c r="F296" s="462"/>
      <c r="G296" s="458">
        <f>IF(VLOOKUP(C296,EL!$E$4:$AC$514,5,0)="","",VLOOKUP(C296,EL!$E$4:$AC$514,5,0))</f>
        <v>46058</v>
      </c>
      <c r="H296" s="459" t="str">
        <f>IF(ISNA(MATCH($C296,EL!$E$4:$E$1012,0)),"",
IF($E296=0,IF(INDEX(EL!$R$4:$R$1012,MATCH($C296,EL!$E$4:$E$1012,0))="","",INDEX(EL!$R$4:$R$1012,MATCH($C296,EL!$E$4:$E$1012,0))),
IF($E296=1,IF(INDEX(EL!$W$4:$W$1012,MATCH($C296,EL!$E$4:$E$1012,0))="","",INDEX(EL!$W$4:$W$1012,MATCH($C296,EL!$E$4:$E$1012,0))),
IF($E296=2,IF(INDEX(EL!$AB$4:$AB$1012,MATCH($C296,EL!$E$4:$E$1012,0))="","",INDEX(EL!$AB$4:$AB$1012,MATCH($C296,EL!$E$4:$E$1012,0))),
IF($E296=3,IF(INDEX(EL!$AG$4:$AG$1012,MATCH($C296,EL!$E$4:$E$1012,0))="","",INDEX(EL!$AG$4:$AG$1012,MATCH($C296,EL!$E$4:$E$1012,0))),
IF($E296=4,IF(INDEX(EL!$AN$4:$AN$1012,MATCH($C296,EL!$E$4:$E$1012,0))="","",INDEX(EL!$AN$4:$AN$1012,MATCH($C296,EL!$E$4:$E$1012,0))),
IF($E296=5,IF(INDEX(EL!$AS$4:$AS$1012,MATCH($C296,EL!$E$4:$E$1012,0))="","",INDEX(EL!$AS$4:$AS$1012,MATCH($C296,EL!$E$4:$E$1012,0))),"")))))))</f>
        <v/>
      </c>
      <c r="I296" s="459" t="str">
        <f>IF(ISNA(MATCH($C296,EL!$E$4:$E$1012,0)),"",
IF($E296=0,IF(INDEX(EL!$S$4:$S$1012,MATCH($C296,EL!$E$4:$E$1012,0))="","",INDEX(EL!$S$4:$S$1012,MATCH($C296,EL!$E$4:$E$1012,0))),
IF($E296=1,IF(INDEX(EL!$X$4:$X$1012,MATCH($C296,EL!$E$4:$E$1012,0))="","",INDEX(EL!$X$4:$X$1012,MATCH($C296,EL!$E$4:$E$1012,0))),
IF($E296=2,IF(INDEX(EL!$AC$4:$AC$1012,MATCH($C296,EL!$E$4:$E$1012,0))="","",INDEX(EL!$AC$4:$AC$1012,MATCH($C296,EL!$E$4:$E$1012,0))),
IF($E296=3,IF(INDEX(EL!$AH$4:$AH$1012,MATCH($C296,EL!$E$4:$E$1012,0))="","",INDEX(EL!$AH$4:$AH$1012,MATCH($C296,EL!$E$4:$E$1012,0))),
IF($E296=4,IF(INDEX(EL!$AM$4:$AM$1012,MATCH($C296,EL!$E$4:$E$1012,0))="","",INDEX(EL!$AM$4:$AM$1012,MATCH($C296,EL!$E$4:$E$1012,0))),
IF($E296=5,IF(INDEX(EL!$AR$4:$AR$1012,MATCH($C296,EL!$E$4:$E$1012,0))="","",INDEX(EL!$AR$4:$AR$1012,MATCH($C296,EL!$E$4:$E$1012,0))),"")))))))</f>
        <v/>
      </c>
      <c r="J296" s="459" t="str">
        <f>IF(ISNA(MATCH($C296,EL!$E$4:$E$1012,0)),"",
IF($E296=0,IF(INDEX(EL!$T$4:$T$1012,MATCH($C296,EL!$E$4:$E$1012,0))="","",INDEX(EL!$T$4:$T$1012,MATCH($C296,EL!$E$4:$E$1012,0))),
IF($E296=1,IF(INDEX(EL!$Y$4:$Y$1012,MATCH($C296,EL!$E$4:$E$1012,0))="","",INDEX(EL!$Y$4:$Y$1012,MATCH($C296,EL!$E$4:$E$1012,0))),
IF($E296=2,IF(INDEX(EL!$AD$4:$AD$1012,MATCH($C296,EL!$E$4:$E$1012,0))="","",INDEX(EL!$AD$4:$AD$1012,MATCH($C296,EL!$E$4:$E$1012,0))),
IF($E296=3,IF(INDEX(EL!$AI$4:$AI$1012,MATCH($C296,EL!$E$4:$E$1012,0))="","",INDEX(EL!$AI$4:$AI$1012,MATCH($C296,EL!$E$4:$E$1012,0))),
IF($E296=4,IF(INDEX(EL!$AN$4:$AN$1012,MATCH($C296,EL!$E$4:$E$1012,0))="","",INDEX(EL!$AN$4:$AN$1012,MATCH($C296,EL!$E$4:$E$1012,0))),
IF($E296=5,IF(INDEX(EL!$AS$4:$AS$1012,MATCH($C296,EL!$E$4:$E$1012,0))="","",INDEX(EL!$AS$4:$AS$1012,MATCH($C296,EL!$E$4:$E$1012,0))),"")))))))</f>
        <v/>
      </c>
      <c r="K296" s="459" t="str">
        <f>EL!L210</f>
        <v>CTA</v>
      </c>
      <c r="L296" s="460" cm="1">
        <f t="array" aca="1" ref="L296" ca="1">_xlfn.IFS(AND($E296&lt;&gt;"",$M296="Pending",$K296="CTA"),TODAY()-$G296,AND($E296&lt;&gt;"",$M296="Pending",$K296="AUR"),TODAY()-$H296,AND($E296&lt;&gt;"",$M296="Pending",$K296="STT"),TODAY()-$I296,OR(K296="Closed",K296=""),"")</f>
        <v>8</v>
      </c>
      <c r="M296" s="461" t="str">
        <f>VLOOKUP(C296,EL!$E$4:$AC$622,9,0)</f>
        <v>Pending</v>
      </c>
      <c r="N296" s="461" t="str">
        <f t="shared" ca="1" si="10"/>
        <v>Overdue</v>
      </c>
      <c r="O296" s="739" t="str">
        <f>EL!O210</f>
        <v>GC</v>
      </c>
      <c r="P296" s="746" t="str">
        <v>NO</v>
      </c>
    </row>
    <row r="297" spans="1:16" s="385" customFormat="1" ht="27" hidden="1" customHeight="1">
      <c r="A297" s="399">
        <f t="shared" si="11"/>
        <v>204</v>
      </c>
      <c r="B297" s="477" t="s">
        <v>52</v>
      </c>
      <c r="C297" s="646" t="s">
        <v>1063</v>
      </c>
      <c r="D297" s="456" t="str">
        <f>_xlfn.XLOOKUP(C297,EL!$E$4:$E$390,EL!$D$4:$D$390)</f>
        <v xml:space="preserve">Level 6 - Fire Alarm System Layout </v>
      </c>
      <c r="E297" s="597" t="str">
        <f>IF(VLOOKUP(C297,EL!$E$4:$AC$505,7,0)="","",VLOOKUP(C297,EL!$E$4:$AC$1004,7,0))</f>
        <v/>
      </c>
      <c r="F297" s="462"/>
      <c r="G297" s="458" t="str">
        <f>IF(VLOOKUP(C297,EL!$E$4:$AC$514,5,0)="","",VLOOKUP(C297,EL!$E$4:$AC$514,5,0))</f>
        <v/>
      </c>
      <c r="H297" s="459" t="str">
        <f>IF(ISNA(MATCH($C297,EL!$E$4:$E$1012,0)),"",
IF($E297=0,IF(INDEX(EL!$R$4:$R$1012,MATCH($C297,EL!$E$4:$E$1012,0))="","",INDEX(EL!$R$4:$R$1012,MATCH($C297,EL!$E$4:$E$1012,0))),
IF($E297=1,IF(INDEX(EL!$W$4:$W$1012,MATCH($C297,EL!$E$4:$E$1012,0))="","",INDEX(EL!$W$4:$W$1012,MATCH($C297,EL!$E$4:$E$1012,0))),
IF($E297=2,IF(INDEX(EL!$AB$4:$AB$1012,MATCH($C297,EL!$E$4:$E$1012,0))="","",INDEX(EL!$AB$4:$AB$1012,MATCH($C297,EL!$E$4:$E$1012,0))),
IF($E297=3,IF(INDEX(EL!$AG$4:$AG$1012,MATCH($C297,EL!$E$4:$E$1012,0))="","",INDEX(EL!$AG$4:$AG$1012,MATCH($C297,EL!$E$4:$E$1012,0))),
IF($E297=4,IF(INDEX(EL!$AN$4:$AN$1012,MATCH($C297,EL!$E$4:$E$1012,0))="","",INDEX(EL!$AN$4:$AN$1012,MATCH($C297,EL!$E$4:$E$1012,0))),
IF($E297=5,IF(INDEX(EL!$AS$4:$AS$1012,MATCH($C297,EL!$E$4:$E$1012,0))="","",INDEX(EL!$AS$4:$AS$1012,MATCH($C297,EL!$E$4:$E$1012,0))),"")))))))</f>
        <v/>
      </c>
      <c r="I297" s="459" t="str">
        <f>IF(ISNA(MATCH($C297,EL!$E$4:$E$1012,0)),"",
IF($E297=0,IF(INDEX(EL!$S$4:$S$1012,MATCH($C297,EL!$E$4:$E$1012,0))="","",INDEX(EL!$S$4:$S$1012,MATCH($C297,EL!$E$4:$E$1012,0))),
IF($E297=1,IF(INDEX(EL!$X$4:$X$1012,MATCH($C297,EL!$E$4:$E$1012,0))="","",INDEX(EL!$X$4:$X$1012,MATCH($C297,EL!$E$4:$E$1012,0))),
IF($E297=2,IF(INDEX(EL!$AC$4:$AC$1012,MATCH($C297,EL!$E$4:$E$1012,0))="","",INDEX(EL!$AC$4:$AC$1012,MATCH($C297,EL!$E$4:$E$1012,0))),
IF($E297=3,IF(INDEX(EL!$AH$4:$AH$1012,MATCH($C297,EL!$E$4:$E$1012,0))="","",INDEX(EL!$AH$4:$AH$1012,MATCH($C297,EL!$E$4:$E$1012,0))),
IF($E297=4,IF(INDEX(EL!$AM$4:$AM$1012,MATCH($C297,EL!$E$4:$E$1012,0))="","",INDEX(EL!$AM$4:$AM$1012,MATCH($C297,EL!$E$4:$E$1012,0))),
IF($E297=5,IF(INDEX(EL!$AR$4:$AR$1012,MATCH($C297,EL!$E$4:$E$1012,0))="","",INDEX(EL!$AR$4:$AR$1012,MATCH($C297,EL!$E$4:$E$1012,0))),"")))))))</f>
        <v/>
      </c>
      <c r="J297" s="459" t="str">
        <f>IF(ISNA(MATCH($C297,EL!$E$4:$E$1012,0)),"",
IF($E297=0,IF(INDEX(EL!$T$4:$T$1012,MATCH($C297,EL!$E$4:$E$1012,0))="","",INDEX(EL!$T$4:$T$1012,MATCH($C297,EL!$E$4:$E$1012,0))),
IF($E297=1,IF(INDEX(EL!$Y$4:$Y$1012,MATCH($C297,EL!$E$4:$E$1012,0))="","",INDEX(EL!$Y$4:$Y$1012,MATCH($C297,EL!$E$4:$E$1012,0))),
IF($E297=2,IF(INDEX(EL!$AD$4:$AD$1012,MATCH($C297,EL!$E$4:$E$1012,0))="","",INDEX(EL!$AD$4:$AD$1012,MATCH($C297,EL!$E$4:$E$1012,0))),
IF($E297=3,IF(INDEX(EL!$AI$4:$AI$1012,MATCH($C297,EL!$E$4:$E$1012,0))="","",INDEX(EL!$AI$4:$AI$1012,MATCH($C297,EL!$E$4:$E$1012,0))),
IF($E297=4,IF(INDEX(EL!$AN$4:$AN$1012,MATCH($C297,EL!$E$4:$E$1012,0))="","",INDEX(EL!$AN$4:$AN$1012,MATCH($C297,EL!$E$4:$E$1012,0))),
IF($E297=5,IF(INDEX(EL!$AS$4:$AS$1012,MATCH($C297,EL!$E$4:$E$1012,0))="","",INDEX(EL!$AS$4:$AS$1012,MATCH($C297,EL!$E$4:$E$1012,0))),"")))))))</f>
        <v/>
      </c>
      <c r="K297" s="459">
        <f>EL!L211</f>
        <v>0</v>
      </c>
      <c r="L297" s="460" t="e" cm="1">
        <f t="array" aca="1" ref="L297" ca="1">_xlfn.IFS(AND($E297&lt;&gt;"",$M297="Pending",$K297="CTA"),TODAY()-$G297,AND($E297&lt;&gt;"",$M297="Pending",$K297="AUR"),TODAY()-$H297,AND($E297&lt;&gt;"",$M297="Pending",$K297="STT"),TODAY()-$I297,OR(K297="Closed",K297=""),"")</f>
        <v>#N/A</v>
      </c>
      <c r="M297" s="461">
        <f>VLOOKUP(C297,EL!$E$4:$AC$622,9,0)</f>
        <v>0</v>
      </c>
      <c r="N297" s="461" t="str">
        <f t="shared" si="10"/>
        <v/>
      </c>
      <c r="O297" s="739" t="str">
        <f>EL!O211</f>
        <v>GC</v>
      </c>
      <c r="P297" s="746" t="str">
        <v>NO</v>
      </c>
    </row>
    <row r="298" spans="1:16" s="385" customFormat="1" ht="27" hidden="1" customHeight="1">
      <c r="A298" s="399">
        <f t="shared" si="11"/>
        <v>205</v>
      </c>
      <c r="B298" s="477" t="s">
        <v>52</v>
      </c>
      <c r="C298" s="646" t="s">
        <v>1066</v>
      </c>
      <c r="D298" s="456" t="str">
        <f>_xlfn.XLOOKUP(C298,EL!$E$4:$E$390,EL!$D$4:$D$390)</f>
        <v xml:space="preserve">Level 6 - Public Address System Layout </v>
      </c>
      <c r="E298" s="597" t="str">
        <f>IF(VLOOKUP(C298,EL!$E$4:$AC$505,7,0)="","",VLOOKUP(C298,EL!$E$4:$AC$1004,7,0))</f>
        <v/>
      </c>
      <c r="F298" s="462"/>
      <c r="G298" s="458" t="str">
        <f>IF(VLOOKUP(C298,EL!$E$4:$AC$514,5,0)="","",VLOOKUP(C298,EL!$E$4:$AC$514,5,0))</f>
        <v/>
      </c>
      <c r="H298" s="459" t="str">
        <f>IF(ISNA(MATCH($C298,EL!$E$4:$E$1012,0)),"",
IF($E298=0,IF(INDEX(EL!$R$4:$R$1012,MATCH($C298,EL!$E$4:$E$1012,0))="","",INDEX(EL!$R$4:$R$1012,MATCH($C298,EL!$E$4:$E$1012,0))),
IF($E298=1,IF(INDEX(EL!$W$4:$W$1012,MATCH($C298,EL!$E$4:$E$1012,0))="","",INDEX(EL!$W$4:$W$1012,MATCH($C298,EL!$E$4:$E$1012,0))),
IF($E298=2,IF(INDEX(EL!$AB$4:$AB$1012,MATCH($C298,EL!$E$4:$E$1012,0))="","",INDEX(EL!$AB$4:$AB$1012,MATCH($C298,EL!$E$4:$E$1012,0))),
IF($E298=3,IF(INDEX(EL!$AG$4:$AG$1012,MATCH($C298,EL!$E$4:$E$1012,0))="","",INDEX(EL!$AG$4:$AG$1012,MATCH($C298,EL!$E$4:$E$1012,0))),
IF($E298=4,IF(INDEX(EL!$AN$4:$AN$1012,MATCH($C298,EL!$E$4:$E$1012,0))="","",INDEX(EL!$AN$4:$AN$1012,MATCH($C298,EL!$E$4:$E$1012,0))),
IF($E298=5,IF(INDEX(EL!$AS$4:$AS$1012,MATCH($C298,EL!$E$4:$E$1012,0))="","",INDEX(EL!$AS$4:$AS$1012,MATCH($C298,EL!$E$4:$E$1012,0))),"")))))))</f>
        <v/>
      </c>
      <c r="I298" s="459" t="str">
        <f>IF(ISNA(MATCH($C298,EL!$E$4:$E$1012,0)),"",
IF($E298=0,IF(INDEX(EL!$S$4:$S$1012,MATCH($C298,EL!$E$4:$E$1012,0))="","",INDEX(EL!$S$4:$S$1012,MATCH($C298,EL!$E$4:$E$1012,0))),
IF($E298=1,IF(INDEX(EL!$X$4:$X$1012,MATCH($C298,EL!$E$4:$E$1012,0))="","",INDEX(EL!$X$4:$X$1012,MATCH($C298,EL!$E$4:$E$1012,0))),
IF($E298=2,IF(INDEX(EL!$AC$4:$AC$1012,MATCH($C298,EL!$E$4:$E$1012,0))="","",INDEX(EL!$AC$4:$AC$1012,MATCH($C298,EL!$E$4:$E$1012,0))),
IF($E298=3,IF(INDEX(EL!$AH$4:$AH$1012,MATCH($C298,EL!$E$4:$E$1012,0))="","",INDEX(EL!$AH$4:$AH$1012,MATCH($C298,EL!$E$4:$E$1012,0))),
IF($E298=4,IF(INDEX(EL!$AM$4:$AM$1012,MATCH($C298,EL!$E$4:$E$1012,0))="","",INDEX(EL!$AM$4:$AM$1012,MATCH($C298,EL!$E$4:$E$1012,0))),
IF($E298=5,IF(INDEX(EL!$AR$4:$AR$1012,MATCH($C298,EL!$E$4:$E$1012,0))="","",INDEX(EL!$AR$4:$AR$1012,MATCH($C298,EL!$E$4:$E$1012,0))),"")))))))</f>
        <v/>
      </c>
      <c r="J298" s="459" t="str">
        <f>IF(ISNA(MATCH($C298,EL!$E$4:$E$1012,0)),"",
IF($E298=0,IF(INDEX(EL!$T$4:$T$1012,MATCH($C298,EL!$E$4:$E$1012,0))="","",INDEX(EL!$T$4:$T$1012,MATCH($C298,EL!$E$4:$E$1012,0))),
IF($E298=1,IF(INDEX(EL!$Y$4:$Y$1012,MATCH($C298,EL!$E$4:$E$1012,0))="","",INDEX(EL!$Y$4:$Y$1012,MATCH($C298,EL!$E$4:$E$1012,0))),
IF($E298=2,IF(INDEX(EL!$AD$4:$AD$1012,MATCH($C298,EL!$E$4:$E$1012,0))="","",INDEX(EL!$AD$4:$AD$1012,MATCH($C298,EL!$E$4:$E$1012,0))),
IF($E298=3,IF(INDEX(EL!$AI$4:$AI$1012,MATCH($C298,EL!$E$4:$E$1012,0))="","",INDEX(EL!$AI$4:$AI$1012,MATCH($C298,EL!$E$4:$E$1012,0))),
IF($E298=4,IF(INDEX(EL!$AN$4:$AN$1012,MATCH($C298,EL!$E$4:$E$1012,0))="","",INDEX(EL!$AN$4:$AN$1012,MATCH($C298,EL!$E$4:$E$1012,0))),
IF($E298=5,IF(INDEX(EL!$AS$4:$AS$1012,MATCH($C298,EL!$E$4:$E$1012,0))="","",INDEX(EL!$AS$4:$AS$1012,MATCH($C298,EL!$E$4:$E$1012,0))),"")))))))</f>
        <v/>
      </c>
      <c r="K298" s="459">
        <f>EL!L212</f>
        <v>0</v>
      </c>
      <c r="L298" s="460" t="e" cm="1">
        <f t="array" aca="1" ref="L298" ca="1">_xlfn.IFS(AND($E298&lt;&gt;"",$M298="Pending",$K298="CTA"),TODAY()-$G298,AND($E298&lt;&gt;"",$M298="Pending",$K298="AUR"),TODAY()-$H298,AND($E298&lt;&gt;"",$M298="Pending",$K298="STT"),TODAY()-$I298,OR(K298="Closed",K298=""),"")</f>
        <v>#N/A</v>
      </c>
      <c r="M298" s="461">
        <f>VLOOKUP(C298,EL!$E$4:$AC$622,9,0)</f>
        <v>0</v>
      </c>
      <c r="N298" s="461" t="str">
        <f t="shared" si="10"/>
        <v/>
      </c>
      <c r="O298" s="739" t="str">
        <f>EL!O212</f>
        <v>GC</v>
      </c>
      <c r="P298" s="746" t="str">
        <v>NO</v>
      </c>
    </row>
    <row r="299" spans="1:16" s="385" customFormat="1" ht="27" hidden="1" customHeight="1">
      <c r="A299" s="399">
        <f t="shared" si="11"/>
        <v>206</v>
      </c>
      <c r="B299" s="477" t="s">
        <v>52</v>
      </c>
      <c r="C299" s="646" t="s">
        <v>1069</v>
      </c>
      <c r="D299" s="456" t="str">
        <f>_xlfn.XLOOKUP(C299,EL!$E$4:$E$390,EL!$D$4:$D$390)</f>
        <v>Level 6 - Aspirated Smoke Detection Layout</v>
      </c>
      <c r="E299" s="597" t="str">
        <f>IF(VLOOKUP(C299,EL!$E$4:$AC$505,7,0)="","",VLOOKUP(C299,EL!$E$4:$AC$1004,7,0))</f>
        <v/>
      </c>
      <c r="F299" s="462"/>
      <c r="G299" s="458" t="str">
        <f>IF(VLOOKUP(C299,EL!$E$4:$AC$514,5,0)="","",VLOOKUP(C299,EL!$E$4:$AC$514,5,0))</f>
        <v/>
      </c>
      <c r="H299" s="459" t="str">
        <f>IF(ISNA(MATCH($C299,EL!$E$4:$E$1012,0)),"",
IF($E299=0,IF(INDEX(EL!$R$4:$R$1012,MATCH($C299,EL!$E$4:$E$1012,0))="","",INDEX(EL!$R$4:$R$1012,MATCH($C299,EL!$E$4:$E$1012,0))),
IF($E299=1,IF(INDEX(EL!$W$4:$W$1012,MATCH($C299,EL!$E$4:$E$1012,0))="","",INDEX(EL!$W$4:$W$1012,MATCH($C299,EL!$E$4:$E$1012,0))),
IF($E299=2,IF(INDEX(EL!$AB$4:$AB$1012,MATCH($C299,EL!$E$4:$E$1012,0))="","",INDEX(EL!$AB$4:$AB$1012,MATCH($C299,EL!$E$4:$E$1012,0))),
IF($E299=3,IF(INDEX(EL!$AG$4:$AG$1012,MATCH($C299,EL!$E$4:$E$1012,0))="","",INDEX(EL!$AG$4:$AG$1012,MATCH($C299,EL!$E$4:$E$1012,0))),
IF($E299=4,IF(INDEX(EL!$AN$4:$AN$1012,MATCH($C299,EL!$E$4:$E$1012,0))="","",INDEX(EL!$AN$4:$AN$1012,MATCH($C299,EL!$E$4:$E$1012,0))),
IF($E299=5,IF(INDEX(EL!$AS$4:$AS$1012,MATCH($C299,EL!$E$4:$E$1012,0))="","",INDEX(EL!$AS$4:$AS$1012,MATCH($C299,EL!$E$4:$E$1012,0))),"")))))))</f>
        <v/>
      </c>
      <c r="I299" s="459" t="str">
        <f>IF(ISNA(MATCH($C299,EL!$E$4:$E$1012,0)),"",
IF($E299=0,IF(INDEX(EL!$S$4:$S$1012,MATCH($C299,EL!$E$4:$E$1012,0))="","",INDEX(EL!$S$4:$S$1012,MATCH($C299,EL!$E$4:$E$1012,0))),
IF($E299=1,IF(INDEX(EL!$X$4:$X$1012,MATCH($C299,EL!$E$4:$E$1012,0))="","",INDEX(EL!$X$4:$X$1012,MATCH($C299,EL!$E$4:$E$1012,0))),
IF($E299=2,IF(INDEX(EL!$AC$4:$AC$1012,MATCH($C299,EL!$E$4:$E$1012,0))="","",INDEX(EL!$AC$4:$AC$1012,MATCH($C299,EL!$E$4:$E$1012,0))),
IF($E299=3,IF(INDEX(EL!$AH$4:$AH$1012,MATCH($C299,EL!$E$4:$E$1012,0))="","",INDEX(EL!$AH$4:$AH$1012,MATCH($C299,EL!$E$4:$E$1012,0))),
IF($E299=4,IF(INDEX(EL!$AM$4:$AM$1012,MATCH($C299,EL!$E$4:$E$1012,0))="","",INDEX(EL!$AM$4:$AM$1012,MATCH($C299,EL!$E$4:$E$1012,0))),
IF($E299=5,IF(INDEX(EL!$AR$4:$AR$1012,MATCH($C299,EL!$E$4:$E$1012,0))="","",INDEX(EL!$AR$4:$AR$1012,MATCH($C299,EL!$E$4:$E$1012,0))),"")))))))</f>
        <v/>
      </c>
      <c r="J299" s="459" t="str">
        <f>IF(ISNA(MATCH($C299,EL!$E$4:$E$1012,0)),"",
IF($E299=0,IF(INDEX(EL!$T$4:$T$1012,MATCH($C299,EL!$E$4:$E$1012,0))="","",INDEX(EL!$T$4:$T$1012,MATCH($C299,EL!$E$4:$E$1012,0))),
IF($E299=1,IF(INDEX(EL!$Y$4:$Y$1012,MATCH($C299,EL!$E$4:$E$1012,0))="","",INDEX(EL!$Y$4:$Y$1012,MATCH($C299,EL!$E$4:$E$1012,0))),
IF($E299=2,IF(INDEX(EL!$AD$4:$AD$1012,MATCH($C299,EL!$E$4:$E$1012,0))="","",INDEX(EL!$AD$4:$AD$1012,MATCH($C299,EL!$E$4:$E$1012,0))),
IF($E299=3,IF(INDEX(EL!$AI$4:$AI$1012,MATCH($C299,EL!$E$4:$E$1012,0))="","",INDEX(EL!$AI$4:$AI$1012,MATCH($C299,EL!$E$4:$E$1012,0))),
IF($E299=4,IF(INDEX(EL!$AN$4:$AN$1012,MATCH($C299,EL!$E$4:$E$1012,0))="","",INDEX(EL!$AN$4:$AN$1012,MATCH($C299,EL!$E$4:$E$1012,0))),
IF($E299=5,IF(INDEX(EL!$AS$4:$AS$1012,MATCH($C299,EL!$E$4:$E$1012,0))="","",INDEX(EL!$AS$4:$AS$1012,MATCH($C299,EL!$E$4:$E$1012,0))),"")))))))</f>
        <v/>
      </c>
      <c r="K299" s="459">
        <f>EL!L213</f>
        <v>0</v>
      </c>
      <c r="L299" s="460" t="e" cm="1">
        <f t="array" aca="1" ref="L299" ca="1">_xlfn.IFS(AND($E299&lt;&gt;"",$M299="Pending",$K299="CTA"),TODAY()-$G299,AND($E299&lt;&gt;"",$M299="Pending",$K299="AUR"),TODAY()-$H299,AND($E299&lt;&gt;"",$M299="Pending",$K299="STT"),TODAY()-$I299,OR(K299="Closed",K299=""),"")</f>
        <v>#N/A</v>
      </c>
      <c r="M299" s="461">
        <f>VLOOKUP(C299,EL!$E$4:$AC$622,9,0)</f>
        <v>0</v>
      </c>
      <c r="N299" s="461" t="str">
        <f t="shared" si="10"/>
        <v/>
      </c>
      <c r="O299" s="739" t="str">
        <f>EL!O213</f>
        <v>GC</v>
      </c>
      <c r="P299" s="746" t="str">
        <v>NO</v>
      </c>
    </row>
    <row r="300" spans="1:16" s="385" customFormat="1" ht="27" hidden="1" customHeight="1">
      <c r="A300" s="399">
        <f t="shared" si="11"/>
        <v>207</v>
      </c>
      <c r="B300" s="477" t="s">
        <v>52</v>
      </c>
      <c r="C300" s="646" t="s">
        <v>1072</v>
      </c>
      <c r="D300" s="456" t="str">
        <f>_xlfn.XLOOKUP(C300,EL!$E$4:$E$390,EL!$D$4:$D$390)</f>
        <v xml:space="preserve">Level Roof - Fire Alarm System Layout </v>
      </c>
      <c r="E300" s="597" t="str">
        <f>IF(VLOOKUP(C300,EL!$E$4:$AC$505,7,0)="","",VLOOKUP(C300,EL!$E$4:$AC$1004,7,0))</f>
        <v/>
      </c>
      <c r="F300" s="462"/>
      <c r="G300" s="458" t="str">
        <f>IF(VLOOKUP(C300,EL!$E$4:$AC$514,5,0)="","",VLOOKUP(C300,EL!$E$4:$AC$514,5,0))</f>
        <v/>
      </c>
      <c r="H300" s="459" t="str">
        <f>IF(ISNA(MATCH($C300,EL!$E$4:$E$1012,0)),"",
IF($E300=0,IF(INDEX(EL!$R$4:$R$1012,MATCH($C300,EL!$E$4:$E$1012,0))="","",INDEX(EL!$R$4:$R$1012,MATCH($C300,EL!$E$4:$E$1012,0))),
IF($E300=1,IF(INDEX(EL!$W$4:$W$1012,MATCH($C300,EL!$E$4:$E$1012,0))="","",INDEX(EL!$W$4:$W$1012,MATCH($C300,EL!$E$4:$E$1012,0))),
IF($E300=2,IF(INDEX(EL!$AB$4:$AB$1012,MATCH($C300,EL!$E$4:$E$1012,0))="","",INDEX(EL!$AB$4:$AB$1012,MATCH($C300,EL!$E$4:$E$1012,0))),
IF($E300=3,IF(INDEX(EL!$AG$4:$AG$1012,MATCH($C300,EL!$E$4:$E$1012,0))="","",INDEX(EL!$AG$4:$AG$1012,MATCH($C300,EL!$E$4:$E$1012,0))),
IF($E300=4,IF(INDEX(EL!$AN$4:$AN$1012,MATCH($C300,EL!$E$4:$E$1012,0))="","",INDEX(EL!$AN$4:$AN$1012,MATCH($C300,EL!$E$4:$E$1012,0))),
IF($E300=5,IF(INDEX(EL!$AS$4:$AS$1012,MATCH($C300,EL!$E$4:$E$1012,0))="","",INDEX(EL!$AS$4:$AS$1012,MATCH($C300,EL!$E$4:$E$1012,0))),"")))))))</f>
        <v/>
      </c>
      <c r="I300" s="459" t="str">
        <f>IF(ISNA(MATCH($C300,EL!$E$4:$E$1012,0)),"",
IF($E300=0,IF(INDEX(EL!$S$4:$S$1012,MATCH($C300,EL!$E$4:$E$1012,0))="","",INDEX(EL!$S$4:$S$1012,MATCH($C300,EL!$E$4:$E$1012,0))),
IF($E300=1,IF(INDEX(EL!$X$4:$X$1012,MATCH($C300,EL!$E$4:$E$1012,0))="","",INDEX(EL!$X$4:$X$1012,MATCH($C300,EL!$E$4:$E$1012,0))),
IF($E300=2,IF(INDEX(EL!$AC$4:$AC$1012,MATCH($C300,EL!$E$4:$E$1012,0))="","",INDEX(EL!$AC$4:$AC$1012,MATCH($C300,EL!$E$4:$E$1012,0))),
IF($E300=3,IF(INDEX(EL!$AH$4:$AH$1012,MATCH($C300,EL!$E$4:$E$1012,0))="","",INDEX(EL!$AH$4:$AH$1012,MATCH($C300,EL!$E$4:$E$1012,0))),
IF($E300=4,IF(INDEX(EL!$AM$4:$AM$1012,MATCH($C300,EL!$E$4:$E$1012,0))="","",INDEX(EL!$AM$4:$AM$1012,MATCH($C300,EL!$E$4:$E$1012,0))),
IF($E300=5,IF(INDEX(EL!$AR$4:$AR$1012,MATCH($C300,EL!$E$4:$E$1012,0))="","",INDEX(EL!$AR$4:$AR$1012,MATCH($C300,EL!$E$4:$E$1012,0))),"")))))))</f>
        <v/>
      </c>
      <c r="J300" s="459" t="str">
        <f>IF(ISNA(MATCH($C300,EL!$E$4:$E$1012,0)),"",
IF($E300=0,IF(INDEX(EL!$T$4:$T$1012,MATCH($C300,EL!$E$4:$E$1012,0))="","",INDEX(EL!$T$4:$T$1012,MATCH($C300,EL!$E$4:$E$1012,0))),
IF($E300=1,IF(INDEX(EL!$Y$4:$Y$1012,MATCH($C300,EL!$E$4:$E$1012,0))="","",INDEX(EL!$Y$4:$Y$1012,MATCH($C300,EL!$E$4:$E$1012,0))),
IF($E300=2,IF(INDEX(EL!$AD$4:$AD$1012,MATCH($C300,EL!$E$4:$E$1012,0))="","",INDEX(EL!$AD$4:$AD$1012,MATCH($C300,EL!$E$4:$E$1012,0))),
IF($E300=3,IF(INDEX(EL!$AI$4:$AI$1012,MATCH($C300,EL!$E$4:$E$1012,0))="","",INDEX(EL!$AI$4:$AI$1012,MATCH($C300,EL!$E$4:$E$1012,0))),
IF($E300=4,IF(INDEX(EL!$AN$4:$AN$1012,MATCH($C300,EL!$E$4:$E$1012,0))="","",INDEX(EL!$AN$4:$AN$1012,MATCH($C300,EL!$E$4:$E$1012,0))),
IF($E300=5,IF(INDEX(EL!$AS$4:$AS$1012,MATCH($C300,EL!$E$4:$E$1012,0))="","",INDEX(EL!$AS$4:$AS$1012,MATCH($C300,EL!$E$4:$E$1012,0))),"")))))))</f>
        <v/>
      </c>
      <c r="K300" s="459">
        <f>EL!L214</f>
        <v>0</v>
      </c>
      <c r="L300" s="460" t="e" cm="1">
        <f t="array" aca="1" ref="L300" ca="1">_xlfn.IFS(AND($E300&lt;&gt;"",$M300="Pending",$K300="CTA"),TODAY()-$G300,AND($E300&lt;&gt;"",$M300="Pending",$K300="AUR"),TODAY()-$H300,AND($E300&lt;&gt;"",$M300="Pending",$K300="STT"),TODAY()-$I300,OR(K300="Closed",K300=""),"")</f>
        <v>#N/A</v>
      </c>
      <c r="M300" s="461">
        <f>VLOOKUP(C300,EL!$E$4:$AC$622,9,0)</f>
        <v>0</v>
      </c>
      <c r="N300" s="461" t="str">
        <f t="shared" si="10"/>
        <v/>
      </c>
      <c r="O300" s="739" t="str">
        <f>EL!O214</f>
        <v>GC</v>
      </c>
      <c r="P300" s="746" t="str">
        <v>NO</v>
      </c>
    </row>
    <row r="301" spans="1:16" s="385" customFormat="1" ht="27" hidden="1" customHeight="1">
      <c r="A301" s="399">
        <f t="shared" si="11"/>
        <v>208</v>
      </c>
      <c r="B301" s="477" t="s">
        <v>52</v>
      </c>
      <c r="C301" s="646" t="s">
        <v>1075</v>
      </c>
      <c r="D301" s="456" t="str">
        <f>_xlfn.XLOOKUP(C301,EL!$E$4:$E$390,EL!$D$4:$D$390)</f>
        <v xml:space="preserve">Level Roof - Public Address System Layout </v>
      </c>
      <c r="E301" s="597" t="str">
        <f>IF(VLOOKUP(C301,EL!$E$4:$AC$505,7,0)="","",VLOOKUP(C301,EL!$E$4:$AC$1004,7,0))</f>
        <v/>
      </c>
      <c r="F301" s="462"/>
      <c r="G301" s="458" t="str">
        <f>IF(VLOOKUP(C301,EL!$E$4:$AC$514,5,0)="","",VLOOKUP(C301,EL!$E$4:$AC$514,5,0))</f>
        <v/>
      </c>
      <c r="H301" s="459" t="str">
        <f>IF(ISNA(MATCH($C301,EL!$E$4:$E$1012,0)),"",
IF($E301=0,IF(INDEX(EL!$R$4:$R$1012,MATCH($C301,EL!$E$4:$E$1012,0))="","",INDEX(EL!$R$4:$R$1012,MATCH($C301,EL!$E$4:$E$1012,0))),
IF($E301=1,IF(INDEX(EL!$W$4:$W$1012,MATCH($C301,EL!$E$4:$E$1012,0))="","",INDEX(EL!$W$4:$W$1012,MATCH($C301,EL!$E$4:$E$1012,0))),
IF($E301=2,IF(INDEX(EL!$AB$4:$AB$1012,MATCH($C301,EL!$E$4:$E$1012,0))="","",INDEX(EL!$AB$4:$AB$1012,MATCH($C301,EL!$E$4:$E$1012,0))),
IF($E301=3,IF(INDEX(EL!$AG$4:$AG$1012,MATCH($C301,EL!$E$4:$E$1012,0))="","",INDEX(EL!$AG$4:$AG$1012,MATCH($C301,EL!$E$4:$E$1012,0))),
IF($E301=4,IF(INDEX(EL!$AN$4:$AN$1012,MATCH($C301,EL!$E$4:$E$1012,0))="","",INDEX(EL!$AN$4:$AN$1012,MATCH($C301,EL!$E$4:$E$1012,0))),
IF($E301=5,IF(INDEX(EL!$AS$4:$AS$1012,MATCH($C301,EL!$E$4:$E$1012,0))="","",INDEX(EL!$AS$4:$AS$1012,MATCH($C301,EL!$E$4:$E$1012,0))),"")))))))</f>
        <v/>
      </c>
      <c r="I301" s="459" t="str">
        <f>IF(ISNA(MATCH($C301,EL!$E$4:$E$1012,0)),"",
IF($E301=0,IF(INDEX(EL!$S$4:$S$1012,MATCH($C301,EL!$E$4:$E$1012,0))="","",INDEX(EL!$S$4:$S$1012,MATCH($C301,EL!$E$4:$E$1012,0))),
IF($E301=1,IF(INDEX(EL!$X$4:$X$1012,MATCH($C301,EL!$E$4:$E$1012,0))="","",INDEX(EL!$X$4:$X$1012,MATCH($C301,EL!$E$4:$E$1012,0))),
IF($E301=2,IF(INDEX(EL!$AC$4:$AC$1012,MATCH($C301,EL!$E$4:$E$1012,0))="","",INDEX(EL!$AC$4:$AC$1012,MATCH($C301,EL!$E$4:$E$1012,0))),
IF($E301=3,IF(INDEX(EL!$AH$4:$AH$1012,MATCH($C301,EL!$E$4:$E$1012,0))="","",INDEX(EL!$AH$4:$AH$1012,MATCH($C301,EL!$E$4:$E$1012,0))),
IF($E301=4,IF(INDEX(EL!$AM$4:$AM$1012,MATCH($C301,EL!$E$4:$E$1012,0))="","",INDEX(EL!$AM$4:$AM$1012,MATCH($C301,EL!$E$4:$E$1012,0))),
IF($E301=5,IF(INDEX(EL!$AR$4:$AR$1012,MATCH($C301,EL!$E$4:$E$1012,0))="","",INDEX(EL!$AR$4:$AR$1012,MATCH($C301,EL!$E$4:$E$1012,0))),"")))))))</f>
        <v/>
      </c>
      <c r="J301" s="459" t="str">
        <f>IF(ISNA(MATCH($C301,EL!$E$4:$E$1012,0)),"",
IF($E301=0,IF(INDEX(EL!$T$4:$T$1012,MATCH($C301,EL!$E$4:$E$1012,0))="","",INDEX(EL!$T$4:$T$1012,MATCH($C301,EL!$E$4:$E$1012,0))),
IF($E301=1,IF(INDEX(EL!$Y$4:$Y$1012,MATCH($C301,EL!$E$4:$E$1012,0))="","",INDEX(EL!$Y$4:$Y$1012,MATCH($C301,EL!$E$4:$E$1012,0))),
IF($E301=2,IF(INDEX(EL!$AD$4:$AD$1012,MATCH($C301,EL!$E$4:$E$1012,0))="","",INDEX(EL!$AD$4:$AD$1012,MATCH($C301,EL!$E$4:$E$1012,0))),
IF($E301=3,IF(INDEX(EL!$AI$4:$AI$1012,MATCH($C301,EL!$E$4:$E$1012,0))="","",INDEX(EL!$AI$4:$AI$1012,MATCH($C301,EL!$E$4:$E$1012,0))),
IF($E301=4,IF(INDEX(EL!$AN$4:$AN$1012,MATCH($C301,EL!$E$4:$E$1012,0))="","",INDEX(EL!$AN$4:$AN$1012,MATCH($C301,EL!$E$4:$E$1012,0))),
IF($E301=5,IF(INDEX(EL!$AS$4:$AS$1012,MATCH($C301,EL!$E$4:$E$1012,0))="","",INDEX(EL!$AS$4:$AS$1012,MATCH($C301,EL!$E$4:$E$1012,0))),"")))))))</f>
        <v/>
      </c>
      <c r="K301" s="459">
        <f>EL!L215</f>
        <v>0</v>
      </c>
      <c r="L301" s="460" t="e" cm="1">
        <f t="array" aca="1" ref="L301" ca="1">_xlfn.IFS(AND($E301&lt;&gt;"",$M301="Pending",$K301="CTA"),TODAY()-$G301,AND($E301&lt;&gt;"",$M301="Pending",$K301="AUR"),TODAY()-$H301,AND($E301&lt;&gt;"",$M301="Pending",$K301="STT"),TODAY()-$I301,OR(K301="Closed",K301=""),"")</f>
        <v>#N/A</v>
      </c>
      <c r="M301" s="461">
        <f>VLOOKUP(C301,EL!$E$4:$AC$622,9,0)</f>
        <v>0</v>
      </c>
      <c r="N301" s="461" t="str">
        <f t="shared" si="10"/>
        <v/>
      </c>
      <c r="O301" s="739" t="str">
        <f>EL!O215</f>
        <v>GC</v>
      </c>
      <c r="P301" s="746" t="str">
        <v>NO</v>
      </c>
    </row>
    <row r="302" spans="1:16" s="385" customFormat="1" ht="27" customHeight="1">
      <c r="A302" s="399">
        <f t="shared" si="11"/>
        <v>209</v>
      </c>
      <c r="B302" s="477" t="s">
        <v>52</v>
      </c>
      <c r="C302" s="646" t="s">
        <v>1078</v>
      </c>
      <c r="D302" s="456" t="str">
        <f>_xlfn.XLOOKUP(C302,EL!$E$4:$E$390,EL!$D$4:$D$390)</f>
        <v>Level 1 - Security CCTV System Layout</v>
      </c>
      <c r="E302" s="597">
        <f>IF(VLOOKUP(C302,EL!$E$4:$AC$505,7,0)="","",VLOOKUP(C302,EL!$E$4:$AC$1004,7,0))</f>
        <v>1</v>
      </c>
      <c r="F302" s="462"/>
      <c r="G302" s="458">
        <f>IF(VLOOKUP(C302,EL!$E$4:$AC$514,5,0)="","",VLOOKUP(C302,EL!$E$4:$AC$514,5,0))</f>
        <v>46065</v>
      </c>
      <c r="H302" s="459" t="str">
        <f>IF(ISNA(MATCH($C302,EL!$E$4:$E$1012,0)),"",
IF($E302=0,IF(INDEX(EL!$R$4:$R$1012,MATCH($C302,EL!$E$4:$E$1012,0))="","",INDEX(EL!$R$4:$R$1012,MATCH($C302,EL!$E$4:$E$1012,0))),
IF($E302=1,IF(INDEX(EL!$W$4:$W$1012,MATCH($C302,EL!$E$4:$E$1012,0))="","",INDEX(EL!$W$4:$W$1012,MATCH($C302,EL!$E$4:$E$1012,0))),
IF($E302=2,IF(INDEX(EL!$AB$4:$AB$1012,MATCH($C302,EL!$E$4:$E$1012,0))="","",INDEX(EL!$AB$4:$AB$1012,MATCH($C302,EL!$E$4:$E$1012,0))),
IF($E302=3,IF(INDEX(EL!$AG$4:$AG$1012,MATCH($C302,EL!$E$4:$E$1012,0))="","",INDEX(EL!$AG$4:$AG$1012,MATCH($C302,EL!$E$4:$E$1012,0))),
IF($E302=4,IF(INDEX(EL!$AN$4:$AN$1012,MATCH($C302,EL!$E$4:$E$1012,0))="","",INDEX(EL!$AN$4:$AN$1012,MATCH($C302,EL!$E$4:$E$1012,0))),
IF($E302=5,IF(INDEX(EL!$AS$4:$AS$1012,MATCH($C302,EL!$E$4:$E$1012,0))="","",INDEX(EL!$AS$4:$AS$1012,MATCH($C302,EL!$E$4:$E$1012,0))),"")))))))</f>
        <v/>
      </c>
      <c r="I302" s="459" t="str">
        <f>IF(ISNA(MATCH($C302,EL!$E$4:$E$1012,0)),"",
IF($E302=0,IF(INDEX(EL!$S$4:$S$1012,MATCH($C302,EL!$E$4:$E$1012,0))="","",INDEX(EL!$S$4:$S$1012,MATCH($C302,EL!$E$4:$E$1012,0))),
IF($E302=1,IF(INDEX(EL!$X$4:$X$1012,MATCH($C302,EL!$E$4:$E$1012,0))="","",INDEX(EL!$X$4:$X$1012,MATCH($C302,EL!$E$4:$E$1012,0))),
IF($E302=2,IF(INDEX(EL!$AC$4:$AC$1012,MATCH($C302,EL!$E$4:$E$1012,0))="","",INDEX(EL!$AC$4:$AC$1012,MATCH($C302,EL!$E$4:$E$1012,0))),
IF($E302=3,IF(INDEX(EL!$AH$4:$AH$1012,MATCH($C302,EL!$E$4:$E$1012,0))="","",INDEX(EL!$AH$4:$AH$1012,MATCH($C302,EL!$E$4:$E$1012,0))),
IF($E302=4,IF(INDEX(EL!$AM$4:$AM$1012,MATCH($C302,EL!$E$4:$E$1012,0))="","",INDEX(EL!$AM$4:$AM$1012,MATCH($C302,EL!$E$4:$E$1012,0))),
IF($E302=5,IF(INDEX(EL!$AR$4:$AR$1012,MATCH($C302,EL!$E$4:$E$1012,0))="","",INDEX(EL!$AR$4:$AR$1012,MATCH($C302,EL!$E$4:$E$1012,0))),"")))))))</f>
        <v/>
      </c>
      <c r="J302" s="459" t="str">
        <f>IF(ISNA(MATCH($C302,EL!$E$4:$E$1012,0)),"",
IF($E302=0,IF(INDEX(EL!$T$4:$T$1012,MATCH($C302,EL!$E$4:$E$1012,0))="","",INDEX(EL!$T$4:$T$1012,MATCH($C302,EL!$E$4:$E$1012,0))),
IF($E302=1,IF(INDEX(EL!$Y$4:$Y$1012,MATCH($C302,EL!$E$4:$E$1012,0))="","",INDEX(EL!$Y$4:$Y$1012,MATCH($C302,EL!$E$4:$E$1012,0))),
IF($E302=2,IF(INDEX(EL!$AD$4:$AD$1012,MATCH($C302,EL!$E$4:$E$1012,0))="","",INDEX(EL!$AD$4:$AD$1012,MATCH($C302,EL!$E$4:$E$1012,0))),
IF($E302=3,IF(INDEX(EL!$AI$4:$AI$1012,MATCH($C302,EL!$E$4:$E$1012,0))="","",INDEX(EL!$AI$4:$AI$1012,MATCH($C302,EL!$E$4:$E$1012,0))),
IF($E302=4,IF(INDEX(EL!$AN$4:$AN$1012,MATCH($C302,EL!$E$4:$E$1012,0))="","",INDEX(EL!$AN$4:$AN$1012,MATCH($C302,EL!$E$4:$E$1012,0))),
IF($E302=5,IF(INDEX(EL!$AS$4:$AS$1012,MATCH($C302,EL!$E$4:$E$1012,0))="","",INDEX(EL!$AS$4:$AS$1012,MATCH($C302,EL!$E$4:$E$1012,0))),"")))))))</f>
        <v/>
      </c>
      <c r="K302" s="459" t="str">
        <f>EL!L216</f>
        <v>CTA</v>
      </c>
      <c r="L302" s="460" cm="1">
        <f t="array" aca="1" ref="L302" ca="1">_xlfn.IFS(AND($E302&lt;&gt;"",$M302="Pending",$K302="CTA"),TODAY()-$G302,AND($E302&lt;&gt;"",$M302="Pending",$K302="AUR"),TODAY()-$H302,AND($E302&lt;&gt;"",$M302="Pending",$K302="STT"),TODAY()-$I302,OR(K302="Closed",K302=""),"")</f>
        <v>1</v>
      </c>
      <c r="M302" s="461" t="str">
        <f>VLOOKUP(C302,EL!$E$4:$AC$622,9,0)</f>
        <v>Pending</v>
      </c>
      <c r="N302" s="461" t="str">
        <f t="shared" ca="1" si="10"/>
        <v/>
      </c>
      <c r="O302" s="739" t="str">
        <f>EL!O216</f>
        <v>GC</v>
      </c>
      <c r="P302" s="746" t="str">
        <v>NO</v>
      </c>
    </row>
    <row r="303" spans="1:16" s="385" customFormat="1" ht="27" hidden="1" customHeight="1">
      <c r="A303" s="399">
        <f t="shared" si="11"/>
        <v>210</v>
      </c>
      <c r="B303" s="477" t="s">
        <v>52</v>
      </c>
      <c r="C303" s="646" t="s">
        <v>1081</v>
      </c>
      <c r="D303" s="456" t="str">
        <f>_xlfn.XLOOKUP(C303,EL!$E$4:$E$390,EL!$D$4:$D$390)</f>
        <v>Level 1 - Security Access Control System Layout</v>
      </c>
      <c r="E303" s="597" t="str">
        <f>IF(VLOOKUP(C303,EL!$E$4:$AC$505,7,0)="","",VLOOKUP(C303,EL!$E$4:$AC$1004,7,0))</f>
        <v/>
      </c>
      <c r="F303" s="462"/>
      <c r="G303" s="458" t="str">
        <f>IF(VLOOKUP(C303,EL!$E$4:$AC$514,5,0)="","",VLOOKUP(C303,EL!$E$4:$AC$514,5,0))</f>
        <v/>
      </c>
      <c r="H303" s="459" t="str">
        <f>IF(ISNA(MATCH($C303,EL!$E$4:$E$1012,0)),"",
IF($E303=0,IF(INDEX(EL!$R$4:$R$1012,MATCH($C303,EL!$E$4:$E$1012,0))="","",INDEX(EL!$R$4:$R$1012,MATCH($C303,EL!$E$4:$E$1012,0))),
IF($E303=1,IF(INDEX(EL!$W$4:$W$1012,MATCH($C303,EL!$E$4:$E$1012,0))="","",INDEX(EL!$W$4:$W$1012,MATCH($C303,EL!$E$4:$E$1012,0))),
IF($E303=2,IF(INDEX(EL!$AB$4:$AB$1012,MATCH($C303,EL!$E$4:$E$1012,0))="","",INDEX(EL!$AB$4:$AB$1012,MATCH($C303,EL!$E$4:$E$1012,0))),
IF($E303=3,IF(INDEX(EL!$AG$4:$AG$1012,MATCH($C303,EL!$E$4:$E$1012,0))="","",INDEX(EL!$AG$4:$AG$1012,MATCH($C303,EL!$E$4:$E$1012,0))),
IF($E303=4,IF(INDEX(EL!$AN$4:$AN$1012,MATCH($C303,EL!$E$4:$E$1012,0))="","",INDEX(EL!$AN$4:$AN$1012,MATCH($C303,EL!$E$4:$E$1012,0))),
IF($E303=5,IF(INDEX(EL!$AS$4:$AS$1012,MATCH($C303,EL!$E$4:$E$1012,0))="","",INDEX(EL!$AS$4:$AS$1012,MATCH($C303,EL!$E$4:$E$1012,0))),"")))))))</f>
        <v/>
      </c>
      <c r="I303" s="459" t="str">
        <f>IF(ISNA(MATCH($C303,EL!$E$4:$E$1012,0)),"",
IF($E303=0,IF(INDEX(EL!$S$4:$S$1012,MATCH($C303,EL!$E$4:$E$1012,0))="","",INDEX(EL!$S$4:$S$1012,MATCH($C303,EL!$E$4:$E$1012,0))),
IF($E303=1,IF(INDEX(EL!$X$4:$X$1012,MATCH($C303,EL!$E$4:$E$1012,0))="","",INDEX(EL!$X$4:$X$1012,MATCH($C303,EL!$E$4:$E$1012,0))),
IF($E303=2,IF(INDEX(EL!$AC$4:$AC$1012,MATCH($C303,EL!$E$4:$E$1012,0))="","",INDEX(EL!$AC$4:$AC$1012,MATCH($C303,EL!$E$4:$E$1012,0))),
IF($E303=3,IF(INDEX(EL!$AH$4:$AH$1012,MATCH($C303,EL!$E$4:$E$1012,0))="","",INDEX(EL!$AH$4:$AH$1012,MATCH($C303,EL!$E$4:$E$1012,0))),
IF($E303=4,IF(INDEX(EL!$AM$4:$AM$1012,MATCH($C303,EL!$E$4:$E$1012,0))="","",INDEX(EL!$AM$4:$AM$1012,MATCH($C303,EL!$E$4:$E$1012,0))),
IF($E303=5,IF(INDEX(EL!$AR$4:$AR$1012,MATCH($C303,EL!$E$4:$E$1012,0))="","",INDEX(EL!$AR$4:$AR$1012,MATCH($C303,EL!$E$4:$E$1012,0))),"")))))))</f>
        <v/>
      </c>
      <c r="J303" s="459" t="str">
        <f>IF(ISNA(MATCH($C303,EL!$E$4:$E$1012,0)),"",
IF($E303=0,IF(INDEX(EL!$T$4:$T$1012,MATCH($C303,EL!$E$4:$E$1012,0))="","",INDEX(EL!$T$4:$T$1012,MATCH($C303,EL!$E$4:$E$1012,0))),
IF($E303=1,IF(INDEX(EL!$Y$4:$Y$1012,MATCH($C303,EL!$E$4:$E$1012,0))="","",INDEX(EL!$Y$4:$Y$1012,MATCH($C303,EL!$E$4:$E$1012,0))),
IF($E303=2,IF(INDEX(EL!$AD$4:$AD$1012,MATCH($C303,EL!$E$4:$E$1012,0))="","",INDEX(EL!$AD$4:$AD$1012,MATCH($C303,EL!$E$4:$E$1012,0))),
IF($E303=3,IF(INDEX(EL!$AI$4:$AI$1012,MATCH($C303,EL!$E$4:$E$1012,0))="","",INDEX(EL!$AI$4:$AI$1012,MATCH($C303,EL!$E$4:$E$1012,0))),
IF($E303=4,IF(INDEX(EL!$AN$4:$AN$1012,MATCH($C303,EL!$E$4:$E$1012,0))="","",INDEX(EL!$AN$4:$AN$1012,MATCH($C303,EL!$E$4:$E$1012,0))),
IF($E303=5,IF(INDEX(EL!$AS$4:$AS$1012,MATCH($C303,EL!$E$4:$E$1012,0))="","",INDEX(EL!$AS$4:$AS$1012,MATCH($C303,EL!$E$4:$E$1012,0))),"")))))))</f>
        <v/>
      </c>
      <c r="K303" s="459">
        <f>EL!L217</f>
        <v>0</v>
      </c>
      <c r="L303" s="460" t="e" cm="1">
        <f t="array" aca="1" ref="L303" ca="1">_xlfn.IFS(AND($E303&lt;&gt;"",$M303="Pending",$K303="CTA"),TODAY()-$G303,AND($E303&lt;&gt;"",$M303="Pending",$K303="AUR"),TODAY()-$H303,AND($E303&lt;&gt;"",$M303="Pending",$K303="STT"),TODAY()-$I303,OR(K303="Closed",K303=""),"")</f>
        <v>#N/A</v>
      </c>
      <c r="M303" s="461">
        <f>VLOOKUP(C303,EL!$E$4:$AC$622,9,0)</f>
        <v>0</v>
      </c>
      <c r="N303" s="461" t="str">
        <f t="shared" si="10"/>
        <v/>
      </c>
      <c r="O303" s="739" t="str">
        <f>EL!O217</f>
        <v>GC</v>
      </c>
      <c r="P303" s="746" t="str">
        <v>NO</v>
      </c>
    </row>
    <row r="304" spans="1:16" s="385" customFormat="1" ht="27" hidden="1" customHeight="1">
      <c r="A304" s="399">
        <f t="shared" si="11"/>
        <v>211</v>
      </c>
      <c r="B304" s="477" t="s">
        <v>52</v>
      </c>
      <c r="C304" s="646" t="s">
        <v>1084</v>
      </c>
      <c r="D304" s="456" t="str">
        <f>_xlfn.XLOOKUP(C304,EL!$E$4:$E$390,EL!$D$4:$D$390)</f>
        <v>Level 2 - Security CCTV System Layout</v>
      </c>
      <c r="E304" s="597" t="str">
        <f>IF(VLOOKUP(C304,EL!$E$4:$AC$505,7,0)="","",VLOOKUP(C304,EL!$E$4:$AC$1004,7,0))</f>
        <v/>
      </c>
      <c r="F304" s="462"/>
      <c r="G304" s="458" t="str">
        <f>IF(VLOOKUP(C304,EL!$E$4:$AC$514,5,0)="","",VLOOKUP(C304,EL!$E$4:$AC$514,5,0))</f>
        <v/>
      </c>
      <c r="H304" s="459" t="str">
        <f>IF(ISNA(MATCH($C304,EL!$E$4:$E$1012,0)),"",
IF($E304=0,IF(INDEX(EL!$R$4:$R$1012,MATCH($C304,EL!$E$4:$E$1012,0))="","",INDEX(EL!$R$4:$R$1012,MATCH($C304,EL!$E$4:$E$1012,0))),
IF($E304=1,IF(INDEX(EL!$W$4:$W$1012,MATCH($C304,EL!$E$4:$E$1012,0))="","",INDEX(EL!$W$4:$W$1012,MATCH($C304,EL!$E$4:$E$1012,0))),
IF($E304=2,IF(INDEX(EL!$AB$4:$AB$1012,MATCH($C304,EL!$E$4:$E$1012,0))="","",INDEX(EL!$AB$4:$AB$1012,MATCH($C304,EL!$E$4:$E$1012,0))),
IF($E304=3,IF(INDEX(EL!$AG$4:$AG$1012,MATCH($C304,EL!$E$4:$E$1012,0))="","",INDEX(EL!$AG$4:$AG$1012,MATCH($C304,EL!$E$4:$E$1012,0))),
IF($E304=4,IF(INDEX(EL!$AN$4:$AN$1012,MATCH($C304,EL!$E$4:$E$1012,0))="","",INDEX(EL!$AN$4:$AN$1012,MATCH($C304,EL!$E$4:$E$1012,0))),
IF($E304=5,IF(INDEX(EL!$AS$4:$AS$1012,MATCH($C304,EL!$E$4:$E$1012,0))="","",INDEX(EL!$AS$4:$AS$1012,MATCH($C304,EL!$E$4:$E$1012,0))),"")))))))</f>
        <v/>
      </c>
      <c r="I304" s="459" t="str">
        <f>IF(ISNA(MATCH($C304,EL!$E$4:$E$1012,0)),"",
IF($E304=0,IF(INDEX(EL!$S$4:$S$1012,MATCH($C304,EL!$E$4:$E$1012,0))="","",INDEX(EL!$S$4:$S$1012,MATCH($C304,EL!$E$4:$E$1012,0))),
IF($E304=1,IF(INDEX(EL!$X$4:$X$1012,MATCH($C304,EL!$E$4:$E$1012,0))="","",INDEX(EL!$X$4:$X$1012,MATCH($C304,EL!$E$4:$E$1012,0))),
IF($E304=2,IF(INDEX(EL!$AC$4:$AC$1012,MATCH($C304,EL!$E$4:$E$1012,0))="","",INDEX(EL!$AC$4:$AC$1012,MATCH($C304,EL!$E$4:$E$1012,0))),
IF($E304=3,IF(INDEX(EL!$AH$4:$AH$1012,MATCH($C304,EL!$E$4:$E$1012,0))="","",INDEX(EL!$AH$4:$AH$1012,MATCH($C304,EL!$E$4:$E$1012,0))),
IF($E304=4,IF(INDEX(EL!$AM$4:$AM$1012,MATCH($C304,EL!$E$4:$E$1012,0))="","",INDEX(EL!$AM$4:$AM$1012,MATCH($C304,EL!$E$4:$E$1012,0))),
IF($E304=5,IF(INDEX(EL!$AR$4:$AR$1012,MATCH($C304,EL!$E$4:$E$1012,0))="","",INDEX(EL!$AR$4:$AR$1012,MATCH($C304,EL!$E$4:$E$1012,0))),"")))))))</f>
        <v/>
      </c>
      <c r="J304" s="459" t="str">
        <f>IF(ISNA(MATCH($C304,EL!$E$4:$E$1012,0)),"",
IF($E304=0,IF(INDEX(EL!$T$4:$T$1012,MATCH($C304,EL!$E$4:$E$1012,0))="","",INDEX(EL!$T$4:$T$1012,MATCH($C304,EL!$E$4:$E$1012,0))),
IF($E304=1,IF(INDEX(EL!$Y$4:$Y$1012,MATCH($C304,EL!$E$4:$E$1012,0))="","",INDEX(EL!$Y$4:$Y$1012,MATCH($C304,EL!$E$4:$E$1012,0))),
IF($E304=2,IF(INDEX(EL!$AD$4:$AD$1012,MATCH($C304,EL!$E$4:$E$1012,0))="","",INDEX(EL!$AD$4:$AD$1012,MATCH($C304,EL!$E$4:$E$1012,0))),
IF($E304=3,IF(INDEX(EL!$AI$4:$AI$1012,MATCH($C304,EL!$E$4:$E$1012,0))="","",INDEX(EL!$AI$4:$AI$1012,MATCH($C304,EL!$E$4:$E$1012,0))),
IF($E304=4,IF(INDEX(EL!$AN$4:$AN$1012,MATCH($C304,EL!$E$4:$E$1012,0))="","",INDEX(EL!$AN$4:$AN$1012,MATCH($C304,EL!$E$4:$E$1012,0))),
IF($E304=5,IF(INDEX(EL!$AS$4:$AS$1012,MATCH($C304,EL!$E$4:$E$1012,0))="","",INDEX(EL!$AS$4:$AS$1012,MATCH($C304,EL!$E$4:$E$1012,0))),"")))))))</f>
        <v/>
      </c>
      <c r="K304" s="459">
        <f>EL!L218</f>
        <v>0</v>
      </c>
      <c r="L304" s="460" t="e" cm="1">
        <f t="array" aca="1" ref="L304" ca="1">_xlfn.IFS(AND($E304&lt;&gt;"",$M304="Pending",$K304="CTA"),TODAY()-$G304,AND($E304&lt;&gt;"",$M304="Pending",$K304="AUR"),TODAY()-$H304,AND($E304&lt;&gt;"",$M304="Pending",$K304="STT"),TODAY()-$I304,OR(K304="Closed",K304=""),"")</f>
        <v>#N/A</v>
      </c>
      <c r="M304" s="461">
        <f>VLOOKUP(C304,EL!$E$4:$AC$622,9,0)</f>
        <v>0</v>
      </c>
      <c r="N304" s="461" t="str">
        <f t="shared" si="10"/>
        <v/>
      </c>
      <c r="O304" s="739" t="str">
        <f>EL!O218</f>
        <v>GC</v>
      </c>
      <c r="P304" s="746" t="str">
        <v>NO</v>
      </c>
    </row>
    <row r="305" spans="1:16" s="385" customFormat="1" ht="27" hidden="1" customHeight="1">
      <c r="A305" s="399">
        <f t="shared" si="11"/>
        <v>212</v>
      </c>
      <c r="B305" s="477" t="s">
        <v>52</v>
      </c>
      <c r="C305" s="646" t="s">
        <v>1087</v>
      </c>
      <c r="D305" s="456" t="str">
        <f>_xlfn.XLOOKUP(C305,EL!$E$4:$E$390,EL!$D$4:$D$390)</f>
        <v>Level 2 - Security Access Control System Layout</v>
      </c>
      <c r="E305" s="597" t="str">
        <f>IF(VLOOKUP(C305,EL!$E$4:$AC$505,7,0)="","",VLOOKUP(C305,EL!$E$4:$AC$1004,7,0))</f>
        <v/>
      </c>
      <c r="F305" s="462"/>
      <c r="G305" s="458" t="str">
        <f>IF(VLOOKUP(C305,EL!$E$4:$AC$514,5,0)="","",VLOOKUP(C305,EL!$E$4:$AC$514,5,0))</f>
        <v/>
      </c>
      <c r="H305" s="459" t="str">
        <f>IF(ISNA(MATCH($C305,EL!$E$4:$E$1012,0)),"",
IF($E305=0,IF(INDEX(EL!$R$4:$R$1012,MATCH($C305,EL!$E$4:$E$1012,0))="","",INDEX(EL!$R$4:$R$1012,MATCH($C305,EL!$E$4:$E$1012,0))),
IF($E305=1,IF(INDEX(EL!$W$4:$W$1012,MATCH($C305,EL!$E$4:$E$1012,0))="","",INDEX(EL!$W$4:$W$1012,MATCH($C305,EL!$E$4:$E$1012,0))),
IF($E305=2,IF(INDEX(EL!$AB$4:$AB$1012,MATCH($C305,EL!$E$4:$E$1012,0))="","",INDEX(EL!$AB$4:$AB$1012,MATCH($C305,EL!$E$4:$E$1012,0))),
IF($E305=3,IF(INDEX(EL!$AG$4:$AG$1012,MATCH($C305,EL!$E$4:$E$1012,0))="","",INDEX(EL!$AG$4:$AG$1012,MATCH($C305,EL!$E$4:$E$1012,0))),
IF($E305=4,IF(INDEX(EL!$AN$4:$AN$1012,MATCH($C305,EL!$E$4:$E$1012,0))="","",INDEX(EL!$AN$4:$AN$1012,MATCH($C305,EL!$E$4:$E$1012,0))),
IF($E305=5,IF(INDEX(EL!$AS$4:$AS$1012,MATCH($C305,EL!$E$4:$E$1012,0))="","",INDEX(EL!$AS$4:$AS$1012,MATCH($C305,EL!$E$4:$E$1012,0))),"")))))))</f>
        <v/>
      </c>
      <c r="I305" s="459" t="str">
        <f>IF(ISNA(MATCH($C305,EL!$E$4:$E$1012,0)),"",
IF($E305=0,IF(INDEX(EL!$S$4:$S$1012,MATCH($C305,EL!$E$4:$E$1012,0))="","",INDEX(EL!$S$4:$S$1012,MATCH($C305,EL!$E$4:$E$1012,0))),
IF($E305=1,IF(INDEX(EL!$X$4:$X$1012,MATCH($C305,EL!$E$4:$E$1012,0))="","",INDEX(EL!$X$4:$X$1012,MATCH($C305,EL!$E$4:$E$1012,0))),
IF($E305=2,IF(INDEX(EL!$AC$4:$AC$1012,MATCH($C305,EL!$E$4:$E$1012,0))="","",INDEX(EL!$AC$4:$AC$1012,MATCH($C305,EL!$E$4:$E$1012,0))),
IF($E305=3,IF(INDEX(EL!$AH$4:$AH$1012,MATCH($C305,EL!$E$4:$E$1012,0))="","",INDEX(EL!$AH$4:$AH$1012,MATCH($C305,EL!$E$4:$E$1012,0))),
IF($E305=4,IF(INDEX(EL!$AM$4:$AM$1012,MATCH($C305,EL!$E$4:$E$1012,0))="","",INDEX(EL!$AM$4:$AM$1012,MATCH($C305,EL!$E$4:$E$1012,0))),
IF($E305=5,IF(INDEX(EL!$AR$4:$AR$1012,MATCH($C305,EL!$E$4:$E$1012,0))="","",INDEX(EL!$AR$4:$AR$1012,MATCH($C305,EL!$E$4:$E$1012,0))),"")))))))</f>
        <v/>
      </c>
      <c r="J305" s="459" t="str">
        <f>IF(ISNA(MATCH($C305,EL!$E$4:$E$1012,0)),"",
IF($E305=0,IF(INDEX(EL!$T$4:$T$1012,MATCH($C305,EL!$E$4:$E$1012,0))="","",INDEX(EL!$T$4:$T$1012,MATCH($C305,EL!$E$4:$E$1012,0))),
IF($E305=1,IF(INDEX(EL!$Y$4:$Y$1012,MATCH($C305,EL!$E$4:$E$1012,0))="","",INDEX(EL!$Y$4:$Y$1012,MATCH($C305,EL!$E$4:$E$1012,0))),
IF($E305=2,IF(INDEX(EL!$AD$4:$AD$1012,MATCH($C305,EL!$E$4:$E$1012,0))="","",INDEX(EL!$AD$4:$AD$1012,MATCH($C305,EL!$E$4:$E$1012,0))),
IF($E305=3,IF(INDEX(EL!$AI$4:$AI$1012,MATCH($C305,EL!$E$4:$E$1012,0))="","",INDEX(EL!$AI$4:$AI$1012,MATCH($C305,EL!$E$4:$E$1012,0))),
IF($E305=4,IF(INDEX(EL!$AN$4:$AN$1012,MATCH($C305,EL!$E$4:$E$1012,0))="","",INDEX(EL!$AN$4:$AN$1012,MATCH($C305,EL!$E$4:$E$1012,0))),
IF($E305=5,IF(INDEX(EL!$AS$4:$AS$1012,MATCH($C305,EL!$E$4:$E$1012,0))="","",INDEX(EL!$AS$4:$AS$1012,MATCH($C305,EL!$E$4:$E$1012,0))),"")))))))</f>
        <v/>
      </c>
      <c r="K305" s="459">
        <f>EL!L219</f>
        <v>0</v>
      </c>
      <c r="L305" s="460" t="e" cm="1">
        <f t="array" aca="1" ref="L305" ca="1">_xlfn.IFS(AND($E305&lt;&gt;"",$M305="Pending",$K305="CTA"),TODAY()-$G305,AND($E305&lt;&gt;"",$M305="Pending",$K305="AUR"),TODAY()-$H305,AND($E305&lt;&gt;"",$M305="Pending",$K305="STT"),TODAY()-$I305,OR(K305="Closed",K305=""),"")</f>
        <v>#N/A</v>
      </c>
      <c r="M305" s="461">
        <f>VLOOKUP(C305,EL!$E$4:$AC$622,9,0)</f>
        <v>0</v>
      </c>
      <c r="N305" s="461" t="str">
        <f t="shared" si="10"/>
        <v/>
      </c>
      <c r="O305" s="739" t="str">
        <f>EL!O219</f>
        <v>GC</v>
      </c>
      <c r="P305" s="746" t="str">
        <v>NO</v>
      </c>
    </row>
    <row r="306" spans="1:16" s="385" customFormat="1" ht="27" hidden="1" customHeight="1">
      <c r="A306" s="399">
        <f t="shared" si="11"/>
        <v>213</v>
      </c>
      <c r="B306" s="477" t="s">
        <v>52</v>
      </c>
      <c r="C306" s="646" t="s">
        <v>1090</v>
      </c>
      <c r="D306" s="456" t="str">
        <f>_xlfn.XLOOKUP(C306,EL!$E$4:$E$390,EL!$D$4:$D$390)</f>
        <v>Level 3 - Security CCTV System Layout</v>
      </c>
      <c r="E306" s="597" t="str">
        <f>IF(VLOOKUP(C306,EL!$E$4:$AC$505,7,0)="","",VLOOKUP(C306,EL!$E$4:$AC$1004,7,0))</f>
        <v/>
      </c>
      <c r="F306" s="462"/>
      <c r="G306" s="458" t="str">
        <f>IF(VLOOKUP(C306,EL!$E$4:$AC$514,5,0)="","",VLOOKUP(C306,EL!$E$4:$AC$514,5,0))</f>
        <v/>
      </c>
      <c r="H306" s="459" t="str">
        <f>IF(ISNA(MATCH($C306,EL!$E$4:$E$1012,0)),"",
IF($E306=0,IF(INDEX(EL!$R$4:$R$1012,MATCH($C306,EL!$E$4:$E$1012,0))="","",INDEX(EL!$R$4:$R$1012,MATCH($C306,EL!$E$4:$E$1012,0))),
IF($E306=1,IF(INDEX(EL!$W$4:$W$1012,MATCH($C306,EL!$E$4:$E$1012,0))="","",INDEX(EL!$W$4:$W$1012,MATCH($C306,EL!$E$4:$E$1012,0))),
IF($E306=2,IF(INDEX(EL!$AB$4:$AB$1012,MATCH($C306,EL!$E$4:$E$1012,0))="","",INDEX(EL!$AB$4:$AB$1012,MATCH($C306,EL!$E$4:$E$1012,0))),
IF($E306=3,IF(INDEX(EL!$AG$4:$AG$1012,MATCH($C306,EL!$E$4:$E$1012,0))="","",INDEX(EL!$AG$4:$AG$1012,MATCH($C306,EL!$E$4:$E$1012,0))),
IF($E306=4,IF(INDEX(EL!$AN$4:$AN$1012,MATCH($C306,EL!$E$4:$E$1012,0))="","",INDEX(EL!$AN$4:$AN$1012,MATCH($C306,EL!$E$4:$E$1012,0))),
IF($E306=5,IF(INDEX(EL!$AS$4:$AS$1012,MATCH($C306,EL!$E$4:$E$1012,0))="","",INDEX(EL!$AS$4:$AS$1012,MATCH($C306,EL!$E$4:$E$1012,0))),"")))))))</f>
        <v/>
      </c>
      <c r="I306" s="459" t="str">
        <f>IF(ISNA(MATCH($C306,EL!$E$4:$E$1012,0)),"",
IF($E306=0,IF(INDEX(EL!$S$4:$S$1012,MATCH($C306,EL!$E$4:$E$1012,0))="","",INDEX(EL!$S$4:$S$1012,MATCH($C306,EL!$E$4:$E$1012,0))),
IF($E306=1,IF(INDEX(EL!$X$4:$X$1012,MATCH($C306,EL!$E$4:$E$1012,0))="","",INDEX(EL!$X$4:$X$1012,MATCH($C306,EL!$E$4:$E$1012,0))),
IF($E306=2,IF(INDEX(EL!$AC$4:$AC$1012,MATCH($C306,EL!$E$4:$E$1012,0))="","",INDEX(EL!$AC$4:$AC$1012,MATCH($C306,EL!$E$4:$E$1012,0))),
IF($E306=3,IF(INDEX(EL!$AH$4:$AH$1012,MATCH($C306,EL!$E$4:$E$1012,0))="","",INDEX(EL!$AH$4:$AH$1012,MATCH($C306,EL!$E$4:$E$1012,0))),
IF($E306=4,IF(INDEX(EL!$AM$4:$AM$1012,MATCH($C306,EL!$E$4:$E$1012,0))="","",INDEX(EL!$AM$4:$AM$1012,MATCH($C306,EL!$E$4:$E$1012,0))),
IF($E306=5,IF(INDEX(EL!$AR$4:$AR$1012,MATCH($C306,EL!$E$4:$E$1012,0))="","",INDEX(EL!$AR$4:$AR$1012,MATCH($C306,EL!$E$4:$E$1012,0))),"")))))))</f>
        <v/>
      </c>
      <c r="J306" s="459" t="str">
        <f>IF(ISNA(MATCH($C306,EL!$E$4:$E$1012,0)),"",
IF($E306=0,IF(INDEX(EL!$T$4:$T$1012,MATCH($C306,EL!$E$4:$E$1012,0))="","",INDEX(EL!$T$4:$T$1012,MATCH($C306,EL!$E$4:$E$1012,0))),
IF($E306=1,IF(INDEX(EL!$Y$4:$Y$1012,MATCH($C306,EL!$E$4:$E$1012,0))="","",INDEX(EL!$Y$4:$Y$1012,MATCH($C306,EL!$E$4:$E$1012,0))),
IF($E306=2,IF(INDEX(EL!$AD$4:$AD$1012,MATCH($C306,EL!$E$4:$E$1012,0))="","",INDEX(EL!$AD$4:$AD$1012,MATCH($C306,EL!$E$4:$E$1012,0))),
IF($E306=3,IF(INDEX(EL!$AI$4:$AI$1012,MATCH($C306,EL!$E$4:$E$1012,0))="","",INDEX(EL!$AI$4:$AI$1012,MATCH($C306,EL!$E$4:$E$1012,0))),
IF($E306=4,IF(INDEX(EL!$AN$4:$AN$1012,MATCH($C306,EL!$E$4:$E$1012,0))="","",INDEX(EL!$AN$4:$AN$1012,MATCH($C306,EL!$E$4:$E$1012,0))),
IF($E306=5,IF(INDEX(EL!$AS$4:$AS$1012,MATCH($C306,EL!$E$4:$E$1012,0))="","",INDEX(EL!$AS$4:$AS$1012,MATCH($C306,EL!$E$4:$E$1012,0))),"")))))))</f>
        <v/>
      </c>
      <c r="K306" s="459">
        <f>EL!L220</f>
        <v>0</v>
      </c>
      <c r="L306" s="460" t="e" cm="1">
        <f t="array" aca="1" ref="L306" ca="1">_xlfn.IFS(AND($E306&lt;&gt;"",$M306="Pending",$K306="CTA"),TODAY()-$G306,AND($E306&lt;&gt;"",$M306="Pending",$K306="AUR"),TODAY()-$H306,AND($E306&lt;&gt;"",$M306="Pending",$K306="STT"),TODAY()-$I306,OR(K306="Closed",K306=""),"")</f>
        <v>#N/A</v>
      </c>
      <c r="M306" s="461">
        <f>VLOOKUP(C306,EL!$E$4:$AC$622,9,0)</f>
        <v>0</v>
      </c>
      <c r="N306" s="461" t="str">
        <f t="shared" si="10"/>
        <v/>
      </c>
      <c r="O306" s="739" t="str">
        <f>EL!O220</f>
        <v>GC</v>
      </c>
      <c r="P306" s="746" t="str">
        <v>NO</v>
      </c>
    </row>
    <row r="307" spans="1:16" s="385" customFormat="1" ht="27" hidden="1" customHeight="1">
      <c r="A307" s="399">
        <f t="shared" si="11"/>
        <v>214</v>
      </c>
      <c r="B307" s="477" t="s">
        <v>52</v>
      </c>
      <c r="C307" s="646" t="s">
        <v>1093</v>
      </c>
      <c r="D307" s="456" t="str">
        <f>_xlfn.XLOOKUP(C307,EL!$E$4:$E$390,EL!$D$4:$D$390)</f>
        <v>Level 3 - Security Access Control System Layout</v>
      </c>
      <c r="E307" s="597" t="str">
        <f>IF(VLOOKUP(C307,EL!$E$4:$AC$505,7,0)="","",VLOOKUP(C307,EL!$E$4:$AC$1004,7,0))</f>
        <v/>
      </c>
      <c r="F307" s="462"/>
      <c r="G307" s="458" t="str">
        <f>IF(VLOOKUP(C307,EL!$E$4:$AC$514,5,0)="","",VLOOKUP(C307,EL!$E$4:$AC$514,5,0))</f>
        <v/>
      </c>
      <c r="H307" s="459" t="str">
        <f>IF(ISNA(MATCH($C307,EL!$E$4:$E$1012,0)),"",
IF($E307=0,IF(INDEX(EL!$R$4:$R$1012,MATCH($C307,EL!$E$4:$E$1012,0))="","",INDEX(EL!$R$4:$R$1012,MATCH($C307,EL!$E$4:$E$1012,0))),
IF($E307=1,IF(INDEX(EL!$W$4:$W$1012,MATCH($C307,EL!$E$4:$E$1012,0))="","",INDEX(EL!$W$4:$W$1012,MATCH($C307,EL!$E$4:$E$1012,0))),
IF($E307=2,IF(INDEX(EL!$AB$4:$AB$1012,MATCH($C307,EL!$E$4:$E$1012,0))="","",INDEX(EL!$AB$4:$AB$1012,MATCH($C307,EL!$E$4:$E$1012,0))),
IF($E307=3,IF(INDEX(EL!$AG$4:$AG$1012,MATCH($C307,EL!$E$4:$E$1012,0))="","",INDEX(EL!$AG$4:$AG$1012,MATCH($C307,EL!$E$4:$E$1012,0))),
IF($E307=4,IF(INDEX(EL!$AN$4:$AN$1012,MATCH($C307,EL!$E$4:$E$1012,0))="","",INDEX(EL!$AN$4:$AN$1012,MATCH($C307,EL!$E$4:$E$1012,0))),
IF($E307=5,IF(INDEX(EL!$AS$4:$AS$1012,MATCH($C307,EL!$E$4:$E$1012,0))="","",INDEX(EL!$AS$4:$AS$1012,MATCH($C307,EL!$E$4:$E$1012,0))),"")))))))</f>
        <v/>
      </c>
      <c r="I307" s="459" t="str">
        <f>IF(ISNA(MATCH($C307,EL!$E$4:$E$1012,0)),"",
IF($E307=0,IF(INDEX(EL!$S$4:$S$1012,MATCH($C307,EL!$E$4:$E$1012,0))="","",INDEX(EL!$S$4:$S$1012,MATCH($C307,EL!$E$4:$E$1012,0))),
IF($E307=1,IF(INDEX(EL!$X$4:$X$1012,MATCH($C307,EL!$E$4:$E$1012,0))="","",INDEX(EL!$X$4:$X$1012,MATCH($C307,EL!$E$4:$E$1012,0))),
IF($E307=2,IF(INDEX(EL!$AC$4:$AC$1012,MATCH($C307,EL!$E$4:$E$1012,0))="","",INDEX(EL!$AC$4:$AC$1012,MATCH($C307,EL!$E$4:$E$1012,0))),
IF($E307=3,IF(INDEX(EL!$AH$4:$AH$1012,MATCH($C307,EL!$E$4:$E$1012,0))="","",INDEX(EL!$AH$4:$AH$1012,MATCH($C307,EL!$E$4:$E$1012,0))),
IF($E307=4,IF(INDEX(EL!$AM$4:$AM$1012,MATCH($C307,EL!$E$4:$E$1012,0))="","",INDEX(EL!$AM$4:$AM$1012,MATCH($C307,EL!$E$4:$E$1012,0))),
IF($E307=5,IF(INDEX(EL!$AR$4:$AR$1012,MATCH($C307,EL!$E$4:$E$1012,0))="","",INDEX(EL!$AR$4:$AR$1012,MATCH($C307,EL!$E$4:$E$1012,0))),"")))))))</f>
        <v/>
      </c>
      <c r="J307" s="459" t="str">
        <f>IF(ISNA(MATCH($C307,EL!$E$4:$E$1012,0)),"",
IF($E307=0,IF(INDEX(EL!$T$4:$T$1012,MATCH($C307,EL!$E$4:$E$1012,0))="","",INDEX(EL!$T$4:$T$1012,MATCH($C307,EL!$E$4:$E$1012,0))),
IF($E307=1,IF(INDEX(EL!$Y$4:$Y$1012,MATCH($C307,EL!$E$4:$E$1012,0))="","",INDEX(EL!$Y$4:$Y$1012,MATCH($C307,EL!$E$4:$E$1012,0))),
IF($E307=2,IF(INDEX(EL!$AD$4:$AD$1012,MATCH($C307,EL!$E$4:$E$1012,0))="","",INDEX(EL!$AD$4:$AD$1012,MATCH($C307,EL!$E$4:$E$1012,0))),
IF($E307=3,IF(INDEX(EL!$AI$4:$AI$1012,MATCH($C307,EL!$E$4:$E$1012,0))="","",INDEX(EL!$AI$4:$AI$1012,MATCH($C307,EL!$E$4:$E$1012,0))),
IF($E307=4,IF(INDEX(EL!$AN$4:$AN$1012,MATCH($C307,EL!$E$4:$E$1012,0))="","",INDEX(EL!$AN$4:$AN$1012,MATCH($C307,EL!$E$4:$E$1012,0))),
IF($E307=5,IF(INDEX(EL!$AS$4:$AS$1012,MATCH($C307,EL!$E$4:$E$1012,0))="","",INDEX(EL!$AS$4:$AS$1012,MATCH($C307,EL!$E$4:$E$1012,0))),"")))))))</f>
        <v/>
      </c>
      <c r="K307" s="459">
        <f>EL!L221</f>
        <v>0</v>
      </c>
      <c r="L307" s="460" t="e" cm="1">
        <f t="array" aca="1" ref="L307" ca="1">_xlfn.IFS(AND($E307&lt;&gt;"",$M307="Pending",$K307="CTA"),TODAY()-$G307,AND($E307&lt;&gt;"",$M307="Pending",$K307="AUR"),TODAY()-$H307,AND($E307&lt;&gt;"",$M307="Pending",$K307="STT"),TODAY()-$I307,OR(K307="Closed",K307=""),"")</f>
        <v>#N/A</v>
      </c>
      <c r="M307" s="461">
        <f>VLOOKUP(C307,EL!$E$4:$AC$622,9,0)</f>
        <v>0</v>
      </c>
      <c r="N307" s="461" t="str">
        <f t="shared" si="10"/>
        <v/>
      </c>
      <c r="O307" s="739" t="str">
        <f>EL!O221</f>
        <v>GC</v>
      </c>
      <c r="P307" s="746" t="str">
        <v>NO</v>
      </c>
    </row>
    <row r="308" spans="1:16" s="385" customFormat="1" ht="27" hidden="1" customHeight="1">
      <c r="A308" s="399">
        <f t="shared" ref="A308:A339" si="12">A307+1</f>
        <v>215</v>
      </c>
      <c r="B308" s="477" t="s">
        <v>52</v>
      </c>
      <c r="C308" s="646" t="s">
        <v>1096</v>
      </c>
      <c r="D308" s="456" t="str">
        <f>_xlfn.XLOOKUP(C308,EL!$E$4:$E$390,EL!$D$4:$D$390)</f>
        <v>Level 4 - Security CCTV System Layout</v>
      </c>
      <c r="E308" s="597" t="str">
        <f>IF(VLOOKUP(C308,EL!$E$4:$AC$505,7,0)="","",VLOOKUP(C308,EL!$E$4:$AC$1004,7,0))</f>
        <v/>
      </c>
      <c r="F308" s="462"/>
      <c r="G308" s="458" t="str">
        <f>IF(VLOOKUP(C308,EL!$E$4:$AC$514,5,0)="","",VLOOKUP(C308,EL!$E$4:$AC$514,5,0))</f>
        <v/>
      </c>
      <c r="H308" s="459" t="str">
        <f>IF(ISNA(MATCH($C308,EL!$E$4:$E$1012,0)),"",
IF($E308=0,IF(INDEX(EL!$R$4:$R$1012,MATCH($C308,EL!$E$4:$E$1012,0))="","",INDEX(EL!$R$4:$R$1012,MATCH($C308,EL!$E$4:$E$1012,0))),
IF($E308=1,IF(INDEX(EL!$W$4:$W$1012,MATCH($C308,EL!$E$4:$E$1012,0))="","",INDEX(EL!$W$4:$W$1012,MATCH($C308,EL!$E$4:$E$1012,0))),
IF($E308=2,IF(INDEX(EL!$AB$4:$AB$1012,MATCH($C308,EL!$E$4:$E$1012,0))="","",INDEX(EL!$AB$4:$AB$1012,MATCH($C308,EL!$E$4:$E$1012,0))),
IF($E308=3,IF(INDEX(EL!$AG$4:$AG$1012,MATCH($C308,EL!$E$4:$E$1012,0))="","",INDEX(EL!$AG$4:$AG$1012,MATCH($C308,EL!$E$4:$E$1012,0))),
IF($E308=4,IF(INDEX(EL!$AN$4:$AN$1012,MATCH($C308,EL!$E$4:$E$1012,0))="","",INDEX(EL!$AN$4:$AN$1012,MATCH($C308,EL!$E$4:$E$1012,0))),
IF($E308=5,IF(INDEX(EL!$AS$4:$AS$1012,MATCH($C308,EL!$E$4:$E$1012,0))="","",INDEX(EL!$AS$4:$AS$1012,MATCH($C308,EL!$E$4:$E$1012,0))),"")))))))</f>
        <v/>
      </c>
      <c r="I308" s="459" t="str">
        <f>IF(ISNA(MATCH($C308,EL!$E$4:$E$1012,0)),"",
IF($E308=0,IF(INDEX(EL!$S$4:$S$1012,MATCH($C308,EL!$E$4:$E$1012,0))="","",INDEX(EL!$S$4:$S$1012,MATCH($C308,EL!$E$4:$E$1012,0))),
IF($E308=1,IF(INDEX(EL!$X$4:$X$1012,MATCH($C308,EL!$E$4:$E$1012,0))="","",INDEX(EL!$X$4:$X$1012,MATCH($C308,EL!$E$4:$E$1012,0))),
IF($E308=2,IF(INDEX(EL!$AC$4:$AC$1012,MATCH($C308,EL!$E$4:$E$1012,0))="","",INDEX(EL!$AC$4:$AC$1012,MATCH($C308,EL!$E$4:$E$1012,0))),
IF($E308=3,IF(INDEX(EL!$AH$4:$AH$1012,MATCH($C308,EL!$E$4:$E$1012,0))="","",INDEX(EL!$AH$4:$AH$1012,MATCH($C308,EL!$E$4:$E$1012,0))),
IF($E308=4,IF(INDEX(EL!$AM$4:$AM$1012,MATCH($C308,EL!$E$4:$E$1012,0))="","",INDEX(EL!$AM$4:$AM$1012,MATCH($C308,EL!$E$4:$E$1012,0))),
IF($E308=5,IF(INDEX(EL!$AR$4:$AR$1012,MATCH($C308,EL!$E$4:$E$1012,0))="","",INDEX(EL!$AR$4:$AR$1012,MATCH($C308,EL!$E$4:$E$1012,0))),"")))))))</f>
        <v/>
      </c>
      <c r="J308" s="459" t="str">
        <f>IF(ISNA(MATCH($C308,EL!$E$4:$E$1012,0)),"",
IF($E308=0,IF(INDEX(EL!$T$4:$T$1012,MATCH($C308,EL!$E$4:$E$1012,0))="","",INDEX(EL!$T$4:$T$1012,MATCH($C308,EL!$E$4:$E$1012,0))),
IF($E308=1,IF(INDEX(EL!$Y$4:$Y$1012,MATCH($C308,EL!$E$4:$E$1012,0))="","",INDEX(EL!$Y$4:$Y$1012,MATCH($C308,EL!$E$4:$E$1012,0))),
IF($E308=2,IF(INDEX(EL!$AD$4:$AD$1012,MATCH($C308,EL!$E$4:$E$1012,0))="","",INDEX(EL!$AD$4:$AD$1012,MATCH($C308,EL!$E$4:$E$1012,0))),
IF($E308=3,IF(INDEX(EL!$AI$4:$AI$1012,MATCH($C308,EL!$E$4:$E$1012,0))="","",INDEX(EL!$AI$4:$AI$1012,MATCH($C308,EL!$E$4:$E$1012,0))),
IF($E308=4,IF(INDEX(EL!$AN$4:$AN$1012,MATCH($C308,EL!$E$4:$E$1012,0))="","",INDEX(EL!$AN$4:$AN$1012,MATCH($C308,EL!$E$4:$E$1012,0))),
IF($E308=5,IF(INDEX(EL!$AS$4:$AS$1012,MATCH($C308,EL!$E$4:$E$1012,0))="","",INDEX(EL!$AS$4:$AS$1012,MATCH($C308,EL!$E$4:$E$1012,0))),"")))))))</f>
        <v/>
      </c>
      <c r="K308" s="459">
        <f>EL!L222</f>
        <v>0</v>
      </c>
      <c r="L308" s="460" t="e" cm="1">
        <f t="array" aca="1" ref="L308" ca="1">_xlfn.IFS(AND($E308&lt;&gt;"",$M308="Pending",$K308="CTA"),TODAY()-$G308,AND($E308&lt;&gt;"",$M308="Pending",$K308="AUR"),TODAY()-$H308,AND($E308&lt;&gt;"",$M308="Pending",$K308="STT"),TODAY()-$I308,OR(K308="Closed",K308=""),"")</f>
        <v>#N/A</v>
      </c>
      <c r="M308" s="461">
        <f>VLOOKUP(C308,EL!$E$4:$AC$622,9,0)</f>
        <v>0</v>
      </c>
      <c r="N308" s="461" t="str">
        <f t="shared" si="10"/>
        <v/>
      </c>
      <c r="O308" s="739" t="str">
        <f>EL!O222</f>
        <v>GC</v>
      </c>
      <c r="P308" s="746" t="str">
        <v>NO</v>
      </c>
    </row>
    <row r="309" spans="1:16" s="385" customFormat="1" ht="27" hidden="1" customHeight="1">
      <c r="A309" s="399">
        <f t="shared" si="12"/>
        <v>216</v>
      </c>
      <c r="B309" s="477" t="s">
        <v>52</v>
      </c>
      <c r="C309" s="646" t="s">
        <v>1099</v>
      </c>
      <c r="D309" s="456" t="str">
        <f>_xlfn.XLOOKUP(C309,EL!$E$4:$E$390,EL!$D$4:$D$390)</f>
        <v>Level 4 - Security Access Control System Layout</v>
      </c>
      <c r="E309" s="597" t="str">
        <f>IF(VLOOKUP(C309,EL!$E$4:$AC$505,7,0)="","",VLOOKUP(C309,EL!$E$4:$AC$1004,7,0))</f>
        <v/>
      </c>
      <c r="F309" s="457"/>
      <c r="G309" s="458" t="str">
        <f>IF(VLOOKUP(C309,EL!$E$4:$AC$514,5,0)="","",VLOOKUP(C309,EL!$E$4:$AC$514,5,0))</f>
        <v/>
      </c>
      <c r="H309" s="459" t="str">
        <f>IF(ISNA(MATCH($C309,EL!$E$4:$E$1012,0)),"",
IF($E309=0,IF(INDEX(EL!$R$4:$R$1012,MATCH($C309,EL!$E$4:$E$1012,0))="","",INDEX(EL!$R$4:$R$1012,MATCH($C309,EL!$E$4:$E$1012,0))),
IF($E309=1,IF(INDEX(EL!$W$4:$W$1012,MATCH($C309,EL!$E$4:$E$1012,0))="","",INDEX(EL!$W$4:$W$1012,MATCH($C309,EL!$E$4:$E$1012,0))),
IF($E309=2,IF(INDEX(EL!$AB$4:$AB$1012,MATCH($C309,EL!$E$4:$E$1012,0))="","",INDEX(EL!$AB$4:$AB$1012,MATCH($C309,EL!$E$4:$E$1012,0))),
IF($E309=3,IF(INDEX(EL!$AG$4:$AG$1012,MATCH($C309,EL!$E$4:$E$1012,0))="","",INDEX(EL!$AG$4:$AG$1012,MATCH($C309,EL!$E$4:$E$1012,0))),
IF($E309=4,IF(INDEX(EL!$AN$4:$AN$1012,MATCH($C309,EL!$E$4:$E$1012,0))="","",INDEX(EL!$AN$4:$AN$1012,MATCH($C309,EL!$E$4:$E$1012,0))),
IF($E309=5,IF(INDEX(EL!$AS$4:$AS$1012,MATCH($C309,EL!$E$4:$E$1012,0))="","",INDEX(EL!$AS$4:$AS$1012,MATCH($C309,EL!$E$4:$E$1012,0))),"")))))))</f>
        <v/>
      </c>
      <c r="I309" s="459" t="str">
        <f>IF(ISNA(MATCH($C309,EL!$E$4:$E$1012,0)),"",
IF($E309=0,IF(INDEX(EL!$S$4:$S$1012,MATCH($C309,EL!$E$4:$E$1012,0))="","",INDEX(EL!$S$4:$S$1012,MATCH($C309,EL!$E$4:$E$1012,0))),
IF($E309=1,IF(INDEX(EL!$X$4:$X$1012,MATCH($C309,EL!$E$4:$E$1012,0))="","",INDEX(EL!$X$4:$X$1012,MATCH($C309,EL!$E$4:$E$1012,0))),
IF($E309=2,IF(INDEX(EL!$AC$4:$AC$1012,MATCH($C309,EL!$E$4:$E$1012,0))="","",INDEX(EL!$AC$4:$AC$1012,MATCH($C309,EL!$E$4:$E$1012,0))),
IF($E309=3,IF(INDEX(EL!$AH$4:$AH$1012,MATCH($C309,EL!$E$4:$E$1012,0))="","",INDEX(EL!$AH$4:$AH$1012,MATCH($C309,EL!$E$4:$E$1012,0))),
IF($E309=4,IF(INDEX(EL!$AM$4:$AM$1012,MATCH($C309,EL!$E$4:$E$1012,0))="","",INDEX(EL!$AM$4:$AM$1012,MATCH($C309,EL!$E$4:$E$1012,0))),
IF($E309=5,IF(INDEX(EL!$AR$4:$AR$1012,MATCH($C309,EL!$E$4:$E$1012,0))="","",INDEX(EL!$AR$4:$AR$1012,MATCH($C309,EL!$E$4:$E$1012,0))),"")))))))</f>
        <v/>
      </c>
      <c r="J309" s="459" t="str">
        <f>IF(ISNA(MATCH($C309,EL!$E$4:$E$1012,0)),"",
IF($E309=0,IF(INDEX(EL!$T$4:$T$1012,MATCH($C309,EL!$E$4:$E$1012,0))="","",INDEX(EL!$T$4:$T$1012,MATCH($C309,EL!$E$4:$E$1012,0))),
IF($E309=1,IF(INDEX(EL!$Y$4:$Y$1012,MATCH($C309,EL!$E$4:$E$1012,0))="","",INDEX(EL!$Y$4:$Y$1012,MATCH($C309,EL!$E$4:$E$1012,0))),
IF($E309=2,IF(INDEX(EL!$AD$4:$AD$1012,MATCH($C309,EL!$E$4:$E$1012,0))="","",INDEX(EL!$AD$4:$AD$1012,MATCH($C309,EL!$E$4:$E$1012,0))),
IF($E309=3,IF(INDEX(EL!$AI$4:$AI$1012,MATCH($C309,EL!$E$4:$E$1012,0))="","",INDEX(EL!$AI$4:$AI$1012,MATCH($C309,EL!$E$4:$E$1012,0))),
IF($E309=4,IF(INDEX(EL!$AN$4:$AN$1012,MATCH($C309,EL!$E$4:$E$1012,0))="","",INDEX(EL!$AN$4:$AN$1012,MATCH($C309,EL!$E$4:$E$1012,0))),
IF($E309=5,IF(INDEX(EL!$AS$4:$AS$1012,MATCH($C309,EL!$E$4:$E$1012,0))="","",INDEX(EL!$AS$4:$AS$1012,MATCH($C309,EL!$E$4:$E$1012,0))),"")))))))</f>
        <v/>
      </c>
      <c r="K309" s="459">
        <f>EL!L223</f>
        <v>0</v>
      </c>
      <c r="L309" s="460" t="e" cm="1">
        <f t="array" aca="1" ref="L309" ca="1">_xlfn.IFS(AND($E309&lt;&gt;"",$M309="Pending",$K309="CTA"),TODAY()-$G309,AND($E309&lt;&gt;"",$M309="Pending",$K309="AUR"),TODAY()-$H309,AND($E309&lt;&gt;"",$M309="Pending",$K309="STT"),TODAY()-$I309,OR(K309="Closed",K309=""),"")</f>
        <v>#N/A</v>
      </c>
      <c r="M309" s="461">
        <f>VLOOKUP(C309,EL!$E$4:$AC$622,9,0)</f>
        <v>0</v>
      </c>
      <c r="N309" s="461" t="str">
        <f t="shared" si="10"/>
        <v/>
      </c>
      <c r="O309" s="739" t="str">
        <f>EL!O223</f>
        <v>GC</v>
      </c>
      <c r="P309" s="746" t="str">
        <v>NO</v>
      </c>
    </row>
    <row r="310" spans="1:16" s="385" customFormat="1" ht="27" hidden="1" customHeight="1">
      <c r="A310" s="399">
        <f t="shared" si="12"/>
        <v>217</v>
      </c>
      <c r="B310" s="477" t="s">
        <v>52</v>
      </c>
      <c r="C310" s="646" t="s">
        <v>1102</v>
      </c>
      <c r="D310" s="456" t="str">
        <f>_xlfn.XLOOKUP(C310,EL!$E$4:$E$390,EL!$D$4:$D$390)</f>
        <v>Level 5 - Security CCTV System Layout</v>
      </c>
      <c r="E310" s="597" t="str">
        <f>IF(VLOOKUP(C310,EL!$E$4:$AC$505,7,0)="","",VLOOKUP(C310,EL!$E$4:$AC$1004,7,0))</f>
        <v/>
      </c>
      <c r="F310" s="462"/>
      <c r="G310" s="458" t="str">
        <f>IF(VLOOKUP(C310,EL!$E$4:$AC$514,5,0)="","",VLOOKUP(C310,EL!$E$4:$AC$514,5,0))</f>
        <v/>
      </c>
      <c r="H310" s="459" t="str">
        <f>IF(ISNA(MATCH($C310,EL!$E$4:$E$1012,0)),"",
IF($E310=0,IF(INDEX(EL!$R$4:$R$1012,MATCH($C310,EL!$E$4:$E$1012,0))="","",INDEX(EL!$R$4:$R$1012,MATCH($C310,EL!$E$4:$E$1012,0))),
IF($E310=1,IF(INDEX(EL!$W$4:$W$1012,MATCH($C310,EL!$E$4:$E$1012,0))="","",INDEX(EL!$W$4:$W$1012,MATCH($C310,EL!$E$4:$E$1012,0))),
IF($E310=2,IF(INDEX(EL!$AB$4:$AB$1012,MATCH($C310,EL!$E$4:$E$1012,0))="","",INDEX(EL!$AB$4:$AB$1012,MATCH($C310,EL!$E$4:$E$1012,0))),
IF($E310=3,IF(INDEX(EL!$AG$4:$AG$1012,MATCH($C310,EL!$E$4:$E$1012,0))="","",INDEX(EL!$AG$4:$AG$1012,MATCH($C310,EL!$E$4:$E$1012,0))),
IF($E310=4,IF(INDEX(EL!$AN$4:$AN$1012,MATCH($C310,EL!$E$4:$E$1012,0))="","",INDEX(EL!$AN$4:$AN$1012,MATCH($C310,EL!$E$4:$E$1012,0))),
IF($E310=5,IF(INDEX(EL!$AS$4:$AS$1012,MATCH($C310,EL!$E$4:$E$1012,0))="","",INDEX(EL!$AS$4:$AS$1012,MATCH($C310,EL!$E$4:$E$1012,0))),"")))))))</f>
        <v/>
      </c>
      <c r="I310" s="459" t="str">
        <f>IF(ISNA(MATCH($C310,EL!$E$4:$E$1012,0)),"",
IF($E310=0,IF(INDEX(EL!$S$4:$S$1012,MATCH($C310,EL!$E$4:$E$1012,0))="","",INDEX(EL!$S$4:$S$1012,MATCH($C310,EL!$E$4:$E$1012,0))),
IF($E310=1,IF(INDEX(EL!$X$4:$X$1012,MATCH($C310,EL!$E$4:$E$1012,0))="","",INDEX(EL!$X$4:$X$1012,MATCH($C310,EL!$E$4:$E$1012,0))),
IF($E310=2,IF(INDEX(EL!$AC$4:$AC$1012,MATCH($C310,EL!$E$4:$E$1012,0))="","",INDEX(EL!$AC$4:$AC$1012,MATCH($C310,EL!$E$4:$E$1012,0))),
IF($E310=3,IF(INDEX(EL!$AH$4:$AH$1012,MATCH($C310,EL!$E$4:$E$1012,0))="","",INDEX(EL!$AH$4:$AH$1012,MATCH($C310,EL!$E$4:$E$1012,0))),
IF($E310=4,IF(INDEX(EL!$AM$4:$AM$1012,MATCH($C310,EL!$E$4:$E$1012,0))="","",INDEX(EL!$AM$4:$AM$1012,MATCH($C310,EL!$E$4:$E$1012,0))),
IF($E310=5,IF(INDEX(EL!$AR$4:$AR$1012,MATCH($C310,EL!$E$4:$E$1012,0))="","",INDEX(EL!$AR$4:$AR$1012,MATCH($C310,EL!$E$4:$E$1012,0))),"")))))))</f>
        <v/>
      </c>
      <c r="J310" s="459" t="str">
        <f>IF(ISNA(MATCH($C310,EL!$E$4:$E$1012,0)),"",
IF($E310=0,IF(INDEX(EL!$T$4:$T$1012,MATCH($C310,EL!$E$4:$E$1012,0))="","",INDEX(EL!$T$4:$T$1012,MATCH($C310,EL!$E$4:$E$1012,0))),
IF($E310=1,IF(INDEX(EL!$Y$4:$Y$1012,MATCH($C310,EL!$E$4:$E$1012,0))="","",INDEX(EL!$Y$4:$Y$1012,MATCH($C310,EL!$E$4:$E$1012,0))),
IF($E310=2,IF(INDEX(EL!$AD$4:$AD$1012,MATCH($C310,EL!$E$4:$E$1012,0))="","",INDEX(EL!$AD$4:$AD$1012,MATCH($C310,EL!$E$4:$E$1012,0))),
IF($E310=3,IF(INDEX(EL!$AI$4:$AI$1012,MATCH($C310,EL!$E$4:$E$1012,0))="","",INDEX(EL!$AI$4:$AI$1012,MATCH($C310,EL!$E$4:$E$1012,0))),
IF($E310=4,IF(INDEX(EL!$AN$4:$AN$1012,MATCH($C310,EL!$E$4:$E$1012,0))="","",INDEX(EL!$AN$4:$AN$1012,MATCH($C310,EL!$E$4:$E$1012,0))),
IF($E310=5,IF(INDEX(EL!$AS$4:$AS$1012,MATCH($C310,EL!$E$4:$E$1012,0))="","",INDEX(EL!$AS$4:$AS$1012,MATCH($C310,EL!$E$4:$E$1012,0))),"")))))))</f>
        <v/>
      </c>
      <c r="K310" s="459">
        <f>EL!L224</f>
        <v>0</v>
      </c>
      <c r="L310" s="460" t="e" cm="1">
        <f t="array" aca="1" ref="L310" ca="1">_xlfn.IFS(AND($E310&lt;&gt;"",$M310="Pending",$K310="CTA"),TODAY()-$G310,AND($E310&lt;&gt;"",$M310="Pending",$K310="AUR"),TODAY()-$H310,AND($E310&lt;&gt;"",$M310="Pending",$K310="STT"),TODAY()-$I310,OR(K310="Closed",K310=""),"")</f>
        <v>#N/A</v>
      </c>
      <c r="M310" s="461">
        <f>VLOOKUP(C310,EL!$E$4:$AC$622,9,0)</f>
        <v>0</v>
      </c>
      <c r="N310" s="461" t="str">
        <f t="shared" si="10"/>
        <v/>
      </c>
      <c r="O310" s="739" t="str">
        <f>EL!O224</f>
        <v>GC</v>
      </c>
      <c r="P310" s="746" t="str">
        <v>YES</v>
      </c>
    </row>
    <row r="311" spans="1:16" s="385" customFormat="1" ht="27" hidden="1" customHeight="1">
      <c r="A311" s="399">
        <f t="shared" si="12"/>
        <v>218</v>
      </c>
      <c r="B311" s="477" t="s">
        <v>52</v>
      </c>
      <c r="C311" s="646" t="s">
        <v>1105</v>
      </c>
      <c r="D311" s="456" t="str">
        <f>_xlfn.XLOOKUP(C311,EL!$E$4:$E$390,EL!$D$4:$D$390)</f>
        <v>Level 5 - Security Access Control System Layout</v>
      </c>
      <c r="E311" s="597" t="str">
        <f>IF(VLOOKUP(C311,EL!$E$4:$AC$505,7,0)="","",VLOOKUP(C311,EL!$E$4:$AC$1004,7,0))</f>
        <v/>
      </c>
      <c r="F311" s="462"/>
      <c r="G311" s="458" t="str">
        <f>IF(VLOOKUP(C311,EL!$E$4:$AC$514,5,0)="","",VLOOKUP(C311,EL!$E$4:$AC$514,5,0))</f>
        <v/>
      </c>
      <c r="H311" s="459" t="str">
        <f>IF(ISNA(MATCH($C311,EL!$E$4:$E$1012,0)),"",
IF($E311=0,IF(INDEX(EL!$R$4:$R$1012,MATCH($C311,EL!$E$4:$E$1012,0))="","",INDEX(EL!$R$4:$R$1012,MATCH($C311,EL!$E$4:$E$1012,0))),
IF($E311=1,IF(INDEX(EL!$W$4:$W$1012,MATCH($C311,EL!$E$4:$E$1012,0))="","",INDEX(EL!$W$4:$W$1012,MATCH($C311,EL!$E$4:$E$1012,0))),
IF($E311=2,IF(INDEX(EL!$AB$4:$AB$1012,MATCH($C311,EL!$E$4:$E$1012,0))="","",INDEX(EL!$AB$4:$AB$1012,MATCH($C311,EL!$E$4:$E$1012,0))),
IF($E311=3,IF(INDEX(EL!$AG$4:$AG$1012,MATCH($C311,EL!$E$4:$E$1012,0))="","",INDEX(EL!$AG$4:$AG$1012,MATCH($C311,EL!$E$4:$E$1012,0))),
IF($E311=4,IF(INDEX(EL!$AN$4:$AN$1012,MATCH($C311,EL!$E$4:$E$1012,0))="","",INDEX(EL!$AN$4:$AN$1012,MATCH($C311,EL!$E$4:$E$1012,0))),
IF($E311=5,IF(INDEX(EL!$AS$4:$AS$1012,MATCH($C311,EL!$E$4:$E$1012,0))="","",INDEX(EL!$AS$4:$AS$1012,MATCH($C311,EL!$E$4:$E$1012,0))),"")))))))</f>
        <v/>
      </c>
      <c r="I311" s="459" t="str">
        <f>IF(ISNA(MATCH($C311,EL!$E$4:$E$1012,0)),"",
IF($E311=0,IF(INDEX(EL!$S$4:$S$1012,MATCH($C311,EL!$E$4:$E$1012,0))="","",INDEX(EL!$S$4:$S$1012,MATCH($C311,EL!$E$4:$E$1012,0))),
IF($E311=1,IF(INDEX(EL!$X$4:$X$1012,MATCH($C311,EL!$E$4:$E$1012,0))="","",INDEX(EL!$X$4:$X$1012,MATCH($C311,EL!$E$4:$E$1012,0))),
IF($E311=2,IF(INDEX(EL!$AC$4:$AC$1012,MATCH($C311,EL!$E$4:$E$1012,0))="","",INDEX(EL!$AC$4:$AC$1012,MATCH($C311,EL!$E$4:$E$1012,0))),
IF($E311=3,IF(INDEX(EL!$AH$4:$AH$1012,MATCH($C311,EL!$E$4:$E$1012,0))="","",INDEX(EL!$AH$4:$AH$1012,MATCH($C311,EL!$E$4:$E$1012,0))),
IF($E311=4,IF(INDEX(EL!$AM$4:$AM$1012,MATCH($C311,EL!$E$4:$E$1012,0))="","",INDEX(EL!$AM$4:$AM$1012,MATCH($C311,EL!$E$4:$E$1012,0))),
IF($E311=5,IF(INDEX(EL!$AR$4:$AR$1012,MATCH($C311,EL!$E$4:$E$1012,0))="","",INDEX(EL!$AR$4:$AR$1012,MATCH($C311,EL!$E$4:$E$1012,0))),"")))))))</f>
        <v/>
      </c>
      <c r="J311" s="459" t="str">
        <f>IF(ISNA(MATCH($C311,EL!$E$4:$E$1012,0)),"",
IF($E311=0,IF(INDEX(EL!$T$4:$T$1012,MATCH($C311,EL!$E$4:$E$1012,0))="","",INDEX(EL!$T$4:$T$1012,MATCH($C311,EL!$E$4:$E$1012,0))),
IF($E311=1,IF(INDEX(EL!$Y$4:$Y$1012,MATCH($C311,EL!$E$4:$E$1012,0))="","",INDEX(EL!$Y$4:$Y$1012,MATCH($C311,EL!$E$4:$E$1012,0))),
IF($E311=2,IF(INDEX(EL!$AD$4:$AD$1012,MATCH($C311,EL!$E$4:$E$1012,0))="","",INDEX(EL!$AD$4:$AD$1012,MATCH($C311,EL!$E$4:$E$1012,0))),
IF($E311=3,IF(INDEX(EL!$AI$4:$AI$1012,MATCH($C311,EL!$E$4:$E$1012,0))="","",INDEX(EL!$AI$4:$AI$1012,MATCH($C311,EL!$E$4:$E$1012,0))),
IF($E311=4,IF(INDEX(EL!$AN$4:$AN$1012,MATCH($C311,EL!$E$4:$E$1012,0))="","",INDEX(EL!$AN$4:$AN$1012,MATCH($C311,EL!$E$4:$E$1012,0))),
IF($E311=5,IF(INDEX(EL!$AS$4:$AS$1012,MATCH($C311,EL!$E$4:$E$1012,0))="","",INDEX(EL!$AS$4:$AS$1012,MATCH($C311,EL!$E$4:$E$1012,0))),"")))))))</f>
        <v/>
      </c>
      <c r="K311" s="459">
        <f>EL!L225</f>
        <v>0</v>
      </c>
      <c r="L311" s="460" t="e" cm="1">
        <f t="array" aca="1" ref="L311" ca="1">_xlfn.IFS(AND($E311&lt;&gt;"",$M311="Pending",$K311="CTA"),TODAY()-$G311,AND($E311&lt;&gt;"",$M311="Pending",$K311="AUR"),TODAY()-$H311,AND($E311&lt;&gt;"",$M311="Pending",$K311="STT"),TODAY()-$I311,OR(K311="Closed",K311=""),"")</f>
        <v>#N/A</v>
      </c>
      <c r="M311" s="461">
        <f>VLOOKUP(C311,EL!$E$4:$AC$622,9,0)</f>
        <v>0</v>
      </c>
      <c r="N311" s="461" t="str">
        <f t="shared" si="10"/>
        <v/>
      </c>
      <c r="O311" s="739" t="str">
        <f>EL!O225</f>
        <v>GC</v>
      </c>
      <c r="P311" s="746" t="str">
        <v>YES</v>
      </c>
    </row>
    <row r="312" spans="1:16" s="385" customFormat="1" ht="27" hidden="1" customHeight="1">
      <c r="A312" s="399">
        <f t="shared" si="12"/>
        <v>219</v>
      </c>
      <c r="B312" s="477" t="s">
        <v>52</v>
      </c>
      <c r="C312" s="646" t="s">
        <v>1108</v>
      </c>
      <c r="D312" s="456" t="str">
        <f>_xlfn.XLOOKUP(C312,EL!$E$4:$E$390,EL!$D$4:$D$390)</f>
        <v>Level 6 - Security CCTV System Layout</v>
      </c>
      <c r="E312" s="597" t="str">
        <f>IF(VLOOKUP(C312,EL!$E$4:$AC$505,7,0)="","",VLOOKUP(C312,EL!$E$4:$AC$1004,7,0))</f>
        <v/>
      </c>
      <c r="F312" s="462"/>
      <c r="G312" s="458" t="str">
        <f>IF(VLOOKUP(C312,EL!$E$4:$AC$514,5,0)="","",VLOOKUP(C312,EL!$E$4:$AC$514,5,0))</f>
        <v/>
      </c>
      <c r="H312" s="459" t="str">
        <f>IF(ISNA(MATCH($C312,EL!$E$4:$E$1012,0)),"",
IF($E312=0,IF(INDEX(EL!$R$4:$R$1012,MATCH($C312,EL!$E$4:$E$1012,0))="","",INDEX(EL!$R$4:$R$1012,MATCH($C312,EL!$E$4:$E$1012,0))),
IF($E312=1,IF(INDEX(EL!$W$4:$W$1012,MATCH($C312,EL!$E$4:$E$1012,0))="","",INDEX(EL!$W$4:$W$1012,MATCH($C312,EL!$E$4:$E$1012,0))),
IF($E312=2,IF(INDEX(EL!$AB$4:$AB$1012,MATCH($C312,EL!$E$4:$E$1012,0))="","",INDEX(EL!$AB$4:$AB$1012,MATCH($C312,EL!$E$4:$E$1012,0))),
IF($E312=3,IF(INDEX(EL!$AG$4:$AG$1012,MATCH($C312,EL!$E$4:$E$1012,0))="","",INDEX(EL!$AG$4:$AG$1012,MATCH($C312,EL!$E$4:$E$1012,0))),
IF($E312=4,IF(INDEX(EL!$AN$4:$AN$1012,MATCH($C312,EL!$E$4:$E$1012,0))="","",INDEX(EL!$AN$4:$AN$1012,MATCH($C312,EL!$E$4:$E$1012,0))),
IF($E312=5,IF(INDEX(EL!$AS$4:$AS$1012,MATCH($C312,EL!$E$4:$E$1012,0))="","",INDEX(EL!$AS$4:$AS$1012,MATCH($C312,EL!$E$4:$E$1012,0))),"")))))))</f>
        <v/>
      </c>
      <c r="I312" s="459" t="str">
        <f>IF(ISNA(MATCH($C312,EL!$E$4:$E$1012,0)),"",
IF($E312=0,IF(INDEX(EL!$S$4:$S$1012,MATCH($C312,EL!$E$4:$E$1012,0))="","",INDEX(EL!$S$4:$S$1012,MATCH($C312,EL!$E$4:$E$1012,0))),
IF($E312=1,IF(INDEX(EL!$X$4:$X$1012,MATCH($C312,EL!$E$4:$E$1012,0))="","",INDEX(EL!$X$4:$X$1012,MATCH($C312,EL!$E$4:$E$1012,0))),
IF($E312=2,IF(INDEX(EL!$AC$4:$AC$1012,MATCH($C312,EL!$E$4:$E$1012,0))="","",INDEX(EL!$AC$4:$AC$1012,MATCH($C312,EL!$E$4:$E$1012,0))),
IF($E312=3,IF(INDEX(EL!$AH$4:$AH$1012,MATCH($C312,EL!$E$4:$E$1012,0))="","",INDEX(EL!$AH$4:$AH$1012,MATCH($C312,EL!$E$4:$E$1012,0))),
IF($E312=4,IF(INDEX(EL!$AM$4:$AM$1012,MATCH($C312,EL!$E$4:$E$1012,0))="","",INDEX(EL!$AM$4:$AM$1012,MATCH($C312,EL!$E$4:$E$1012,0))),
IF($E312=5,IF(INDEX(EL!$AR$4:$AR$1012,MATCH($C312,EL!$E$4:$E$1012,0))="","",INDEX(EL!$AR$4:$AR$1012,MATCH($C312,EL!$E$4:$E$1012,0))),"")))))))</f>
        <v/>
      </c>
      <c r="J312" s="459" t="str">
        <f>IF(ISNA(MATCH($C312,EL!$E$4:$E$1012,0)),"",
IF($E312=0,IF(INDEX(EL!$T$4:$T$1012,MATCH($C312,EL!$E$4:$E$1012,0))="","",INDEX(EL!$T$4:$T$1012,MATCH($C312,EL!$E$4:$E$1012,0))),
IF($E312=1,IF(INDEX(EL!$Y$4:$Y$1012,MATCH($C312,EL!$E$4:$E$1012,0))="","",INDEX(EL!$Y$4:$Y$1012,MATCH($C312,EL!$E$4:$E$1012,0))),
IF($E312=2,IF(INDEX(EL!$AD$4:$AD$1012,MATCH($C312,EL!$E$4:$E$1012,0))="","",INDEX(EL!$AD$4:$AD$1012,MATCH($C312,EL!$E$4:$E$1012,0))),
IF($E312=3,IF(INDEX(EL!$AI$4:$AI$1012,MATCH($C312,EL!$E$4:$E$1012,0))="","",INDEX(EL!$AI$4:$AI$1012,MATCH($C312,EL!$E$4:$E$1012,0))),
IF($E312=4,IF(INDEX(EL!$AN$4:$AN$1012,MATCH($C312,EL!$E$4:$E$1012,0))="","",INDEX(EL!$AN$4:$AN$1012,MATCH($C312,EL!$E$4:$E$1012,0))),
IF($E312=5,IF(INDEX(EL!$AS$4:$AS$1012,MATCH($C312,EL!$E$4:$E$1012,0))="","",INDEX(EL!$AS$4:$AS$1012,MATCH($C312,EL!$E$4:$E$1012,0))),"")))))))</f>
        <v/>
      </c>
      <c r="K312" s="459">
        <f>EL!L226</f>
        <v>0</v>
      </c>
      <c r="L312" s="460" t="e" cm="1">
        <f t="array" aca="1" ref="L312" ca="1">_xlfn.IFS(AND($E312&lt;&gt;"",$M312="Pending",$K312="CTA"),TODAY()-$G312,AND($E312&lt;&gt;"",$M312="Pending",$K312="AUR"),TODAY()-$H312,AND($E312&lt;&gt;"",$M312="Pending",$K312="STT"),TODAY()-$I312,OR(K312="Closed",K312=""),"")</f>
        <v>#N/A</v>
      </c>
      <c r="M312" s="461">
        <f>VLOOKUP(C312,EL!$E$4:$AC$622,9,0)</f>
        <v>0</v>
      </c>
      <c r="N312" s="461" t="str">
        <f t="shared" si="10"/>
        <v/>
      </c>
      <c r="O312" s="739" t="str">
        <f>EL!O226</f>
        <v>GC</v>
      </c>
      <c r="P312" s="746" t="str">
        <v>YES</v>
      </c>
    </row>
    <row r="313" spans="1:16" s="385" customFormat="1" ht="27" hidden="1" customHeight="1">
      <c r="A313" s="399">
        <f t="shared" si="12"/>
        <v>220</v>
      </c>
      <c r="B313" s="477" t="s">
        <v>52</v>
      </c>
      <c r="C313" s="646" t="s">
        <v>1111</v>
      </c>
      <c r="D313" s="456" t="str">
        <f>_xlfn.XLOOKUP(C313,EL!$E$4:$E$390,EL!$D$4:$D$390)</f>
        <v>Level 6 - Security Access Control System Layout</v>
      </c>
      <c r="E313" s="597" t="str">
        <f>IF(VLOOKUP(C313,EL!$E$4:$AC$505,7,0)="","",VLOOKUP(C313,EL!$E$4:$AC$1004,7,0))</f>
        <v/>
      </c>
      <c r="F313" s="462"/>
      <c r="G313" s="458" t="str">
        <f>IF(VLOOKUP(C313,EL!$E$4:$AC$514,5,0)="","",VLOOKUP(C313,EL!$E$4:$AC$514,5,0))</f>
        <v/>
      </c>
      <c r="H313" s="459" t="str">
        <f>IF(ISNA(MATCH($C313,EL!$E$4:$E$1012,0)),"",
IF($E313=0,IF(INDEX(EL!$R$4:$R$1012,MATCH($C313,EL!$E$4:$E$1012,0))="","",INDEX(EL!$R$4:$R$1012,MATCH($C313,EL!$E$4:$E$1012,0))),
IF($E313=1,IF(INDEX(EL!$W$4:$W$1012,MATCH($C313,EL!$E$4:$E$1012,0))="","",INDEX(EL!$W$4:$W$1012,MATCH($C313,EL!$E$4:$E$1012,0))),
IF($E313=2,IF(INDEX(EL!$AB$4:$AB$1012,MATCH($C313,EL!$E$4:$E$1012,0))="","",INDEX(EL!$AB$4:$AB$1012,MATCH($C313,EL!$E$4:$E$1012,0))),
IF($E313=3,IF(INDEX(EL!$AG$4:$AG$1012,MATCH($C313,EL!$E$4:$E$1012,0))="","",INDEX(EL!$AG$4:$AG$1012,MATCH($C313,EL!$E$4:$E$1012,0))),
IF($E313=4,IF(INDEX(EL!$AN$4:$AN$1012,MATCH($C313,EL!$E$4:$E$1012,0))="","",INDEX(EL!$AN$4:$AN$1012,MATCH($C313,EL!$E$4:$E$1012,0))),
IF($E313=5,IF(INDEX(EL!$AS$4:$AS$1012,MATCH($C313,EL!$E$4:$E$1012,0))="","",INDEX(EL!$AS$4:$AS$1012,MATCH($C313,EL!$E$4:$E$1012,0))),"")))))))</f>
        <v/>
      </c>
      <c r="I313" s="459" t="str">
        <f>IF(ISNA(MATCH($C313,EL!$E$4:$E$1012,0)),"",
IF($E313=0,IF(INDEX(EL!$S$4:$S$1012,MATCH($C313,EL!$E$4:$E$1012,0))="","",INDEX(EL!$S$4:$S$1012,MATCH($C313,EL!$E$4:$E$1012,0))),
IF($E313=1,IF(INDEX(EL!$X$4:$X$1012,MATCH($C313,EL!$E$4:$E$1012,0))="","",INDEX(EL!$X$4:$X$1012,MATCH($C313,EL!$E$4:$E$1012,0))),
IF($E313=2,IF(INDEX(EL!$AC$4:$AC$1012,MATCH($C313,EL!$E$4:$E$1012,0))="","",INDEX(EL!$AC$4:$AC$1012,MATCH($C313,EL!$E$4:$E$1012,0))),
IF($E313=3,IF(INDEX(EL!$AH$4:$AH$1012,MATCH($C313,EL!$E$4:$E$1012,0))="","",INDEX(EL!$AH$4:$AH$1012,MATCH($C313,EL!$E$4:$E$1012,0))),
IF($E313=4,IF(INDEX(EL!$AM$4:$AM$1012,MATCH($C313,EL!$E$4:$E$1012,0))="","",INDEX(EL!$AM$4:$AM$1012,MATCH($C313,EL!$E$4:$E$1012,0))),
IF($E313=5,IF(INDEX(EL!$AR$4:$AR$1012,MATCH($C313,EL!$E$4:$E$1012,0))="","",INDEX(EL!$AR$4:$AR$1012,MATCH($C313,EL!$E$4:$E$1012,0))),"")))))))</f>
        <v/>
      </c>
      <c r="J313" s="459" t="str">
        <f>IF(ISNA(MATCH($C313,EL!$E$4:$E$1012,0)),"",
IF($E313=0,IF(INDEX(EL!$T$4:$T$1012,MATCH($C313,EL!$E$4:$E$1012,0))="","",INDEX(EL!$T$4:$T$1012,MATCH($C313,EL!$E$4:$E$1012,0))),
IF($E313=1,IF(INDEX(EL!$Y$4:$Y$1012,MATCH($C313,EL!$E$4:$E$1012,0))="","",INDEX(EL!$Y$4:$Y$1012,MATCH($C313,EL!$E$4:$E$1012,0))),
IF($E313=2,IF(INDEX(EL!$AD$4:$AD$1012,MATCH($C313,EL!$E$4:$E$1012,0))="","",INDEX(EL!$AD$4:$AD$1012,MATCH($C313,EL!$E$4:$E$1012,0))),
IF($E313=3,IF(INDEX(EL!$AI$4:$AI$1012,MATCH($C313,EL!$E$4:$E$1012,0))="","",INDEX(EL!$AI$4:$AI$1012,MATCH($C313,EL!$E$4:$E$1012,0))),
IF($E313=4,IF(INDEX(EL!$AN$4:$AN$1012,MATCH($C313,EL!$E$4:$E$1012,0))="","",INDEX(EL!$AN$4:$AN$1012,MATCH($C313,EL!$E$4:$E$1012,0))),
IF($E313=5,IF(INDEX(EL!$AS$4:$AS$1012,MATCH($C313,EL!$E$4:$E$1012,0))="","",INDEX(EL!$AS$4:$AS$1012,MATCH($C313,EL!$E$4:$E$1012,0))),"")))))))</f>
        <v/>
      </c>
      <c r="K313" s="459">
        <f>EL!L227</f>
        <v>0</v>
      </c>
      <c r="L313" s="460" t="e" cm="1">
        <f t="array" aca="1" ref="L313" ca="1">_xlfn.IFS(AND($E313&lt;&gt;"",$M313="Pending",$K313="CTA"),TODAY()-$G313,AND($E313&lt;&gt;"",$M313="Pending",$K313="AUR"),TODAY()-$H313,AND($E313&lt;&gt;"",$M313="Pending",$K313="STT"),TODAY()-$I313,OR(K313="Closed",K313=""),"")</f>
        <v>#N/A</v>
      </c>
      <c r="M313" s="461">
        <f>VLOOKUP(C313,EL!$E$4:$AC$622,9,0)</f>
        <v>0</v>
      </c>
      <c r="N313" s="461" t="str">
        <f t="shared" si="10"/>
        <v/>
      </c>
      <c r="O313" s="739" t="str">
        <f>EL!O227</f>
        <v>GC</v>
      </c>
      <c r="P313" s="746" t="str">
        <v>YES</v>
      </c>
    </row>
    <row r="314" spans="1:16" s="385" customFormat="1" ht="27" hidden="1" customHeight="1">
      <c r="A314" s="399">
        <f t="shared" si="12"/>
        <v>221</v>
      </c>
      <c r="B314" s="477" t="s">
        <v>52</v>
      </c>
      <c r="C314" s="646" t="s">
        <v>1114</v>
      </c>
      <c r="D314" s="456" t="str">
        <f>_xlfn.XLOOKUP(C314,EL!$E$4:$E$390,EL!$D$4:$D$390)</f>
        <v>Level Roof - Security CCTV System Layout</v>
      </c>
      <c r="E314" s="597" t="str">
        <f>IF(VLOOKUP(C314,EL!$E$4:$AC$505,7,0)="","",VLOOKUP(C314,EL!$E$4:$AC$1004,7,0))</f>
        <v/>
      </c>
      <c r="F314" s="462"/>
      <c r="G314" s="458" t="str">
        <f>IF(VLOOKUP(C314,EL!$E$4:$AC$514,5,0)="","",VLOOKUP(C314,EL!$E$4:$AC$514,5,0))</f>
        <v/>
      </c>
      <c r="H314" s="459" t="str">
        <f>IF(ISNA(MATCH($C314,EL!$E$4:$E$1012,0)),"",
IF($E314=0,IF(INDEX(EL!$R$4:$R$1012,MATCH($C314,EL!$E$4:$E$1012,0))="","",INDEX(EL!$R$4:$R$1012,MATCH($C314,EL!$E$4:$E$1012,0))),
IF($E314=1,IF(INDEX(EL!$W$4:$W$1012,MATCH($C314,EL!$E$4:$E$1012,0))="","",INDEX(EL!$W$4:$W$1012,MATCH($C314,EL!$E$4:$E$1012,0))),
IF($E314=2,IF(INDEX(EL!$AB$4:$AB$1012,MATCH($C314,EL!$E$4:$E$1012,0))="","",INDEX(EL!$AB$4:$AB$1012,MATCH($C314,EL!$E$4:$E$1012,0))),
IF($E314=3,IF(INDEX(EL!$AG$4:$AG$1012,MATCH($C314,EL!$E$4:$E$1012,0))="","",INDEX(EL!$AG$4:$AG$1012,MATCH($C314,EL!$E$4:$E$1012,0))),
IF($E314=4,IF(INDEX(EL!$AN$4:$AN$1012,MATCH($C314,EL!$E$4:$E$1012,0))="","",INDEX(EL!$AN$4:$AN$1012,MATCH($C314,EL!$E$4:$E$1012,0))),
IF($E314=5,IF(INDEX(EL!$AS$4:$AS$1012,MATCH($C314,EL!$E$4:$E$1012,0))="","",INDEX(EL!$AS$4:$AS$1012,MATCH($C314,EL!$E$4:$E$1012,0))),"")))))))</f>
        <v/>
      </c>
      <c r="I314" s="459" t="str">
        <f>IF(ISNA(MATCH($C314,EL!$E$4:$E$1012,0)),"",
IF($E314=0,IF(INDEX(EL!$S$4:$S$1012,MATCH($C314,EL!$E$4:$E$1012,0))="","",INDEX(EL!$S$4:$S$1012,MATCH($C314,EL!$E$4:$E$1012,0))),
IF($E314=1,IF(INDEX(EL!$X$4:$X$1012,MATCH($C314,EL!$E$4:$E$1012,0))="","",INDEX(EL!$X$4:$X$1012,MATCH($C314,EL!$E$4:$E$1012,0))),
IF($E314=2,IF(INDEX(EL!$AC$4:$AC$1012,MATCH($C314,EL!$E$4:$E$1012,0))="","",INDEX(EL!$AC$4:$AC$1012,MATCH($C314,EL!$E$4:$E$1012,0))),
IF($E314=3,IF(INDEX(EL!$AH$4:$AH$1012,MATCH($C314,EL!$E$4:$E$1012,0))="","",INDEX(EL!$AH$4:$AH$1012,MATCH($C314,EL!$E$4:$E$1012,0))),
IF($E314=4,IF(INDEX(EL!$AM$4:$AM$1012,MATCH($C314,EL!$E$4:$E$1012,0))="","",INDEX(EL!$AM$4:$AM$1012,MATCH($C314,EL!$E$4:$E$1012,0))),
IF($E314=5,IF(INDEX(EL!$AR$4:$AR$1012,MATCH($C314,EL!$E$4:$E$1012,0))="","",INDEX(EL!$AR$4:$AR$1012,MATCH($C314,EL!$E$4:$E$1012,0))),"")))))))</f>
        <v/>
      </c>
      <c r="J314" s="459" t="str">
        <f>IF(ISNA(MATCH($C314,EL!$E$4:$E$1012,0)),"",
IF($E314=0,IF(INDEX(EL!$T$4:$T$1012,MATCH($C314,EL!$E$4:$E$1012,0))="","",INDEX(EL!$T$4:$T$1012,MATCH($C314,EL!$E$4:$E$1012,0))),
IF($E314=1,IF(INDEX(EL!$Y$4:$Y$1012,MATCH($C314,EL!$E$4:$E$1012,0))="","",INDEX(EL!$Y$4:$Y$1012,MATCH($C314,EL!$E$4:$E$1012,0))),
IF($E314=2,IF(INDEX(EL!$AD$4:$AD$1012,MATCH($C314,EL!$E$4:$E$1012,0))="","",INDEX(EL!$AD$4:$AD$1012,MATCH($C314,EL!$E$4:$E$1012,0))),
IF($E314=3,IF(INDEX(EL!$AI$4:$AI$1012,MATCH($C314,EL!$E$4:$E$1012,0))="","",INDEX(EL!$AI$4:$AI$1012,MATCH($C314,EL!$E$4:$E$1012,0))),
IF($E314=4,IF(INDEX(EL!$AN$4:$AN$1012,MATCH($C314,EL!$E$4:$E$1012,0))="","",INDEX(EL!$AN$4:$AN$1012,MATCH($C314,EL!$E$4:$E$1012,0))),
IF($E314=5,IF(INDEX(EL!$AS$4:$AS$1012,MATCH($C314,EL!$E$4:$E$1012,0))="","",INDEX(EL!$AS$4:$AS$1012,MATCH($C314,EL!$E$4:$E$1012,0))),"")))))))</f>
        <v/>
      </c>
      <c r="K314" s="459">
        <f>EL!L228</f>
        <v>0</v>
      </c>
      <c r="L314" s="460" t="e" cm="1">
        <f t="array" aca="1" ref="L314" ca="1">_xlfn.IFS(AND($E314&lt;&gt;"",$M314="Pending",$K314="CTA"),TODAY()-$G314,AND($E314&lt;&gt;"",$M314="Pending",$K314="AUR"),TODAY()-$H314,AND($E314&lt;&gt;"",$M314="Pending",$K314="STT"),TODAY()-$I314,OR(K314="Closed",K314=""),"")</f>
        <v>#N/A</v>
      </c>
      <c r="M314" s="461">
        <f>VLOOKUP(C314,EL!$E$4:$AC$622,9,0)</f>
        <v>0</v>
      </c>
      <c r="N314" s="461" t="str">
        <f t="shared" si="10"/>
        <v/>
      </c>
      <c r="O314" s="739" t="str">
        <f>EL!O228</f>
        <v>GC</v>
      </c>
      <c r="P314" s="746" t="str">
        <v>YES</v>
      </c>
    </row>
    <row r="315" spans="1:16" s="385" customFormat="1" ht="27" hidden="1" customHeight="1">
      <c r="A315" s="399">
        <f t="shared" si="12"/>
        <v>222</v>
      </c>
      <c r="B315" s="477" t="s">
        <v>52</v>
      </c>
      <c r="C315" s="646" t="s">
        <v>1117</v>
      </c>
      <c r="D315" s="456" t="str">
        <f>_xlfn.XLOOKUP(C315,EL!$E$4:$E$390,EL!$D$4:$D$390)</f>
        <v>Level Roof - Security Access Control System Layout</v>
      </c>
      <c r="E315" s="597" t="str">
        <f>IF(VLOOKUP(C315,EL!$E$4:$AC$505,7,0)="","",VLOOKUP(C315,EL!$E$4:$AC$1004,7,0))</f>
        <v/>
      </c>
      <c r="F315" s="462"/>
      <c r="G315" s="458" t="str">
        <f>IF(VLOOKUP(C315,EL!$E$4:$AC$514,5,0)="","",VLOOKUP(C315,EL!$E$4:$AC$514,5,0))</f>
        <v/>
      </c>
      <c r="H315" s="459" t="str">
        <f>IF(ISNA(MATCH($C315,EL!$E$4:$E$1012,0)),"",
IF($E315=0,IF(INDEX(EL!$R$4:$R$1012,MATCH($C315,EL!$E$4:$E$1012,0))="","",INDEX(EL!$R$4:$R$1012,MATCH($C315,EL!$E$4:$E$1012,0))),
IF($E315=1,IF(INDEX(EL!$W$4:$W$1012,MATCH($C315,EL!$E$4:$E$1012,0))="","",INDEX(EL!$W$4:$W$1012,MATCH($C315,EL!$E$4:$E$1012,0))),
IF($E315=2,IF(INDEX(EL!$AB$4:$AB$1012,MATCH($C315,EL!$E$4:$E$1012,0))="","",INDEX(EL!$AB$4:$AB$1012,MATCH($C315,EL!$E$4:$E$1012,0))),
IF($E315=3,IF(INDEX(EL!$AG$4:$AG$1012,MATCH($C315,EL!$E$4:$E$1012,0))="","",INDEX(EL!$AG$4:$AG$1012,MATCH($C315,EL!$E$4:$E$1012,0))),
IF($E315=4,IF(INDEX(EL!$AN$4:$AN$1012,MATCH($C315,EL!$E$4:$E$1012,0))="","",INDEX(EL!$AN$4:$AN$1012,MATCH($C315,EL!$E$4:$E$1012,0))),
IF($E315=5,IF(INDEX(EL!$AS$4:$AS$1012,MATCH($C315,EL!$E$4:$E$1012,0))="","",INDEX(EL!$AS$4:$AS$1012,MATCH($C315,EL!$E$4:$E$1012,0))),"")))))))</f>
        <v/>
      </c>
      <c r="I315" s="459" t="str">
        <f>IF(ISNA(MATCH($C315,EL!$E$4:$E$1012,0)),"",
IF($E315=0,IF(INDEX(EL!$S$4:$S$1012,MATCH($C315,EL!$E$4:$E$1012,0))="","",INDEX(EL!$S$4:$S$1012,MATCH($C315,EL!$E$4:$E$1012,0))),
IF($E315=1,IF(INDEX(EL!$X$4:$X$1012,MATCH($C315,EL!$E$4:$E$1012,0))="","",INDEX(EL!$X$4:$X$1012,MATCH($C315,EL!$E$4:$E$1012,0))),
IF($E315=2,IF(INDEX(EL!$AC$4:$AC$1012,MATCH($C315,EL!$E$4:$E$1012,0))="","",INDEX(EL!$AC$4:$AC$1012,MATCH($C315,EL!$E$4:$E$1012,0))),
IF($E315=3,IF(INDEX(EL!$AH$4:$AH$1012,MATCH($C315,EL!$E$4:$E$1012,0))="","",INDEX(EL!$AH$4:$AH$1012,MATCH($C315,EL!$E$4:$E$1012,0))),
IF($E315=4,IF(INDEX(EL!$AM$4:$AM$1012,MATCH($C315,EL!$E$4:$E$1012,0))="","",INDEX(EL!$AM$4:$AM$1012,MATCH($C315,EL!$E$4:$E$1012,0))),
IF($E315=5,IF(INDEX(EL!$AR$4:$AR$1012,MATCH($C315,EL!$E$4:$E$1012,0))="","",INDEX(EL!$AR$4:$AR$1012,MATCH($C315,EL!$E$4:$E$1012,0))),"")))))))</f>
        <v/>
      </c>
      <c r="J315" s="459" t="str">
        <f>IF(ISNA(MATCH($C315,EL!$E$4:$E$1012,0)),"",
IF($E315=0,IF(INDEX(EL!$T$4:$T$1012,MATCH($C315,EL!$E$4:$E$1012,0))="","",INDEX(EL!$T$4:$T$1012,MATCH($C315,EL!$E$4:$E$1012,0))),
IF($E315=1,IF(INDEX(EL!$Y$4:$Y$1012,MATCH($C315,EL!$E$4:$E$1012,0))="","",INDEX(EL!$Y$4:$Y$1012,MATCH($C315,EL!$E$4:$E$1012,0))),
IF($E315=2,IF(INDEX(EL!$AD$4:$AD$1012,MATCH($C315,EL!$E$4:$E$1012,0))="","",INDEX(EL!$AD$4:$AD$1012,MATCH($C315,EL!$E$4:$E$1012,0))),
IF($E315=3,IF(INDEX(EL!$AI$4:$AI$1012,MATCH($C315,EL!$E$4:$E$1012,0))="","",INDEX(EL!$AI$4:$AI$1012,MATCH($C315,EL!$E$4:$E$1012,0))),
IF($E315=4,IF(INDEX(EL!$AN$4:$AN$1012,MATCH($C315,EL!$E$4:$E$1012,0))="","",INDEX(EL!$AN$4:$AN$1012,MATCH($C315,EL!$E$4:$E$1012,0))),
IF($E315=5,IF(INDEX(EL!$AS$4:$AS$1012,MATCH($C315,EL!$E$4:$E$1012,0))="","",INDEX(EL!$AS$4:$AS$1012,MATCH($C315,EL!$E$4:$E$1012,0))),"")))))))</f>
        <v/>
      </c>
      <c r="K315" s="459">
        <f>EL!L229</f>
        <v>0</v>
      </c>
      <c r="L315" s="460" t="e" cm="1">
        <f t="array" aca="1" ref="L315" ca="1">_xlfn.IFS(AND($E315&lt;&gt;"",$M315="Pending",$K315="CTA"),TODAY()-$G315,AND($E315&lt;&gt;"",$M315="Pending",$K315="AUR"),TODAY()-$H315,AND($E315&lt;&gt;"",$M315="Pending",$K315="STT"),TODAY()-$I315,OR(K315="Closed",K315=""),"")</f>
        <v>#N/A</v>
      </c>
      <c r="M315" s="461">
        <f>VLOOKUP(C315,EL!$E$4:$AC$622,9,0)</f>
        <v>0</v>
      </c>
      <c r="N315" s="461" t="str">
        <f t="shared" si="10"/>
        <v/>
      </c>
      <c r="O315" s="739" t="str">
        <f>EL!O229</f>
        <v>GC</v>
      </c>
      <c r="P315" s="746" t="str">
        <v>YES</v>
      </c>
    </row>
    <row r="316" spans="1:16" s="385" customFormat="1" ht="27" hidden="1" customHeight="1">
      <c r="A316" s="399">
        <f t="shared" si="12"/>
        <v>223</v>
      </c>
      <c r="B316" s="477" t="s">
        <v>52</v>
      </c>
      <c r="C316" s="646" t="s">
        <v>1120</v>
      </c>
      <c r="D316" s="456" t="str">
        <f>_xlfn.XLOOKUP(C316,EL!$E$4:$E$390,EL!$D$4:$D$390)</f>
        <v>Level 1 - Earthing And Lightning Protection System Layout</v>
      </c>
      <c r="E316" s="597" t="str">
        <f>IF(VLOOKUP(C316,EL!$E$4:$AC$505,7,0)="","",VLOOKUP(C316,EL!$E$4:$AC$1004,7,0))</f>
        <v/>
      </c>
      <c r="F316" s="462"/>
      <c r="G316" s="458" t="str">
        <f>IF(VLOOKUP(C316,EL!$E$4:$AC$514,5,0)="","",VLOOKUP(C316,EL!$E$4:$AC$514,5,0))</f>
        <v/>
      </c>
      <c r="H316" s="459" t="str">
        <f>IF(ISNA(MATCH($C316,EL!$E$4:$E$1012,0)),"",
IF($E316=0,IF(INDEX(EL!$R$4:$R$1012,MATCH($C316,EL!$E$4:$E$1012,0))="","",INDEX(EL!$R$4:$R$1012,MATCH($C316,EL!$E$4:$E$1012,0))),
IF($E316=1,IF(INDEX(EL!$W$4:$W$1012,MATCH($C316,EL!$E$4:$E$1012,0))="","",INDEX(EL!$W$4:$W$1012,MATCH($C316,EL!$E$4:$E$1012,0))),
IF($E316=2,IF(INDEX(EL!$AB$4:$AB$1012,MATCH($C316,EL!$E$4:$E$1012,0))="","",INDEX(EL!$AB$4:$AB$1012,MATCH($C316,EL!$E$4:$E$1012,0))),
IF($E316=3,IF(INDEX(EL!$AG$4:$AG$1012,MATCH($C316,EL!$E$4:$E$1012,0))="","",INDEX(EL!$AG$4:$AG$1012,MATCH($C316,EL!$E$4:$E$1012,0))),
IF($E316=4,IF(INDEX(EL!$AN$4:$AN$1012,MATCH($C316,EL!$E$4:$E$1012,0))="","",INDEX(EL!$AN$4:$AN$1012,MATCH($C316,EL!$E$4:$E$1012,0))),
IF($E316=5,IF(INDEX(EL!$AS$4:$AS$1012,MATCH($C316,EL!$E$4:$E$1012,0))="","",INDEX(EL!$AS$4:$AS$1012,MATCH($C316,EL!$E$4:$E$1012,0))),"")))))))</f>
        <v/>
      </c>
      <c r="I316" s="459" t="str">
        <f>IF(ISNA(MATCH($C316,EL!$E$4:$E$1012,0)),"",
IF($E316=0,IF(INDEX(EL!$S$4:$S$1012,MATCH($C316,EL!$E$4:$E$1012,0))="","",INDEX(EL!$S$4:$S$1012,MATCH($C316,EL!$E$4:$E$1012,0))),
IF($E316=1,IF(INDEX(EL!$X$4:$X$1012,MATCH($C316,EL!$E$4:$E$1012,0))="","",INDEX(EL!$X$4:$X$1012,MATCH($C316,EL!$E$4:$E$1012,0))),
IF($E316=2,IF(INDEX(EL!$AC$4:$AC$1012,MATCH($C316,EL!$E$4:$E$1012,0))="","",INDEX(EL!$AC$4:$AC$1012,MATCH($C316,EL!$E$4:$E$1012,0))),
IF($E316=3,IF(INDEX(EL!$AH$4:$AH$1012,MATCH($C316,EL!$E$4:$E$1012,0))="","",INDEX(EL!$AH$4:$AH$1012,MATCH($C316,EL!$E$4:$E$1012,0))),
IF($E316=4,IF(INDEX(EL!$AM$4:$AM$1012,MATCH($C316,EL!$E$4:$E$1012,0))="","",INDEX(EL!$AM$4:$AM$1012,MATCH($C316,EL!$E$4:$E$1012,0))),
IF($E316=5,IF(INDEX(EL!$AR$4:$AR$1012,MATCH($C316,EL!$E$4:$E$1012,0))="","",INDEX(EL!$AR$4:$AR$1012,MATCH($C316,EL!$E$4:$E$1012,0))),"")))))))</f>
        <v/>
      </c>
      <c r="J316" s="459" t="str">
        <f>IF(ISNA(MATCH($C316,EL!$E$4:$E$1012,0)),"",
IF($E316=0,IF(INDEX(EL!$T$4:$T$1012,MATCH($C316,EL!$E$4:$E$1012,0))="","",INDEX(EL!$T$4:$T$1012,MATCH($C316,EL!$E$4:$E$1012,0))),
IF($E316=1,IF(INDEX(EL!$Y$4:$Y$1012,MATCH($C316,EL!$E$4:$E$1012,0))="","",INDEX(EL!$Y$4:$Y$1012,MATCH($C316,EL!$E$4:$E$1012,0))),
IF($E316=2,IF(INDEX(EL!$AD$4:$AD$1012,MATCH($C316,EL!$E$4:$E$1012,0))="","",INDEX(EL!$AD$4:$AD$1012,MATCH($C316,EL!$E$4:$E$1012,0))),
IF($E316=3,IF(INDEX(EL!$AI$4:$AI$1012,MATCH($C316,EL!$E$4:$E$1012,0))="","",INDEX(EL!$AI$4:$AI$1012,MATCH($C316,EL!$E$4:$E$1012,0))),
IF($E316=4,IF(INDEX(EL!$AN$4:$AN$1012,MATCH($C316,EL!$E$4:$E$1012,0))="","",INDEX(EL!$AN$4:$AN$1012,MATCH($C316,EL!$E$4:$E$1012,0))),
IF($E316=5,IF(INDEX(EL!$AS$4:$AS$1012,MATCH($C316,EL!$E$4:$E$1012,0))="","",INDEX(EL!$AS$4:$AS$1012,MATCH($C316,EL!$E$4:$E$1012,0))),"")))))))</f>
        <v/>
      </c>
      <c r="K316" s="459">
        <f>EL!L230</f>
        <v>0</v>
      </c>
      <c r="L316" s="460" t="e" cm="1">
        <f t="array" aca="1" ref="L316" ca="1">_xlfn.IFS(AND($E316&lt;&gt;"",$M316="Pending",$K316="CTA"),TODAY()-$G316,AND($E316&lt;&gt;"",$M316="Pending",$K316="AUR"),TODAY()-$H316,AND($E316&lt;&gt;"",$M316="Pending",$K316="STT"),TODAY()-$I316,OR(K316="Closed",K316=""),"")</f>
        <v>#N/A</v>
      </c>
      <c r="M316" s="461">
        <f>VLOOKUP(C316,EL!$E$4:$AC$622,9,0)</f>
        <v>0</v>
      </c>
      <c r="N316" s="461" t="str">
        <f t="shared" si="10"/>
        <v/>
      </c>
      <c r="O316" s="739" t="str">
        <f>EL!O230</f>
        <v>GC</v>
      </c>
      <c r="P316" s="746" t="str">
        <v>YES</v>
      </c>
    </row>
    <row r="317" spans="1:16" s="385" customFormat="1" ht="27" hidden="1" customHeight="1">
      <c r="A317" s="399">
        <f t="shared" si="12"/>
        <v>224</v>
      </c>
      <c r="B317" s="477" t="s">
        <v>52</v>
      </c>
      <c r="C317" s="646" t="s">
        <v>1123</v>
      </c>
      <c r="D317" s="456" t="str">
        <f>_xlfn.XLOOKUP(C317,EL!$E$4:$E$390,EL!$D$4:$D$390)</f>
        <v>Level 2 - Earthing And Lightning Protection System Layout</v>
      </c>
      <c r="E317" s="597" t="str">
        <f>IF(VLOOKUP(C317,EL!$E$4:$AC$505,7,0)="","",VLOOKUP(C317,EL!$E$4:$AC$1004,7,0))</f>
        <v/>
      </c>
      <c r="F317" s="462"/>
      <c r="G317" s="458" t="str">
        <f>IF(VLOOKUP(C317,EL!$E$4:$AC$514,5,0)="","",VLOOKUP(C317,EL!$E$4:$AC$514,5,0))</f>
        <v/>
      </c>
      <c r="H317" s="459" t="str">
        <f>IF(ISNA(MATCH($C317,EL!$E$4:$E$1012,0)),"",
IF($E317=0,IF(INDEX(EL!$R$4:$R$1012,MATCH($C317,EL!$E$4:$E$1012,0))="","",INDEX(EL!$R$4:$R$1012,MATCH($C317,EL!$E$4:$E$1012,0))),
IF($E317=1,IF(INDEX(EL!$W$4:$W$1012,MATCH($C317,EL!$E$4:$E$1012,0))="","",INDEX(EL!$W$4:$W$1012,MATCH($C317,EL!$E$4:$E$1012,0))),
IF($E317=2,IF(INDEX(EL!$AB$4:$AB$1012,MATCH($C317,EL!$E$4:$E$1012,0))="","",INDEX(EL!$AB$4:$AB$1012,MATCH($C317,EL!$E$4:$E$1012,0))),
IF($E317=3,IF(INDEX(EL!$AG$4:$AG$1012,MATCH($C317,EL!$E$4:$E$1012,0))="","",INDEX(EL!$AG$4:$AG$1012,MATCH($C317,EL!$E$4:$E$1012,0))),
IF($E317=4,IF(INDEX(EL!$AN$4:$AN$1012,MATCH($C317,EL!$E$4:$E$1012,0))="","",INDEX(EL!$AN$4:$AN$1012,MATCH($C317,EL!$E$4:$E$1012,0))),
IF($E317=5,IF(INDEX(EL!$AS$4:$AS$1012,MATCH($C317,EL!$E$4:$E$1012,0))="","",INDEX(EL!$AS$4:$AS$1012,MATCH($C317,EL!$E$4:$E$1012,0))),"")))))))</f>
        <v/>
      </c>
      <c r="I317" s="459" t="str">
        <f>IF(ISNA(MATCH($C317,EL!$E$4:$E$1012,0)),"",
IF($E317=0,IF(INDEX(EL!$S$4:$S$1012,MATCH($C317,EL!$E$4:$E$1012,0))="","",INDEX(EL!$S$4:$S$1012,MATCH($C317,EL!$E$4:$E$1012,0))),
IF($E317=1,IF(INDEX(EL!$X$4:$X$1012,MATCH($C317,EL!$E$4:$E$1012,0))="","",INDEX(EL!$X$4:$X$1012,MATCH($C317,EL!$E$4:$E$1012,0))),
IF($E317=2,IF(INDEX(EL!$AC$4:$AC$1012,MATCH($C317,EL!$E$4:$E$1012,0))="","",INDEX(EL!$AC$4:$AC$1012,MATCH($C317,EL!$E$4:$E$1012,0))),
IF($E317=3,IF(INDEX(EL!$AH$4:$AH$1012,MATCH($C317,EL!$E$4:$E$1012,0))="","",INDEX(EL!$AH$4:$AH$1012,MATCH($C317,EL!$E$4:$E$1012,0))),
IF($E317=4,IF(INDEX(EL!$AM$4:$AM$1012,MATCH($C317,EL!$E$4:$E$1012,0))="","",INDEX(EL!$AM$4:$AM$1012,MATCH($C317,EL!$E$4:$E$1012,0))),
IF($E317=5,IF(INDEX(EL!$AR$4:$AR$1012,MATCH($C317,EL!$E$4:$E$1012,0))="","",INDEX(EL!$AR$4:$AR$1012,MATCH($C317,EL!$E$4:$E$1012,0))),"")))))))</f>
        <v/>
      </c>
      <c r="J317" s="459" t="str">
        <f>IF(ISNA(MATCH($C317,EL!$E$4:$E$1012,0)),"",
IF($E317=0,IF(INDEX(EL!$T$4:$T$1012,MATCH($C317,EL!$E$4:$E$1012,0))="","",INDEX(EL!$T$4:$T$1012,MATCH($C317,EL!$E$4:$E$1012,0))),
IF($E317=1,IF(INDEX(EL!$Y$4:$Y$1012,MATCH($C317,EL!$E$4:$E$1012,0))="","",INDEX(EL!$Y$4:$Y$1012,MATCH($C317,EL!$E$4:$E$1012,0))),
IF($E317=2,IF(INDEX(EL!$AD$4:$AD$1012,MATCH($C317,EL!$E$4:$E$1012,0))="","",INDEX(EL!$AD$4:$AD$1012,MATCH($C317,EL!$E$4:$E$1012,0))),
IF($E317=3,IF(INDEX(EL!$AI$4:$AI$1012,MATCH($C317,EL!$E$4:$E$1012,0))="","",INDEX(EL!$AI$4:$AI$1012,MATCH($C317,EL!$E$4:$E$1012,0))),
IF($E317=4,IF(INDEX(EL!$AN$4:$AN$1012,MATCH($C317,EL!$E$4:$E$1012,0))="","",INDEX(EL!$AN$4:$AN$1012,MATCH($C317,EL!$E$4:$E$1012,0))),
IF($E317=5,IF(INDEX(EL!$AS$4:$AS$1012,MATCH($C317,EL!$E$4:$E$1012,0))="","",INDEX(EL!$AS$4:$AS$1012,MATCH($C317,EL!$E$4:$E$1012,0))),"")))))))</f>
        <v/>
      </c>
      <c r="K317" s="459">
        <f>EL!L231</f>
        <v>0</v>
      </c>
      <c r="L317" s="460" t="e" cm="1">
        <f t="array" aca="1" ref="L317" ca="1">_xlfn.IFS(AND($E317&lt;&gt;"",$M317="Pending",$K317="CTA"),TODAY()-$G317,AND($E317&lt;&gt;"",$M317="Pending",$K317="AUR"),TODAY()-$H317,AND($E317&lt;&gt;"",$M317="Pending",$K317="STT"),TODAY()-$I317,OR(K317="Closed",K317=""),"")</f>
        <v>#N/A</v>
      </c>
      <c r="M317" s="461">
        <f>VLOOKUP(C317,EL!$E$4:$AC$622,9,0)</f>
        <v>0</v>
      </c>
      <c r="N317" s="461" t="str">
        <f t="shared" si="10"/>
        <v/>
      </c>
      <c r="O317" s="739" t="str">
        <f>EL!O231</f>
        <v>GC</v>
      </c>
      <c r="P317" s="746" t="str">
        <v>YES</v>
      </c>
    </row>
    <row r="318" spans="1:16" s="385" customFormat="1" ht="27" hidden="1" customHeight="1">
      <c r="A318" s="399">
        <f t="shared" si="12"/>
        <v>225</v>
      </c>
      <c r="B318" s="477" t="s">
        <v>52</v>
      </c>
      <c r="C318" s="646" t="s">
        <v>1126</v>
      </c>
      <c r="D318" s="456" t="str">
        <f>_xlfn.XLOOKUP(C318,EL!$E$4:$E$390,EL!$D$4:$D$390)</f>
        <v>Level 3 - Earthing And Lightning Protection System Layout</v>
      </c>
      <c r="E318" s="597" t="str">
        <f>IF(VLOOKUP(C318,EL!$E$4:$AC$505,7,0)="","",VLOOKUP(C318,EL!$E$4:$AC$1004,7,0))</f>
        <v/>
      </c>
      <c r="F318" s="462"/>
      <c r="G318" s="458" t="str">
        <f>IF(VLOOKUP(C318,EL!$E$4:$AC$514,5,0)="","",VLOOKUP(C318,EL!$E$4:$AC$514,5,0))</f>
        <v/>
      </c>
      <c r="H318" s="459" t="str">
        <f>IF(ISNA(MATCH($C318,EL!$E$4:$E$1012,0)),"",
IF($E318=0,IF(INDEX(EL!$R$4:$R$1012,MATCH($C318,EL!$E$4:$E$1012,0))="","",INDEX(EL!$R$4:$R$1012,MATCH($C318,EL!$E$4:$E$1012,0))),
IF($E318=1,IF(INDEX(EL!$W$4:$W$1012,MATCH($C318,EL!$E$4:$E$1012,0))="","",INDEX(EL!$W$4:$W$1012,MATCH($C318,EL!$E$4:$E$1012,0))),
IF($E318=2,IF(INDEX(EL!$AB$4:$AB$1012,MATCH($C318,EL!$E$4:$E$1012,0))="","",INDEX(EL!$AB$4:$AB$1012,MATCH($C318,EL!$E$4:$E$1012,0))),
IF($E318=3,IF(INDEX(EL!$AG$4:$AG$1012,MATCH($C318,EL!$E$4:$E$1012,0))="","",INDEX(EL!$AG$4:$AG$1012,MATCH($C318,EL!$E$4:$E$1012,0))),
IF($E318=4,IF(INDEX(EL!$AN$4:$AN$1012,MATCH($C318,EL!$E$4:$E$1012,0))="","",INDEX(EL!$AN$4:$AN$1012,MATCH($C318,EL!$E$4:$E$1012,0))),
IF($E318=5,IF(INDEX(EL!$AS$4:$AS$1012,MATCH($C318,EL!$E$4:$E$1012,0))="","",INDEX(EL!$AS$4:$AS$1012,MATCH($C318,EL!$E$4:$E$1012,0))),"")))))))</f>
        <v/>
      </c>
      <c r="I318" s="459" t="str">
        <f>IF(ISNA(MATCH($C318,EL!$E$4:$E$1012,0)),"",
IF($E318=0,IF(INDEX(EL!$S$4:$S$1012,MATCH($C318,EL!$E$4:$E$1012,0))="","",INDEX(EL!$S$4:$S$1012,MATCH($C318,EL!$E$4:$E$1012,0))),
IF($E318=1,IF(INDEX(EL!$X$4:$X$1012,MATCH($C318,EL!$E$4:$E$1012,0))="","",INDEX(EL!$X$4:$X$1012,MATCH($C318,EL!$E$4:$E$1012,0))),
IF($E318=2,IF(INDEX(EL!$AC$4:$AC$1012,MATCH($C318,EL!$E$4:$E$1012,0))="","",INDEX(EL!$AC$4:$AC$1012,MATCH($C318,EL!$E$4:$E$1012,0))),
IF($E318=3,IF(INDEX(EL!$AH$4:$AH$1012,MATCH($C318,EL!$E$4:$E$1012,0))="","",INDEX(EL!$AH$4:$AH$1012,MATCH($C318,EL!$E$4:$E$1012,0))),
IF($E318=4,IF(INDEX(EL!$AM$4:$AM$1012,MATCH($C318,EL!$E$4:$E$1012,0))="","",INDEX(EL!$AM$4:$AM$1012,MATCH($C318,EL!$E$4:$E$1012,0))),
IF($E318=5,IF(INDEX(EL!$AR$4:$AR$1012,MATCH($C318,EL!$E$4:$E$1012,0))="","",INDEX(EL!$AR$4:$AR$1012,MATCH($C318,EL!$E$4:$E$1012,0))),"")))))))</f>
        <v/>
      </c>
      <c r="J318" s="459" t="str">
        <f>IF(ISNA(MATCH($C318,EL!$E$4:$E$1012,0)),"",
IF($E318=0,IF(INDEX(EL!$T$4:$T$1012,MATCH($C318,EL!$E$4:$E$1012,0))="","",INDEX(EL!$T$4:$T$1012,MATCH($C318,EL!$E$4:$E$1012,0))),
IF($E318=1,IF(INDEX(EL!$Y$4:$Y$1012,MATCH($C318,EL!$E$4:$E$1012,0))="","",INDEX(EL!$Y$4:$Y$1012,MATCH($C318,EL!$E$4:$E$1012,0))),
IF($E318=2,IF(INDEX(EL!$AD$4:$AD$1012,MATCH($C318,EL!$E$4:$E$1012,0))="","",INDEX(EL!$AD$4:$AD$1012,MATCH($C318,EL!$E$4:$E$1012,0))),
IF($E318=3,IF(INDEX(EL!$AI$4:$AI$1012,MATCH($C318,EL!$E$4:$E$1012,0))="","",INDEX(EL!$AI$4:$AI$1012,MATCH($C318,EL!$E$4:$E$1012,0))),
IF($E318=4,IF(INDEX(EL!$AN$4:$AN$1012,MATCH($C318,EL!$E$4:$E$1012,0))="","",INDEX(EL!$AN$4:$AN$1012,MATCH($C318,EL!$E$4:$E$1012,0))),
IF($E318=5,IF(INDEX(EL!$AS$4:$AS$1012,MATCH($C318,EL!$E$4:$E$1012,0))="","",INDEX(EL!$AS$4:$AS$1012,MATCH($C318,EL!$E$4:$E$1012,0))),"")))))))</f>
        <v/>
      </c>
      <c r="K318" s="459">
        <f>EL!L232</f>
        <v>0</v>
      </c>
      <c r="L318" s="460" t="e" cm="1">
        <f t="array" aca="1" ref="L318" ca="1">_xlfn.IFS(AND($E318&lt;&gt;"",$M318="Pending",$K318="CTA"),TODAY()-$G318,AND($E318&lt;&gt;"",$M318="Pending",$K318="AUR"),TODAY()-$H318,AND($E318&lt;&gt;"",$M318="Pending",$K318="STT"),TODAY()-$I318,OR(K318="Closed",K318=""),"")</f>
        <v>#N/A</v>
      </c>
      <c r="M318" s="461">
        <f>VLOOKUP(C318,EL!$E$4:$AC$622,9,0)</f>
        <v>0</v>
      </c>
      <c r="N318" s="461" t="str">
        <f t="shared" ref="N318:N341" si="13">IF(AND(E318&lt;&gt;"",M318="Pending"),IF(L318&gt;=5,"Overdue",IF(L318&gt;=3,"High","")),"")</f>
        <v/>
      </c>
      <c r="O318" s="739" t="str">
        <f>EL!O232</f>
        <v>GC</v>
      </c>
      <c r="P318" s="746" t="str">
        <v>YES</v>
      </c>
    </row>
    <row r="319" spans="1:16" s="385" customFormat="1" ht="27" hidden="1" customHeight="1">
      <c r="A319" s="399">
        <f t="shared" si="12"/>
        <v>226</v>
      </c>
      <c r="B319" s="477" t="s">
        <v>52</v>
      </c>
      <c r="C319" s="646" t="s">
        <v>1129</v>
      </c>
      <c r="D319" s="456" t="str">
        <f>_xlfn.XLOOKUP(C319,EL!$E$4:$E$390,EL!$D$4:$D$390)</f>
        <v>Level 4 - Earthing And Lightning Protection System Layout</v>
      </c>
      <c r="E319" s="597" t="str">
        <f>IF(VLOOKUP(C319,EL!$E$4:$AC$505,7,0)="","",VLOOKUP(C319,EL!$E$4:$AC$1004,7,0))</f>
        <v/>
      </c>
      <c r="F319" s="462"/>
      <c r="G319" s="458" t="str">
        <f>IF(VLOOKUP(C319,EL!$E$4:$AC$514,5,0)="","",VLOOKUP(C319,EL!$E$4:$AC$514,5,0))</f>
        <v/>
      </c>
      <c r="H319" s="459" t="str">
        <f>IF(ISNA(MATCH($C319,EL!$E$4:$E$1012,0)),"",
IF($E319=0,IF(INDEX(EL!$R$4:$R$1012,MATCH($C319,EL!$E$4:$E$1012,0))="","",INDEX(EL!$R$4:$R$1012,MATCH($C319,EL!$E$4:$E$1012,0))),
IF($E319=1,IF(INDEX(EL!$W$4:$W$1012,MATCH($C319,EL!$E$4:$E$1012,0))="","",INDEX(EL!$W$4:$W$1012,MATCH($C319,EL!$E$4:$E$1012,0))),
IF($E319=2,IF(INDEX(EL!$AB$4:$AB$1012,MATCH($C319,EL!$E$4:$E$1012,0))="","",INDEX(EL!$AB$4:$AB$1012,MATCH($C319,EL!$E$4:$E$1012,0))),
IF($E319=3,IF(INDEX(EL!$AG$4:$AG$1012,MATCH($C319,EL!$E$4:$E$1012,0))="","",INDEX(EL!$AG$4:$AG$1012,MATCH($C319,EL!$E$4:$E$1012,0))),
IF($E319=4,IF(INDEX(EL!$AN$4:$AN$1012,MATCH($C319,EL!$E$4:$E$1012,0))="","",INDEX(EL!$AN$4:$AN$1012,MATCH($C319,EL!$E$4:$E$1012,0))),
IF($E319=5,IF(INDEX(EL!$AS$4:$AS$1012,MATCH($C319,EL!$E$4:$E$1012,0))="","",INDEX(EL!$AS$4:$AS$1012,MATCH($C319,EL!$E$4:$E$1012,0))),"")))))))</f>
        <v/>
      </c>
      <c r="I319" s="459" t="str">
        <f>IF(ISNA(MATCH($C319,EL!$E$4:$E$1012,0)),"",
IF($E319=0,IF(INDEX(EL!$S$4:$S$1012,MATCH($C319,EL!$E$4:$E$1012,0))="","",INDEX(EL!$S$4:$S$1012,MATCH($C319,EL!$E$4:$E$1012,0))),
IF($E319=1,IF(INDEX(EL!$X$4:$X$1012,MATCH($C319,EL!$E$4:$E$1012,0))="","",INDEX(EL!$X$4:$X$1012,MATCH($C319,EL!$E$4:$E$1012,0))),
IF($E319=2,IF(INDEX(EL!$AC$4:$AC$1012,MATCH($C319,EL!$E$4:$E$1012,0))="","",INDEX(EL!$AC$4:$AC$1012,MATCH($C319,EL!$E$4:$E$1012,0))),
IF($E319=3,IF(INDEX(EL!$AH$4:$AH$1012,MATCH($C319,EL!$E$4:$E$1012,0))="","",INDEX(EL!$AH$4:$AH$1012,MATCH($C319,EL!$E$4:$E$1012,0))),
IF($E319=4,IF(INDEX(EL!$AM$4:$AM$1012,MATCH($C319,EL!$E$4:$E$1012,0))="","",INDEX(EL!$AM$4:$AM$1012,MATCH($C319,EL!$E$4:$E$1012,0))),
IF($E319=5,IF(INDEX(EL!$AR$4:$AR$1012,MATCH($C319,EL!$E$4:$E$1012,0))="","",INDEX(EL!$AR$4:$AR$1012,MATCH($C319,EL!$E$4:$E$1012,0))),"")))))))</f>
        <v/>
      </c>
      <c r="J319" s="459" t="str">
        <f>IF(ISNA(MATCH($C319,EL!$E$4:$E$1012,0)),"",
IF($E319=0,IF(INDEX(EL!$T$4:$T$1012,MATCH($C319,EL!$E$4:$E$1012,0))="","",INDEX(EL!$T$4:$T$1012,MATCH($C319,EL!$E$4:$E$1012,0))),
IF($E319=1,IF(INDEX(EL!$Y$4:$Y$1012,MATCH($C319,EL!$E$4:$E$1012,0))="","",INDEX(EL!$Y$4:$Y$1012,MATCH($C319,EL!$E$4:$E$1012,0))),
IF($E319=2,IF(INDEX(EL!$AD$4:$AD$1012,MATCH($C319,EL!$E$4:$E$1012,0))="","",INDEX(EL!$AD$4:$AD$1012,MATCH($C319,EL!$E$4:$E$1012,0))),
IF($E319=3,IF(INDEX(EL!$AI$4:$AI$1012,MATCH($C319,EL!$E$4:$E$1012,0))="","",INDEX(EL!$AI$4:$AI$1012,MATCH($C319,EL!$E$4:$E$1012,0))),
IF($E319=4,IF(INDEX(EL!$AN$4:$AN$1012,MATCH($C319,EL!$E$4:$E$1012,0))="","",INDEX(EL!$AN$4:$AN$1012,MATCH($C319,EL!$E$4:$E$1012,0))),
IF($E319=5,IF(INDEX(EL!$AS$4:$AS$1012,MATCH($C319,EL!$E$4:$E$1012,0))="","",INDEX(EL!$AS$4:$AS$1012,MATCH($C319,EL!$E$4:$E$1012,0))),"")))))))</f>
        <v/>
      </c>
      <c r="K319" s="459">
        <f>EL!L233</f>
        <v>0</v>
      </c>
      <c r="L319" s="460" t="e" cm="1">
        <f t="array" aca="1" ref="L319" ca="1">_xlfn.IFS(AND($E319&lt;&gt;"",$M319="Pending",$K319="CTA"),TODAY()-$G319,AND($E319&lt;&gt;"",$M319="Pending",$K319="AUR"),TODAY()-$H319,AND($E319&lt;&gt;"",$M319="Pending",$K319="STT"),TODAY()-$I319,OR(K319="Closed",K319=""),"")</f>
        <v>#N/A</v>
      </c>
      <c r="M319" s="461">
        <f>VLOOKUP(C319,EL!$E$4:$AC$622,9,0)</f>
        <v>0</v>
      </c>
      <c r="N319" s="461" t="str">
        <f t="shared" si="13"/>
        <v/>
      </c>
      <c r="O319" s="739" t="str">
        <f>EL!O233</f>
        <v>GC</v>
      </c>
      <c r="P319" s="746" t="str">
        <v>YES</v>
      </c>
    </row>
    <row r="320" spans="1:16" s="385" customFormat="1" ht="27" hidden="1" customHeight="1">
      <c r="A320" s="399">
        <f t="shared" si="12"/>
        <v>227</v>
      </c>
      <c r="B320" s="477" t="s">
        <v>52</v>
      </c>
      <c r="C320" s="646" t="s">
        <v>1132</v>
      </c>
      <c r="D320" s="456" t="str">
        <f>_xlfn.XLOOKUP(C320,EL!$E$4:$E$390,EL!$D$4:$D$390)</f>
        <v>Level 5 - Earthing And Lightning Protection System Layout</v>
      </c>
      <c r="E320" s="597" t="str">
        <f>IF(VLOOKUP(C320,EL!$E$4:$AC$505,7,0)="","",VLOOKUP(C320,EL!$E$4:$AC$1004,7,0))</f>
        <v/>
      </c>
      <c r="F320" s="462"/>
      <c r="G320" s="458" t="str">
        <f>IF(VLOOKUP(C320,EL!$E$4:$AC$514,5,0)="","",VLOOKUP(C320,EL!$E$4:$AC$514,5,0))</f>
        <v/>
      </c>
      <c r="H320" s="459" t="str">
        <f>IF(ISNA(MATCH($C320,EL!$E$4:$E$1012,0)),"",
IF($E320=0,IF(INDEX(EL!$R$4:$R$1012,MATCH($C320,EL!$E$4:$E$1012,0))="","",INDEX(EL!$R$4:$R$1012,MATCH($C320,EL!$E$4:$E$1012,0))),
IF($E320=1,IF(INDEX(EL!$W$4:$W$1012,MATCH($C320,EL!$E$4:$E$1012,0))="","",INDEX(EL!$W$4:$W$1012,MATCH($C320,EL!$E$4:$E$1012,0))),
IF($E320=2,IF(INDEX(EL!$AB$4:$AB$1012,MATCH($C320,EL!$E$4:$E$1012,0))="","",INDEX(EL!$AB$4:$AB$1012,MATCH($C320,EL!$E$4:$E$1012,0))),
IF($E320=3,IF(INDEX(EL!$AG$4:$AG$1012,MATCH($C320,EL!$E$4:$E$1012,0))="","",INDEX(EL!$AG$4:$AG$1012,MATCH($C320,EL!$E$4:$E$1012,0))),
IF($E320=4,IF(INDEX(EL!$AN$4:$AN$1012,MATCH($C320,EL!$E$4:$E$1012,0))="","",INDEX(EL!$AN$4:$AN$1012,MATCH($C320,EL!$E$4:$E$1012,0))),
IF($E320=5,IF(INDEX(EL!$AS$4:$AS$1012,MATCH($C320,EL!$E$4:$E$1012,0))="","",INDEX(EL!$AS$4:$AS$1012,MATCH($C320,EL!$E$4:$E$1012,0))),"")))))))</f>
        <v/>
      </c>
      <c r="I320" s="459" t="str">
        <f>IF(ISNA(MATCH($C320,EL!$E$4:$E$1012,0)),"",
IF($E320=0,IF(INDEX(EL!$S$4:$S$1012,MATCH($C320,EL!$E$4:$E$1012,0))="","",INDEX(EL!$S$4:$S$1012,MATCH($C320,EL!$E$4:$E$1012,0))),
IF($E320=1,IF(INDEX(EL!$X$4:$X$1012,MATCH($C320,EL!$E$4:$E$1012,0))="","",INDEX(EL!$X$4:$X$1012,MATCH($C320,EL!$E$4:$E$1012,0))),
IF($E320=2,IF(INDEX(EL!$AC$4:$AC$1012,MATCH($C320,EL!$E$4:$E$1012,0))="","",INDEX(EL!$AC$4:$AC$1012,MATCH($C320,EL!$E$4:$E$1012,0))),
IF($E320=3,IF(INDEX(EL!$AH$4:$AH$1012,MATCH($C320,EL!$E$4:$E$1012,0))="","",INDEX(EL!$AH$4:$AH$1012,MATCH($C320,EL!$E$4:$E$1012,0))),
IF($E320=4,IF(INDEX(EL!$AM$4:$AM$1012,MATCH($C320,EL!$E$4:$E$1012,0))="","",INDEX(EL!$AM$4:$AM$1012,MATCH($C320,EL!$E$4:$E$1012,0))),
IF($E320=5,IF(INDEX(EL!$AR$4:$AR$1012,MATCH($C320,EL!$E$4:$E$1012,0))="","",INDEX(EL!$AR$4:$AR$1012,MATCH($C320,EL!$E$4:$E$1012,0))),"")))))))</f>
        <v/>
      </c>
      <c r="J320" s="459" t="str">
        <f>IF(ISNA(MATCH($C320,EL!$E$4:$E$1012,0)),"",
IF($E320=0,IF(INDEX(EL!$T$4:$T$1012,MATCH($C320,EL!$E$4:$E$1012,0))="","",INDEX(EL!$T$4:$T$1012,MATCH($C320,EL!$E$4:$E$1012,0))),
IF($E320=1,IF(INDEX(EL!$Y$4:$Y$1012,MATCH($C320,EL!$E$4:$E$1012,0))="","",INDEX(EL!$Y$4:$Y$1012,MATCH($C320,EL!$E$4:$E$1012,0))),
IF($E320=2,IF(INDEX(EL!$AD$4:$AD$1012,MATCH($C320,EL!$E$4:$E$1012,0))="","",INDEX(EL!$AD$4:$AD$1012,MATCH($C320,EL!$E$4:$E$1012,0))),
IF($E320=3,IF(INDEX(EL!$AI$4:$AI$1012,MATCH($C320,EL!$E$4:$E$1012,0))="","",INDEX(EL!$AI$4:$AI$1012,MATCH($C320,EL!$E$4:$E$1012,0))),
IF($E320=4,IF(INDEX(EL!$AN$4:$AN$1012,MATCH($C320,EL!$E$4:$E$1012,0))="","",INDEX(EL!$AN$4:$AN$1012,MATCH($C320,EL!$E$4:$E$1012,0))),
IF($E320=5,IF(INDEX(EL!$AS$4:$AS$1012,MATCH($C320,EL!$E$4:$E$1012,0))="","",INDEX(EL!$AS$4:$AS$1012,MATCH($C320,EL!$E$4:$E$1012,0))),"")))))))</f>
        <v/>
      </c>
      <c r="K320" s="459">
        <f>EL!L234</f>
        <v>0</v>
      </c>
      <c r="L320" s="460" t="e" cm="1">
        <f t="array" aca="1" ref="L320" ca="1">_xlfn.IFS(AND($E320&lt;&gt;"",$M320="Pending",$K320="CTA"),TODAY()-$G320,AND($E320&lt;&gt;"",$M320="Pending",$K320="AUR"),TODAY()-$H320,AND($E320&lt;&gt;"",$M320="Pending",$K320="STT"),TODAY()-$I320,OR(K320="Closed",K320=""),"")</f>
        <v>#N/A</v>
      </c>
      <c r="M320" s="461">
        <f>VLOOKUP(C320,EL!$E$4:$AC$622,9,0)</f>
        <v>0</v>
      </c>
      <c r="N320" s="461" t="str">
        <f t="shared" si="13"/>
        <v/>
      </c>
      <c r="O320" s="739" t="str">
        <f>EL!O234</f>
        <v>GC</v>
      </c>
      <c r="P320" s="746" t="str">
        <v>YES</v>
      </c>
    </row>
    <row r="321" spans="1:16" s="385" customFormat="1" ht="27" hidden="1" customHeight="1">
      <c r="A321" s="399">
        <f t="shared" si="12"/>
        <v>228</v>
      </c>
      <c r="B321" s="477" t="s">
        <v>52</v>
      </c>
      <c r="C321" s="646" t="s">
        <v>1135</v>
      </c>
      <c r="D321" s="456" t="str">
        <f>_xlfn.XLOOKUP(C321,EL!$E$4:$E$390,EL!$D$4:$D$390)</f>
        <v>Level 6 - Earthing And Lightning Protection System Layout</v>
      </c>
      <c r="E321" s="597" t="str">
        <f>IF(VLOOKUP(C321,EL!$E$4:$AC$505,7,0)="","",VLOOKUP(C321,EL!$E$4:$AC$1004,7,0))</f>
        <v/>
      </c>
      <c r="F321" s="462"/>
      <c r="G321" s="458" t="str">
        <f>IF(VLOOKUP(C321,EL!$E$4:$AC$514,5,0)="","",VLOOKUP(C321,EL!$E$4:$AC$514,5,0))</f>
        <v/>
      </c>
      <c r="H321" s="459" t="str">
        <f>IF(ISNA(MATCH($C321,EL!$E$4:$E$1012,0)),"",
IF($E321=0,IF(INDEX(EL!$R$4:$R$1012,MATCH($C321,EL!$E$4:$E$1012,0))="","",INDEX(EL!$R$4:$R$1012,MATCH($C321,EL!$E$4:$E$1012,0))),
IF($E321=1,IF(INDEX(EL!$W$4:$W$1012,MATCH($C321,EL!$E$4:$E$1012,0))="","",INDEX(EL!$W$4:$W$1012,MATCH($C321,EL!$E$4:$E$1012,0))),
IF($E321=2,IF(INDEX(EL!$AB$4:$AB$1012,MATCH($C321,EL!$E$4:$E$1012,0))="","",INDEX(EL!$AB$4:$AB$1012,MATCH($C321,EL!$E$4:$E$1012,0))),
IF($E321=3,IF(INDEX(EL!$AG$4:$AG$1012,MATCH($C321,EL!$E$4:$E$1012,0))="","",INDEX(EL!$AG$4:$AG$1012,MATCH($C321,EL!$E$4:$E$1012,0))),
IF($E321=4,IF(INDEX(EL!$AN$4:$AN$1012,MATCH($C321,EL!$E$4:$E$1012,0))="","",INDEX(EL!$AN$4:$AN$1012,MATCH($C321,EL!$E$4:$E$1012,0))),
IF($E321=5,IF(INDEX(EL!$AS$4:$AS$1012,MATCH($C321,EL!$E$4:$E$1012,0))="","",INDEX(EL!$AS$4:$AS$1012,MATCH($C321,EL!$E$4:$E$1012,0))),"")))))))</f>
        <v/>
      </c>
      <c r="I321" s="459" t="str">
        <f>IF(ISNA(MATCH($C321,EL!$E$4:$E$1012,0)),"",
IF($E321=0,IF(INDEX(EL!$S$4:$S$1012,MATCH($C321,EL!$E$4:$E$1012,0))="","",INDEX(EL!$S$4:$S$1012,MATCH($C321,EL!$E$4:$E$1012,0))),
IF($E321=1,IF(INDEX(EL!$X$4:$X$1012,MATCH($C321,EL!$E$4:$E$1012,0))="","",INDEX(EL!$X$4:$X$1012,MATCH($C321,EL!$E$4:$E$1012,0))),
IF($E321=2,IF(INDEX(EL!$AC$4:$AC$1012,MATCH($C321,EL!$E$4:$E$1012,0))="","",INDEX(EL!$AC$4:$AC$1012,MATCH($C321,EL!$E$4:$E$1012,0))),
IF($E321=3,IF(INDEX(EL!$AH$4:$AH$1012,MATCH($C321,EL!$E$4:$E$1012,0))="","",INDEX(EL!$AH$4:$AH$1012,MATCH($C321,EL!$E$4:$E$1012,0))),
IF($E321=4,IF(INDEX(EL!$AM$4:$AM$1012,MATCH($C321,EL!$E$4:$E$1012,0))="","",INDEX(EL!$AM$4:$AM$1012,MATCH($C321,EL!$E$4:$E$1012,0))),
IF($E321=5,IF(INDEX(EL!$AR$4:$AR$1012,MATCH($C321,EL!$E$4:$E$1012,0))="","",INDEX(EL!$AR$4:$AR$1012,MATCH($C321,EL!$E$4:$E$1012,0))),"")))))))</f>
        <v/>
      </c>
      <c r="J321" s="459" t="str">
        <f>IF(ISNA(MATCH($C321,EL!$E$4:$E$1012,0)),"",
IF($E321=0,IF(INDEX(EL!$T$4:$T$1012,MATCH($C321,EL!$E$4:$E$1012,0))="","",INDEX(EL!$T$4:$T$1012,MATCH($C321,EL!$E$4:$E$1012,0))),
IF($E321=1,IF(INDEX(EL!$Y$4:$Y$1012,MATCH($C321,EL!$E$4:$E$1012,0))="","",INDEX(EL!$Y$4:$Y$1012,MATCH($C321,EL!$E$4:$E$1012,0))),
IF($E321=2,IF(INDEX(EL!$AD$4:$AD$1012,MATCH($C321,EL!$E$4:$E$1012,0))="","",INDEX(EL!$AD$4:$AD$1012,MATCH($C321,EL!$E$4:$E$1012,0))),
IF($E321=3,IF(INDEX(EL!$AI$4:$AI$1012,MATCH($C321,EL!$E$4:$E$1012,0))="","",INDEX(EL!$AI$4:$AI$1012,MATCH($C321,EL!$E$4:$E$1012,0))),
IF($E321=4,IF(INDEX(EL!$AN$4:$AN$1012,MATCH($C321,EL!$E$4:$E$1012,0))="","",INDEX(EL!$AN$4:$AN$1012,MATCH($C321,EL!$E$4:$E$1012,0))),
IF($E321=5,IF(INDEX(EL!$AS$4:$AS$1012,MATCH($C321,EL!$E$4:$E$1012,0))="","",INDEX(EL!$AS$4:$AS$1012,MATCH($C321,EL!$E$4:$E$1012,0))),"")))))))</f>
        <v/>
      </c>
      <c r="K321" s="459">
        <f>EL!L235</f>
        <v>0</v>
      </c>
      <c r="L321" s="460" t="e" cm="1">
        <f t="array" aca="1" ref="L321" ca="1">_xlfn.IFS(AND($E321&lt;&gt;"",$M321="Pending",$K321="CTA"),TODAY()-$G321,AND($E321&lt;&gt;"",$M321="Pending",$K321="AUR"),TODAY()-$H321,AND($E321&lt;&gt;"",$M321="Pending",$K321="STT"),TODAY()-$I321,OR(K321="Closed",K321=""),"")</f>
        <v>#N/A</v>
      </c>
      <c r="M321" s="461">
        <f>VLOOKUP(C321,EL!$E$4:$AC$622,9,0)</f>
        <v>0</v>
      </c>
      <c r="N321" s="461" t="str">
        <f t="shared" si="13"/>
        <v/>
      </c>
      <c r="O321" s="739" t="str">
        <f>EL!O235</f>
        <v>GC</v>
      </c>
      <c r="P321" s="746" t="str">
        <v>YES</v>
      </c>
    </row>
    <row r="322" spans="1:16" s="385" customFormat="1" ht="27" hidden="1" customHeight="1">
      <c r="A322" s="399">
        <f t="shared" si="12"/>
        <v>229</v>
      </c>
      <c r="B322" s="477" t="s">
        <v>52</v>
      </c>
      <c r="C322" s="646" t="s">
        <v>1138</v>
      </c>
      <c r="D322" s="456" t="str">
        <f>_xlfn.XLOOKUP(C322,EL!$E$4:$E$390,EL!$D$4:$D$390)</f>
        <v>Level Roof - Earthing And Lightning Protection System Layout</v>
      </c>
      <c r="E322" s="597" t="str">
        <f>IF(VLOOKUP(C322,EL!$E$4:$AC$505,7,0)="","",VLOOKUP(C322,EL!$E$4:$AC$1004,7,0))</f>
        <v/>
      </c>
      <c r="F322" s="462"/>
      <c r="G322" s="458" t="str">
        <f>IF(VLOOKUP(C322,EL!$E$4:$AC$514,5,0)="","",VLOOKUP(C322,EL!$E$4:$AC$514,5,0))</f>
        <v/>
      </c>
      <c r="H322" s="459" t="str">
        <f>IF(ISNA(MATCH($C322,EL!$E$4:$E$1012,0)),"",
IF($E322=0,IF(INDEX(EL!$R$4:$R$1012,MATCH($C322,EL!$E$4:$E$1012,0))="","",INDEX(EL!$R$4:$R$1012,MATCH($C322,EL!$E$4:$E$1012,0))),
IF($E322=1,IF(INDEX(EL!$W$4:$W$1012,MATCH($C322,EL!$E$4:$E$1012,0))="","",INDEX(EL!$W$4:$W$1012,MATCH($C322,EL!$E$4:$E$1012,0))),
IF($E322=2,IF(INDEX(EL!$AB$4:$AB$1012,MATCH($C322,EL!$E$4:$E$1012,0))="","",INDEX(EL!$AB$4:$AB$1012,MATCH($C322,EL!$E$4:$E$1012,0))),
IF($E322=3,IF(INDEX(EL!$AG$4:$AG$1012,MATCH($C322,EL!$E$4:$E$1012,0))="","",INDEX(EL!$AG$4:$AG$1012,MATCH($C322,EL!$E$4:$E$1012,0))),
IF($E322=4,IF(INDEX(EL!$AN$4:$AN$1012,MATCH($C322,EL!$E$4:$E$1012,0))="","",INDEX(EL!$AN$4:$AN$1012,MATCH($C322,EL!$E$4:$E$1012,0))),
IF($E322=5,IF(INDEX(EL!$AS$4:$AS$1012,MATCH($C322,EL!$E$4:$E$1012,0))="","",INDEX(EL!$AS$4:$AS$1012,MATCH($C322,EL!$E$4:$E$1012,0))),"")))))))</f>
        <v/>
      </c>
      <c r="I322" s="459" t="str">
        <f>IF(ISNA(MATCH($C322,EL!$E$4:$E$1012,0)),"",
IF($E322=0,IF(INDEX(EL!$S$4:$S$1012,MATCH($C322,EL!$E$4:$E$1012,0))="","",INDEX(EL!$S$4:$S$1012,MATCH($C322,EL!$E$4:$E$1012,0))),
IF($E322=1,IF(INDEX(EL!$X$4:$X$1012,MATCH($C322,EL!$E$4:$E$1012,0))="","",INDEX(EL!$X$4:$X$1012,MATCH($C322,EL!$E$4:$E$1012,0))),
IF($E322=2,IF(INDEX(EL!$AC$4:$AC$1012,MATCH($C322,EL!$E$4:$E$1012,0))="","",INDEX(EL!$AC$4:$AC$1012,MATCH($C322,EL!$E$4:$E$1012,0))),
IF($E322=3,IF(INDEX(EL!$AH$4:$AH$1012,MATCH($C322,EL!$E$4:$E$1012,0))="","",INDEX(EL!$AH$4:$AH$1012,MATCH($C322,EL!$E$4:$E$1012,0))),
IF($E322=4,IF(INDEX(EL!$AM$4:$AM$1012,MATCH($C322,EL!$E$4:$E$1012,0))="","",INDEX(EL!$AM$4:$AM$1012,MATCH($C322,EL!$E$4:$E$1012,0))),
IF($E322=5,IF(INDEX(EL!$AR$4:$AR$1012,MATCH($C322,EL!$E$4:$E$1012,0))="","",INDEX(EL!$AR$4:$AR$1012,MATCH($C322,EL!$E$4:$E$1012,0))),"")))))))</f>
        <v/>
      </c>
      <c r="J322" s="459" t="str">
        <f>IF(ISNA(MATCH($C322,EL!$E$4:$E$1012,0)),"",
IF($E322=0,IF(INDEX(EL!$T$4:$T$1012,MATCH($C322,EL!$E$4:$E$1012,0))="","",INDEX(EL!$T$4:$T$1012,MATCH($C322,EL!$E$4:$E$1012,0))),
IF($E322=1,IF(INDEX(EL!$Y$4:$Y$1012,MATCH($C322,EL!$E$4:$E$1012,0))="","",INDEX(EL!$Y$4:$Y$1012,MATCH($C322,EL!$E$4:$E$1012,0))),
IF($E322=2,IF(INDEX(EL!$AD$4:$AD$1012,MATCH($C322,EL!$E$4:$E$1012,0))="","",INDEX(EL!$AD$4:$AD$1012,MATCH($C322,EL!$E$4:$E$1012,0))),
IF($E322=3,IF(INDEX(EL!$AI$4:$AI$1012,MATCH($C322,EL!$E$4:$E$1012,0))="","",INDEX(EL!$AI$4:$AI$1012,MATCH($C322,EL!$E$4:$E$1012,0))),
IF($E322=4,IF(INDEX(EL!$AN$4:$AN$1012,MATCH($C322,EL!$E$4:$E$1012,0))="","",INDEX(EL!$AN$4:$AN$1012,MATCH($C322,EL!$E$4:$E$1012,0))),
IF($E322=5,IF(INDEX(EL!$AS$4:$AS$1012,MATCH($C322,EL!$E$4:$E$1012,0))="","",INDEX(EL!$AS$4:$AS$1012,MATCH($C322,EL!$E$4:$E$1012,0))),"")))))))</f>
        <v/>
      </c>
      <c r="K322" s="459">
        <f>EL!L236</f>
        <v>0</v>
      </c>
      <c r="L322" s="460" t="e" cm="1">
        <f t="array" aca="1" ref="L322" ca="1">_xlfn.IFS(AND($E322&lt;&gt;"",$M322="Pending",$K322="CTA"),TODAY()-$G322,AND($E322&lt;&gt;"",$M322="Pending",$K322="AUR"),TODAY()-$H322,AND($E322&lt;&gt;"",$M322="Pending",$K322="STT"),TODAY()-$I322,OR(K322="Closed",K322=""),"")</f>
        <v>#N/A</v>
      </c>
      <c r="M322" s="461">
        <f>VLOOKUP(C322,EL!$E$4:$AC$622,9,0)</f>
        <v>0</v>
      </c>
      <c r="N322" s="461" t="str">
        <f t="shared" si="13"/>
        <v/>
      </c>
      <c r="O322" s="739" t="str">
        <f>EL!O236</f>
        <v>GC</v>
      </c>
      <c r="P322" s="746" t="str">
        <v>YES</v>
      </c>
    </row>
    <row r="323" spans="1:16" s="385" customFormat="1" ht="27" hidden="1" customHeight="1">
      <c r="A323" s="399">
        <f t="shared" si="12"/>
        <v>230</v>
      </c>
      <c r="B323" s="477" t="s">
        <v>52</v>
      </c>
      <c r="C323" s="646" t="s">
        <v>1141</v>
      </c>
      <c r="D323" s="456" t="str">
        <f>_xlfn.XLOOKUP(C323,EL!$E$4:$E$390,EL!$D$4:$D$390)</f>
        <v>Level Top Roof - Earthing And Lightning Protection System Layout</v>
      </c>
      <c r="E323" s="597" t="str">
        <f>IF(VLOOKUP(C323,EL!$E$4:$AC$505,7,0)="","",VLOOKUP(C323,EL!$E$4:$AC$1004,7,0))</f>
        <v/>
      </c>
      <c r="F323" s="462"/>
      <c r="G323" s="458" t="str">
        <f>IF(VLOOKUP(C323,EL!$E$4:$AC$514,5,0)="","",VLOOKUP(C323,EL!$E$4:$AC$514,5,0))</f>
        <v/>
      </c>
      <c r="H323" s="459" t="str">
        <f>IF(ISNA(MATCH($C323,EL!$E$4:$E$1012,0)),"",
IF($E323=0,IF(INDEX(EL!$R$4:$R$1012,MATCH($C323,EL!$E$4:$E$1012,0))="","",INDEX(EL!$R$4:$R$1012,MATCH($C323,EL!$E$4:$E$1012,0))),
IF($E323=1,IF(INDEX(EL!$W$4:$W$1012,MATCH($C323,EL!$E$4:$E$1012,0))="","",INDEX(EL!$W$4:$W$1012,MATCH($C323,EL!$E$4:$E$1012,0))),
IF($E323=2,IF(INDEX(EL!$AB$4:$AB$1012,MATCH($C323,EL!$E$4:$E$1012,0))="","",INDEX(EL!$AB$4:$AB$1012,MATCH($C323,EL!$E$4:$E$1012,0))),
IF($E323=3,IF(INDEX(EL!$AG$4:$AG$1012,MATCH($C323,EL!$E$4:$E$1012,0))="","",INDEX(EL!$AG$4:$AG$1012,MATCH($C323,EL!$E$4:$E$1012,0))),
IF($E323=4,IF(INDEX(EL!$AN$4:$AN$1012,MATCH($C323,EL!$E$4:$E$1012,0))="","",INDEX(EL!$AN$4:$AN$1012,MATCH($C323,EL!$E$4:$E$1012,0))),
IF($E323=5,IF(INDEX(EL!$AS$4:$AS$1012,MATCH($C323,EL!$E$4:$E$1012,0))="","",INDEX(EL!$AS$4:$AS$1012,MATCH($C323,EL!$E$4:$E$1012,0))),"")))))))</f>
        <v/>
      </c>
      <c r="I323" s="459" t="str">
        <f>IF(ISNA(MATCH($C323,EL!$E$4:$E$1012,0)),"",
IF($E323=0,IF(INDEX(EL!$S$4:$S$1012,MATCH($C323,EL!$E$4:$E$1012,0))="","",INDEX(EL!$S$4:$S$1012,MATCH($C323,EL!$E$4:$E$1012,0))),
IF($E323=1,IF(INDEX(EL!$X$4:$X$1012,MATCH($C323,EL!$E$4:$E$1012,0))="","",INDEX(EL!$X$4:$X$1012,MATCH($C323,EL!$E$4:$E$1012,0))),
IF($E323=2,IF(INDEX(EL!$AC$4:$AC$1012,MATCH($C323,EL!$E$4:$E$1012,0))="","",INDEX(EL!$AC$4:$AC$1012,MATCH($C323,EL!$E$4:$E$1012,0))),
IF($E323=3,IF(INDEX(EL!$AH$4:$AH$1012,MATCH($C323,EL!$E$4:$E$1012,0))="","",INDEX(EL!$AH$4:$AH$1012,MATCH($C323,EL!$E$4:$E$1012,0))),
IF($E323=4,IF(INDEX(EL!$AM$4:$AM$1012,MATCH($C323,EL!$E$4:$E$1012,0))="","",INDEX(EL!$AM$4:$AM$1012,MATCH($C323,EL!$E$4:$E$1012,0))),
IF($E323=5,IF(INDEX(EL!$AR$4:$AR$1012,MATCH($C323,EL!$E$4:$E$1012,0))="","",INDEX(EL!$AR$4:$AR$1012,MATCH($C323,EL!$E$4:$E$1012,0))),"")))))))</f>
        <v/>
      </c>
      <c r="J323" s="459" t="str">
        <f>IF(ISNA(MATCH($C323,EL!$E$4:$E$1012,0)),"",
IF($E323=0,IF(INDEX(EL!$T$4:$T$1012,MATCH($C323,EL!$E$4:$E$1012,0))="","",INDEX(EL!$T$4:$T$1012,MATCH($C323,EL!$E$4:$E$1012,0))),
IF($E323=1,IF(INDEX(EL!$Y$4:$Y$1012,MATCH($C323,EL!$E$4:$E$1012,0))="","",INDEX(EL!$Y$4:$Y$1012,MATCH($C323,EL!$E$4:$E$1012,0))),
IF($E323=2,IF(INDEX(EL!$AD$4:$AD$1012,MATCH($C323,EL!$E$4:$E$1012,0))="","",INDEX(EL!$AD$4:$AD$1012,MATCH($C323,EL!$E$4:$E$1012,0))),
IF($E323=3,IF(INDEX(EL!$AI$4:$AI$1012,MATCH($C323,EL!$E$4:$E$1012,0))="","",INDEX(EL!$AI$4:$AI$1012,MATCH($C323,EL!$E$4:$E$1012,0))),
IF($E323=4,IF(INDEX(EL!$AN$4:$AN$1012,MATCH($C323,EL!$E$4:$E$1012,0))="","",INDEX(EL!$AN$4:$AN$1012,MATCH($C323,EL!$E$4:$E$1012,0))),
IF($E323=5,IF(INDEX(EL!$AS$4:$AS$1012,MATCH($C323,EL!$E$4:$E$1012,0))="","",INDEX(EL!$AS$4:$AS$1012,MATCH($C323,EL!$E$4:$E$1012,0))),"")))))))</f>
        <v/>
      </c>
      <c r="K323" s="459">
        <f>EL!L237</f>
        <v>0</v>
      </c>
      <c r="L323" s="460" t="e" cm="1">
        <f t="array" aca="1" ref="L323" ca="1">_xlfn.IFS(AND($E323&lt;&gt;"",$M323="Pending",$K323="CTA"),TODAY()-$G323,AND($E323&lt;&gt;"",$M323="Pending",$K323="AUR"),TODAY()-$H323,AND($E323&lt;&gt;"",$M323="Pending",$K323="STT"),TODAY()-$I323,OR(K323="Closed",K323=""),"")</f>
        <v>#N/A</v>
      </c>
      <c r="M323" s="461">
        <f>VLOOKUP(C323,EL!$E$4:$AC$622,9,0)</f>
        <v>0</v>
      </c>
      <c r="N323" s="461" t="str">
        <f t="shared" si="13"/>
        <v/>
      </c>
      <c r="O323" s="739" t="str">
        <f>EL!O237</f>
        <v>GC</v>
      </c>
      <c r="P323" s="746" t="str">
        <v>YES</v>
      </c>
    </row>
    <row r="324" spans="1:16" s="385" customFormat="1" ht="27" hidden="1" customHeight="1">
      <c r="A324" s="399">
        <f t="shared" si="12"/>
        <v>231</v>
      </c>
      <c r="B324" s="477" t="s">
        <v>52</v>
      </c>
      <c r="C324" s="646" t="s">
        <v>1144</v>
      </c>
      <c r="D324" s="456" t="str">
        <f>_xlfn.XLOOKUP(C324,EL!$E$4:$E$390,EL!$D$4:$D$390)</f>
        <v>Level 1 Equipment Setting out</v>
      </c>
      <c r="E324" s="597" t="str">
        <f>IF(VLOOKUP(C324,EL!$E$4:$AC$505,7,0)="","",VLOOKUP(C324,EL!$E$4:$AC$1004,7,0))</f>
        <v/>
      </c>
      <c r="F324" s="462"/>
      <c r="G324" s="458" t="str">
        <f>IF(VLOOKUP(C324,EL!$E$4:$AC$514,5,0)="","",VLOOKUP(C324,EL!$E$4:$AC$514,5,0))</f>
        <v/>
      </c>
      <c r="H324" s="459" t="str">
        <f>IF(ISNA(MATCH($C324,EL!$E$4:$E$1012,0)),"",
IF($E324=0,IF(INDEX(EL!$R$4:$R$1012,MATCH($C324,EL!$E$4:$E$1012,0))="","",INDEX(EL!$R$4:$R$1012,MATCH($C324,EL!$E$4:$E$1012,0))),
IF($E324=1,IF(INDEX(EL!$W$4:$W$1012,MATCH($C324,EL!$E$4:$E$1012,0))="","",INDEX(EL!$W$4:$W$1012,MATCH($C324,EL!$E$4:$E$1012,0))),
IF($E324=2,IF(INDEX(EL!$AB$4:$AB$1012,MATCH($C324,EL!$E$4:$E$1012,0))="","",INDEX(EL!$AB$4:$AB$1012,MATCH($C324,EL!$E$4:$E$1012,0))),
IF($E324=3,IF(INDEX(EL!$AG$4:$AG$1012,MATCH($C324,EL!$E$4:$E$1012,0))="","",INDEX(EL!$AG$4:$AG$1012,MATCH($C324,EL!$E$4:$E$1012,0))),
IF($E324=4,IF(INDEX(EL!$AN$4:$AN$1012,MATCH($C324,EL!$E$4:$E$1012,0))="","",INDEX(EL!$AN$4:$AN$1012,MATCH($C324,EL!$E$4:$E$1012,0))),
IF($E324=5,IF(INDEX(EL!$AS$4:$AS$1012,MATCH($C324,EL!$E$4:$E$1012,0))="","",INDEX(EL!$AS$4:$AS$1012,MATCH($C324,EL!$E$4:$E$1012,0))),"")))))))</f>
        <v/>
      </c>
      <c r="I324" s="459" t="str">
        <f>IF(ISNA(MATCH($C324,EL!$E$4:$E$1012,0)),"",
IF($E324=0,IF(INDEX(EL!$S$4:$S$1012,MATCH($C324,EL!$E$4:$E$1012,0))="","",INDEX(EL!$S$4:$S$1012,MATCH($C324,EL!$E$4:$E$1012,0))),
IF($E324=1,IF(INDEX(EL!$X$4:$X$1012,MATCH($C324,EL!$E$4:$E$1012,0))="","",INDEX(EL!$X$4:$X$1012,MATCH($C324,EL!$E$4:$E$1012,0))),
IF($E324=2,IF(INDEX(EL!$AC$4:$AC$1012,MATCH($C324,EL!$E$4:$E$1012,0))="","",INDEX(EL!$AC$4:$AC$1012,MATCH($C324,EL!$E$4:$E$1012,0))),
IF($E324=3,IF(INDEX(EL!$AH$4:$AH$1012,MATCH($C324,EL!$E$4:$E$1012,0))="","",INDEX(EL!$AH$4:$AH$1012,MATCH($C324,EL!$E$4:$E$1012,0))),
IF($E324=4,IF(INDEX(EL!$AM$4:$AM$1012,MATCH($C324,EL!$E$4:$E$1012,0))="","",INDEX(EL!$AM$4:$AM$1012,MATCH($C324,EL!$E$4:$E$1012,0))),
IF($E324=5,IF(INDEX(EL!$AR$4:$AR$1012,MATCH($C324,EL!$E$4:$E$1012,0))="","",INDEX(EL!$AR$4:$AR$1012,MATCH($C324,EL!$E$4:$E$1012,0))),"")))))))</f>
        <v/>
      </c>
      <c r="J324" s="459" t="str">
        <f>IF(ISNA(MATCH($C324,EL!$E$4:$E$1012,0)),"",
IF($E324=0,IF(INDEX(EL!$T$4:$T$1012,MATCH($C324,EL!$E$4:$E$1012,0))="","",INDEX(EL!$T$4:$T$1012,MATCH($C324,EL!$E$4:$E$1012,0))),
IF($E324=1,IF(INDEX(EL!$Y$4:$Y$1012,MATCH($C324,EL!$E$4:$E$1012,0))="","",INDEX(EL!$Y$4:$Y$1012,MATCH($C324,EL!$E$4:$E$1012,0))),
IF($E324=2,IF(INDEX(EL!$AD$4:$AD$1012,MATCH($C324,EL!$E$4:$E$1012,0))="","",INDEX(EL!$AD$4:$AD$1012,MATCH($C324,EL!$E$4:$E$1012,0))),
IF($E324=3,IF(INDEX(EL!$AI$4:$AI$1012,MATCH($C324,EL!$E$4:$E$1012,0))="","",INDEX(EL!$AI$4:$AI$1012,MATCH($C324,EL!$E$4:$E$1012,0))),
IF($E324=4,IF(INDEX(EL!$AN$4:$AN$1012,MATCH($C324,EL!$E$4:$E$1012,0))="","",INDEX(EL!$AN$4:$AN$1012,MATCH($C324,EL!$E$4:$E$1012,0))),
IF($E324=5,IF(INDEX(EL!$AS$4:$AS$1012,MATCH($C324,EL!$E$4:$E$1012,0))="","",INDEX(EL!$AS$4:$AS$1012,MATCH($C324,EL!$E$4:$E$1012,0))),"")))))))</f>
        <v/>
      </c>
      <c r="K324" s="459">
        <f>EL!L238</f>
        <v>0</v>
      </c>
      <c r="L324" s="460" t="e" cm="1">
        <f t="array" aca="1" ref="L324" ca="1">_xlfn.IFS(AND($E324&lt;&gt;"",$M324="Pending",$K324="CTA"),TODAY()-$G324,AND($E324&lt;&gt;"",$M324="Pending",$K324="AUR"),TODAY()-$H324,AND($E324&lt;&gt;"",$M324="Pending",$K324="STT"),TODAY()-$I324,OR(K324="Closed",K324=""),"")</f>
        <v>#N/A</v>
      </c>
      <c r="M324" s="461">
        <f>VLOOKUP(C324,EL!$E$4:$AC$622,9,0)</f>
        <v>0</v>
      </c>
      <c r="N324" s="461" t="str">
        <f t="shared" si="13"/>
        <v/>
      </c>
      <c r="O324" s="739" t="str">
        <f>EL!O238</f>
        <v>GC</v>
      </c>
      <c r="P324" s="746" t="str">
        <v>NO</v>
      </c>
    </row>
    <row r="325" spans="1:16" s="385" customFormat="1" ht="27" hidden="1" customHeight="1">
      <c r="A325" s="399">
        <f t="shared" si="12"/>
        <v>232</v>
      </c>
      <c r="B325" s="477" t="s">
        <v>52</v>
      </c>
      <c r="C325" s="646" t="s">
        <v>1148</v>
      </c>
      <c r="D325" s="456" t="str">
        <f>_xlfn.XLOOKUP(C325,EL!$E$4:$E$390,EL!$D$4:$D$390)</f>
        <v>Level 2 Equipment Setting out</v>
      </c>
      <c r="E325" s="597" t="str">
        <f>IF(VLOOKUP(C325,EL!$E$4:$AC$505,7,0)="","",VLOOKUP(C325,EL!$E$4:$AC$1004,7,0))</f>
        <v/>
      </c>
      <c r="F325" s="462"/>
      <c r="G325" s="458" t="str">
        <f>IF(VLOOKUP(C325,EL!$E$4:$AC$514,5,0)="","",VLOOKUP(C325,EL!$E$4:$AC$514,5,0))</f>
        <v/>
      </c>
      <c r="H325" s="459" t="str">
        <f>IF(ISNA(MATCH($C325,EL!$E$4:$E$1012,0)),"",
IF($E325=0,IF(INDEX(EL!$R$4:$R$1012,MATCH($C325,EL!$E$4:$E$1012,0))="","",INDEX(EL!$R$4:$R$1012,MATCH($C325,EL!$E$4:$E$1012,0))),
IF($E325=1,IF(INDEX(EL!$W$4:$W$1012,MATCH($C325,EL!$E$4:$E$1012,0))="","",INDEX(EL!$W$4:$W$1012,MATCH($C325,EL!$E$4:$E$1012,0))),
IF($E325=2,IF(INDEX(EL!$AB$4:$AB$1012,MATCH($C325,EL!$E$4:$E$1012,0))="","",INDEX(EL!$AB$4:$AB$1012,MATCH($C325,EL!$E$4:$E$1012,0))),
IF($E325=3,IF(INDEX(EL!$AG$4:$AG$1012,MATCH($C325,EL!$E$4:$E$1012,0))="","",INDEX(EL!$AG$4:$AG$1012,MATCH($C325,EL!$E$4:$E$1012,0))),
IF($E325=4,IF(INDEX(EL!$AN$4:$AN$1012,MATCH($C325,EL!$E$4:$E$1012,0))="","",INDEX(EL!$AN$4:$AN$1012,MATCH($C325,EL!$E$4:$E$1012,0))),
IF($E325=5,IF(INDEX(EL!$AS$4:$AS$1012,MATCH($C325,EL!$E$4:$E$1012,0))="","",INDEX(EL!$AS$4:$AS$1012,MATCH($C325,EL!$E$4:$E$1012,0))),"")))))))</f>
        <v/>
      </c>
      <c r="I325" s="459" t="str">
        <f>IF(ISNA(MATCH($C325,EL!$E$4:$E$1012,0)),"",
IF($E325=0,IF(INDEX(EL!$S$4:$S$1012,MATCH($C325,EL!$E$4:$E$1012,0))="","",INDEX(EL!$S$4:$S$1012,MATCH($C325,EL!$E$4:$E$1012,0))),
IF($E325=1,IF(INDEX(EL!$X$4:$X$1012,MATCH($C325,EL!$E$4:$E$1012,0))="","",INDEX(EL!$X$4:$X$1012,MATCH($C325,EL!$E$4:$E$1012,0))),
IF($E325=2,IF(INDEX(EL!$AC$4:$AC$1012,MATCH($C325,EL!$E$4:$E$1012,0))="","",INDEX(EL!$AC$4:$AC$1012,MATCH($C325,EL!$E$4:$E$1012,0))),
IF($E325=3,IF(INDEX(EL!$AH$4:$AH$1012,MATCH($C325,EL!$E$4:$E$1012,0))="","",INDEX(EL!$AH$4:$AH$1012,MATCH($C325,EL!$E$4:$E$1012,0))),
IF($E325=4,IF(INDEX(EL!$AM$4:$AM$1012,MATCH($C325,EL!$E$4:$E$1012,0))="","",INDEX(EL!$AM$4:$AM$1012,MATCH($C325,EL!$E$4:$E$1012,0))),
IF($E325=5,IF(INDEX(EL!$AR$4:$AR$1012,MATCH($C325,EL!$E$4:$E$1012,0))="","",INDEX(EL!$AR$4:$AR$1012,MATCH($C325,EL!$E$4:$E$1012,0))),"")))))))</f>
        <v/>
      </c>
      <c r="J325" s="459" t="str">
        <f>IF(ISNA(MATCH($C325,EL!$E$4:$E$1012,0)),"",
IF($E325=0,IF(INDEX(EL!$T$4:$T$1012,MATCH($C325,EL!$E$4:$E$1012,0))="","",INDEX(EL!$T$4:$T$1012,MATCH($C325,EL!$E$4:$E$1012,0))),
IF($E325=1,IF(INDEX(EL!$Y$4:$Y$1012,MATCH($C325,EL!$E$4:$E$1012,0))="","",INDEX(EL!$Y$4:$Y$1012,MATCH($C325,EL!$E$4:$E$1012,0))),
IF($E325=2,IF(INDEX(EL!$AD$4:$AD$1012,MATCH($C325,EL!$E$4:$E$1012,0))="","",INDEX(EL!$AD$4:$AD$1012,MATCH($C325,EL!$E$4:$E$1012,0))),
IF($E325=3,IF(INDEX(EL!$AI$4:$AI$1012,MATCH($C325,EL!$E$4:$E$1012,0))="","",INDEX(EL!$AI$4:$AI$1012,MATCH($C325,EL!$E$4:$E$1012,0))),
IF($E325=4,IF(INDEX(EL!$AN$4:$AN$1012,MATCH($C325,EL!$E$4:$E$1012,0))="","",INDEX(EL!$AN$4:$AN$1012,MATCH($C325,EL!$E$4:$E$1012,0))),
IF($E325=5,IF(INDEX(EL!$AS$4:$AS$1012,MATCH($C325,EL!$E$4:$E$1012,0))="","",INDEX(EL!$AS$4:$AS$1012,MATCH($C325,EL!$E$4:$E$1012,0))),"")))))))</f>
        <v/>
      </c>
      <c r="K325" s="459">
        <f>EL!L239</f>
        <v>0</v>
      </c>
      <c r="L325" s="460" t="e" cm="1">
        <f t="array" aca="1" ref="L325" ca="1">_xlfn.IFS(AND($E325&lt;&gt;"",$M325="Pending",$K325="CTA"),TODAY()-$G325,AND($E325&lt;&gt;"",$M325="Pending",$K325="AUR"),TODAY()-$H325,AND($E325&lt;&gt;"",$M325="Pending",$K325="STT"),TODAY()-$I325,OR(K325="Closed",K325=""),"")</f>
        <v>#N/A</v>
      </c>
      <c r="M325" s="461">
        <f>VLOOKUP(C325,EL!$E$4:$AC$622,9,0)</f>
        <v>0</v>
      </c>
      <c r="N325" s="461" t="str">
        <f t="shared" si="13"/>
        <v/>
      </c>
      <c r="O325" s="739" t="str">
        <f>EL!O239</f>
        <v>GC</v>
      </c>
      <c r="P325" s="746" t="str">
        <v>NO</v>
      </c>
    </row>
    <row r="326" spans="1:16" s="385" customFormat="1" ht="27" hidden="1" customHeight="1">
      <c r="A326" s="399">
        <f t="shared" si="12"/>
        <v>233</v>
      </c>
      <c r="B326" s="477" t="s">
        <v>52</v>
      </c>
      <c r="C326" s="646" t="s">
        <v>1152</v>
      </c>
      <c r="D326" s="456" t="str">
        <f>_xlfn.XLOOKUP(C326,EL!$E$4:$E$390,EL!$D$4:$D$390)</f>
        <v>Level 3 Equipment Setting out</v>
      </c>
      <c r="E326" s="597" t="str">
        <f>IF(VLOOKUP(C326,EL!$E$4:$AC$505,7,0)="","",VLOOKUP(C326,EL!$E$4:$AC$1004,7,0))</f>
        <v/>
      </c>
      <c r="F326" s="457"/>
      <c r="G326" s="458" t="str">
        <f>IF(VLOOKUP(C326,EL!$E$4:$AC$514,5,0)="","",VLOOKUP(C326,EL!$E$4:$AC$514,5,0))</f>
        <v/>
      </c>
      <c r="H326" s="459" t="str">
        <f>IF(ISNA(MATCH($C326,EL!$E$4:$E$1012,0)),"",
IF($E326=0,IF(INDEX(EL!$R$4:$R$1012,MATCH($C326,EL!$E$4:$E$1012,0))="","",INDEX(EL!$R$4:$R$1012,MATCH($C326,EL!$E$4:$E$1012,0))),
IF($E326=1,IF(INDEX(EL!$W$4:$W$1012,MATCH($C326,EL!$E$4:$E$1012,0))="","",INDEX(EL!$W$4:$W$1012,MATCH($C326,EL!$E$4:$E$1012,0))),
IF($E326=2,IF(INDEX(EL!$AB$4:$AB$1012,MATCH($C326,EL!$E$4:$E$1012,0))="","",INDEX(EL!$AB$4:$AB$1012,MATCH($C326,EL!$E$4:$E$1012,0))),
IF($E326=3,IF(INDEX(EL!$AG$4:$AG$1012,MATCH($C326,EL!$E$4:$E$1012,0))="","",INDEX(EL!$AG$4:$AG$1012,MATCH($C326,EL!$E$4:$E$1012,0))),
IF($E326=4,IF(INDEX(EL!$AN$4:$AN$1012,MATCH($C326,EL!$E$4:$E$1012,0))="","",INDEX(EL!$AN$4:$AN$1012,MATCH($C326,EL!$E$4:$E$1012,0))),
IF($E326=5,IF(INDEX(EL!$AS$4:$AS$1012,MATCH($C326,EL!$E$4:$E$1012,0))="","",INDEX(EL!$AS$4:$AS$1012,MATCH($C326,EL!$E$4:$E$1012,0))),"")))))))</f>
        <v/>
      </c>
      <c r="I326" s="459" t="str">
        <f>IF(ISNA(MATCH($C326,EL!$E$4:$E$1012,0)),"",
IF($E326=0,IF(INDEX(EL!$S$4:$S$1012,MATCH($C326,EL!$E$4:$E$1012,0))="","",INDEX(EL!$S$4:$S$1012,MATCH($C326,EL!$E$4:$E$1012,0))),
IF($E326=1,IF(INDEX(EL!$X$4:$X$1012,MATCH($C326,EL!$E$4:$E$1012,0))="","",INDEX(EL!$X$4:$X$1012,MATCH($C326,EL!$E$4:$E$1012,0))),
IF($E326=2,IF(INDEX(EL!$AC$4:$AC$1012,MATCH($C326,EL!$E$4:$E$1012,0))="","",INDEX(EL!$AC$4:$AC$1012,MATCH($C326,EL!$E$4:$E$1012,0))),
IF($E326=3,IF(INDEX(EL!$AH$4:$AH$1012,MATCH($C326,EL!$E$4:$E$1012,0))="","",INDEX(EL!$AH$4:$AH$1012,MATCH($C326,EL!$E$4:$E$1012,0))),
IF($E326=4,IF(INDEX(EL!$AM$4:$AM$1012,MATCH($C326,EL!$E$4:$E$1012,0))="","",INDEX(EL!$AM$4:$AM$1012,MATCH($C326,EL!$E$4:$E$1012,0))),
IF($E326=5,IF(INDEX(EL!$AR$4:$AR$1012,MATCH($C326,EL!$E$4:$E$1012,0))="","",INDEX(EL!$AR$4:$AR$1012,MATCH($C326,EL!$E$4:$E$1012,0))),"")))))))</f>
        <v/>
      </c>
      <c r="J326" s="459" t="str">
        <f>IF(ISNA(MATCH($C326,EL!$E$4:$E$1012,0)),"",
IF($E326=0,IF(INDEX(EL!$T$4:$T$1012,MATCH($C326,EL!$E$4:$E$1012,0))="","",INDEX(EL!$T$4:$T$1012,MATCH($C326,EL!$E$4:$E$1012,0))),
IF($E326=1,IF(INDEX(EL!$Y$4:$Y$1012,MATCH($C326,EL!$E$4:$E$1012,0))="","",INDEX(EL!$Y$4:$Y$1012,MATCH($C326,EL!$E$4:$E$1012,0))),
IF($E326=2,IF(INDEX(EL!$AD$4:$AD$1012,MATCH($C326,EL!$E$4:$E$1012,0))="","",INDEX(EL!$AD$4:$AD$1012,MATCH($C326,EL!$E$4:$E$1012,0))),
IF($E326=3,IF(INDEX(EL!$AI$4:$AI$1012,MATCH($C326,EL!$E$4:$E$1012,0))="","",INDEX(EL!$AI$4:$AI$1012,MATCH($C326,EL!$E$4:$E$1012,0))),
IF($E326=4,IF(INDEX(EL!$AN$4:$AN$1012,MATCH($C326,EL!$E$4:$E$1012,0))="","",INDEX(EL!$AN$4:$AN$1012,MATCH($C326,EL!$E$4:$E$1012,0))),
IF($E326=5,IF(INDEX(EL!$AS$4:$AS$1012,MATCH($C326,EL!$E$4:$E$1012,0))="","",INDEX(EL!$AS$4:$AS$1012,MATCH($C326,EL!$E$4:$E$1012,0))),"")))))))</f>
        <v/>
      </c>
      <c r="K326" s="459">
        <f>EL!L240</f>
        <v>0</v>
      </c>
      <c r="L326" s="460" t="e" cm="1">
        <f t="array" aca="1" ref="L326" ca="1">_xlfn.IFS(AND($E326&lt;&gt;"",$M326="Pending",$K326="CTA"),TODAY()-$G326,AND($E326&lt;&gt;"",$M326="Pending",$K326="AUR"),TODAY()-$H326,AND($E326&lt;&gt;"",$M326="Pending",$K326="STT"),TODAY()-$I326,OR(K326="Closed",K326=""),"")</f>
        <v>#N/A</v>
      </c>
      <c r="M326" s="461">
        <f>VLOOKUP(C326,EL!$E$4:$AC$622,9,0)</f>
        <v>0</v>
      </c>
      <c r="N326" s="461" t="str">
        <f t="shared" si="13"/>
        <v/>
      </c>
      <c r="O326" s="739" t="str">
        <f>EL!O240</f>
        <v>GC</v>
      </c>
      <c r="P326" s="746" t="str">
        <v>NO</v>
      </c>
    </row>
    <row r="327" spans="1:16" s="385" customFormat="1" ht="27" hidden="1" customHeight="1">
      <c r="A327" s="399">
        <f t="shared" si="12"/>
        <v>234</v>
      </c>
      <c r="B327" s="477" t="s">
        <v>52</v>
      </c>
      <c r="C327" s="646" t="s">
        <v>1155</v>
      </c>
      <c r="D327" s="456" t="str">
        <f>_xlfn.XLOOKUP(C327,EL!$E$4:$E$390,EL!$D$4:$D$390)</f>
        <v>Level 4 Equipment Setting out</v>
      </c>
      <c r="E327" s="597" t="str">
        <f>IF(VLOOKUP(C327,EL!$E$4:$AC$505,7,0)="","",VLOOKUP(C327,EL!$E$4:$AC$1004,7,0))</f>
        <v/>
      </c>
      <c r="F327" s="457"/>
      <c r="G327" s="458" t="str">
        <f>IF(VLOOKUP(C327,EL!$E$4:$AC$514,5,0)="","",VLOOKUP(C327,EL!$E$4:$AC$514,5,0))</f>
        <v/>
      </c>
      <c r="H327" s="459" t="str">
        <f>IF(ISNA(MATCH($C327,EL!$E$4:$E$1012,0)),"",
IF($E327=0,IF(INDEX(EL!$R$4:$R$1012,MATCH($C327,EL!$E$4:$E$1012,0))="","",INDEX(EL!$R$4:$R$1012,MATCH($C327,EL!$E$4:$E$1012,0))),
IF($E327=1,IF(INDEX(EL!$W$4:$W$1012,MATCH($C327,EL!$E$4:$E$1012,0))="","",INDEX(EL!$W$4:$W$1012,MATCH($C327,EL!$E$4:$E$1012,0))),
IF($E327=2,IF(INDEX(EL!$AB$4:$AB$1012,MATCH($C327,EL!$E$4:$E$1012,0))="","",INDEX(EL!$AB$4:$AB$1012,MATCH($C327,EL!$E$4:$E$1012,0))),
IF($E327=3,IF(INDEX(EL!$AG$4:$AG$1012,MATCH($C327,EL!$E$4:$E$1012,0))="","",INDEX(EL!$AG$4:$AG$1012,MATCH($C327,EL!$E$4:$E$1012,0))),
IF($E327=4,IF(INDEX(EL!$AN$4:$AN$1012,MATCH($C327,EL!$E$4:$E$1012,0))="","",INDEX(EL!$AN$4:$AN$1012,MATCH($C327,EL!$E$4:$E$1012,0))),
IF($E327=5,IF(INDEX(EL!$AS$4:$AS$1012,MATCH($C327,EL!$E$4:$E$1012,0))="","",INDEX(EL!$AS$4:$AS$1012,MATCH($C327,EL!$E$4:$E$1012,0))),"")))))))</f>
        <v/>
      </c>
      <c r="I327" s="459" t="str">
        <f>IF(ISNA(MATCH($C327,EL!$E$4:$E$1012,0)),"",
IF($E327=0,IF(INDEX(EL!$S$4:$S$1012,MATCH($C327,EL!$E$4:$E$1012,0))="","",INDEX(EL!$S$4:$S$1012,MATCH($C327,EL!$E$4:$E$1012,0))),
IF($E327=1,IF(INDEX(EL!$X$4:$X$1012,MATCH($C327,EL!$E$4:$E$1012,0))="","",INDEX(EL!$X$4:$X$1012,MATCH($C327,EL!$E$4:$E$1012,0))),
IF($E327=2,IF(INDEX(EL!$AC$4:$AC$1012,MATCH($C327,EL!$E$4:$E$1012,0))="","",INDEX(EL!$AC$4:$AC$1012,MATCH($C327,EL!$E$4:$E$1012,0))),
IF($E327=3,IF(INDEX(EL!$AH$4:$AH$1012,MATCH($C327,EL!$E$4:$E$1012,0))="","",INDEX(EL!$AH$4:$AH$1012,MATCH($C327,EL!$E$4:$E$1012,0))),
IF($E327=4,IF(INDEX(EL!$AM$4:$AM$1012,MATCH($C327,EL!$E$4:$E$1012,0))="","",INDEX(EL!$AM$4:$AM$1012,MATCH($C327,EL!$E$4:$E$1012,0))),
IF($E327=5,IF(INDEX(EL!$AR$4:$AR$1012,MATCH($C327,EL!$E$4:$E$1012,0))="","",INDEX(EL!$AR$4:$AR$1012,MATCH($C327,EL!$E$4:$E$1012,0))),"")))))))</f>
        <v/>
      </c>
      <c r="J327" s="459" t="str">
        <f>IF(ISNA(MATCH($C327,EL!$E$4:$E$1012,0)),"",
IF($E327=0,IF(INDEX(EL!$T$4:$T$1012,MATCH($C327,EL!$E$4:$E$1012,0))="","",INDEX(EL!$T$4:$T$1012,MATCH($C327,EL!$E$4:$E$1012,0))),
IF($E327=1,IF(INDEX(EL!$Y$4:$Y$1012,MATCH($C327,EL!$E$4:$E$1012,0))="","",INDEX(EL!$Y$4:$Y$1012,MATCH($C327,EL!$E$4:$E$1012,0))),
IF($E327=2,IF(INDEX(EL!$AD$4:$AD$1012,MATCH($C327,EL!$E$4:$E$1012,0))="","",INDEX(EL!$AD$4:$AD$1012,MATCH($C327,EL!$E$4:$E$1012,0))),
IF($E327=3,IF(INDEX(EL!$AI$4:$AI$1012,MATCH($C327,EL!$E$4:$E$1012,0))="","",INDEX(EL!$AI$4:$AI$1012,MATCH($C327,EL!$E$4:$E$1012,0))),
IF($E327=4,IF(INDEX(EL!$AN$4:$AN$1012,MATCH($C327,EL!$E$4:$E$1012,0))="","",INDEX(EL!$AN$4:$AN$1012,MATCH($C327,EL!$E$4:$E$1012,0))),
IF($E327=5,IF(INDEX(EL!$AS$4:$AS$1012,MATCH($C327,EL!$E$4:$E$1012,0))="","",INDEX(EL!$AS$4:$AS$1012,MATCH($C327,EL!$E$4:$E$1012,0))),"")))))))</f>
        <v/>
      </c>
      <c r="K327" s="459">
        <f>EL!L241</f>
        <v>0</v>
      </c>
      <c r="L327" s="460" t="e" cm="1">
        <f t="array" aca="1" ref="L327" ca="1">_xlfn.IFS(AND($E327&lt;&gt;"",$M327="Pending",$K327="CTA"),TODAY()-$G327,AND($E327&lt;&gt;"",$M327="Pending",$K327="AUR"),TODAY()-$H327,AND($E327&lt;&gt;"",$M327="Pending",$K327="STT"),TODAY()-$I327,OR(K327="Closed",K327=""),"")</f>
        <v>#N/A</v>
      </c>
      <c r="M327" s="461">
        <f>VLOOKUP(C327,EL!$E$4:$AC$622,9,0)</f>
        <v>0</v>
      </c>
      <c r="N327" s="461" t="str">
        <f t="shared" si="13"/>
        <v/>
      </c>
      <c r="O327" s="739" t="str">
        <f>EL!O241</f>
        <v>GC</v>
      </c>
      <c r="P327" s="746" t="str">
        <v>NO</v>
      </c>
    </row>
    <row r="328" spans="1:16" s="385" customFormat="1" ht="27" hidden="1" customHeight="1">
      <c r="A328" s="399">
        <f t="shared" si="12"/>
        <v>235</v>
      </c>
      <c r="B328" s="477" t="s">
        <v>52</v>
      </c>
      <c r="C328" s="646" t="s">
        <v>1158</v>
      </c>
      <c r="D328" s="456" t="str">
        <f>_xlfn.XLOOKUP(C328,EL!$E$4:$E$390,EL!$D$4:$D$390)</f>
        <v>Level 5 Equipment Setting out</v>
      </c>
      <c r="E328" s="597" t="str">
        <f>IF(VLOOKUP(C328,EL!$E$4:$AC$505,7,0)="","",VLOOKUP(C328,EL!$E$4:$AC$1004,7,0))</f>
        <v/>
      </c>
      <c r="F328" s="457"/>
      <c r="G328" s="458" t="str">
        <f>IF(VLOOKUP(C328,EL!$E$4:$AC$514,5,0)="","",VLOOKUP(C328,EL!$E$4:$AC$514,5,0))</f>
        <v/>
      </c>
      <c r="H328" s="459" t="str">
        <f>IF(ISNA(MATCH($C328,EL!$E$4:$E$1012,0)),"",
IF($E328=0,IF(INDEX(EL!$R$4:$R$1012,MATCH($C328,EL!$E$4:$E$1012,0))="","",INDEX(EL!$R$4:$R$1012,MATCH($C328,EL!$E$4:$E$1012,0))),
IF($E328=1,IF(INDEX(EL!$W$4:$W$1012,MATCH($C328,EL!$E$4:$E$1012,0))="","",INDEX(EL!$W$4:$W$1012,MATCH($C328,EL!$E$4:$E$1012,0))),
IF($E328=2,IF(INDEX(EL!$AB$4:$AB$1012,MATCH($C328,EL!$E$4:$E$1012,0))="","",INDEX(EL!$AB$4:$AB$1012,MATCH($C328,EL!$E$4:$E$1012,0))),
IF($E328=3,IF(INDEX(EL!$AG$4:$AG$1012,MATCH($C328,EL!$E$4:$E$1012,0))="","",INDEX(EL!$AG$4:$AG$1012,MATCH($C328,EL!$E$4:$E$1012,0))),
IF($E328=4,IF(INDEX(EL!$AN$4:$AN$1012,MATCH($C328,EL!$E$4:$E$1012,0))="","",INDEX(EL!$AN$4:$AN$1012,MATCH($C328,EL!$E$4:$E$1012,0))),
IF($E328=5,IF(INDEX(EL!$AS$4:$AS$1012,MATCH($C328,EL!$E$4:$E$1012,0))="","",INDEX(EL!$AS$4:$AS$1012,MATCH($C328,EL!$E$4:$E$1012,0))),"")))))))</f>
        <v/>
      </c>
      <c r="I328" s="459" t="str">
        <f>IF(ISNA(MATCH($C328,EL!$E$4:$E$1012,0)),"",
IF($E328=0,IF(INDEX(EL!$S$4:$S$1012,MATCH($C328,EL!$E$4:$E$1012,0))="","",INDEX(EL!$S$4:$S$1012,MATCH($C328,EL!$E$4:$E$1012,0))),
IF($E328=1,IF(INDEX(EL!$X$4:$X$1012,MATCH($C328,EL!$E$4:$E$1012,0))="","",INDEX(EL!$X$4:$X$1012,MATCH($C328,EL!$E$4:$E$1012,0))),
IF($E328=2,IF(INDEX(EL!$AC$4:$AC$1012,MATCH($C328,EL!$E$4:$E$1012,0))="","",INDEX(EL!$AC$4:$AC$1012,MATCH($C328,EL!$E$4:$E$1012,0))),
IF($E328=3,IF(INDEX(EL!$AH$4:$AH$1012,MATCH($C328,EL!$E$4:$E$1012,0))="","",INDEX(EL!$AH$4:$AH$1012,MATCH($C328,EL!$E$4:$E$1012,0))),
IF($E328=4,IF(INDEX(EL!$AM$4:$AM$1012,MATCH($C328,EL!$E$4:$E$1012,0))="","",INDEX(EL!$AM$4:$AM$1012,MATCH($C328,EL!$E$4:$E$1012,0))),
IF($E328=5,IF(INDEX(EL!$AR$4:$AR$1012,MATCH($C328,EL!$E$4:$E$1012,0))="","",INDEX(EL!$AR$4:$AR$1012,MATCH($C328,EL!$E$4:$E$1012,0))),"")))))))</f>
        <v/>
      </c>
      <c r="J328" s="459" t="str">
        <f>IF(ISNA(MATCH($C328,EL!$E$4:$E$1012,0)),"",
IF($E328=0,IF(INDEX(EL!$T$4:$T$1012,MATCH($C328,EL!$E$4:$E$1012,0))="","",INDEX(EL!$T$4:$T$1012,MATCH($C328,EL!$E$4:$E$1012,0))),
IF($E328=1,IF(INDEX(EL!$Y$4:$Y$1012,MATCH($C328,EL!$E$4:$E$1012,0))="","",INDEX(EL!$Y$4:$Y$1012,MATCH($C328,EL!$E$4:$E$1012,0))),
IF($E328=2,IF(INDEX(EL!$AD$4:$AD$1012,MATCH($C328,EL!$E$4:$E$1012,0))="","",INDEX(EL!$AD$4:$AD$1012,MATCH($C328,EL!$E$4:$E$1012,0))),
IF($E328=3,IF(INDEX(EL!$AI$4:$AI$1012,MATCH($C328,EL!$E$4:$E$1012,0))="","",INDEX(EL!$AI$4:$AI$1012,MATCH($C328,EL!$E$4:$E$1012,0))),
IF($E328=4,IF(INDEX(EL!$AN$4:$AN$1012,MATCH($C328,EL!$E$4:$E$1012,0))="","",INDEX(EL!$AN$4:$AN$1012,MATCH($C328,EL!$E$4:$E$1012,0))),
IF($E328=5,IF(INDEX(EL!$AS$4:$AS$1012,MATCH($C328,EL!$E$4:$E$1012,0))="","",INDEX(EL!$AS$4:$AS$1012,MATCH($C328,EL!$E$4:$E$1012,0))),"")))))))</f>
        <v/>
      </c>
      <c r="K328" s="459">
        <f>EL!L242</f>
        <v>0</v>
      </c>
      <c r="L328" s="460" t="e" cm="1">
        <f t="array" aca="1" ref="L328" ca="1">_xlfn.IFS(AND($E328&lt;&gt;"",$M328="Pending",$K328="CTA"),TODAY()-$G328,AND($E328&lt;&gt;"",$M328="Pending",$K328="AUR"),TODAY()-$H328,AND($E328&lt;&gt;"",$M328="Pending",$K328="STT"),TODAY()-$I328,OR(K328="Closed",K328=""),"")</f>
        <v>#N/A</v>
      </c>
      <c r="M328" s="461">
        <f>VLOOKUP(C328,EL!$E$4:$AC$622,9,0)</f>
        <v>0</v>
      </c>
      <c r="N328" s="461" t="str">
        <f t="shared" si="13"/>
        <v/>
      </c>
      <c r="O328" s="739" t="str">
        <f>EL!O242</f>
        <v>GC</v>
      </c>
      <c r="P328" s="746" t="str">
        <v>NO</v>
      </c>
    </row>
    <row r="329" spans="1:16" s="385" customFormat="1" ht="27" hidden="1" customHeight="1">
      <c r="A329" s="399">
        <f t="shared" si="12"/>
        <v>236</v>
      </c>
      <c r="B329" s="477" t="s">
        <v>52</v>
      </c>
      <c r="C329" s="646" t="s">
        <v>1161</v>
      </c>
      <c r="D329" s="456" t="str">
        <f>_xlfn.XLOOKUP(C329,EL!$E$4:$E$390,EL!$D$4:$D$390)</f>
        <v>Level 6 Equipment Setting out</v>
      </c>
      <c r="E329" s="597" t="str">
        <f>IF(VLOOKUP(C329,EL!$E$4:$AC$505,7,0)="","",VLOOKUP(C329,EL!$E$4:$AC$1004,7,0))</f>
        <v/>
      </c>
      <c r="F329" s="457"/>
      <c r="G329" s="458" t="str">
        <f>IF(VLOOKUP(C329,EL!$E$4:$AC$514,5,0)="","",VLOOKUP(C329,EL!$E$4:$AC$514,5,0))</f>
        <v/>
      </c>
      <c r="H329" s="459" t="str">
        <f>IF(ISNA(MATCH($C329,EL!$E$4:$E$1012,0)),"",
IF($E329=0,IF(INDEX(EL!$R$4:$R$1012,MATCH($C329,EL!$E$4:$E$1012,0))="","",INDEX(EL!$R$4:$R$1012,MATCH($C329,EL!$E$4:$E$1012,0))),
IF($E329=1,IF(INDEX(EL!$W$4:$W$1012,MATCH($C329,EL!$E$4:$E$1012,0))="","",INDEX(EL!$W$4:$W$1012,MATCH($C329,EL!$E$4:$E$1012,0))),
IF($E329=2,IF(INDEX(EL!$AB$4:$AB$1012,MATCH($C329,EL!$E$4:$E$1012,0))="","",INDEX(EL!$AB$4:$AB$1012,MATCH($C329,EL!$E$4:$E$1012,0))),
IF($E329=3,IF(INDEX(EL!$AG$4:$AG$1012,MATCH($C329,EL!$E$4:$E$1012,0))="","",INDEX(EL!$AG$4:$AG$1012,MATCH($C329,EL!$E$4:$E$1012,0))),
IF($E329=4,IF(INDEX(EL!$AN$4:$AN$1012,MATCH($C329,EL!$E$4:$E$1012,0))="","",INDEX(EL!$AN$4:$AN$1012,MATCH($C329,EL!$E$4:$E$1012,0))),
IF($E329=5,IF(INDEX(EL!$AS$4:$AS$1012,MATCH($C329,EL!$E$4:$E$1012,0))="","",INDEX(EL!$AS$4:$AS$1012,MATCH($C329,EL!$E$4:$E$1012,0))),"")))))))</f>
        <v/>
      </c>
      <c r="I329" s="459" t="str">
        <f>IF(ISNA(MATCH($C329,EL!$E$4:$E$1012,0)),"",
IF($E329=0,IF(INDEX(EL!$S$4:$S$1012,MATCH($C329,EL!$E$4:$E$1012,0))="","",INDEX(EL!$S$4:$S$1012,MATCH($C329,EL!$E$4:$E$1012,0))),
IF($E329=1,IF(INDEX(EL!$X$4:$X$1012,MATCH($C329,EL!$E$4:$E$1012,0))="","",INDEX(EL!$X$4:$X$1012,MATCH($C329,EL!$E$4:$E$1012,0))),
IF($E329=2,IF(INDEX(EL!$AC$4:$AC$1012,MATCH($C329,EL!$E$4:$E$1012,0))="","",INDEX(EL!$AC$4:$AC$1012,MATCH($C329,EL!$E$4:$E$1012,0))),
IF($E329=3,IF(INDEX(EL!$AH$4:$AH$1012,MATCH($C329,EL!$E$4:$E$1012,0))="","",INDEX(EL!$AH$4:$AH$1012,MATCH($C329,EL!$E$4:$E$1012,0))),
IF($E329=4,IF(INDEX(EL!$AM$4:$AM$1012,MATCH($C329,EL!$E$4:$E$1012,0))="","",INDEX(EL!$AM$4:$AM$1012,MATCH($C329,EL!$E$4:$E$1012,0))),
IF($E329=5,IF(INDEX(EL!$AR$4:$AR$1012,MATCH($C329,EL!$E$4:$E$1012,0))="","",INDEX(EL!$AR$4:$AR$1012,MATCH($C329,EL!$E$4:$E$1012,0))),"")))))))</f>
        <v/>
      </c>
      <c r="J329" s="459" t="str">
        <f>IF(ISNA(MATCH($C329,EL!$E$4:$E$1012,0)),"",
IF($E329=0,IF(INDEX(EL!$T$4:$T$1012,MATCH($C329,EL!$E$4:$E$1012,0))="","",INDEX(EL!$T$4:$T$1012,MATCH($C329,EL!$E$4:$E$1012,0))),
IF($E329=1,IF(INDEX(EL!$Y$4:$Y$1012,MATCH($C329,EL!$E$4:$E$1012,0))="","",INDEX(EL!$Y$4:$Y$1012,MATCH($C329,EL!$E$4:$E$1012,0))),
IF($E329=2,IF(INDEX(EL!$AD$4:$AD$1012,MATCH($C329,EL!$E$4:$E$1012,0))="","",INDEX(EL!$AD$4:$AD$1012,MATCH($C329,EL!$E$4:$E$1012,0))),
IF($E329=3,IF(INDEX(EL!$AI$4:$AI$1012,MATCH($C329,EL!$E$4:$E$1012,0))="","",INDEX(EL!$AI$4:$AI$1012,MATCH($C329,EL!$E$4:$E$1012,0))),
IF($E329=4,IF(INDEX(EL!$AN$4:$AN$1012,MATCH($C329,EL!$E$4:$E$1012,0))="","",INDEX(EL!$AN$4:$AN$1012,MATCH($C329,EL!$E$4:$E$1012,0))),
IF($E329=5,IF(INDEX(EL!$AS$4:$AS$1012,MATCH($C329,EL!$E$4:$E$1012,0))="","",INDEX(EL!$AS$4:$AS$1012,MATCH($C329,EL!$E$4:$E$1012,0))),"")))))))</f>
        <v/>
      </c>
      <c r="K329" s="459">
        <f>EL!L243</f>
        <v>0</v>
      </c>
      <c r="L329" s="460" t="e" cm="1">
        <f t="array" aca="1" ref="L329" ca="1">_xlfn.IFS(AND($E329&lt;&gt;"",$M329="Pending",$K329="CTA"),TODAY()-$G329,AND($E329&lt;&gt;"",$M329="Pending",$K329="AUR"),TODAY()-$H329,AND($E329&lt;&gt;"",$M329="Pending",$K329="STT"),TODAY()-$I329,OR(K329="Closed",K329=""),"")</f>
        <v>#N/A</v>
      </c>
      <c r="M329" s="461">
        <f>VLOOKUP(C329,EL!$E$4:$AC$622,9,0)</f>
        <v>0</v>
      </c>
      <c r="N329" s="461" t="str">
        <f t="shared" si="13"/>
        <v/>
      </c>
      <c r="O329" s="739" t="str">
        <f>EL!O243</f>
        <v>GC</v>
      </c>
      <c r="P329" s="746" t="str">
        <v>NO</v>
      </c>
    </row>
    <row r="330" spans="1:16" s="385" customFormat="1" ht="27" hidden="1" customHeight="1">
      <c r="A330" s="399">
        <f t="shared" si="12"/>
        <v>237</v>
      </c>
      <c r="B330" s="477" t="s">
        <v>52</v>
      </c>
      <c r="C330" s="646" t="s">
        <v>1164</v>
      </c>
      <c r="D330" s="456" t="str">
        <f>_xlfn.XLOOKUP(C330,EL!$E$4:$E$390,EL!$D$4:$D$390)</f>
        <v>Level Roof Equipment Setting out</v>
      </c>
      <c r="E330" s="597" t="str">
        <f>IF(VLOOKUP(C330,EL!$E$4:$AC$505,7,0)="","",VLOOKUP(C330,EL!$E$4:$AC$1004,7,0))</f>
        <v/>
      </c>
      <c r="F330" s="457"/>
      <c r="G330" s="458" t="str">
        <f>IF(VLOOKUP(C330,EL!$E$4:$AC$514,5,0)="","",VLOOKUP(C330,EL!$E$4:$AC$514,5,0))</f>
        <v/>
      </c>
      <c r="H330" s="459" t="str">
        <f>IF(ISNA(MATCH($C330,EL!$E$4:$E$1012,0)),"",
IF($E330=0,IF(INDEX(EL!$R$4:$R$1012,MATCH($C330,EL!$E$4:$E$1012,0))="","",INDEX(EL!$R$4:$R$1012,MATCH($C330,EL!$E$4:$E$1012,0))),
IF($E330=1,IF(INDEX(EL!$W$4:$W$1012,MATCH($C330,EL!$E$4:$E$1012,0))="","",INDEX(EL!$W$4:$W$1012,MATCH($C330,EL!$E$4:$E$1012,0))),
IF($E330=2,IF(INDEX(EL!$AB$4:$AB$1012,MATCH($C330,EL!$E$4:$E$1012,0))="","",INDEX(EL!$AB$4:$AB$1012,MATCH($C330,EL!$E$4:$E$1012,0))),
IF($E330=3,IF(INDEX(EL!$AG$4:$AG$1012,MATCH($C330,EL!$E$4:$E$1012,0))="","",INDEX(EL!$AG$4:$AG$1012,MATCH($C330,EL!$E$4:$E$1012,0))),
IF($E330=4,IF(INDEX(EL!$AN$4:$AN$1012,MATCH($C330,EL!$E$4:$E$1012,0))="","",INDEX(EL!$AN$4:$AN$1012,MATCH($C330,EL!$E$4:$E$1012,0))),
IF($E330=5,IF(INDEX(EL!$AS$4:$AS$1012,MATCH($C330,EL!$E$4:$E$1012,0))="","",INDEX(EL!$AS$4:$AS$1012,MATCH($C330,EL!$E$4:$E$1012,0))),"")))))))</f>
        <v/>
      </c>
      <c r="I330" s="459" t="str">
        <f>IF(ISNA(MATCH($C330,EL!$E$4:$E$1012,0)),"",
IF($E330=0,IF(INDEX(EL!$S$4:$S$1012,MATCH($C330,EL!$E$4:$E$1012,0))="","",INDEX(EL!$S$4:$S$1012,MATCH($C330,EL!$E$4:$E$1012,0))),
IF($E330=1,IF(INDEX(EL!$X$4:$X$1012,MATCH($C330,EL!$E$4:$E$1012,0))="","",INDEX(EL!$X$4:$X$1012,MATCH($C330,EL!$E$4:$E$1012,0))),
IF($E330=2,IF(INDEX(EL!$AC$4:$AC$1012,MATCH($C330,EL!$E$4:$E$1012,0))="","",INDEX(EL!$AC$4:$AC$1012,MATCH($C330,EL!$E$4:$E$1012,0))),
IF($E330=3,IF(INDEX(EL!$AH$4:$AH$1012,MATCH($C330,EL!$E$4:$E$1012,0))="","",INDEX(EL!$AH$4:$AH$1012,MATCH($C330,EL!$E$4:$E$1012,0))),
IF($E330=4,IF(INDEX(EL!$AM$4:$AM$1012,MATCH($C330,EL!$E$4:$E$1012,0))="","",INDEX(EL!$AM$4:$AM$1012,MATCH($C330,EL!$E$4:$E$1012,0))),
IF($E330=5,IF(INDEX(EL!$AR$4:$AR$1012,MATCH($C330,EL!$E$4:$E$1012,0))="","",INDEX(EL!$AR$4:$AR$1012,MATCH($C330,EL!$E$4:$E$1012,0))),"")))))))</f>
        <v/>
      </c>
      <c r="J330" s="459" t="str">
        <f>IF(ISNA(MATCH($C330,EL!$E$4:$E$1012,0)),"",
IF($E330=0,IF(INDEX(EL!$T$4:$T$1012,MATCH($C330,EL!$E$4:$E$1012,0))="","",INDEX(EL!$T$4:$T$1012,MATCH($C330,EL!$E$4:$E$1012,0))),
IF($E330=1,IF(INDEX(EL!$Y$4:$Y$1012,MATCH($C330,EL!$E$4:$E$1012,0))="","",INDEX(EL!$Y$4:$Y$1012,MATCH($C330,EL!$E$4:$E$1012,0))),
IF($E330=2,IF(INDEX(EL!$AD$4:$AD$1012,MATCH($C330,EL!$E$4:$E$1012,0))="","",INDEX(EL!$AD$4:$AD$1012,MATCH($C330,EL!$E$4:$E$1012,0))),
IF($E330=3,IF(INDEX(EL!$AI$4:$AI$1012,MATCH($C330,EL!$E$4:$E$1012,0))="","",INDEX(EL!$AI$4:$AI$1012,MATCH($C330,EL!$E$4:$E$1012,0))),
IF($E330=4,IF(INDEX(EL!$AN$4:$AN$1012,MATCH($C330,EL!$E$4:$E$1012,0))="","",INDEX(EL!$AN$4:$AN$1012,MATCH($C330,EL!$E$4:$E$1012,0))),
IF($E330=5,IF(INDEX(EL!$AS$4:$AS$1012,MATCH($C330,EL!$E$4:$E$1012,0))="","",INDEX(EL!$AS$4:$AS$1012,MATCH($C330,EL!$E$4:$E$1012,0))),"")))))))</f>
        <v/>
      </c>
      <c r="K330" s="459">
        <f>EL!L244</f>
        <v>0</v>
      </c>
      <c r="L330" s="460" t="e" cm="1">
        <f t="array" aca="1" ref="L330" ca="1">_xlfn.IFS(AND($E330&lt;&gt;"",$M330="Pending",$K330="CTA"),TODAY()-$G330,AND($E330&lt;&gt;"",$M330="Pending",$K330="AUR"),TODAY()-$H330,AND($E330&lt;&gt;"",$M330="Pending",$K330="STT"),TODAY()-$I330,OR(K330="Closed",K330=""),"")</f>
        <v>#N/A</v>
      </c>
      <c r="M330" s="461">
        <f>VLOOKUP(C330,EL!$E$4:$AC$622,9,0)</f>
        <v>0</v>
      </c>
      <c r="N330" s="461" t="str">
        <f t="shared" si="13"/>
        <v/>
      </c>
      <c r="O330" s="739" t="str">
        <f>EL!O244</f>
        <v>GC</v>
      </c>
      <c r="P330" s="746" t="str">
        <v>NO</v>
      </c>
    </row>
    <row r="331" spans="1:16" s="385" customFormat="1" ht="27" hidden="1" customHeight="1">
      <c r="A331" s="399">
        <f t="shared" si="12"/>
        <v>238</v>
      </c>
      <c r="B331" s="477" t="s">
        <v>52</v>
      </c>
      <c r="C331" s="646" t="s">
        <v>1167</v>
      </c>
      <c r="D331" s="456" t="str">
        <f>_xlfn.XLOOKUP(C331,EL!$E$4:$E$390,EL!$D$4:$D$390)</f>
        <v>Typical Details For Access Control System Sheet 1</v>
      </c>
      <c r="E331" s="597" t="str">
        <f>IF(VLOOKUP(C331,EL!$E$4:$AC$505,7,0)="","",VLOOKUP(C331,EL!$E$4:$AC$1004,7,0))</f>
        <v/>
      </c>
      <c r="F331" s="457"/>
      <c r="G331" s="458" t="str">
        <f>IF(VLOOKUP(C331,EL!$E$4:$AC$514,5,0)="","",VLOOKUP(C331,EL!$E$4:$AC$514,5,0))</f>
        <v/>
      </c>
      <c r="H331" s="459" t="str">
        <f>IF(ISNA(MATCH($C331,EL!$E$4:$E$1012,0)),"",
IF($E331=0,IF(INDEX(EL!$R$4:$R$1012,MATCH($C331,EL!$E$4:$E$1012,0))="","",INDEX(EL!$R$4:$R$1012,MATCH($C331,EL!$E$4:$E$1012,0))),
IF($E331=1,IF(INDEX(EL!$W$4:$W$1012,MATCH($C331,EL!$E$4:$E$1012,0))="","",INDEX(EL!$W$4:$W$1012,MATCH($C331,EL!$E$4:$E$1012,0))),
IF($E331=2,IF(INDEX(EL!$AB$4:$AB$1012,MATCH($C331,EL!$E$4:$E$1012,0))="","",INDEX(EL!$AB$4:$AB$1012,MATCH($C331,EL!$E$4:$E$1012,0))),
IF($E331=3,IF(INDEX(EL!$AG$4:$AG$1012,MATCH($C331,EL!$E$4:$E$1012,0))="","",INDEX(EL!$AG$4:$AG$1012,MATCH($C331,EL!$E$4:$E$1012,0))),
IF($E331=4,IF(INDEX(EL!$AN$4:$AN$1012,MATCH($C331,EL!$E$4:$E$1012,0))="","",INDEX(EL!$AN$4:$AN$1012,MATCH($C331,EL!$E$4:$E$1012,0))),
IF($E331=5,IF(INDEX(EL!$AS$4:$AS$1012,MATCH($C331,EL!$E$4:$E$1012,0))="","",INDEX(EL!$AS$4:$AS$1012,MATCH($C331,EL!$E$4:$E$1012,0))),"")))))))</f>
        <v/>
      </c>
      <c r="I331" s="459" t="str">
        <f>IF(ISNA(MATCH($C331,EL!$E$4:$E$1012,0)),"",
IF($E331=0,IF(INDEX(EL!$S$4:$S$1012,MATCH($C331,EL!$E$4:$E$1012,0))="","",INDEX(EL!$S$4:$S$1012,MATCH($C331,EL!$E$4:$E$1012,0))),
IF($E331=1,IF(INDEX(EL!$X$4:$X$1012,MATCH($C331,EL!$E$4:$E$1012,0))="","",INDEX(EL!$X$4:$X$1012,MATCH($C331,EL!$E$4:$E$1012,0))),
IF($E331=2,IF(INDEX(EL!$AC$4:$AC$1012,MATCH($C331,EL!$E$4:$E$1012,0))="","",INDEX(EL!$AC$4:$AC$1012,MATCH($C331,EL!$E$4:$E$1012,0))),
IF($E331=3,IF(INDEX(EL!$AH$4:$AH$1012,MATCH($C331,EL!$E$4:$E$1012,0))="","",INDEX(EL!$AH$4:$AH$1012,MATCH($C331,EL!$E$4:$E$1012,0))),
IF($E331=4,IF(INDEX(EL!$AM$4:$AM$1012,MATCH($C331,EL!$E$4:$E$1012,0))="","",INDEX(EL!$AM$4:$AM$1012,MATCH($C331,EL!$E$4:$E$1012,0))),
IF($E331=5,IF(INDEX(EL!$AR$4:$AR$1012,MATCH($C331,EL!$E$4:$E$1012,0))="","",INDEX(EL!$AR$4:$AR$1012,MATCH($C331,EL!$E$4:$E$1012,0))),"")))))))</f>
        <v/>
      </c>
      <c r="J331" s="459" t="str">
        <f>IF(ISNA(MATCH($C331,EL!$E$4:$E$1012,0)),"",
IF($E331=0,IF(INDEX(EL!$T$4:$T$1012,MATCH($C331,EL!$E$4:$E$1012,0))="","",INDEX(EL!$T$4:$T$1012,MATCH($C331,EL!$E$4:$E$1012,0))),
IF($E331=1,IF(INDEX(EL!$Y$4:$Y$1012,MATCH($C331,EL!$E$4:$E$1012,0))="","",INDEX(EL!$Y$4:$Y$1012,MATCH($C331,EL!$E$4:$E$1012,0))),
IF($E331=2,IF(INDEX(EL!$AD$4:$AD$1012,MATCH($C331,EL!$E$4:$E$1012,0))="","",INDEX(EL!$AD$4:$AD$1012,MATCH($C331,EL!$E$4:$E$1012,0))),
IF($E331=3,IF(INDEX(EL!$AI$4:$AI$1012,MATCH($C331,EL!$E$4:$E$1012,0))="","",INDEX(EL!$AI$4:$AI$1012,MATCH($C331,EL!$E$4:$E$1012,0))),
IF($E331=4,IF(INDEX(EL!$AN$4:$AN$1012,MATCH($C331,EL!$E$4:$E$1012,0))="","",INDEX(EL!$AN$4:$AN$1012,MATCH($C331,EL!$E$4:$E$1012,0))),
IF($E331=5,IF(INDEX(EL!$AS$4:$AS$1012,MATCH($C331,EL!$E$4:$E$1012,0))="","",INDEX(EL!$AS$4:$AS$1012,MATCH($C331,EL!$E$4:$E$1012,0))),"")))))))</f>
        <v/>
      </c>
      <c r="K331" s="459">
        <f>EL!L245</f>
        <v>0</v>
      </c>
      <c r="L331" s="460" t="e" cm="1">
        <f t="array" aca="1" ref="L331" ca="1">_xlfn.IFS(AND($E331&lt;&gt;"",$M331="Pending",$K331="CTA"),TODAY()-$G331,AND($E331&lt;&gt;"",$M331="Pending",$K331="AUR"),TODAY()-$H331,AND($E331&lt;&gt;"",$M331="Pending",$K331="STT"),TODAY()-$I331,OR(K331="Closed",K331=""),"")</f>
        <v>#N/A</v>
      </c>
      <c r="M331" s="461">
        <f>VLOOKUP(C331,EL!$E$4:$AC$622,9,0)</f>
        <v>0</v>
      </c>
      <c r="N331" s="461" t="str">
        <f t="shared" si="13"/>
        <v/>
      </c>
      <c r="O331" s="739" t="str">
        <f>EL!O245</f>
        <v>GC</v>
      </c>
      <c r="P331" s="746" t="str">
        <v>NO</v>
      </c>
    </row>
    <row r="332" spans="1:16" s="385" customFormat="1" ht="27" hidden="1" customHeight="1">
      <c r="A332" s="399">
        <f t="shared" si="12"/>
        <v>239</v>
      </c>
      <c r="B332" s="477" t="s">
        <v>52</v>
      </c>
      <c r="C332" s="646" t="s">
        <v>1170</v>
      </c>
      <c r="D332" s="456" t="str">
        <f>_xlfn.XLOOKUP(C332,EL!$E$4:$E$390,EL!$D$4:$D$390)</f>
        <v>Typical Details For Access Control System Sheet 2</v>
      </c>
      <c r="E332" s="597" t="str">
        <f>IF(VLOOKUP(C332,EL!$E$4:$AC$505,7,0)="","",VLOOKUP(C332,EL!$E$4:$AC$1004,7,0))</f>
        <v/>
      </c>
      <c r="F332" s="462"/>
      <c r="G332" s="458" t="str">
        <f>IF(VLOOKUP(C332,EL!$E$4:$AC$514,5,0)="","",VLOOKUP(C332,EL!$E$4:$AC$514,5,0))</f>
        <v/>
      </c>
      <c r="H332" s="459" t="str">
        <f>IF(ISNA(MATCH($C332,EL!$E$4:$E$1012,0)),"",
IF($E332=0,IF(INDEX(EL!$R$4:$R$1012,MATCH($C332,EL!$E$4:$E$1012,0))="","",INDEX(EL!$R$4:$R$1012,MATCH($C332,EL!$E$4:$E$1012,0))),
IF($E332=1,IF(INDEX(EL!$W$4:$W$1012,MATCH($C332,EL!$E$4:$E$1012,0))="","",INDEX(EL!$W$4:$W$1012,MATCH($C332,EL!$E$4:$E$1012,0))),
IF($E332=2,IF(INDEX(EL!$AB$4:$AB$1012,MATCH($C332,EL!$E$4:$E$1012,0))="","",INDEX(EL!$AB$4:$AB$1012,MATCH($C332,EL!$E$4:$E$1012,0))),
IF($E332=3,IF(INDEX(EL!$AG$4:$AG$1012,MATCH($C332,EL!$E$4:$E$1012,0))="","",INDEX(EL!$AG$4:$AG$1012,MATCH($C332,EL!$E$4:$E$1012,0))),
IF($E332=4,IF(INDEX(EL!$AN$4:$AN$1012,MATCH($C332,EL!$E$4:$E$1012,0))="","",INDEX(EL!$AN$4:$AN$1012,MATCH($C332,EL!$E$4:$E$1012,0))),
IF($E332=5,IF(INDEX(EL!$AS$4:$AS$1012,MATCH($C332,EL!$E$4:$E$1012,0))="","",INDEX(EL!$AS$4:$AS$1012,MATCH($C332,EL!$E$4:$E$1012,0))),"")))))))</f>
        <v/>
      </c>
      <c r="I332" s="459" t="str">
        <f>IF(ISNA(MATCH($C332,EL!$E$4:$E$1012,0)),"",
IF($E332=0,IF(INDEX(EL!$S$4:$S$1012,MATCH($C332,EL!$E$4:$E$1012,0))="","",INDEX(EL!$S$4:$S$1012,MATCH($C332,EL!$E$4:$E$1012,0))),
IF($E332=1,IF(INDEX(EL!$X$4:$X$1012,MATCH($C332,EL!$E$4:$E$1012,0))="","",INDEX(EL!$X$4:$X$1012,MATCH($C332,EL!$E$4:$E$1012,0))),
IF($E332=2,IF(INDEX(EL!$AC$4:$AC$1012,MATCH($C332,EL!$E$4:$E$1012,0))="","",INDEX(EL!$AC$4:$AC$1012,MATCH($C332,EL!$E$4:$E$1012,0))),
IF($E332=3,IF(INDEX(EL!$AH$4:$AH$1012,MATCH($C332,EL!$E$4:$E$1012,0))="","",INDEX(EL!$AH$4:$AH$1012,MATCH($C332,EL!$E$4:$E$1012,0))),
IF($E332=4,IF(INDEX(EL!$AM$4:$AM$1012,MATCH($C332,EL!$E$4:$E$1012,0))="","",INDEX(EL!$AM$4:$AM$1012,MATCH($C332,EL!$E$4:$E$1012,0))),
IF($E332=5,IF(INDEX(EL!$AR$4:$AR$1012,MATCH($C332,EL!$E$4:$E$1012,0))="","",INDEX(EL!$AR$4:$AR$1012,MATCH($C332,EL!$E$4:$E$1012,0))),"")))))))</f>
        <v/>
      </c>
      <c r="J332" s="459" t="str">
        <f>IF(ISNA(MATCH($C332,EL!$E$4:$E$1012,0)),"",
IF($E332=0,IF(INDEX(EL!$T$4:$T$1012,MATCH($C332,EL!$E$4:$E$1012,0))="","",INDEX(EL!$T$4:$T$1012,MATCH($C332,EL!$E$4:$E$1012,0))),
IF($E332=1,IF(INDEX(EL!$Y$4:$Y$1012,MATCH($C332,EL!$E$4:$E$1012,0))="","",INDEX(EL!$Y$4:$Y$1012,MATCH($C332,EL!$E$4:$E$1012,0))),
IF($E332=2,IF(INDEX(EL!$AD$4:$AD$1012,MATCH($C332,EL!$E$4:$E$1012,0))="","",INDEX(EL!$AD$4:$AD$1012,MATCH($C332,EL!$E$4:$E$1012,0))),
IF($E332=3,IF(INDEX(EL!$AI$4:$AI$1012,MATCH($C332,EL!$E$4:$E$1012,0))="","",INDEX(EL!$AI$4:$AI$1012,MATCH($C332,EL!$E$4:$E$1012,0))),
IF($E332=4,IF(INDEX(EL!$AN$4:$AN$1012,MATCH($C332,EL!$E$4:$E$1012,0))="","",INDEX(EL!$AN$4:$AN$1012,MATCH($C332,EL!$E$4:$E$1012,0))),
IF($E332=5,IF(INDEX(EL!$AS$4:$AS$1012,MATCH($C332,EL!$E$4:$E$1012,0))="","",INDEX(EL!$AS$4:$AS$1012,MATCH($C332,EL!$E$4:$E$1012,0))),"")))))))</f>
        <v/>
      </c>
      <c r="K332" s="459">
        <f>EL!L246</f>
        <v>0</v>
      </c>
      <c r="L332" s="460" t="e" cm="1">
        <f t="array" aca="1" ref="L332" ca="1">_xlfn.IFS(AND($E332&lt;&gt;"",$M332="Pending",$K332="CTA"),TODAY()-$G332,AND($E332&lt;&gt;"",$M332="Pending",$K332="AUR"),TODAY()-$H332,AND($E332&lt;&gt;"",$M332="Pending",$K332="STT"),TODAY()-$I332,OR(K332="Closed",K332=""),"")</f>
        <v>#N/A</v>
      </c>
      <c r="M332" s="461">
        <f>VLOOKUP(C332,EL!$E$4:$AC$622,9,0)</f>
        <v>0</v>
      </c>
      <c r="N332" s="461" t="str">
        <f t="shared" si="13"/>
        <v/>
      </c>
      <c r="O332" s="739" t="str">
        <f>EL!O246</f>
        <v>GC</v>
      </c>
      <c r="P332" s="746" t="str">
        <v>NO</v>
      </c>
    </row>
    <row r="333" spans="1:16" s="385" customFormat="1" ht="27" hidden="1" customHeight="1">
      <c r="A333" s="399">
        <f t="shared" si="12"/>
        <v>240</v>
      </c>
      <c r="B333" s="477" t="s">
        <v>52</v>
      </c>
      <c r="C333" s="646" t="s">
        <v>1173</v>
      </c>
      <c r="D333" s="456" t="str">
        <f>_xlfn.XLOOKUP(C333,EL!$E$4:$E$390,EL!$D$4:$D$390)</f>
        <v>Access Control System Schematic</v>
      </c>
      <c r="E333" s="597" t="str">
        <f>IF(VLOOKUP(C333,EL!$E$4:$AC$505,7,0)="","",VLOOKUP(C333,EL!$E$4:$AC$1004,7,0))</f>
        <v/>
      </c>
      <c r="F333" s="462"/>
      <c r="G333" s="458" t="str">
        <f>IF(VLOOKUP(C333,EL!$E$4:$AC$514,5,0)="","",VLOOKUP(C333,EL!$E$4:$AC$514,5,0))</f>
        <v/>
      </c>
      <c r="H333" s="459" t="str">
        <f>IF(ISNA(MATCH($C333,EL!$E$4:$E$1012,0)),"",
IF($E333=0,IF(INDEX(EL!$R$4:$R$1012,MATCH($C333,EL!$E$4:$E$1012,0))="","",INDEX(EL!$R$4:$R$1012,MATCH($C333,EL!$E$4:$E$1012,0))),
IF($E333=1,IF(INDEX(EL!$W$4:$W$1012,MATCH($C333,EL!$E$4:$E$1012,0))="","",INDEX(EL!$W$4:$W$1012,MATCH($C333,EL!$E$4:$E$1012,0))),
IF($E333=2,IF(INDEX(EL!$AB$4:$AB$1012,MATCH($C333,EL!$E$4:$E$1012,0))="","",INDEX(EL!$AB$4:$AB$1012,MATCH($C333,EL!$E$4:$E$1012,0))),
IF($E333=3,IF(INDEX(EL!$AG$4:$AG$1012,MATCH($C333,EL!$E$4:$E$1012,0))="","",INDEX(EL!$AG$4:$AG$1012,MATCH($C333,EL!$E$4:$E$1012,0))),
IF($E333=4,IF(INDEX(EL!$AN$4:$AN$1012,MATCH($C333,EL!$E$4:$E$1012,0))="","",INDEX(EL!$AN$4:$AN$1012,MATCH($C333,EL!$E$4:$E$1012,0))),
IF($E333=5,IF(INDEX(EL!$AS$4:$AS$1012,MATCH($C333,EL!$E$4:$E$1012,0))="","",INDEX(EL!$AS$4:$AS$1012,MATCH($C333,EL!$E$4:$E$1012,0))),"")))))))</f>
        <v/>
      </c>
      <c r="I333" s="459" t="str">
        <f>IF(ISNA(MATCH($C333,EL!$E$4:$E$1012,0)),"",
IF($E333=0,IF(INDEX(EL!$S$4:$S$1012,MATCH($C333,EL!$E$4:$E$1012,0))="","",INDEX(EL!$S$4:$S$1012,MATCH($C333,EL!$E$4:$E$1012,0))),
IF($E333=1,IF(INDEX(EL!$X$4:$X$1012,MATCH($C333,EL!$E$4:$E$1012,0))="","",INDEX(EL!$X$4:$X$1012,MATCH($C333,EL!$E$4:$E$1012,0))),
IF($E333=2,IF(INDEX(EL!$AC$4:$AC$1012,MATCH($C333,EL!$E$4:$E$1012,0))="","",INDEX(EL!$AC$4:$AC$1012,MATCH($C333,EL!$E$4:$E$1012,0))),
IF($E333=3,IF(INDEX(EL!$AH$4:$AH$1012,MATCH($C333,EL!$E$4:$E$1012,0))="","",INDEX(EL!$AH$4:$AH$1012,MATCH($C333,EL!$E$4:$E$1012,0))),
IF($E333=4,IF(INDEX(EL!$AM$4:$AM$1012,MATCH($C333,EL!$E$4:$E$1012,0))="","",INDEX(EL!$AM$4:$AM$1012,MATCH($C333,EL!$E$4:$E$1012,0))),
IF($E333=5,IF(INDEX(EL!$AR$4:$AR$1012,MATCH($C333,EL!$E$4:$E$1012,0))="","",INDEX(EL!$AR$4:$AR$1012,MATCH($C333,EL!$E$4:$E$1012,0))),"")))))))</f>
        <v/>
      </c>
      <c r="J333" s="459" t="str">
        <f>IF(ISNA(MATCH($C333,EL!$E$4:$E$1012,0)),"",
IF($E333=0,IF(INDEX(EL!$T$4:$T$1012,MATCH($C333,EL!$E$4:$E$1012,0))="","",INDEX(EL!$T$4:$T$1012,MATCH($C333,EL!$E$4:$E$1012,0))),
IF($E333=1,IF(INDEX(EL!$Y$4:$Y$1012,MATCH($C333,EL!$E$4:$E$1012,0))="","",INDEX(EL!$Y$4:$Y$1012,MATCH($C333,EL!$E$4:$E$1012,0))),
IF($E333=2,IF(INDEX(EL!$AD$4:$AD$1012,MATCH($C333,EL!$E$4:$E$1012,0))="","",INDEX(EL!$AD$4:$AD$1012,MATCH($C333,EL!$E$4:$E$1012,0))),
IF($E333=3,IF(INDEX(EL!$AI$4:$AI$1012,MATCH($C333,EL!$E$4:$E$1012,0))="","",INDEX(EL!$AI$4:$AI$1012,MATCH($C333,EL!$E$4:$E$1012,0))),
IF($E333=4,IF(INDEX(EL!$AN$4:$AN$1012,MATCH($C333,EL!$E$4:$E$1012,0))="","",INDEX(EL!$AN$4:$AN$1012,MATCH($C333,EL!$E$4:$E$1012,0))),
IF($E333=5,IF(INDEX(EL!$AS$4:$AS$1012,MATCH($C333,EL!$E$4:$E$1012,0))="","",INDEX(EL!$AS$4:$AS$1012,MATCH($C333,EL!$E$4:$E$1012,0))),"")))))))</f>
        <v/>
      </c>
      <c r="K333" s="459">
        <f>EL!L247</f>
        <v>0</v>
      </c>
      <c r="L333" s="460" t="e" cm="1">
        <f t="array" aca="1" ref="L333" ca="1">_xlfn.IFS(AND($E333&lt;&gt;"",$M333="Pending",$K333="CTA"),TODAY()-$G333,AND($E333&lt;&gt;"",$M333="Pending",$K333="AUR"),TODAY()-$H333,AND($E333&lt;&gt;"",$M333="Pending",$K333="STT"),TODAY()-$I333,OR(K333="Closed",K333=""),"")</f>
        <v>#N/A</v>
      </c>
      <c r="M333" s="461">
        <f>VLOOKUP(C333,EL!$E$4:$AC$622,9,0)</f>
        <v>0</v>
      </c>
      <c r="N333" s="461" t="str">
        <f t="shared" si="13"/>
        <v/>
      </c>
      <c r="O333" s="739" t="str">
        <f>EL!O247</f>
        <v>GC</v>
      </c>
      <c r="P333" s="746" t="str">
        <v>NO</v>
      </c>
    </row>
    <row r="334" spans="1:16" s="385" customFormat="1" ht="29.25" hidden="1" customHeight="1">
      <c r="A334" s="399">
        <f t="shared" si="12"/>
        <v>241</v>
      </c>
      <c r="B334" s="477" t="s">
        <v>52</v>
      </c>
      <c r="C334" s="646" t="s">
        <v>1176</v>
      </c>
      <c r="D334" s="456" t="str">
        <f>_xlfn.XLOOKUP(C334,EL!$E$4:$E$390,EL!$D$4:$D$390)</f>
        <v>Typical Details Sheet 1</v>
      </c>
      <c r="E334" s="597" t="str">
        <f>IF(VLOOKUP(C334,EL!$E$4:$AC$505,7,0)="","",VLOOKUP(C334,EL!$E$4:$AC$1004,7,0))</f>
        <v/>
      </c>
      <c r="F334" s="462"/>
      <c r="G334" s="458" t="str">
        <f>IF(VLOOKUP(C334,EL!$E$4:$AC$514,5,0)="","",VLOOKUP(C334,EL!$E$4:$AC$514,5,0))</f>
        <v/>
      </c>
      <c r="H334" s="459" t="str">
        <f>IF(ISNA(MATCH($C334,EL!$E$4:$E$1012,0)),"",
IF($E334=0,IF(INDEX(EL!$R$4:$R$1012,MATCH($C334,EL!$E$4:$E$1012,0))="","",INDEX(EL!$R$4:$R$1012,MATCH($C334,EL!$E$4:$E$1012,0))),
IF($E334=1,IF(INDEX(EL!$W$4:$W$1012,MATCH($C334,EL!$E$4:$E$1012,0))="","",INDEX(EL!$W$4:$W$1012,MATCH($C334,EL!$E$4:$E$1012,0))),
IF($E334=2,IF(INDEX(EL!$AB$4:$AB$1012,MATCH($C334,EL!$E$4:$E$1012,0))="","",INDEX(EL!$AB$4:$AB$1012,MATCH($C334,EL!$E$4:$E$1012,0))),
IF($E334=3,IF(INDEX(EL!$AG$4:$AG$1012,MATCH($C334,EL!$E$4:$E$1012,0))="","",INDEX(EL!$AG$4:$AG$1012,MATCH($C334,EL!$E$4:$E$1012,0))),
IF($E334=4,IF(INDEX(EL!$AN$4:$AN$1012,MATCH($C334,EL!$E$4:$E$1012,0))="","",INDEX(EL!$AN$4:$AN$1012,MATCH($C334,EL!$E$4:$E$1012,0))),
IF($E334=5,IF(INDEX(EL!$AS$4:$AS$1012,MATCH($C334,EL!$E$4:$E$1012,0))="","",INDEX(EL!$AS$4:$AS$1012,MATCH($C334,EL!$E$4:$E$1012,0))),"")))))))</f>
        <v/>
      </c>
      <c r="I334" s="459" t="str">
        <f>IF(ISNA(MATCH($C334,EL!$E$4:$E$1012,0)),"",
IF($E334=0,IF(INDEX(EL!$S$4:$S$1012,MATCH($C334,EL!$E$4:$E$1012,0))="","",INDEX(EL!$S$4:$S$1012,MATCH($C334,EL!$E$4:$E$1012,0))),
IF($E334=1,IF(INDEX(EL!$X$4:$X$1012,MATCH($C334,EL!$E$4:$E$1012,0))="","",INDEX(EL!$X$4:$X$1012,MATCH($C334,EL!$E$4:$E$1012,0))),
IF($E334=2,IF(INDEX(EL!$AC$4:$AC$1012,MATCH($C334,EL!$E$4:$E$1012,0))="","",INDEX(EL!$AC$4:$AC$1012,MATCH($C334,EL!$E$4:$E$1012,0))),
IF($E334=3,IF(INDEX(EL!$AH$4:$AH$1012,MATCH($C334,EL!$E$4:$E$1012,0))="","",INDEX(EL!$AH$4:$AH$1012,MATCH($C334,EL!$E$4:$E$1012,0))),
IF($E334=4,IF(INDEX(EL!$AM$4:$AM$1012,MATCH($C334,EL!$E$4:$E$1012,0))="","",INDEX(EL!$AM$4:$AM$1012,MATCH($C334,EL!$E$4:$E$1012,0))),
IF($E334=5,IF(INDEX(EL!$AR$4:$AR$1012,MATCH($C334,EL!$E$4:$E$1012,0))="","",INDEX(EL!$AR$4:$AR$1012,MATCH($C334,EL!$E$4:$E$1012,0))),"")))))))</f>
        <v/>
      </c>
      <c r="J334" s="459" t="str">
        <f>IF(ISNA(MATCH($C334,EL!$E$4:$E$1012,0)),"",
IF($E334=0,IF(INDEX(EL!$T$4:$T$1012,MATCH($C334,EL!$E$4:$E$1012,0))="","",INDEX(EL!$T$4:$T$1012,MATCH($C334,EL!$E$4:$E$1012,0))),
IF($E334=1,IF(INDEX(EL!$Y$4:$Y$1012,MATCH($C334,EL!$E$4:$E$1012,0))="","",INDEX(EL!$Y$4:$Y$1012,MATCH($C334,EL!$E$4:$E$1012,0))),
IF($E334=2,IF(INDEX(EL!$AD$4:$AD$1012,MATCH($C334,EL!$E$4:$E$1012,0))="","",INDEX(EL!$AD$4:$AD$1012,MATCH($C334,EL!$E$4:$E$1012,0))),
IF($E334=3,IF(INDEX(EL!$AI$4:$AI$1012,MATCH($C334,EL!$E$4:$E$1012,0))="","",INDEX(EL!$AI$4:$AI$1012,MATCH($C334,EL!$E$4:$E$1012,0))),
IF($E334=4,IF(INDEX(EL!$AN$4:$AN$1012,MATCH($C334,EL!$E$4:$E$1012,0))="","",INDEX(EL!$AN$4:$AN$1012,MATCH($C334,EL!$E$4:$E$1012,0))),
IF($E334=5,IF(INDEX(EL!$AS$4:$AS$1012,MATCH($C334,EL!$E$4:$E$1012,0))="","",INDEX(EL!$AS$4:$AS$1012,MATCH($C334,EL!$E$4:$E$1012,0))),"")))))))</f>
        <v/>
      </c>
      <c r="K334" s="459">
        <f>EL!L248</f>
        <v>0</v>
      </c>
      <c r="L334" s="460" t="e" cm="1">
        <f t="array" aca="1" ref="L334" ca="1">_xlfn.IFS(AND($E334&lt;&gt;"",$M334="Pending",$K334="CTA"),TODAY()-$G334,AND($E334&lt;&gt;"",$M334="Pending",$K334="AUR"),TODAY()-$H334,AND($E334&lt;&gt;"",$M334="Pending",$K334="STT"),TODAY()-$I334,OR(K334="Closed",K334=""),"")</f>
        <v>#N/A</v>
      </c>
      <c r="M334" s="461">
        <f>VLOOKUP(C334,EL!$E$4:$AC$622,9,0)</f>
        <v>0</v>
      </c>
      <c r="N334" s="461" t="str">
        <f t="shared" si="13"/>
        <v/>
      </c>
      <c r="O334" s="739" t="str">
        <f>EL!O248</f>
        <v>GC</v>
      </c>
      <c r="P334" s="746" t="str">
        <v>NO</v>
      </c>
    </row>
    <row r="335" spans="1:16" s="385" customFormat="1" ht="27" hidden="1" customHeight="1">
      <c r="A335" s="399">
        <f t="shared" si="12"/>
        <v>242</v>
      </c>
      <c r="B335" s="477" t="s">
        <v>52</v>
      </c>
      <c r="C335" s="454" t="s">
        <v>1181</v>
      </c>
      <c r="D335" s="456" t="str">
        <f>_xlfn.XLOOKUP(C335,EL!$E$4:$E$390,EL!$D$4:$D$390)</f>
        <v>Typical Details Sheet 2</v>
      </c>
      <c r="E335" s="597" t="str">
        <f>IF(VLOOKUP(C335,EL!$E$4:$AC$505,7,0)="","",VLOOKUP(C335,EL!$E$4:$AC$1004,7,0))</f>
        <v/>
      </c>
      <c r="F335" s="462"/>
      <c r="G335" s="458" t="str">
        <f>IF(VLOOKUP(C335,EL!$E$4:$AC$514,5,0)="","",VLOOKUP(C335,EL!$E$4:$AC$514,5,0))</f>
        <v/>
      </c>
      <c r="H335" s="459" t="str">
        <f>IF(ISNA(MATCH($C335,EL!$E$4:$E$1012,0)),"",
IF($E335=0,IF(INDEX(EL!$R$4:$R$1012,MATCH($C335,EL!$E$4:$E$1012,0))="","",INDEX(EL!$R$4:$R$1012,MATCH($C335,EL!$E$4:$E$1012,0))),
IF($E335=1,IF(INDEX(EL!$W$4:$W$1012,MATCH($C335,EL!$E$4:$E$1012,0))="","",INDEX(EL!$W$4:$W$1012,MATCH($C335,EL!$E$4:$E$1012,0))),
IF($E335=2,IF(INDEX(EL!$AB$4:$AB$1012,MATCH($C335,EL!$E$4:$E$1012,0))="","",INDEX(EL!$AB$4:$AB$1012,MATCH($C335,EL!$E$4:$E$1012,0))),
IF($E335=3,IF(INDEX(EL!$AG$4:$AG$1012,MATCH($C335,EL!$E$4:$E$1012,0))="","",INDEX(EL!$AG$4:$AG$1012,MATCH($C335,EL!$E$4:$E$1012,0))),
IF($E335=4,IF(INDEX(EL!$AN$4:$AN$1012,MATCH($C335,EL!$E$4:$E$1012,0))="","",INDEX(EL!$AN$4:$AN$1012,MATCH($C335,EL!$E$4:$E$1012,0))),
IF($E335=5,IF(INDEX(EL!$AS$4:$AS$1012,MATCH($C335,EL!$E$4:$E$1012,0))="","",INDEX(EL!$AS$4:$AS$1012,MATCH($C335,EL!$E$4:$E$1012,0))),"")))))))</f>
        <v/>
      </c>
      <c r="I335" s="459" t="str">
        <f>IF(ISNA(MATCH($C335,EL!$E$4:$E$1012,0)),"",
IF($E335=0,IF(INDEX(EL!$S$4:$S$1012,MATCH($C335,EL!$E$4:$E$1012,0))="","",INDEX(EL!$S$4:$S$1012,MATCH($C335,EL!$E$4:$E$1012,0))),
IF($E335=1,IF(INDEX(EL!$X$4:$X$1012,MATCH($C335,EL!$E$4:$E$1012,0))="","",INDEX(EL!$X$4:$X$1012,MATCH($C335,EL!$E$4:$E$1012,0))),
IF($E335=2,IF(INDEX(EL!$AC$4:$AC$1012,MATCH($C335,EL!$E$4:$E$1012,0))="","",INDEX(EL!$AC$4:$AC$1012,MATCH($C335,EL!$E$4:$E$1012,0))),
IF($E335=3,IF(INDEX(EL!$AH$4:$AH$1012,MATCH($C335,EL!$E$4:$E$1012,0))="","",INDEX(EL!$AH$4:$AH$1012,MATCH($C335,EL!$E$4:$E$1012,0))),
IF($E335=4,IF(INDEX(EL!$AM$4:$AM$1012,MATCH($C335,EL!$E$4:$E$1012,0))="","",INDEX(EL!$AM$4:$AM$1012,MATCH($C335,EL!$E$4:$E$1012,0))),
IF($E335=5,IF(INDEX(EL!$AR$4:$AR$1012,MATCH($C335,EL!$E$4:$E$1012,0))="","",INDEX(EL!$AR$4:$AR$1012,MATCH($C335,EL!$E$4:$E$1012,0))),"")))))))</f>
        <v/>
      </c>
      <c r="J335" s="459" t="str">
        <f>IF(ISNA(MATCH($C335,EL!$E$4:$E$1012,0)),"",
IF($E335=0,IF(INDEX(EL!$T$4:$T$1012,MATCH($C335,EL!$E$4:$E$1012,0))="","",INDEX(EL!$T$4:$T$1012,MATCH($C335,EL!$E$4:$E$1012,0))),
IF($E335=1,IF(INDEX(EL!$Y$4:$Y$1012,MATCH($C335,EL!$E$4:$E$1012,0))="","",INDEX(EL!$Y$4:$Y$1012,MATCH($C335,EL!$E$4:$E$1012,0))),
IF($E335=2,IF(INDEX(EL!$AD$4:$AD$1012,MATCH($C335,EL!$E$4:$E$1012,0))="","",INDEX(EL!$AD$4:$AD$1012,MATCH($C335,EL!$E$4:$E$1012,0))),
IF($E335=3,IF(INDEX(EL!$AI$4:$AI$1012,MATCH($C335,EL!$E$4:$E$1012,0))="","",INDEX(EL!$AI$4:$AI$1012,MATCH($C335,EL!$E$4:$E$1012,0))),
IF($E335=4,IF(INDEX(EL!$AN$4:$AN$1012,MATCH($C335,EL!$E$4:$E$1012,0))="","",INDEX(EL!$AN$4:$AN$1012,MATCH($C335,EL!$E$4:$E$1012,0))),
IF($E335=5,IF(INDEX(EL!$AS$4:$AS$1012,MATCH($C335,EL!$E$4:$E$1012,0))="","",INDEX(EL!$AS$4:$AS$1012,MATCH($C335,EL!$E$4:$E$1012,0))),"")))))))</f>
        <v/>
      </c>
      <c r="K335" s="459">
        <f>EL!L249</f>
        <v>0</v>
      </c>
      <c r="L335" s="460" t="e" cm="1">
        <f t="array" aca="1" ref="L335" ca="1">_xlfn.IFS(AND($E335&lt;&gt;"",$M335="Pending",$K335="CTA"),TODAY()-$G335,AND($E335&lt;&gt;"",$M335="Pending",$K335="AUR"),TODAY()-$H335,AND($E335&lt;&gt;"",$M335="Pending",$K335="STT"),TODAY()-$I335,OR(K335="Closed",K335=""),"")</f>
        <v>#N/A</v>
      </c>
      <c r="M335" s="461">
        <f>VLOOKUP(C335,EL!$E$4:$AC$622,9,0)</f>
        <v>0</v>
      </c>
      <c r="N335" s="461" t="str">
        <f t="shared" si="13"/>
        <v/>
      </c>
      <c r="O335" s="739" t="str">
        <f>EL!O249</f>
        <v>GC</v>
      </c>
      <c r="P335" s="746" t="str">
        <v>NO</v>
      </c>
    </row>
    <row r="336" spans="1:16" s="385" customFormat="1" ht="27" hidden="1" customHeight="1">
      <c r="A336" s="399">
        <f t="shared" si="12"/>
        <v>243</v>
      </c>
      <c r="B336" s="477" t="s">
        <v>52</v>
      </c>
      <c r="C336" s="454" t="s">
        <v>1184</v>
      </c>
      <c r="D336" s="456" t="str">
        <f>_xlfn.XLOOKUP(C336,EL!$E$4:$E$390,EL!$D$4:$D$390)</f>
        <v>Typical Details Sheet 3</v>
      </c>
      <c r="E336" s="597" t="str">
        <f>IF(VLOOKUP(C336,EL!$E$4:$AC$505,7,0)="","",VLOOKUP(C336,EL!$E$4:$AC$1004,7,0))</f>
        <v/>
      </c>
      <c r="F336" s="462"/>
      <c r="G336" s="458" t="str">
        <f>IF(VLOOKUP(C336,EL!$E$4:$AC$514,5,0)="","",VLOOKUP(C336,EL!$E$4:$AC$514,5,0))</f>
        <v/>
      </c>
      <c r="H336" s="459" t="str">
        <f>IF(ISNA(MATCH($C336,EL!$E$4:$E$1012,0)),"",
IF($E336=0,IF(INDEX(EL!$R$4:$R$1012,MATCH($C336,EL!$E$4:$E$1012,0))="","",INDEX(EL!$R$4:$R$1012,MATCH($C336,EL!$E$4:$E$1012,0))),
IF($E336=1,IF(INDEX(EL!$W$4:$W$1012,MATCH($C336,EL!$E$4:$E$1012,0))="","",INDEX(EL!$W$4:$W$1012,MATCH($C336,EL!$E$4:$E$1012,0))),
IF($E336=2,IF(INDEX(EL!$AB$4:$AB$1012,MATCH($C336,EL!$E$4:$E$1012,0))="","",INDEX(EL!$AB$4:$AB$1012,MATCH($C336,EL!$E$4:$E$1012,0))),
IF($E336=3,IF(INDEX(EL!$AG$4:$AG$1012,MATCH($C336,EL!$E$4:$E$1012,0))="","",INDEX(EL!$AG$4:$AG$1012,MATCH($C336,EL!$E$4:$E$1012,0))),
IF($E336=4,IF(INDEX(EL!$AN$4:$AN$1012,MATCH($C336,EL!$E$4:$E$1012,0))="","",INDEX(EL!$AN$4:$AN$1012,MATCH($C336,EL!$E$4:$E$1012,0))),
IF($E336=5,IF(INDEX(EL!$AS$4:$AS$1012,MATCH($C336,EL!$E$4:$E$1012,0))="","",INDEX(EL!$AS$4:$AS$1012,MATCH($C336,EL!$E$4:$E$1012,0))),"")))))))</f>
        <v/>
      </c>
      <c r="I336" s="459" t="str">
        <f>IF(ISNA(MATCH($C336,EL!$E$4:$E$1012,0)),"",
IF($E336=0,IF(INDEX(EL!$S$4:$S$1012,MATCH($C336,EL!$E$4:$E$1012,0))="","",INDEX(EL!$S$4:$S$1012,MATCH($C336,EL!$E$4:$E$1012,0))),
IF($E336=1,IF(INDEX(EL!$X$4:$X$1012,MATCH($C336,EL!$E$4:$E$1012,0))="","",INDEX(EL!$X$4:$X$1012,MATCH($C336,EL!$E$4:$E$1012,0))),
IF($E336=2,IF(INDEX(EL!$AC$4:$AC$1012,MATCH($C336,EL!$E$4:$E$1012,0))="","",INDEX(EL!$AC$4:$AC$1012,MATCH($C336,EL!$E$4:$E$1012,0))),
IF($E336=3,IF(INDEX(EL!$AH$4:$AH$1012,MATCH($C336,EL!$E$4:$E$1012,0))="","",INDEX(EL!$AH$4:$AH$1012,MATCH($C336,EL!$E$4:$E$1012,0))),
IF($E336=4,IF(INDEX(EL!$AM$4:$AM$1012,MATCH($C336,EL!$E$4:$E$1012,0))="","",INDEX(EL!$AM$4:$AM$1012,MATCH($C336,EL!$E$4:$E$1012,0))),
IF($E336=5,IF(INDEX(EL!$AR$4:$AR$1012,MATCH($C336,EL!$E$4:$E$1012,0))="","",INDEX(EL!$AR$4:$AR$1012,MATCH($C336,EL!$E$4:$E$1012,0))),"")))))))</f>
        <v/>
      </c>
      <c r="J336" s="459" t="str">
        <f>IF(ISNA(MATCH($C336,EL!$E$4:$E$1012,0)),"",
IF($E336=0,IF(INDEX(EL!$T$4:$T$1012,MATCH($C336,EL!$E$4:$E$1012,0))="","",INDEX(EL!$T$4:$T$1012,MATCH($C336,EL!$E$4:$E$1012,0))),
IF($E336=1,IF(INDEX(EL!$Y$4:$Y$1012,MATCH($C336,EL!$E$4:$E$1012,0))="","",INDEX(EL!$Y$4:$Y$1012,MATCH($C336,EL!$E$4:$E$1012,0))),
IF($E336=2,IF(INDEX(EL!$AD$4:$AD$1012,MATCH($C336,EL!$E$4:$E$1012,0))="","",INDEX(EL!$AD$4:$AD$1012,MATCH($C336,EL!$E$4:$E$1012,0))),
IF($E336=3,IF(INDEX(EL!$AI$4:$AI$1012,MATCH($C336,EL!$E$4:$E$1012,0))="","",INDEX(EL!$AI$4:$AI$1012,MATCH($C336,EL!$E$4:$E$1012,0))),
IF($E336=4,IF(INDEX(EL!$AN$4:$AN$1012,MATCH($C336,EL!$E$4:$E$1012,0))="","",INDEX(EL!$AN$4:$AN$1012,MATCH($C336,EL!$E$4:$E$1012,0))),
IF($E336=5,IF(INDEX(EL!$AS$4:$AS$1012,MATCH($C336,EL!$E$4:$E$1012,0))="","",INDEX(EL!$AS$4:$AS$1012,MATCH($C336,EL!$E$4:$E$1012,0))),"")))))))</f>
        <v/>
      </c>
      <c r="K336" s="459">
        <f>EL!L250</f>
        <v>0</v>
      </c>
      <c r="L336" s="460" t="e" cm="1">
        <f t="array" aca="1" ref="L336" ca="1">_xlfn.IFS(AND($E336&lt;&gt;"",$M336="Pending",$K336="CTA"),TODAY()-$G336,AND($E336&lt;&gt;"",$M336="Pending",$K336="AUR"),TODAY()-$H336,AND($E336&lt;&gt;"",$M336="Pending",$K336="STT"),TODAY()-$I336,OR(K336="Closed",K336=""),"")</f>
        <v>#N/A</v>
      </c>
      <c r="M336" s="461">
        <f>VLOOKUP(C336,EL!$E$4:$AC$622,9,0)</f>
        <v>0</v>
      </c>
      <c r="N336" s="461" t="str">
        <f t="shared" si="13"/>
        <v/>
      </c>
      <c r="O336" s="739" t="str">
        <f>EL!O250</f>
        <v>GC</v>
      </c>
      <c r="P336" s="746" t="str">
        <v>NO</v>
      </c>
    </row>
    <row r="337" spans="1:16" s="385" customFormat="1" ht="27" hidden="1" customHeight="1">
      <c r="A337" s="399">
        <f t="shared" si="12"/>
        <v>244</v>
      </c>
      <c r="B337" s="477" t="s">
        <v>52</v>
      </c>
      <c r="C337" s="454" t="s">
        <v>1187</v>
      </c>
      <c r="D337" s="456" t="str">
        <f>_xlfn.XLOOKUP(C337,EL!$E$4:$E$390,EL!$D$4:$D$390)</f>
        <v>Typical Details Sheet 4</v>
      </c>
      <c r="E337" s="597" t="str">
        <f>IF(VLOOKUP(C337,EL!$E$4:$AC$505,7,0)="","",VLOOKUP(C337,EL!$E$4:$AC$1004,7,0))</f>
        <v/>
      </c>
      <c r="F337" s="462"/>
      <c r="G337" s="458" t="str">
        <f>IF(VLOOKUP(C337,EL!$E$4:$AC$514,5,0)="","",VLOOKUP(C337,EL!$E$4:$AC$514,5,0))</f>
        <v/>
      </c>
      <c r="H337" s="459" t="str">
        <f>IF(ISNA(MATCH($C337,EL!$E$4:$E$1012,0)),"",
IF($E337=0,IF(INDEX(EL!$R$4:$R$1012,MATCH($C337,EL!$E$4:$E$1012,0))="","",INDEX(EL!$R$4:$R$1012,MATCH($C337,EL!$E$4:$E$1012,0))),
IF($E337=1,IF(INDEX(EL!$W$4:$W$1012,MATCH($C337,EL!$E$4:$E$1012,0))="","",INDEX(EL!$W$4:$W$1012,MATCH($C337,EL!$E$4:$E$1012,0))),
IF($E337=2,IF(INDEX(EL!$AB$4:$AB$1012,MATCH($C337,EL!$E$4:$E$1012,0))="","",INDEX(EL!$AB$4:$AB$1012,MATCH($C337,EL!$E$4:$E$1012,0))),
IF($E337=3,IF(INDEX(EL!$AG$4:$AG$1012,MATCH($C337,EL!$E$4:$E$1012,0))="","",INDEX(EL!$AG$4:$AG$1012,MATCH($C337,EL!$E$4:$E$1012,0))),
IF($E337=4,IF(INDEX(EL!$AN$4:$AN$1012,MATCH($C337,EL!$E$4:$E$1012,0))="","",INDEX(EL!$AN$4:$AN$1012,MATCH($C337,EL!$E$4:$E$1012,0))),
IF($E337=5,IF(INDEX(EL!$AS$4:$AS$1012,MATCH($C337,EL!$E$4:$E$1012,0))="","",INDEX(EL!$AS$4:$AS$1012,MATCH($C337,EL!$E$4:$E$1012,0))),"")))))))</f>
        <v/>
      </c>
      <c r="I337" s="459" t="str">
        <f>IF(ISNA(MATCH($C337,EL!$E$4:$E$1012,0)),"",
IF($E337=0,IF(INDEX(EL!$S$4:$S$1012,MATCH($C337,EL!$E$4:$E$1012,0))="","",INDEX(EL!$S$4:$S$1012,MATCH($C337,EL!$E$4:$E$1012,0))),
IF($E337=1,IF(INDEX(EL!$X$4:$X$1012,MATCH($C337,EL!$E$4:$E$1012,0))="","",INDEX(EL!$X$4:$X$1012,MATCH($C337,EL!$E$4:$E$1012,0))),
IF($E337=2,IF(INDEX(EL!$AC$4:$AC$1012,MATCH($C337,EL!$E$4:$E$1012,0))="","",INDEX(EL!$AC$4:$AC$1012,MATCH($C337,EL!$E$4:$E$1012,0))),
IF($E337=3,IF(INDEX(EL!$AH$4:$AH$1012,MATCH($C337,EL!$E$4:$E$1012,0))="","",INDEX(EL!$AH$4:$AH$1012,MATCH($C337,EL!$E$4:$E$1012,0))),
IF($E337=4,IF(INDEX(EL!$AM$4:$AM$1012,MATCH($C337,EL!$E$4:$E$1012,0))="","",INDEX(EL!$AM$4:$AM$1012,MATCH($C337,EL!$E$4:$E$1012,0))),
IF($E337=5,IF(INDEX(EL!$AR$4:$AR$1012,MATCH($C337,EL!$E$4:$E$1012,0))="","",INDEX(EL!$AR$4:$AR$1012,MATCH($C337,EL!$E$4:$E$1012,0))),"")))))))</f>
        <v/>
      </c>
      <c r="J337" s="459" t="str">
        <f>IF(ISNA(MATCH($C337,EL!$E$4:$E$1012,0)),"",
IF($E337=0,IF(INDEX(EL!$T$4:$T$1012,MATCH($C337,EL!$E$4:$E$1012,0))="","",INDEX(EL!$T$4:$T$1012,MATCH($C337,EL!$E$4:$E$1012,0))),
IF($E337=1,IF(INDEX(EL!$Y$4:$Y$1012,MATCH($C337,EL!$E$4:$E$1012,0))="","",INDEX(EL!$Y$4:$Y$1012,MATCH($C337,EL!$E$4:$E$1012,0))),
IF($E337=2,IF(INDEX(EL!$AD$4:$AD$1012,MATCH($C337,EL!$E$4:$E$1012,0))="","",INDEX(EL!$AD$4:$AD$1012,MATCH($C337,EL!$E$4:$E$1012,0))),
IF($E337=3,IF(INDEX(EL!$AI$4:$AI$1012,MATCH($C337,EL!$E$4:$E$1012,0))="","",INDEX(EL!$AI$4:$AI$1012,MATCH($C337,EL!$E$4:$E$1012,0))),
IF($E337=4,IF(INDEX(EL!$AN$4:$AN$1012,MATCH($C337,EL!$E$4:$E$1012,0))="","",INDEX(EL!$AN$4:$AN$1012,MATCH($C337,EL!$E$4:$E$1012,0))),
IF($E337=5,IF(INDEX(EL!$AS$4:$AS$1012,MATCH($C337,EL!$E$4:$E$1012,0))="","",INDEX(EL!$AS$4:$AS$1012,MATCH($C337,EL!$E$4:$E$1012,0))),"")))))))</f>
        <v/>
      </c>
      <c r="K337" s="459">
        <f>EL!L251</f>
        <v>0</v>
      </c>
      <c r="L337" s="460" t="e" cm="1">
        <f t="array" aca="1" ref="L337" ca="1">_xlfn.IFS(AND($E337&lt;&gt;"",$M337="Pending",$K337="CTA"),TODAY()-$G337,AND($E337&lt;&gt;"",$M337="Pending",$K337="AUR"),TODAY()-$H337,AND($E337&lt;&gt;"",$M337="Pending",$K337="STT"),TODAY()-$I337,OR(K337="Closed",K337=""),"")</f>
        <v>#N/A</v>
      </c>
      <c r="M337" s="461">
        <f>VLOOKUP(C337,EL!$E$4:$AC$622,9,0)</f>
        <v>0</v>
      </c>
      <c r="N337" s="461" t="str">
        <f t="shared" si="13"/>
        <v/>
      </c>
      <c r="O337" s="739" t="str">
        <f>EL!O251</f>
        <v>GC</v>
      </c>
      <c r="P337" s="746" t="str">
        <v>NO</v>
      </c>
    </row>
    <row r="338" spans="1:16" s="385" customFormat="1" ht="27" customHeight="1">
      <c r="A338" s="399">
        <f t="shared" si="12"/>
        <v>245</v>
      </c>
      <c r="B338" s="477" t="s">
        <v>52</v>
      </c>
      <c r="C338" s="454" t="s">
        <v>1190</v>
      </c>
      <c r="D338" s="456" t="str">
        <f>_xlfn.XLOOKUP(C338,EL!$E$4:$E$390,EL!$D$4:$D$390)</f>
        <v>Typical Details Sheet 5</v>
      </c>
      <c r="E338" s="597">
        <f>IF(VLOOKUP(C338,EL!$E$4:$AC$505,7,0)="","",VLOOKUP(C338,EL!$E$4:$AC$1004,7,0))</f>
        <v>0</v>
      </c>
      <c r="F338" s="462"/>
      <c r="G338" s="458">
        <f>IF(VLOOKUP(C338,EL!$E$4:$AC$514,5,0)="","",VLOOKUP(C338,EL!$E$4:$AC$514,5,0))</f>
        <v>46058</v>
      </c>
      <c r="H338" s="459" t="str">
        <f>IF(ISNA(MATCH($C338,EL!$E$4:$E$1012,0)),"",
IF($E338=0,IF(INDEX(EL!$R$4:$R$1012,MATCH($C338,EL!$E$4:$E$1012,0))="","",INDEX(EL!$R$4:$R$1012,MATCH($C338,EL!$E$4:$E$1012,0))),
IF($E338=1,IF(INDEX(EL!$W$4:$W$1012,MATCH($C338,EL!$E$4:$E$1012,0))="","",INDEX(EL!$W$4:$W$1012,MATCH($C338,EL!$E$4:$E$1012,0))),
IF($E338=2,IF(INDEX(EL!$AB$4:$AB$1012,MATCH($C338,EL!$E$4:$E$1012,0))="","",INDEX(EL!$AB$4:$AB$1012,MATCH($C338,EL!$E$4:$E$1012,0))),
IF($E338=3,IF(INDEX(EL!$AG$4:$AG$1012,MATCH($C338,EL!$E$4:$E$1012,0))="","",INDEX(EL!$AG$4:$AG$1012,MATCH($C338,EL!$E$4:$E$1012,0))),
IF($E338=4,IF(INDEX(EL!$AN$4:$AN$1012,MATCH($C338,EL!$E$4:$E$1012,0))="","",INDEX(EL!$AN$4:$AN$1012,MATCH($C338,EL!$E$4:$E$1012,0))),
IF($E338=5,IF(INDEX(EL!$AS$4:$AS$1012,MATCH($C338,EL!$E$4:$E$1012,0))="","",INDEX(EL!$AS$4:$AS$1012,MATCH($C338,EL!$E$4:$E$1012,0))),"")))))))</f>
        <v/>
      </c>
      <c r="I338" s="459" t="str">
        <f>IF(ISNA(MATCH($C338,EL!$E$4:$E$1012,0)),"",
IF($E338=0,IF(INDEX(EL!$S$4:$S$1012,MATCH($C338,EL!$E$4:$E$1012,0))="","",INDEX(EL!$S$4:$S$1012,MATCH($C338,EL!$E$4:$E$1012,0))),
IF($E338=1,IF(INDEX(EL!$X$4:$X$1012,MATCH($C338,EL!$E$4:$E$1012,0))="","",INDEX(EL!$X$4:$X$1012,MATCH($C338,EL!$E$4:$E$1012,0))),
IF($E338=2,IF(INDEX(EL!$AC$4:$AC$1012,MATCH($C338,EL!$E$4:$E$1012,0))="","",INDEX(EL!$AC$4:$AC$1012,MATCH($C338,EL!$E$4:$E$1012,0))),
IF($E338=3,IF(INDEX(EL!$AH$4:$AH$1012,MATCH($C338,EL!$E$4:$E$1012,0))="","",INDEX(EL!$AH$4:$AH$1012,MATCH($C338,EL!$E$4:$E$1012,0))),
IF($E338=4,IF(INDEX(EL!$AM$4:$AM$1012,MATCH($C338,EL!$E$4:$E$1012,0))="","",INDEX(EL!$AM$4:$AM$1012,MATCH($C338,EL!$E$4:$E$1012,0))),
IF($E338=5,IF(INDEX(EL!$AR$4:$AR$1012,MATCH($C338,EL!$E$4:$E$1012,0))="","",INDEX(EL!$AR$4:$AR$1012,MATCH($C338,EL!$E$4:$E$1012,0))),"")))))))</f>
        <v/>
      </c>
      <c r="J338" s="459" t="str">
        <f>IF(ISNA(MATCH($C338,EL!$E$4:$E$1012,0)),"",
IF($E338=0,IF(INDEX(EL!$T$4:$T$1012,MATCH($C338,EL!$E$4:$E$1012,0))="","",INDEX(EL!$T$4:$T$1012,MATCH($C338,EL!$E$4:$E$1012,0))),
IF($E338=1,IF(INDEX(EL!$Y$4:$Y$1012,MATCH($C338,EL!$E$4:$E$1012,0))="","",INDEX(EL!$Y$4:$Y$1012,MATCH($C338,EL!$E$4:$E$1012,0))),
IF($E338=2,IF(INDEX(EL!$AD$4:$AD$1012,MATCH($C338,EL!$E$4:$E$1012,0))="","",INDEX(EL!$AD$4:$AD$1012,MATCH($C338,EL!$E$4:$E$1012,0))),
IF($E338=3,IF(INDEX(EL!$AI$4:$AI$1012,MATCH($C338,EL!$E$4:$E$1012,0))="","",INDEX(EL!$AI$4:$AI$1012,MATCH($C338,EL!$E$4:$E$1012,0))),
IF($E338=4,IF(INDEX(EL!$AN$4:$AN$1012,MATCH($C338,EL!$E$4:$E$1012,0))="","",INDEX(EL!$AN$4:$AN$1012,MATCH($C338,EL!$E$4:$E$1012,0))),
IF($E338=5,IF(INDEX(EL!$AS$4:$AS$1012,MATCH($C338,EL!$E$4:$E$1012,0))="","",INDEX(EL!$AS$4:$AS$1012,MATCH($C338,EL!$E$4:$E$1012,0))),"")))))))</f>
        <v/>
      </c>
      <c r="K338" s="459" t="str">
        <f>EL!L252</f>
        <v>CTA</v>
      </c>
      <c r="L338" s="460" cm="1">
        <f t="array" aca="1" ref="L338" ca="1">_xlfn.IFS(AND($E338&lt;&gt;"",$M338="Pending",$K338="CTA"),TODAY()-$G338,AND($E338&lt;&gt;"",$M338="Pending",$K338="AUR"),TODAY()-$H338,AND($E338&lt;&gt;"",$M338="Pending",$K338="STT"),TODAY()-$I338,OR(K338="Closed",K338=""),"")</f>
        <v>8</v>
      </c>
      <c r="M338" s="461" t="str">
        <f>VLOOKUP(C338,EL!$E$4:$AC$622,9,0)</f>
        <v>Pending</v>
      </c>
      <c r="N338" s="461" t="str">
        <f t="shared" ca="1" si="13"/>
        <v>Overdue</v>
      </c>
      <c r="O338" s="739" t="str">
        <f>EL!O252</f>
        <v>GC</v>
      </c>
      <c r="P338" s="746" t="str">
        <v>NO</v>
      </c>
    </row>
    <row r="339" spans="1:16" s="385" customFormat="1" ht="27" customHeight="1">
      <c r="A339" s="399">
        <f t="shared" si="12"/>
        <v>246</v>
      </c>
      <c r="B339" s="477" t="s">
        <v>52</v>
      </c>
      <c r="C339" s="454" t="s">
        <v>1194</v>
      </c>
      <c r="D339" s="456" t="str">
        <f>_xlfn.XLOOKUP(C339,EL!$E$4:$E$390,EL!$D$4:$D$390)</f>
        <v>Typical Details Sheet 6</v>
      </c>
      <c r="E339" s="597">
        <f>IF(VLOOKUP(C339,EL!$E$4:$AC$505,7,0)="","",VLOOKUP(C339,EL!$E$4:$AC$1004,7,0))</f>
        <v>0</v>
      </c>
      <c r="F339" s="462"/>
      <c r="G339" s="458">
        <f>IF(VLOOKUP(C339,EL!$E$4:$AC$514,5,0)="","",VLOOKUP(C339,EL!$E$4:$AC$514,5,0))</f>
        <v>46058</v>
      </c>
      <c r="H339" s="459" t="str">
        <f>IF(ISNA(MATCH($C339,EL!$E$4:$E$1012,0)),"",
IF($E339=0,IF(INDEX(EL!$R$4:$R$1012,MATCH($C339,EL!$E$4:$E$1012,0))="","",INDEX(EL!$R$4:$R$1012,MATCH($C339,EL!$E$4:$E$1012,0))),
IF($E339=1,IF(INDEX(EL!$W$4:$W$1012,MATCH($C339,EL!$E$4:$E$1012,0))="","",INDEX(EL!$W$4:$W$1012,MATCH($C339,EL!$E$4:$E$1012,0))),
IF($E339=2,IF(INDEX(EL!$AB$4:$AB$1012,MATCH($C339,EL!$E$4:$E$1012,0))="","",INDEX(EL!$AB$4:$AB$1012,MATCH($C339,EL!$E$4:$E$1012,0))),
IF($E339=3,IF(INDEX(EL!$AG$4:$AG$1012,MATCH($C339,EL!$E$4:$E$1012,0))="","",INDEX(EL!$AG$4:$AG$1012,MATCH($C339,EL!$E$4:$E$1012,0))),
IF($E339=4,IF(INDEX(EL!$AN$4:$AN$1012,MATCH($C339,EL!$E$4:$E$1012,0))="","",INDEX(EL!$AN$4:$AN$1012,MATCH($C339,EL!$E$4:$E$1012,0))),
IF($E339=5,IF(INDEX(EL!$AS$4:$AS$1012,MATCH($C339,EL!$E$4:$E$1012,0))="","",INDEX(EL!$AS$4:$AS$1012,MATCH($C339,EL!$E$4:$E$1012,0))),"")))))))</f>
        <v/>
      </c>
      <c r="I339" s="459" t="str">
        <f>IF(ISNA(MATCH($C339,EL!$E$4:$E$1012,0)),"",
IF($E339=0,IF(INDEX(EL!$S$4:$S$1012,MATCH($C339,EL!$E$4:$E$1012,0))="","",INDEX(EL!$S$4:$S$1012,MATCH($C339,EL!$E$4:$E$1012,0))),
IF($E339=1,IF(INDEX(EL!$X$4:$X$1012,MATCH($C339,EL!$E$4:$E$1012,0))="","",INDEX(EL!$X$4:$X$1012,MATCH($C339,EL!$E$4:$E$1012,0))),
IF($E339=2,IF(INDEX(EL!$AC$4:$AC$1012,MATCH($C339,EL!$E$4:$E$1012,0))="","",INDEX(EL!$AC$4:$AC$1012,MATCH($C339,EL!$E$4:$E$1012,0))),
IF($E339=3,IF(INDEX(EL!$AH$4:$AH$1012,MATCH($C339,EL!$E$4:$E$1012,0))="","",INDEX(EL!$AH$4:$AH$1012,MATCH($C339,EL!$E$4:$E$1012,0))),
IF($E339=4,IF(INDEX(EL!$AM$4:$AM$1012,MATCH($C339,EL!$E$4:$E$1012,0))="","",INDEX(EL!$AM$4:$AM$1012,MATCH($C339,EL!$E$4:$E$1012,0))),
IF($E339=5,IF(INDEX(EL!$AR$4:$AR$1012,MATCH($C339,EL!$E$4:$E$1012,0))="","",INDEX(EL!$AR$4:$AR$1012,MATCH($C339,EL!$E$4:$E$1012,0))),"")))))))</f>
        <v/>
      </c>
      <c r="J339" s="459" t="str">
        <f>IF(ISNA(MATCH($C339,EL!$E$4:$E$1012,0)),"",
IF($E339=0,IF(INDEX(EL!$T$4:$T$1012,MATCH($C339,EL!$E$4:$E$1012,0))="","",INDEX(EL!$T$4:$T$1012,MATCH($C339,EL!$E$4:$E$1012,0))),
IF($E339=1,IF(INDEX(EL!$Y$4:$Y$1012,MATCH($C339,EL!$E$4:$E$1012,0))="","",INDEX(EL!$Y$4:$Y$1012,MATCH($C339,EL!$E$4:$E$1012,0))),
IF($E339=2,IF(INDEX(EL!$AD$4:$AD$1012,MATCH($C339,EL!$E$4:$E$1012,0))="","",INDEX(EL!$AD$4:$AD$1012,MATCH($C339,EL!$E$4:$E$1012,0))),
IF($E339=3,IF(INDEX(EL!$AI$4:$AI$1012,MATCH($C339,EL!$E$4:$E$1012,0))="","",INDEX(EL!$AI$4:$AI$1012,MATCH($C339,EL!$E$4:$E$1012,0))),
IF($E339=4,IF(INDEX(EL!$AN$4:$AN$1012,MATCH($C339,EL!$E$4:$E$1012,0))="","",INDEX(EL!$AN$4:$AN$1012,MATCH($C339,EL!$E$4:$E$1012,0))),
IF($E339=5,IF(INDEX(EL!$AS$4:$AS$1012,MATCH($C339,EL!$E$4:$E$1012,0))="","",INDEX(EL!$AS$4:$AS$1012,MATCH($C339,EL!$E$4:$E$1012,0))),"")))))))</f>
        <v/>
      </c>
      <c r="K339" s="459" t="str">
        <f>EL!L253</f>
        <v>CTA</v>
      </c>
      <c r="L339" s="460" cm="1">
        <f t="array" aca="1" ref="L339" ca="1">_xlfn.IFS(AND($E339&lt;&gt;"",$M339="Pending",$K339="CTA"),TODAY()-$G339,AND($E339&lt;&gt;"",$M339="Pending",$K339="AUR"),TODAY()-$H339,AND($E339&lt;&gt;"",$M339="Pending",$K339="STT"),TODAY()-$I339,OR(K339="Closed",K339=""),"")</f>
        <v>8</v>
      </c>
      <c r="M339" s="461" t="str">
        <f>VLOOKUP(C339,EL!$E$4:$AC$622,9,0)</f>
        <v>Pending</v>
      </c>
      <c r="N339" s="461" t="str">
        <f t="shared" ca="1" si="13"/>
        <v>Overdue</v>
      </c>
      <c r="O339" s="739" t="str">
        <f>EL!O253</f>
        <v>GC</v>
      </c>
      <c r="P339" s="746" t="str">
        <v>NO</v>
      </c>
    </row>
    <row r="340" spans="1:16" s="385" customFormat="1" ht="27" customHeight="1">
      <c r="A340" s="399">
        <f t="shared" ref="A340:A341" si="14">A339+1</f>
        <v>247</v>
      </c>
      <c r="B340" s="477" t="s">
        <v>52</v>
      </c>
      <c r="C340" s="454" t="s">
        <v>1197</v>
      </c>
      <c r="D340" s="456" t="str">
        <f>_xlfn.XLOOKUP(C340,EL!$E$4:$E$390,EL!$D$4:$D$390)</f>
        <v>Typical Details Sheet 7</v>
      </c>
      <c r="E340" s="597">
        <f>IF(VLOOKUP(C340,EL!$E$4:$AC$505,7,0)="","",VLOOKUP(C340,EL!$E$4:$AC$1004,7,0))</f>
        <v>0</v>
      </c>
      <c r="F340" s="462"/>
      <c r="G340" s="458">
        <f>IF(VLOOKUP(C340,EL!$E$4:$AC$514,5,0)="","",VLOOKUP(C340,EL!$E$4:$AC$514,5,0))</f>
        <v>46058</v>
      </c>
      <c r="H340" s="459" t="str">
        <f>IF(ISNA(MATCH($C340,EL!$E$4:$E$1012,0)),"",
IF($E340=0,IF(INDEX(EL!$R$4:$R$1012,MATCH($C340,EL!$E$4:$E$1012,0))="","",INDEX(EL!$R$4:$R$1012,MATCH($C340,EL!$E$4:$E$1012,0))),
IF($E340=1,IF(INDEX(EL!$W$4:$W$1012,MATCH($C340,EL!$E$4:$E$1012,0))="","",INDEX(EL!$W$4:$W$1012,MATCH($C340,EL!$E$4:$E$1012,0))),
IF($E340=2,IF(INDEX(EL!$AB$4:$AB$1012,MATCH($C340,EL!$E$4:$E$1012,0))="","",INDEX(EL!$AB$4:$AB$1012,MATCH($C340,EL!$E$4:$E$1012,0))),
IF($E340=3,IF(INDEX(EL!$AG$4:$AG$1012,MATCH($C340,EL!$E$4:$E$1012,0))="","",INDEX(EL!$AG$4:$AG$1012,MATCH($C340,EL!$E$4:$E$1012,0))),
IF($E340=4,IF(INDEX(EL!$AN$4:$AN$1012,MATCH($C340,EL!$E$4:$E$1012,0))="","",INDEX(EL!$AN$4:$AN$1012,MATCH($C340,EL!$E$4:$E$1012,0))),
IF($E340=5,IF(INDEX(EL!$AS$4:$AS$1012,MATCH($C340,EL!$E$4:$E$1012,0))="","",INDEX(EL!$AS$4:$AS$1012,MATCH($C340,EL!$E$4:$E$1012,0))),"")))))))</f>
        <v/>
      </c>
      <c r="I340" s="459" t="str">
        <f>IF(ISNA(MATCH($C340,EL!$E$4:$E$1012,0)),"",
IF($E340=0,IF(INDEX(EL!$S$4:$S$1012,MATCH($C340,EL!$E$4:$E$1012,0))="","",INDEX(EL!$S$4:$S$1012,MATCH($C340,EL!$E$4:$E$1012,0))),
IF($E340=1,IF(INDEX(EL!$X$4:$X$1012,MATCH($C340,EL!$E$4:$E$1012,0))="","",INDEX(EL!$X$4:$X$1012,MATCH($C340,EL!$E$4:$E$1012,0))),
IF($E340=2,IF(INDEX(EL!$AC$4:$AC$1012,MATCH($C340,EL!$E$4:$E$1012,0))="","",INDEX(EL!$AC$4:$AC$1012,MATCH($C340,EL!$E$4:$E$1012,0))),
IF($E340=3,IF(INDEX(EL!$AH$4:$AH$1012,MATCH($C340,EL!$E$4:$E$1012,0))="","",INDEX(EL!$AH$4:$AH$1012,MATCH($C340,EL!$E$4:$E$1012,0))),
IF($E340=4,IF(INDEX(EL!$AM$4:$AM$1012,MATCH($C340,EL!$E$4:$E$1012,0))="","",INDEX(EL!$AM$4:$AM$1012,MATCH($C340,EL!$E$4:$E$1012,0))),
IF($E340=5,IF(INDEX(EL!$AR$4:$AR$1012,MATCH($C340,EL!$E$4:$E$1012,0))="","",INDEX(EL!$AR$4:$AR$1012,MATCH($C340,EL!$E$4:$E$1012,0))),"")))))))</f>
        <v/>
      </c>
      <c r="J340" s="459" t="str">
        <f>IF(ISNA(MATCH($C340,EL!$E$4:$E$1012,0)),"",
IF($E340=0,IF(INDEX(EL!$T$4:$T$1012,MATCH($C340,EL!$E$4:$E$1012,0))="","",INDEX(EL!$T$4:$T$1012,MATCH($C340,EL!$E$4:$E$1012,0))),
IF($E340=1,IF(INDEX(EL!$Y$4:$Y$1012,MATCH($C340,EL!$E$4:$E$1012,0))="","",INDEX(EL!$Y$4:$Y$1012,MATCH($C340,EL!$E$4:$E$1012,0))),
IF($E340=2,IF(INDEX(EL!$AD$4:$AD$1012,MATCH($C340,EL!$E$4:$E$1012,0))="","",INDEX(EL!$AD$4:$AD$1012,MATCH($C340,EL!$E$4:$E$1012,0))),
IF($E340=3,IF(INDEX(EL!$AI$4:$AI$1012,MATCH($C340,EL!$E$4:$E$1012,0))="","",INDEX(EL!$AI$4:$AI$1012,MATCH($C340,EL!$E$4:$E$1012,0))),
IF($E340=4,IF(INDEX(EL!$AN$4:$AN$1012,MATCH($C340,EL!$E$4:$E$1012,0))="","",INDEX(EL!$AN$4:$AN$1012,MATCH($C340,EL!$E$4:$E$1012,0))),
IF($E340=5,IF(INDEX(EL!$AS$4:$AS$1012,MATCH($C340,EL!$E$4:$E$1012,0))="","",INDEX(EL!$AS$4:$AS$1012,MATCH($C340,EL!$E$4:$E$1012,0))),"")))))))</f>
        <v/>
      </c>
      <c r="K340" s="459" t="str">
        <f>EL!L254</f>
        <v>CTA</v>
      </c>
      <c r="L340" s="460" cm="1">
        <f t="array" aca="1" ref="L340" ca="1">_xlfn.IFS(AND($E340&lt;&gt;"",$M340="Pending",$K340="CTA"),TODAY()-$G340,AND($E340&lt;&gt;"",$M340="Pending",$K340="AUR"),TODAY()-$H340,AND($E340&lt;&gt;"",$M340="Pending",$K340="STT"),TODAY()-$I340,OR(K340="Closed",K340=""),"")</f>
        <v>8</v>
      </c>
      <c r="M340" s="461" t="str">
        <f>VLOOKUP(C340,EL!$E$4:$AC$622,9,0)</f>
        <v>Pending</v>
      </c>
      <c r="N340" s="461" t="str">
        <f t="shared" ca="1" si="13"/>
        <v>Overdue</v>
      </c>
      <c r="O340" s="739" t="str">
        <f>EL!O254</f>
        <v>GC</v>
      </c>
      <c r="P340" s="746" t="str">
        <v>NO</v>
      </c>
    </row>
    <row r="341" spans="1:16" s="385" customFormat="1" ht="27" customHeight="1">
      <c r="A341" s="399">
        <f t="shared" si="14"/>
        <v>248</v>
      </c>
      <c r="B341" s="477" t="s">
        <v>52</v>
      </c>
      <c r="C341" s="454" t="s">
        <v>1200</v>
      </c>
      <c r="D341" s="456" t="str">
        <f>_xlfn.XLOOKUP(C341,EL!$E$4:$E$390,EL!$D$4:$D$390)</f>
        <v>Typical Details Sheet 8</v>
      </c>
      <c r="E341" s="597">
        <f>IF(VLOOKUP(C341,EL!$E$4:$AC$505,7,0)="","",VLOOKUP(C341,EL!$E$4:$AC$1004,7,0))</f>
        <v>0</v>
      </c>
      <c r="F341" s="462"/>
      <c r="G341" s="458">
        <f>IF(VLOOKUP(C341,EL!$E$4:$AC$514,5,0)="","",VLOOKUP(C341,EL!$E$4:$AC$514,5,0))</f>
        <v>46058</v>
      </c>
      <c r="H341" s="459" t="str">
        <f>IF(ISNA(MATCH($C341,EL!$E$4:$E$1012,0)),"",
IF($E341=0,IF(INDEX(EL!$R$4:$R$1012,MATCH($C341,EL!$E$4:$E$1012,0))="","",INDEX(EL!$R$4:$R$1012,MATCH($C341,EL!$E$4:$E$1012,0))),
IF($E341=1,IF(INDEX(EL!$W$4:$W$1012,MATCH($C341,EL!$E$4:$E$1012,0))="","",INDEX(EL!$W$4:$W$1012,MATCH($C341,EL!$E$4:$E$1012,0))),
IF($E341=2,IF(INDEX(EL!$AB$4:$AB$1012,MATCH($C341,EL!$E$4:$E$1012,0))="","",INDEX(EL!$AB$4:$AB$1012,MATCH($C341,EL!$E$4:$E$1012,0))),
IF($E341=3,IF(INDEX(EL!$AG$4:$AG$1012,MATCH($C341,EL!$E$4:$E$1012,0))="","",INDEX(EL!$AG$4:$AG$1012,MATCH($C341,EL!$E$4:$E$1012,0))),
IF($E341=4,IF(INDEX(EL!$AN$4:$AN$1012,MATCH($C341,EL!$E$4:$E$1012,0))="","",INDEX(EL!$AN$4:$AN$1012,MATCH($C341,EL!$E$4:$E$1012,0))),
IF($E341=5,IF(INDEX(EL!$AS$4:$AS$1012,MATCH($C341,EL!$E$4:$E$1012,0))="","",INDEX(EL!$AS$4:$AS$1012,MATCH($C341,EL!$E$4:$E$1012,0))),"")))))))</f>
        <v/>
      </c>
      <c r="I341" s="459" t="str">
        <f>IF(ISNA(MATCH($C341,EL!$E$4:$E$1012,0)),"",
IF($E341=0,IF(INDEX(EL!$S$4:$S$1012,MATCH($C341,EL!$E$4:$E$1012,0))="","",INDEX(EL!$S$4:$S$1012,MATCH($C341,EL!$E$4:$E$1012,0))),
IF($E341=1,IF(INDEX(EL!$X$4:$X$1012,MATCH($C341,EL!$E$4:$E$1012,0))="","",INDEX(EL!$X$4:$X$1012,MATCH($C341,EL!$E$4:$E$1012,0))),
IF($E341=2,IF(INDEX(EL!$AC$4:$AC$1012,MATCH($C341,EL!$E$4:$E$1012,0))="","",INDEX(EL!$AC$4:$AC$1012,MATCH($C341,EL!$E$4:$E$1012,0))),
IF($E341=3,IF(INDEX(EL!$AH$4:$AH$1012,MATCH($C341,EL!$E$4:$E$1012,0))="","",INDEX(EL!$AH$4:$AH$1012,MATCH($C341,EL!$E$4:$E$1012,0))),
IF($E341=4,IF(INDEX(EL!$AM$4:$AM$1012,MATCH($C341,EL!$E$4:$E$1012,0))="","",INDEX(EL!$AM$4:$AM$1012,MATCH($C341,EL!$E$4:$E$1012,0))),
IF($E341=5,IF(INDEX(EL!$AR$4:$AR$1012,MATCH($C341,EL!$E$4:$E$1012,0))="","",INDEX(EL!$AR$4:$AR$1012,MATCH($C341,EL!$E$4:$E$1012,0))),"")))))))</f>
        <v/>
      </c>
      <c r="J341" s="459" t="str">
        <f>IF(ISNA(MATCH($C341,EL!$E$4:$E$1012,0)),"",
IF($E341=0,IF(INDEX(EL!$T$4:$T$1012,MATCH($C341,EL!$E$4:$E$1012,0))="","",INDEX(EL!$T$4:$T$1012,MATCH($C341,EL!$E$4:$E$1012,0))),
IF($E341=1,IF(INDEX(EL!$Y$4:$Y$1012,MATCH($C341,EL!$E$4:$E$1012,0))="","",INDEX(EL!$Y$4:$Y$1012,MATCH($C341,EL!$E$4:$E$1012,0))),
IF($E341=2,IF(INDEX(EL!$AD$4:$AD$1012,MATCH($C341,EL!$E$4:$E$1012,0))="","",INDEX(EL!$AD$4:$AD$1012,MATCH($C341,EL!$E$4:$E$1012,0))),
IF($E341=3,IF(INDEX(EL!$AI$4:$AI$1012,MATCH($C341,EL!$E$4:$E$1012,0))="","",INDEX(EL!$AI$4:$AI$1012,MATCH($C341,EL!$E$4:$E$1012,0))),
IF($E341=4,IF(INDEX(EL!$AN$4:$AN$1012,MATCH($C341,EL!$E$4:$E$1012,0))="","",INDEX(EL!$AN$4:$AN$1012,MATCH($C341,EL!$E$4:$E$1012,0))),
IF($E341=5,IF(INDEX(EL!$AS$4:$AS$1012,MATCH($C341,EL!$E$4:$E$1012,0))="","",INDEX(EL!$AS$4:$AS$1012,MATCH($C341,EL!$E$4:$E$1012,0))),"")))))))</f>
        <v/>
      </c>
      <c r="K341" s="459" t="str">
        <f>EL!L255</f>
        <v>CTA</v>
      </c>
      <c r="L341" s="460" cm="1">
        <f t="array" aca="1" ref="L341" ca="1">_xlfn.IFS(AND($E341&lt;&gt;"",$M341="Pending",$K341="CTA"),TODAY()-$G341,AND($E341&lt;&gt;"",$M341="Pending",$K341="AUR"),TODAY()-$H341,AND($E341&lt;&gt;"",$M341="Pending",$K341="STT"),TODAY()-$I341,OR(K341="Closed",K341=""),"")</f>
        <v>8</v>
      </c>
      <c r="M341" s="461" t="str">
        <f>VLOOKUP(C341,EL!$E$4:$AC$622,9,0)</f>
        <v>Pending</v>
      </c>
      <c r="N341" s="461" t="str">
        <f t="shared" ca="1" si="13"/>
        <v>Overdue</v>
      </c>
      <c r="O341" s="739" t="str">
        <f>EL!O255</f>
        <v>GC</v>
      </c>
      <c r="P341" s="746" t="str">
        <v>NO</v>
      </c>
    </row>
    <row r="342" spans="1:16" s="385" customFormat="1" ht="27" hidden="1" customHeight="1">
      <c r="A342" s="813">
        <f>A341+1</f>
        <v>249</v>
      </c>
      <c r="B342" s="477" t="s">
        <v>52</v>
      </c>
      <c r="C342" s="454" t="s">
        <v>1203</v>
      </c>
      <c r="D342" s="456" t="str">
        <f>_xlfn.XLOOKUP(C342,EL!$E$4:$E$390,EL!$D$4:$D$390)</f>
        <v>For LLE GEN</v>
      </c>
      <c r="E342" s="597" t="str">
        <f>IF(VLOOKUP(C342,EL!$E$4:$AC$505,7,0)="","",VLOOKUP(C342,EL!$E$4:$AC$1004,7,0))</f>
        <v/>
      </c>
      <c r="F342" s="462"/>
      <c r="G342" s="458" t="str">
        <f>IF(VLOOKUP(C342,EL!$E$4:$AC$514,5,0)="","",VLOOKUP(C342,EL!$E$4:$AC$514,5,0))</f>
        <v/>
      </c>
      <c r="H342" s="459" t="str">
        <f>IF(ISNA(MATCH($C342,EL!$E$4:$E$1012,0)),"",
IF($E342=0,IF(INDEX(EL!$R$4:$R$1012,MATCH($C342,EL!$E$4:$E$1012,0))="","",INDEX(EL!$R$4:$R$1012,MATCH($C342,EL!$E$4:$E$1012,0))),
IF($E342=1,IF(INDEX(EL!$W$4:$W$1012,MATCH($C342,EL!$E$4:$E$1012,0))="","",INDEX(EL!$W$4:$W$1012,MATCH($C342,EL!$E$4:$E$1012,0))),
IF($E342=2,IF(INDEX(EL!$AB$4:$AB$1012,MATCH($C342,EL!$E$4:$E$1012,0))="","",INDEX(EL!$AB$4:$AB$1012,MATCH($C342,EL!$E$4:$E$1012,0))),
IF($E342=3,IF(INDEX(EL!$AG$4:$AG$1012,MATCH($C342,EL!$E$4:$E$1012,0))="","",INDEX(EL!$AG$4:$AG$1012,MATCH($C342,EL!$E$4:$E$1012,0))),
IF($E342=4,IF(INDEX(EL!$AN$4:$AN$1012,MATCH($C342,EL!$E$4:$E$1012,0))="","",INDEX(EL!$AN$4:$AN$1012,MATCH($C342,EL!$E$4:$E$1012,0))),
IF($E342=5,IF(INDEX(EL!$AS$4:$AS$1012,MATCH($C342,EL!$E$4:$E$1012,0))="","",INDEX(EL!$AS$4:$AS$1012,MATCH($C342,EL!$E$4:$E$1012,0))),"")))))))</f>
        <v/>
      </c>
      <c r="I342" s="459" t="str">
        <f>IF(ISNA(MATCH($C342,EL!$E$4:$E$1012,0)),"",
IF($E342=0,IF(INDEX(EL!$S$4:$S$1012,MATCH($C342,EL!$E$4:$E$1012,0))="","",INDEX(EL!$S$4:$S$1012,MATCH($C342,EL!$E$4:$E$1012,0))),
IF($E342=1,IF(INDEX(EL!$X$4:$X$1012,MATCH($C342,EL!$E$4:$E$1012,0))="","",INDEX(EL!$X$4:$X$1012,MATCH($C342,EL!$E$4:$E$1012,0))),
IF($E342=2,IF(INDEX(EL!$AC$4:$AC$1012,MATCH($C342,EL!$E$4:$E$1012,0))="","",INDEX(EL!$AC$4:$AC$1012,MATCH($C342,EL!$E$4:$E$1012,0))),
IF($E342=3,IF(INDEX(EL!$AH$4:$AH$1012,MATCH($C342,EL!$E$4:$E$1012,0))="","",INDEX(EL!$AH$4:$AH$1012,MATCH($C342,EL!$E$4:$E$1012,0))),
IF($E342=4,IF(INDEX(EL!$AM$4:$AM$1012,MATCH($C342,EL!$E$4:$E$1012,0))="","",INDEX(EL!$AM$4:$AM$1012,MATCH($C342,EL!$E$4:$E$1012,0))),
IF($E342=5,IF(INDEX(EL!$AR$4:$AR$1012,MATCH($C342,EL!$E$4:$E$1012,0))="","",INDEX(EL!$AR$4:$AR$1012,MATCH($C342,EL!$E$4:$E$1012,0))),"")))))))</f>
        <v/>
      </c>
      <c r="J342" s="459" t="str">
        <f>IF(ISNA(MATCH($C342,EL!$E$4:$E$1012,0)),"",
IF($E342=0,IF(INDEX(EL!$T$4:$T$1012,MATCH($C342,EL!$E$4:$E$1012,0))="","",INDEX(EL!$T$4:$T$1012,MATCH($C342,EL!$E$4:$E$1012,0))),
IF($E342=1,IF(INDEX(EL!$Y$4:$Y$1012,MATCH($C342,EL!$E$4:$E$1012,0))="","",INDEX(EL!$Y$4:$Y$1012,MATCH($C342,EL!$E$4:$E$1012,0))),
IF($E342=2,IF(INDEX(EL!$AD$4:$AD$1012,MATCH($C342,EL!$E$4:$E$1012,0))="","",INDEX(EL!$AD$4:$AD$1012,MATCH($C342,EL!$E$4:$E$1012,0))),
IF($E342=3,IF(INDEX(EL!$AI$4:$AI$1012,MATCH($C342,EL!$E$4:$E$1012,0))="","",INDEX(EL!$AI$4:$AI$1012,MATCH($C342,EL!$E$4:$E$1012,0))),
IF($E342=4,IF(INDEX(EL!$AN$4:$AN$1012,MATCH($C342,EL!$E$4:$E$1012,0))="","",INDEX(EL!$AN$4:$AN$1012,MATCH($C342,EL!$E$4:$E$1012,0))),
IF($E342=5,IF(INDEX(EL!$AS$4:$AS$1012,MATCH($C342,EL!$E$4:$E$1012,0))="","",INDEX(EL!$AS$4:$AS$1012,MATCH($C342,EL!$E$4:$E$1012,0))),"")))))))</f>
        <v/>
      </c>
      <c r="K342" s="459">
        <f>EL!L256</f>
        <v>0</v>
      </c>
      <c r="L342" s="460" t="e" cm="1">
        <f t="array" aca="1" ref="L342" ca="1">_xlfn.IFS(AND($E342&lt;&gt;"",$M342="Pending",$K342="CTA"),TODAY()-$G342,AND($E342&lt;&gt;"",$M342="Pending",$K342="AUR"),TODAY()-$H342,AND($E342&lt;&gt;"",$M342="Pending",$K342="STT"),TODAY()-$I342,OR(K342="Closed",K342=""),"")</f>
        <v>#N/A</v>
      </c>
      <c r="M342" s="461">
        <f>VLOOKUP(C342,EL!$E$4:$AC$622,9,0)</f>
        <v>0</v>
      </c>
      <c r="N342" s="461" t="str">
        <f>IF(AND(E342&lt;&gt;"",M342="Pending"),IF(L342&gt;=5,"Overdue",IF(L342&gt;=3,"High","")),"")</f>
        <v/>
      </c>
      <c r="O342" s="739" t="str">
        <f>EL!O256</f>
        <v>LLE</v>
      </c>
      <c r="P342" s="746" t="str">
        <v>NO</v>
      </c>
    </row>
    <row r="343" spans="1:16" s="385" customFormat="1" ht="27" hidden="1" customHeight="1">
      <c r="A343" s="813">
        <f>A342+1</f>
        <v>250</v>
      </c>
      <c r="B343" s="477" t="s">
        <v>52</v>
      </c>
      <c r="C343" s="454" t="s">
        <v>1206</v>
      </c>
      <c r="D343" s="456" t="str">
        <f>_xlfn.XLOOKUP(C343,EL!$E$4:$E$390,EL!$D$4:$D$390)</f>
        <v>For LLE GEN</v>
      </c>
      <c r="E343" s="597" t="str">
        <f>IF(VLOOKUP(C343,EL!$E$4:$AC$505,7,0)="","",VLOOKUP(C343,EL!$E$4:$AC$1004,7,0))</f>
        <v/>
      </c>
      <c r="F343" s="462"/>
      <c r="G343" s="458" t="str">
        <f>IF(VLOOKUP(C343,EL!$E$4:$AC$514,5,0)="","",VLOOKUP(C343,EL!$E$4:$AC$514,5,0))</f>
        <v/>
      </c>
      <c r="H343" s="459" t="str">
        <f>IF(ISNA(MATCH($C343,EL!$E$4:$E$1012,0)),"",
IF($E343=0,IF(INDEX(EL!$R$4:$R$1012,MATCH($C343,EL!$E$4:$E$1012,0))="","",INDEX(EL!$R$4:$R$1012,MATCH($C343,EL!$E$4:$E$1012,0))),
IF($E343=1,IF(INDEX(EL!$W$4:$W$1012,MATCH($C343,EL!$E$4:$E$1012,0))="","",INDEX(EL!$W$4:$W$1012,MATCH($C343,EL!$E$4:$E$1012,0))),
IF($E343=2,IF(INDEX(EL!$AB$4:$AB$1012,MATCH($C343,EL!$E$4:$E$1012,0))="","",INDEX(EL!$AB$4:$AB$1012,MATCH($C343,EL!$E$4:$E$1012,0))),
IF($E343=3,IF(INDEX(EL!$AG$4:$AG$1012,MATCH($C343,EL!$E$4:$E$1012,0))="","",INDEX(EL!$AG$4:$AG$1012,MATCH($C343,EL!$E$4:$E$1012,0))),
IF($E343=4,IF(INDEX(EL!$AN$4:$AN$1012,MATCH($C343,EL!$E$4:$E$1012,0))="","",INDEX(EL!$AN$4:$AN$1012,MATCH($C343,EL!$E$4:$E$1012,0))),
IF($E343=5,IF(INDEX(EL!$AS$4:$AS$1012,MATCH($C343,EL!$E$4:$E$1012,0))="","",INDEX(EL!$AS$4:$AS$1012,MATCH($C343,EL!$E$4:$E$1012,0))),"")))))))</f>
        <v/>
      </c>
      <c r="I343" s="459" t="str">
        <f>IF(ISNA(MATCH($C343,EL!$E$4:$E$1012,0)),"",
IF($E343=0,IF(INDEX(EL!$S$4:$S$1012,MATCH($C343,EL!$E$4:$E$1012,0))="","",INDEX(EL!$S$4:$S$1012,MATCH($C343,EL!$E$4:$E$1012,0))),
IF($E343=1,IF(INDEX(EL!$X$4:$X$1012,MATCH($C343,EL!$E$4:$E$1012,0))="","",INDEX(EL!$X$4:$X$1012,MATCH($C343,EL!$E$4:$E$1012,0))),
IF($E343=2,IF(INDEX(EL!$AC$4:$AC$1012,MATCH($C343,EL!$E$4:$E$1012,0))="","",INDEX(EL!$AC$4:$AC$1012,MATCH($C343,EL!$E$4:$E$1012,0))),
IF($E343=3,IF(INDEX(EL!$AH$4:$AH$1012,MATCH($C343,EL!$E$4:$E$1012,0))="","",INDEX(EL!$AH$4:$AH$1012,MATCH($C343,EL!$E$4:$E$1012,0))),
IF($E343=4,IF(INDEX(EL!$AM$4:$AM$1012,MATCH($C343,EL!$E$4:$E$1012,0))="","",INDEX(EL!$AM$4:$AM$1012,MATCH($C343,EL!$E$4:$E$1012,0))),
IF($E343=5,IF(INDEX(EL!$AR$4:$AR$1012,MATCH($C343,EL!$E$4:$E$1012,0))="","",INDEX(EL!$AR$4:$AR$1012,MATCH($C343,EL!$E$4:$E$1012,0))),"")))))))</f>
        <v/>
      </c>
      <c r="J343" s="459" t="str">
        <f>IF(ISNA(MATCH($C343,EL!$E$4:$E$1012,0)),"",
IF($E343=0,IF(INDEX(EL!$T$4:$T$1012,MATCH($C343,EL!$E$4:$E$1012,0))="","",INDEX(EL!$T$4:$T$1012,MATCH($C343,EL!$E$4:$E$1012,0))),
IF($E343=1,IF(INDEX(EL!$Y$4:$Y$1012,MATCH($C343,EL!$E$4:$E$1012,0))="","",INDEX(EL!$Y$4:$Y$1012,MATCH($C343,EL!$E$4:$E$1012,0))),
IF($E343=2,IF(INDEX(EL!$AD$4:$AD$1012,MATCH($C343,EL!$E$4:$E$1012,0))="","",INDEX(EL!$AD$4:$AD$1012,MATCH($C343,EL!$E$4:$E$1012,0))),
IF($E343=3,IF(INDEX(EL!$AI$4:$AI$1012,MATCH($C343,EL!$E$4:$E$1012,0))="","",INDEX(EL!$AI$4:$AI$1012,MATCH($C343,EL!$E$4:$E$1012,0))),
IF($E343=4,IF(INDEX(EL!$AN$4:$AN$1012,MATCH($C343,EL!$E$4:$E$1012,0))="","",INDEX(EL!$AN$4:$AN$1012,MATCH($C343,EL!$E$4:$E$1012,0))),
IF($E343=5,IF(INDEX(EL!$AS$4:$AS$1012,MATCH($C343,EL!$E$4:$E$1012,0))="","",INDEX(EL!$AS$4:$AS$1012,MATCH($C343,EL!$E$4:$E$1012,0))),"")))))))</f>
        <v/>
      </c>
      <c r="K343" s="459">
        <f>EL!L257</f>
        <v>0</v>
      </c>
      <c r="L343" s="460" t="e" cm="1">
        <f t="array" aca="1" ref="L343" ca="1">_xlfn.IFS(AND($E343&lt;&gt;"",$M343="Pending",$K343="CTA"),TODAY()-$G343,AND($E343&lt;&gt;"",$M343="Pending",$K343="AUR"),TODAY()-$H343,AND($E343&lt;&gt;"",$M343="Pending",$K343="STT"),TODAY()-$I343,OR(K343="Closed",K343=""),"")</f>
        <v>#N/A</v>
      </c>
      <c r="M343" s="461">
        <f>VLOOKUP(C343,EL!$E$4:$AC$622,9,0)</f>
        <v>0</v>
      </c>
      <c r="N343" s="461" t="str">
        <f>IF(AND(E343&lt;&gt;"",M343="Pending"),IF(L343&gt;=5,"Overdue",IF(L343&gt;=3,"High","")),"")</f>
        <v/>
      </c>
      <c r="O343" s="739" t="str">
        <f>EL!O257</f>
        <v>LLE</v>
      </c>
      <c r="P343" s="746"/>
    </row>
    <row r="344" spans="1:16" s="385" customFormat="1" ht="27" customHeight="1">
      <c r="A344" s="813">
        <f>A343+1</f>
        <v>251</v>
      </c>
      <c r="B344" s="477" t="s">
        <v>52</v>
      </c>
      <c r="C344" s="454" t="s">
        <v>1209</v>
      </c>
      <c r="D344" s="456" t="str">
        <f>_xlfn.XLOOKUP(C344,EL!$E$4:$E$390,EL!$D$4:$D$390)</f>
        <v xml:space="preserve">63A DB Aux Panel </v>
      </c>
      <c r="E344" s="597">
        <f>IF(VLOOKUP(C344,EL!$E$4:$AC$505,7,0)="","",VLOOKUP(C344,EL!$E$4:$AC$1004,7,0))</f>
        <v>0</v>
      </c>
      <c r="F344" s="462"/>
      <c r="G344" s="458">
        <f>IF(VLOOKUP(C344,EL!$E$4:$AC$514,5,0)="","",VLOOKUP(C344,EL!$E$4:$AC$514,5,0))</f>
        <v>46063</v>
      </c>
      <c r="H344" s="459">
        <f>IF(ISNA(MATCH($C344,EL!$E$4:$E$1012,0)),"",
IF($E344=0,IF(INDEX(EL!$R$4:$R$1012,MATCH($C344,EL!$E$4:$E$1012,0))="","",INDEX(EL!$R$4:$R$1012,MATCH($C344,EL!$E$4:$E$1012,0))),
IF($E344=1,IF(INDEX(EL!$W$4:$W$1012,MATCH($C344,EL!$E$4:$E$1012,0))="","",INDEX(EL!$W$4:$W$1012,MATCH($C344,EL!$E$4:$E$1012,0))),
IF($E344=2,IF(INDEX(EL!$AB$4:$AB$1012,MATCH($C344,EL!$E$4:$E$1012,0))="","",INDEX(EL!$AB$4:$AB$1012,MATCH($C344,EL!$E$4:$E$1012,0))),
IF($E344=3,IF(INDEX(EL!$AG$4:$AG$1012,MATCH($C344,EL!$E$4:$E$1012,0))="","",INDEX(EL!$AG$4:$AG$1012,MATCH($C344,EL!$E$4:$E$1012,0))),
IF($E344=4,IF(INDEX(EL!$AN$4:$AN$1012,MATCH($C344,EL!$E$4:$E$1012,0))="","",INDEX(EL!$AN$4:$AN$1012,MATCH($C344,EL!$E$4:$E$1012,0))),
IF($E344=5,IF(INDEX(EL!$AS$4:$AS$1012,MATCH($C344,EL!$E$4:$E$1012,0))="","",INDEX(EL!$AS$4:$AS$1012,MATCH($C344,EL!$E$4:$E$1012,0))),"")))))))</f>
        <v>46065</v>
      </c>
      <c r="I344" s="459" t="str">
        <f>IF(ISNA(MATCH($C344,EL!$E$4:$E$1012,0)),"",
IF($E344=0,IF(INDEX(EL!$S$4:$S$1012,MATCH($C344,EL!$E$4:$E$1012,0))="","",INDEX(EL!$S$4:$S$1012,MATCH($C344,EL!$E$4:$E$1012,0))),
IF($E344=1,IF(INDEX(EL!$X$4:$X$1012,MATCH($C344,EL!$E$4:$E$1012,0))="","",INDEX(EL!$X$4:$X$1012,MATCH($C344,EL!$E$4:$E$1012,0))),
IF($E344=2,IF(INDEX(EL!$AC$4:$AC$1012,MATCH($C344,EL!$E$4:$E$1012,0))="","",INDEX(EL!$AC$4:$AC$1012,MATCH($C344,EL!$E$4:$E$1012,0))),
IF($E344=3,IF(INDEX(EL!$AH$4:$AH$1012,MATCH($C344,EL!$E$4:$E$1012,0))="","",INDEX(EL!$AH$4:$AH$1012,MATCH($C344,EL!$E$4:$E$1012,0))),
IF($E344=4,IF(INDEX(EL!$AM$4:$AM$1012,MATCH($C344,EL!$E$4:$E$1012,0))="","",INDEX(EL!$AM$4:$AM$1012,MATCH($C344,EL!$E$4:$E$1012,0))),
IF($E344=5,IF(INDEX(EL!$AR$4:$AR$1012,MATCH($C344,EL!$E$4:$E$1012,0))="","",INDEX(EL!$AR$4:$AR$1012,MATCH($C344,EL!$E$4:$E$1012,0))),"")))))))</f>
        <v/>
      </c>
      <c r="J344" s="459" t="str">
        <f>IF(ISNA(MATCH($C344,EL!$E$4:$E$1012,0)),"",
IF($E344=0,IF(INDEX(EL!$T$4:$T$1012,MATCH($C344,EL!$E$4:$E$1012,0))="","",INDEX(EL!$T$4:$T$1012,MATCH($C344,EL!$E$4:$E$1012,0))),
IF($E344=1,IF(INDEX(EL!$Y$4:$Y$1012,MATCH($C344,EL!$E$4:$E$1012,0))="","",INDEX(EL!$Y$4:$Y$1012,MATCH($C344,EL!$E$4:$E$1012,0))),
IF($E344=2,IF(INDEX(EL!$AD$4:$AD$1012,MATCH($C344,EL!$E$4:$E$1012,0))="","",INDEX(EL!$AD$4:$AD$1012,MATCH($C344,EL!$E$4:$E$1012,0))),
IF($E344=3,IF(INDEX(EL!$AI$4:$AI$1012,MATCH($C344,EL!$E$4:$E$1012,0))="","",INDEX(EL!$AI$4:$AI$1012,MATCH($C344,EL!$E$4:$E$1012,0))),
IF($E344=4,IF(INDEX(EL!$AN$4:$AN$1012,MATCH($C344,EL!$E$4:$E$1012,0))="","",INDEX(EL!$AN$4:$AN$1012,MATCH($C344,EL!$E$4:$E$1012,0))),
IF($E344=5,IF(INDEX(EL!$AS$4:$AS$1012,MATCH($C344,EL!$E$4:$E$1012,0))="","",INDEX(EL!$AS$4:$AS$1012,MATCH($C344,EL!$E$4:$E$1012,0))),"")))))))</f>
        <v/>
      </c>
      <c r="K344" s="459" t="str">
        <f>EL!L258</f>
        <v>AUR</v>
      </c>
      <c r="L344" s="460" cm="1">
        <f t="array" aca="1" ref="L344" ca="1">_xlfn.IFS(AND($E344&lt;&gt;"",$M344="Pending",$K344="CTA"),TODAY()-$G344,AND($E344&lt;&gt;"",$M344="Pending",$K344="AUR"),TODAY()-$H344,AND($E344&lt;&gt;"",$M344="Pending",$K344="STT"),TODAY()-$I344,OR(K344="Closed",K344=""),"")</f>
        <v>1</v>
      </c>
      <c r="M344" s="461" t="str">
        <f>VLOOKUP(C344,EL!$E$4:$AC$622,9,0)</f>
        <v>Pending</v>
      </c>
      <c r="N344" s="461" t="str">
        <f ca="1">IF(AND(E344&lt;&gt;"",M344="Pending"),IF(L344&gt;=5,"Overdue",IF(L344&gt;=3,"High","")),"")</f>
        <v/>
      </c>
      <c r="O344" s="739" t="str">
        <f>EL!O258</f>
        <v>LLE</v>
      </c>
      <c r="P344" s="746"/>
    </row>
    <row r="345" spans="1:16" s="385" customFormat="1" ht="27" customHeight="1">
      <c r="A345" s="813">
        <f>A344+1</f>
        <v>252</v>
      </c>
      <c r="B345" s="477" t="s">
        <v>52</v>
      </c>
      <c r="C345" s="454" t="s">
        <v>1212</v>
      </c>
      <c r="D345" s="456" t="str">
        <f>_xlfn.XLOOKUP(C345,EL!$E$4:$E$390,EL!$D$4:$D$390)</f>
        <v xml:space="preserve">4000A SLD GA Control </v>
      </c>
      <c r="E345" s="597">
        <f>IF(VLOOKUP(C345,EL!$E$4:$AC$505,7,0)="","",VLOOKUP(C345,EL!$E$4:$AC$1004,7,0))</f>
        <v>0</v>
      </c>
      <c r="F345" s="462"/>
      <c r="G345" s="458">
        <f>IF(VLOOKUP(C345,EL!$E$4:$AC$514,5,0)="","",VLOOKUP(C345,EL!$E$4:$AC$514,5,0))</f>
        <v>46063</v>
      </c>
      <c r="H345" s="459">
        <f>IF(ISNA(MATCH($C345,EL!$E$4:$E$1012,0)),"",
IF($E345=0,IF(INDEX(EL!$R$4:$R$1012,MATCH($C345,EL!$E$4:$E$1012,0))="","",INDEX(EL!$R$4:$R$1012,MATCH($C345,EL!$E$4:$E$1012,0))),
IF($E345=1,IF(INDEX(EL!$W$4:$W$1012,MATCH($C345,EL!$E$4:$E$1012,0))="","",INDEX(EL!$W$4:$W$1012,MATCH($C345,EL!$E$4:$E$1012,0))),
IF($E345=2,IF(INDEX(EL!$AB$4:$AB$1012,MATCH($C345,EL!$E$4:$E$1012,0))="","",INDEX(EL!$AB$4:$AB$1012,MATCH($C345,EL!$E$4:$E$1012,0))),
IF($E345=3,IF(INDEX(EL!$AG$4:$AG$1012,MATCH($C345,EL!$E$4:$E$1012,0))="","",INDEX(EL!$AG$4:$AG$1012,MATCH($C345,EL!$E$4:$E$1012,0))),
IF($E345=4,IF(INDEX(EL!$AN$4:$AN$1012,MATCH($C345,EL!$E$4:$E$1012,0))="","",INDEX(EL!$AN$4:$AN$1012,MATCH($C345,EL!$E$4:$E$1012,0))),
IF($E345=5,IF(INDEX(EL!$AS$4:$AS$1012,MATCH($C345,EL!$E$4:$E$1012,0))="","",INDEX(EL!$AS$4:$AS$1012,MATCH($C345,EL!$E$4:$E$1012,0))),"")))))))</f>
        <v>46064</v>
      </c>
      <c r="I345" s="459" t="str">
        <f>IF(ISNA(MATCH($C345,EL!$E$4:$E$1012,0)),"",
IF($E345=0,IF(INDEX(EL!$S$4:$S$1012,MATCH($C345,EL!$E$4:$E$1012,0))="","",INDEX(EL!$S$4:$S$1012,MATCH($C345,EL!$E$4:$E$1012,0))),
IF($E345=1,IF(INDEX(EL!$X$4:$X$1012,MATCH($C345,EL!$E$4:$E$1012,0))="","",INDEX(EL!$X$4:$X$1012,MATCH($C345,EL!$E$4:$E$1012,0))),
IF($E345=2,IF(INDEX(EL!$AC$4:$AC$1012,MATCH($C345,EL!$E$4:$E$1012,0))="","",INDEX(EL!$AC$4:$AC$1012,MATCH($C345,EL!$E$4:$E$1012,0))),
IF($E345=3,IF(INDEX(EL!$AH$4:$AH$1012,MATCH($C345,EL!$E$4:$E$1012,0))="","",INDEX(EL!$AH$4:$AH$1012,MATCH($C345,EL!$E$4:$E$1012,0))),
IF($E345=4,IF(INDEX(EL!$AM$4:$AM$1012,MATCH($C345,EL!$E$4:$E$1012,0))="","",INDEX(EL!$AM$4:$AM$1012,MATCH($C345,EL!$E$4:$E$1012,0))),
IF($E345=5,IF(INDEX(EL!$AR$4:$AR$1012,MATCH($C345,EL!$E$4:$E$1012,0))="","",INDEX(EL!$AR$4:$AR$1012,MATCH($C345,EL!$E$4:$E$1012,0))),"")))))))</f>
        <v/>
      </c>
      <c r="J345" s="459" t="str">
        <f>IF(ISNA(MATCH($C345,EL!$E$4:$E$1012,0)),"",
IF($E345=0,IF(INDEX(EL!$T$4:$T$1012,MATCH($C345,EL!$E$4:$E$1012,0))="","",INDEX(EL!$T$4:$T$1012,MATCH($C345,EL!$E$4:$E$1012,0))),
IF($E345=1,IF(INDEX(EL!$Y$4:$Y$1012,MATCH($C345,EL!$E$4:$E$1012,0))="","",INDEX(EL!$Y$4:$Y$1012,MATCH($C345,EL!$E$4:$E$1012,0))),
IF($E345=2,IF(INDEX(EL!$AD$4:$AD$1012,MATCH($C345,EL!$E$4:$E$1012,0))="","",INDEX(EL!$AD$4:$AD$1012,MATCH($C345,EL!$E$4:$E$1012,0))),
IF($E345=3,IF(INDEX(EL!$AI$4:$AI$1012,MATCH($C345,EL!$E$4:$E$1012,0))="","",INDEX(EL!$AI$4:$AI$1012,MATCH($C345,EL!$E$4:$E$1012,0))),
IF($E345=4,IF(INDEX(EL!$AN$4:$AN$1012,MATCH($C345,EL!$E$4:$E$1012,0))="","",INDEX(EL!$AN$4:$AN$1012,MATCH($C345,EL!$E$4:$E$1012,0))),
IF($E345=5,IF(INDEX(EL!$AS$4:$AS$1012,MATCH($C345,EL!$E$4:$E$1012,0))="","",INDEX(EL!$AS$4:$AS$1012,MATCH($C345,EL!$E$4:$E$1012,0))),"")))))))</f>
        <v/>
      </c>
      <c r="K345" s="459" t="str">
        <f>EL!L259</f>
        <v>AUR</v>
      </c>
      <c r="L345" s="460" cm="1">
        <f t="array" aca="1" ref="L345" ca="1">_xlfn.IFS(AND($E345&lt;&gt;"",$M345="Pending",$K345="CTA"),TODAY()-$G345,AND($E345&lt;&gt;"",$M345="Pending",$K345="AUR"),TODAY()-$H345,AND($E345&lt;&gt;"",$M345="Pending",$K345="STT"),TODAY()-$I345,OR(K345="Closed",K345=""),"")</f>
        <v>2</v>
      </c>
      <c r="M345" s="461" t="str">
        <f>VLOOKUP(C345,EL!$E$4:$AC$622,9,0)</f>
        <v>Pending</v>
      </c>
      <c r="N345" s="461" t="str">
        <f ca="1">IF(AND(E345&lt;&gt;"",M345="Pending"),IF(L345&gt;=5,"Overdue",IF(L345&gt;=3,"High","")),"")</f>
        <v/>
      </c>
      <c r="O345" s="739" t="str">
        <f>EL!O259</f>
        <v>LLE</v>
      </c>
      <c r="P345" s="746"/>
    </row>
    <row r="346" spans="1:16" s="385" customFormat="1" ht="27" hidden="1" customHeight="1">
      <c r="A346" s="813">
        <f>A345+1</f>
        <v>253</v>
      </c>
      <c r="B346" s="477" t="s">
        <v>52</v>
      </c>
      <c r="C346" s="454" t="s">
        <v>1214</v>
      </c>
      <c r="D346" s="456" t="str">
        <f>_xlfn.XLOOKUP(C346,EL!$E$4:$E$390,EL!$D$4:$D$390)</f>
        <v>For LLE GEN</v>
      </c>
      <c r="E346" s="597" t="str">
        <f>IF(VLOOKUP(C346,EL!$E$4:$AC$505,7,0)="","",VLOOKUP(C346,EL!$E$4:$AC$1004,7,0))</f>
        <v/>
      </c>
      <c r="F346" s="462"/>
      <c r="G346" s="458" t="str">
        <f>IF(VLOOKUP(C346,EL!$E$4:$AC$514,5,0)="","",VLOOKUP(C346,EL!$E$4:$AC$514,5,0))</f>
        <v/>
      </c>
      <c r="H346" s="459" t="str">
        <f>IF(ISNA(MATCH($C346,EL!$E$4:$E$1012,0)),"",
IF($E346=0,IF(INDEX(EL!$R$4:$R$1012,MATCH($C346,EL!$E$4:$E$1012,0))="","",INDEX(EL!$R$4:$R$1012,MATCH($C346,EL!$E$4:$E$1012,0))),
IF($E346=1,IF(INDEX(EL!$W$4:$W$1012,MATCH($C346,EL!$E$4:$E$1012,0))="","",INDEX(EL!$W$4:$W$1012,MATCH($C346,EL!$E$4:$E$1012,0))),
IF($E346=2,IF(INDEX(EL!$AB$4:$AB$1012,MATCH($C346,EL!$E$4:$E$1012,0))="","",INDEX(EL!$AB$4:$AB$1012,MATCH($C346,EL!$E$4:$E$1012,0))),
IF($E346=3,IF(INDEX(EL!$AG$4:$AG$1012,MATCH($C346,EL!$E$4:$E$1012,0))="","",INDEX(EL!$AG$4:$AG$1012,MATCH($C346,EL!$E$4:$E$1012,0))),
IF($E346=4,IF(INDEX(EL!$AN$4:$AN$1012,MATCH($C346,EL!$E$4:$E$1012,0))="","",INDEX(EL!$AN$4:$AN$1012,MATCH($C346,EL!$E$4:$E$1012,0))),
IF($E346=5,IF(INDEX(EL!$AS$4:$AS$1012,MATCH($C346,EL!$E$4:$E$1012,0))="","",INDEX(EL!$AS$4:$AS$1012,MATCH($C346,EL!$E$4:$E$1012,0))),"")))))))</f>
        <v/>
      </c>
      <c r="I346" s="459" t="str">
        <f>IF(ISNA(MATCH($C346,EL!$E$4:$E$1012,0)),"",
IF($E346=0,IF(INDEX(EL!$S$4:$S$1012,MATCH($C346,EL!$E$4:$E$1012,0))="","",INDEX(EL!$S$4:$S$1012,MATCH($C346,EL!$E$4:$E$1012,0))),
IF($E346=1,IF(INDEX(EL!$X$4:$X$1012,MATCH($C346,EL!$E$4:$E$1012,0))="","",INDEX(EL!$X$4:$X$1012,MATCH($C346,EL!$E$4:$E$1012,0))),
IF($E346=2,IF(INDEX(EL!$AC$4:$AC$1012,MATCH($C346,EL!$E$4:$E$1012,0))="","",INDEX(EL!$AC$4:$AC$1012,MATCH($C346,EL!$E$4:$E$1012,0))),
IF($E346=3,IF(INDEX(EL!$AH$4:$AH$1012,MATCH($C346,EL!$E$4:$E$1012,0))="","",INDEX(EL!$AH$4:$AH$1012,MATCH($C346,EL!$E$4:$E$1012,0))),
IF($E346=4,IF(INDEX(EL!$AM$4:$AM$1012,MATCH($C346,EL!$E$4:$E$1012,0))="","",INDEX(EL!$AM$4:$AM$1012,MATCH($C346,EL!$E$4:$E$1012,0))),
IF($E346=5,IF(INDEX(EL!$AR$4:$AR$1012,MATCH($C346,EL!$E$4:$E$1012,0))="","",INDEX(EL!$AR$4:$AR$1012,MATCH($C346,EL!$E$4:$E$1012,0))),"")))))))</f>
        <v/>
      </c>
      <c r="J346" s="459" t="str">
        <f>IF(ISNA(MATCH($C346,EL!$E$4:$E$1012,0)),"",
IF($E346=0,IF(INDEX(EL!$T$4:$T$1012,MATCH($C346,EL!$E$4:$E$1012,0))="","",INDEX(EL!$T$4:$T$1012,MATCH($C346,EL!$E$4:$E$1012,0))),
IF($E346=1,IF(INDEX(EL!$Y$4:$Y$1012,MATCH($C346,EL!$E$4:$E$1012,0))="","",INDEX(EL!$Y$4:$Y$1012,MATCH($C346,EL!$E$4:$E$1012,0))),
IF($E346=2,IF(INDEX(EL!$AD$4:$AD$1012,MATCH($C346,EL!$E$4:$E$1012,0))="","",INDEX(EL!$AD$4:$AD$1012,MATCH($C346,EL!$E$4:$E$1012,0))),
IF($E346=3,IF(INDEX(EL!$AI$4:$AI$1012,MATCH($C346,EL!$E$4:$E$1012,0))="","",INDEX(EL!$AI$4:$AI$1012,MATCH($C346,EL!$E$4:$E$1012,0))),
IF($E346=4,IF(INDEX(EL!$AN$4:$AN$1012,MATCH($C346,EL!$E$4:$E$1012,0))="","",INDEX(EL!$AN$4:$AN$1012,MATCH($C346,EL!$E$4:$E$1012,0))),
IF($E346=5,IF(INDEX(EL!$AS$4:$AS$1012,MATCH($C346,EL!$E$4:$E$1012,0))="","",INDEX(EL!$AS$4:$AS$1012,MATCH($C346,EL!$E$4:$E$1012,0))),"")))))))</f>
        <v/>
      </c>
      <c r="K346" s="459">
        <f>EL!L260</f>
        <v>0</v>
      </c>
      <c r="L346" s="460" t="e" cm="1">
        <f t="array" aca="1" ref="L346" ca="1">_xlfn.IFS(AND($E346&lt;&gt;"",$M346="Pending",$K346="CTA"),TODAY()-$G346,AND($E346&lt;&gt;"",$M346="Pending",$K346="AUR"),TODAY()-$H346,AND($E346&lt;&gt;"",$M346="Pending",$K346="STT"),TODAY()-$I346,OR(K346="Closed",K346=""),"")</f>
        <v>#N/A</v>
      </c>
      <c r="M346" s="461">
        <f>VLOOKUP(C346,EL!$E$4:$AC$622,9,0)</f>
        <v>0</v>
      </c>
      <c r="N346" s="461" t="str">
        <f>IF(AND(E346&lt;&gt;"",M346="Pending"),IF(L346&gt;=5,"Overdue",IF(L346&gt;=3,"High","")),"")</f>
        <v/>
      </c>
      <c r="O346" s="739" t="str">
        <f>EL!O260</f>
        <v>LLE</v>
      </c>
      <c r="P346" s="746"/>
    </row>
    <row r="347" spans="1:16" s="385" customFormat="1" ht="27" hidden="1" customHeight="1">
      <c r="A347" s="813">
        <f>A346+1</f>
        <v>254</v>
      </c>
      <c r="B347" s="477" t="s">
        <v>52</v>
      </c>
      <c r="C347" s="454" t="s">
        <v>1216</v>
      </c>
      <c r="D347" s="456" t="str">
        <f>_xlfn.XLOOKUP(C347,EL!$E$4:$E$390,EL!$D$4:$D$390)</f>
        <v>For LLE GEN</v>
      </c>
      <c r="E347" s="597" t="str">
        <f>IF(VLOOKUP(C347,EL!$E$4:$AC$505,7,0)="","",VLOOKUP(C347,EL!$E$4:$AC$1004,7,0))</f>
        <v/>
      </c>
      <c r="F347" s="462"/>
      <c r="G347" s="458" t="str">
        <f>IF(VLOOKUP(C347,EL!$E$4:$AC$514,5,0)="","",VLOOKUP(C347,EL!$E$4:$AC$514,5,0))</f>
        <v/>
      </c>
      <c r="H347" s="459" t="str">
        <f>IF(ISNA(MATCH($C347,EL!$E$4:$E$1012,0)),"",
IF($E347=0,IF(INDEX(EL!$R$4:$R$1012,MATCH($C347,EL!$E$4:$E$1012,0))="","",INDEX(EL!$R$4:$R$1012,MATCH($C347,EL!$E$4:$E$1012,0))),
IF($E347=1,IF(INDEX(EL!$W$4:$W$1012,MATCH($C347,EL!$E$4:$E$1012,0))="","",INDEX(EL!$W$4:$W$1012,MATCH($C347,EL!$E$4:$E$1012,0))),
IF($E347=2,IF(INDEX(EL!$AB$4:$AB$1012,MATCH($C347,EL!$E$4:$E$1012,0))="","",INDEX(EL!$AB$4:$AB$1012,MATCH($C347,EL!$E$4:$E$1012,0))),
IF($E347=3,IF(INDEX(EL!$AG$4:$AG$1012,MATCH($C347,EL!$E$4:$E$1012,0))="","",INDEX(EL!$AG$4:$AG$1012,MATCH($C347,EL!$E$4:$E$1012,0))),
IF($E347=4,IF(INDEX(EL!$AN$4:$AN$1012,MATCH($C347,EL!$E$4:$E$1012,0))="","",INDEX(EL!$AN$4:$AN$1012,MATCH($C347,EL!$E$4:$E$1012,0))),
IF($E347=5,IF(INDEX(EL!$AS$4:$AS$1012,MATCH($C347,EL!$E$4:$E$1012,0))="","",INDEX(EL!$AS$4:$AS$1012,MATCH($C347,EL!$E$4:$E$1012,0))),"")))))))</f>
        <v/>
      </c>
      <c r="I347" s="459" t="str">
        <f>IF(ISNA(MATCH($C347,EL!$E$4:$E$1012,0)),"",
IF($E347=0,IF(INDEX(EL!$S$4:$S$1012,MATCH($C347,EL!$E$4:$E$1012,0))="","",INDEX(EL!$S$4:$S$1012,MATCH($C347,EL!$E$4:$E$1012,0))),
IF($E347=1,IF(INDEX(EL!$X$4:$X$1012,MATCH($C347,EL!$E$4:$E$1012,0))="","",INDEX(EL!$X$4:$X$1012,MATCH($C347,EL!$E$4:$E$1012,0))),
IF($E347=2,IF(INDEX(EL!$AC$4:$AC$1012,MATCH($C347,EL!$E$4:$E$1012,0))="","",INDEX(EL!$AC$4:$AC$1012,MATCH($C347,EL!$E$4:$E$1012,0))),
IF($E347=3,IF(INDEX(EL!$AH$4:$AH$1012,MATCH($C347,EL!$E$4:$E$1012,0))="","",INDEX(EL!$AH$4:$AH$1012,MATCH($C347,EL!$E$4:$E$1012,0))),
IF($E347=4,IF(INDEX(EL!$AM$4:$AM$1012,MATCH($C347,EL!$E$4:$E$1012,0))="","",INDEX(EL!$AM$4:$AM$1012,MATCH($C347,EL!$E$4:$E$1012,0))),
IF($E347=5,IF(INDEX(EL!$AR$4:$AR$1012,MATCH($C347,EL!$E$4:$E$1012,0))="","",INDEX(EL!$AR$4:$AR$1012,MATCH($C347,EL!$E$4:$E$1012,0))),"")))))))</f>
        <v/>
      </c>
      <c r="J347" s="459" t="str">
        <f>IF(ISNA(MATCH($C347,EL!$E$4:$E$1012,0)),"",
IF($E347=0,IF(INDEX(EL!$T$4:$T$1012,MATCH($C347,EL!$E$4:$E$1012,0))="","",INDEX(EL!$T$4:$T$1012,MATCH($C347,EL!$E$4:$E$1012,0))),
IF($E347=1,IF(INDEX(EL!$Y$4:$Y$1012,MATCH($C347,EL!$E$4:$E$1012,0))="","",INDEX(EL!$Y$4:$Y$1012,MATCH($C347,EL!$E$4:$E$1012,0))),
IF($E347=2,IF(INDEX(EL!$AD$4:$AD$1012,MATCH($C347,EL!$E$4:$E$1012,0))="","",INDEX(EL!$AD$4:$AD$1012,MATCH($C347,EL!$E$4:$E$1012,0))),
IF($E347=3,IF(INDEX(EL!$AI$4:$AI$1012,MATCH($C347,EL!$E$4:$E$1012,0))="","",INDEX(EL!$AI$4:$AI$1012,MATCH($C347,EL!$E$4:$E$1012,0))),
IF($E347=4,IF(INDEX(EL!$AN$4:$AN$1012,MATCH($C347,EL!$E$4:$E$1012,0))="","",INDEX(EL!$AN$4:$AN$1012,MATCH($C347,EL!$E$4:$E$1012,0))),
IF($E347=5,IF(INDEX(EL!$AS$4:$AS$1012,MATCH($C347,EL!$E$4:$E$1012,0))="","",INDEX(EL!$AS$4:$AS$1012,MATCH($C347,EL!$E$4:$E$1012,0))),"")))))))</f>
        <v/>
      </c>
      <c r="K347" s="459">
        <f>EL!L261</f>
        <v>0</v>
      </c>
      <c r="L347" s="460" t="e" cm="1">
        <f t="array" aca="1" ref="L347" ca="1">_xlfn.IFS(AND($E347&lt;&gt;"",$M347="Pending",$K347="CTA"),TODAY()-$G347,AND($E347&lt;&gt;"",$M347="Pending",$K347="AUR"),TODAY()-$H347,AND($E347&lt;&gt;"",$M347="Pending",$K347="STT"),TODAY()-$I347,OR(K347="Closed",K347=""),"")</f>
        <v>#N/A</v>
      </c>
      <c r="M347" s="461">
        <f>VLOOKUP(C347,EL!$E$4:$AC$622,9,0)</f>
        <v>0</v>
      </c>
      <c r="N347" s="461" t="str">
        <f>IF(AND(E347&lt;&gt;"",M347="Pending"),IF(L347&gt;=5,"Overdue",IF(L347&gt;=3,"High","")),"")</f>
        <v/>
      </c>
      <c r="O347" s="739" t="str">
        <f>EL!O261</f>
        <v>LLE</v>
      </c>
      <c r="P347" s="746"/>
    </row>
    <row r="348" spans="1:16" s="385" customFormat="1" ht="27" customHeight="1">
      <c r="A348" s="813">
        <f>A347+1</f>
        <v>255</v>
      </c>
      <c r="B348" s="477" t="s">
        <v>52</v>
      </c>
      <c r="C348" s="454" t="s">
        <v>1219</v>
      </c>
      <c r="D348" s="456" t="str">
        <f>_xlfn.XLOOKUP(C348,EL!$E$4:$E$390,EL!$D$4:$D$390)</f>
        <v>Junction Box</v>
      </c>
      <c r="E348" s="597">
        <f>IF(VLOOKUP(C348,EL!$E$4:$AC$505,7,0)="","",VLOOKUP(C348,EL!$E$4:$AC$1004,7,0))</f>
        <v>0</v>
      </c>
      <c r="F348" s="462"/>
      <c r="G348" s="458">
        <f>IF(VLOOKUP(C348,EL!$E$4:$AC$514,5,0)="","",VLOOKUP(C348,EL!$E$4:$AC$514,5,0))</f>
        <v>46064</v>
      </c>
      <c r="H348" s="459">
        <f>IF(ISNA(MATCH($C348,EL!$E$4:$E$1012,0)),"",
IF($E348=0,IF(INDEX(EL!$R$4:$R$1012,MATCH($C348,EL!$E$4:$E$1012,0))="","",INDEX(EL!$R$4:$R$1012,MATCH($C348,EL!$E$4:$E$1012,0))),
IF($E348=1,IF(INDEX(EL!$W$4:$W$1012,MATCH($C348,EL!$E$4:$E$1012,0))="","",INDEX(EL!$W$4:$W$1012,MATCH($C348,EL!$E$4:$E$1012,0))),
IF($E348=2,IF(INDEX(EL!$AB$4:$AB$1012,MATCH($C348,EL!$E$4:$E$1012,0))="","",INDEX(EL!$AB$4:$AB$1012,MATCH($C348,EL!$E$4:$E$1012,0))),
IF($E348=3,IF(INDEX(EL!$AG$4:$AG$1012,MATCH($C348,EL!$E$4:$E$1012,0))="","",INDEX(EL!$AG$4:$AG$1012,MATCH($C348,EL!$E$4:$E$1012,0))),
IF($E348=4,IF(INDEX(EL!$AN$4:$AN$1012,MATCH($C348,EL!$E$4:$E$1012,0))="","",INDEX(EL!$AN$4:$AN$1012,MATCH($C348,EL!$E$4:$E$1012,0))),
IF($E348=5,IF(INDEX(EL!$AS$4:$AS$1012,MATCH($C348,EL!$E$4:$E$1012,0))="","",INDEX(EL!$AS$4:$AS$1012,MATCH($C348,EL!$E$4:$E$1012,0))),"")))))))</f>
        <v>46065</v>
      </c>
      <c r="I348" s="459" t="str">
        <f>IF(ISNA(MATCH($C348,EL!$E$4:$E$1012,0)),"",
IF($E348=0,IF(INDEX(EL!$S$4:$S$1012,MATCH($C348,EL!$E$4:$E$1012,0))="","",INDEX(EL!$S$4:$S$1012,MATCH($C348,EL!$E$4:$E$1012,0))),
IF($E348=1,IF(INDEX(EL!$X$4:$X$1012,MATCH($C348,EL!$E$4:$E$1012,0))="","",INDEX(EL!$X$4:$X$1012,MATCH($C348,EL!$E$4:$E$1012,0))),
IF($E348=2,IF(INDEX(EL!$AC$4:$AC$1012,MATCH($C348,EL!$E$4:$E$1012,0))="","",INDEX(EL!$AC$4:$AC$1012,MATCH($C348,EL!$E$4:$E$1012,0))),
IF($E348=3,IF(INDEX(EL!$AH$4:$AH$1012,MATCH($C348,EL!$E$4:$E$1012,0))="","",INDEX(EL!$AH$4:$AH$1012,MATCH($C348,EL!$E$4:$E$1012,0))),
IF($E348=4,IF(INDEX(EL!$AM$4:$AM$1012,MATCH($C348,EL!$E$4:$E$1012,0))="","",INDEX(EL!$AM$4:$AM$1012,MATCH($C348,EL!$E$4:$E$1012,0))),
IF($E348=5,IF(INDEX(EL!$AR$4:$AR$1012,MATCH($C348,EL!$E$4:$E$1012,0))="","",INDEX(EL!$AR$4:$AR$1012,MATCH($C348,EL!$E$4:$E$1012,0))),"")))))))</f>
        <v/>
      </c>
      <c r="J348" s="459" t="str">
        <f>IF(ISNA(MATCH($C348,EL!$E$4:$E$1012,0)),"",
IF($E348=0,IF(INDEX(EL!$T$4:$T$1012,MATCH($C348,EL!$E$4:$E$1012,0))="","",INDEX(EL!$T$4:$T$1012,MATCH($C348,EL!$E$4:$E$1012,0))),
IF($E348=1,IF(INDEX(EL!$Y$4:$Y$1012,MATCH($C348,EL!$E$4:$E$1012,0))="","",INDEX(EL!$Y$4:$Y$1012,MATCH($C348,EL!$E$4:$E$1012,0))),
IF($E348=2,IF(INDEX(EL!$AD$4:$AD$1012,MATCH($C348,EL!$E$4:$E$1012,0))="","",INDEX(EL!$AD$4:$AD$1012,MATCH($C348,EL!$E$4:$E$1012,0))),
IF($E348=3,IF(INDEX(EL!$AI$4:$AI$1012,MATCH($C348,EL!$E$4:$E$1012,0))="","",INDEX(EL!$AI$4:$AI$1012,MATCH($C348,EL!$E$4:$E$1012,0))),
IF($E348=4,IF(INDEX(EL!$AN$4:$AN$1012,MATCH($C348,EL!$E$4:$E$1012,0))="","",INDEX(EL!$AN$4:$AN$1012,MATCH($C348,EL!$E$4:$E$1012,0))),
IF($E348=5,IF(INDEX(EL!$AS$4:$AS$1012,MATCH($C348,EL!$E$4:$E$1012,0))="","",INDEX(EL!$AS$4:$AS$1012,MATCH($C348,EL!$E$4:$E$1012,0))),"")))))))</f>
        <v/>
      </c>
      <c r="K348" s="459" t="str">
        <f>EL!L262</f>
        <v>AUR</v>
      </c>
      <c r="L348" s="460" cm="1">
        <f t="array" aca="1" ref="L348" ca="1">_xlfn.IFS(AND($E348&lt;&gt;"",$M348="Pending",$K348="CTA"),TODAY()-$G348,AND($E348&lt;&gt;"",$M348="Pending",$K348="AUR"),TODAY()-$H348,AND($E348&lt;&gt;"",$M348="Pending",$K348="STT"),TODAY()-$I348,OR(K348="Closed",K348=""),"")</f>
        <v>1</v>
      </c>
      <c r="M348" s="461" t="str">
        <f>VLOOKUP(C348,EL!$E$4:$AC$622,9,0)</f>
        <v>Pending</v>
      </c>
      <c r="N348" s="461" t="str">
        <f ca="1">IF(AND(E348&lt;&gt;"",M348="Pending"),IF(L348&gt;=5,"Overdue",IF(L348&gt;=3,"High","")),"")</f>
        <v/>
      </c>
      <c r="O348" s="739" t="str">
        <f>EL!O262</f>
        <v>LLE</v>
      </c>
      <c r="P348" s="746"/>
    </row>
    <row r="349" spans="1:16" s="385" customFormat="1" ht="24.95" hidden="1" customHeight="1">
      <c r="A349" s="402"/>
      <c r="B349" s="478"/>
      <c r="C349" s="479"/>
      <c r="D349" s="480"/>
      <c r="E349" s="454"/>
      <c r="F349" s="481"/>
      <c r="G349" s="461"/>
      <c r="H349" s="461"/>
      <c r="I349" s="461" t="str">
        <f>IF(ISNA(MATCH($C349,EL!$E$4:$E$1126,0)),"",
IF($E349=0,IF(INDEX(EL!$Q$4:$Q$1126,MATCH($C349,EL!$E$4:$E$1126,0))="","",INDEX(EL!$Q$4:$Q$1126,MATCH($C349,EL!$E$4:$E$1126,0))),
IF($E349=1,IF(INDEX(EL!$V$4:$V$1126,MATCH($C349,EL!$E$4:$E$1126,0))="","",INDEX(EL!$V$4:$V$1126,MATCH($C349,EL!$E$4:$E$1126,0))),
IF($E349=2,IF(INDEX(EL!$AA$4:$AA$1126,MATCH($C349,EL!$E$4:$E$1126,0))="","",INDEX(EL!$AA$4:$AA$1126,MATCH($C349,EL!$E$4:$E$1126,0))),
IF($E349=3,IF(INDEX(EL!$AF$4:$AF$1126,MATCH($C349,EL!$E$4:$E$1126,0))="","",INDEX(EL!$AF$4:$AF$1126,MATCH($C349,EL!$E$4:$E$1126,0))),
IF($E349=4,IF(INDEX(EL!$AK$4:$AK$1126,MATCH($C349,EL!$E$4:$E$1126,0))="","",INDEX(EL!$AK$4:$AK$1126,MATCH($C349,EL!$E$4:$E$1126,0))),
IF($E349=5,IF(INDEX(EL!$AP$4:$AP$1126,MATCH($C349,EL!$E$4:$E$1126,0))="","",INDEX(EL!$AP$4:$AP$1126,MATCH($C349,EL!$E$4:$E$1126,0))),"")))))))</f>
        <v/>
      </c>
      <c r="J349" s="459" t="str">
        <f>IF(ISNA(MATCH($C349,[1]EL!$E$4:$E$1127,0)),"",
IF($E349=0,IF(INDEX([1]EL!$Q$4:$Q$1127,MATCH($C349,[1]EL!$E$4:$E$1127,0))="","",INDEX([1]EL!$Q$4:$Q$1127,MATCH($C349,[1]EL!$E$4:$E$1127,0))),
IF($E349=1,IF(INDEX([1]EL!$V$4:$V$1127,MATCH($C349,[1]EL!$E$4:$E$1127,0))="","",INDEX([1]EL!$V$4:$V$1127,MATCH($C349,[1]EL!$E$4:$E$1127,0))),
IF($E349=2,IF(INDEX([1]EL!$AA$4:$AA$1127,MATCH($C349,[1]EL!$E$4:$E$1127,0))="","",INDEX([1]EL!$AA$4:$AA$1127,MATCH($C349,[1]EL!$E$4:$E$1127,0))),
IF($E349=3,IF(INDEX([1]EL!$AF$4:$AF$1127,MATCH($C349,[1]EL!$E$4:$E$1127,0))="","",INDEX([1]EL!$AF$4:$AF$1127,MATCH($C349,[1]EL!$E$4:$E$1127,0))),
IF($E349=4,IF(INDEX([1]EL!$AK$4:$AK$1127,MATCH($C349,[1]EL!$E$4:$E$1127,0))="","",INDEX([1]EL!$AK$4:$AK$1127,MATCH($C349,[1]EL!$E$4:$E$1127,0))),
IF($E349=5,IF(INDEX([1]EL!$AP$4:$AP$1127,MATCH($C349,[1]EL!$E$4:$E$1127,0))="","",INDEX([1]EL!$AP$4:$AP$1127,MATCH($C349,[1]EL!$E$4:$E$1127,0))),"")))))))</f>
        <v/>
      </c>
      <c r="K349" s="459"/>
      <c r="L349" s="459"/>
      <c r="M349" s="459"/>
      <c r="N349" s="461" t="str">
        <f t="shared" ref="N349" si="15">IF(AND(E349&lt;&gt;"",M349="Pending"),IF(L349&gt;=5,"Overdue",IF(L349&gt;=3,"High","")),"")</f>
        <v/>
      </c>
      <c r="O349" s="741"/>
      <c r="P349" s="748"/>
    </row>
    <row r="350" spans="1:16" s="385" customFormat="1" ht="24.95" hidden="1" customHeight="1">
      <c r="A350" s="403" t="s">
        <v>1697</v>
      </c>
      <c r="B350" s="482"/>
      <c r="C350" s="483"/>
      <c r="D350" s="484"/>
      <c r="E350" s="484"/>
      <c r="F350" s="485" t="s">
        <v>1693</v>
      </c>
      <c r="G350" s="486"/>
      <c r="H350" s="486"/>
      <c r="I350" s="486"/>
      <c r="J350" s="486"/>
      <c r="K350" s="486"/>
      <c r="L350" s="486"/>
      <c r="M350" s="752"/>
      <c r="N350" s="486"/>
      <c r="O350" s="486"/>
      <c r="P350" s="486"/>
    </row>
    <row r="351" spans="1:16" s="385" customFormat="1" ht="24.75" hidden="1" customHeight="1">
      <c r="A351" s="404">
        <v>1</v>
      </c>
      <c r="B351" s="487" t="s">
        <v>21</v>
      </c>
      <c r="C351" s="488" t="s">
        <v>1479</v>
      </c>
      <c r="D351" s="456" t="str">
        <f>_xlfn.XLOOKUP(C351,FI!$E$4:$E$248,FI!$D$4:$D$248)</f>
        <v>Fire Protection Drawing Index</v>
      </c>
      <c r="E351" s="488" t="str">
        <f>IF(VLOOKUP(C351,FI!$E$4:$AC$486,5,0)="","",VLOOKUP(C351,FI!$E$4:$AC$985,5,0))</f>
        <v/>
      </c>
      <c r="F351" s="489"/>
      <c r="G351" s="490" t="str">
        <f>IF(VLOOKUP(C351,FI!$E$4:$AC$486,3,0)="","",VLOOKUP(C351,FI!$E$4:$AC$486,3,0))</f>
        <v/>
      </c>
      <c r="H351" s="459" t="str">
        <f>IF(ISNA(MATCH($C351,FI!$E$4:$E$999,0)),"",
IF($E351=0,IF(INDEX(FI!$P$4:$P$999,MATCH($C351,FI!$E$4:$E$999,0))="","",INDEX(FI!$P$4:$P$999,MATCH($C351,FI!$E$4:$E$999,0))),
IF($E351=1,IF(INDEX(FI!$U$4:$U$999,MATCH($C351,FI!$E$4:$E$999,0))="","",INDEX(FI!$U$4:$U$999,MATCH($C351,FI!$E$4:$E$999,0))),
IF($E351=2,IF(INDEX(FI!$Z$4:$Z$999,MATCH($C351,FI!$E$4:$E$999,0))="","",INDEX(FI!$Z$4:$Z$999,MATCH($C351,FI!$E$4:$E$999,0))),
IF($E351=3,IF(INDEX(FI!$AE$4:$AE$999,MATCH($C351,FI!$E$4:$E$999,0))="","",INDEX(FI!$AE$4:$AE$999,MATCH($C351,FI!$E$4:$E$999,0))),
IF($E351=4,IF(INDEX(FI!$AJ$4:$AJ$999,MATCH($C351,FI!$E$4:$E$999,0))="","",INDEX(FI!$AJ$4:$AJ$999,MATCH($C351,FI!$E$4:$E$999,0))),
IF($E351=5,IF(INDEX(FI!$AO$4:$AO$999,MATCH($C351,FI!$E$4:$E$999,0))="","",INDEX(FI!$AO$4:$AO$999,MATCH($C351,FI!$E$4:$E$999,0))),"")))))))</f>
        <v/>
      </c>
      <c r="I351" s="459" t="str">
        <f>IF(ISNA(MATCH($C351,FI!$E$4:$E$999,0)),"",
IF($E351=0,IF(INDEX(FI!$Q$4:$Q$999,MATCH($C351,FI!$E$4:$E$999,0))="","",INDEX(FI!$Q$4:$Q$999,MATCH($C351,FI!$E$4:$E$999,0))),
IF($E351=1,IF(INDEX(FI!$V$4:$V$999,MATCH($C351,FI!$E$4:$E$999,0))="","",INDEX(FI!$V$4:$V$999,MATCH($C351,FI!$E$4:$E$999,0))),
IF($E351=2,IF(INDEX(FI!$AA$4:$AA$999,MATCH($C351,FI!$E$4:$E$999,0))="","",INDEX(FI!$AA$4:$AA$999,MATCH($C351,FI!$E$4:$E$999,0))),
IF($E351=3,IF(INDEX(FI!$AF$4:$AF$999,MATCH($C351,FI!$E$4:$E$999,0))="","",INDEX(FI!$AF$4:$AF$999,MATCH($C351,FI!$E$4:$E$999,0))),
IF($E351=4,IF(INDEX(FI!$AK$4:$AK$999,MATCH($C351,FI!$E$4:$E$999,0))="","",INDEX(FI!$AK$4:$AK$999,MATCH($C351,FI!$E$4:$E$999,0))),
IF($E351=5,IF(INDEX(FI!$AP$4:$AP$999,MATCH($C351,FI!$E$4:$E$999,0))="","",INDEX(FI!$AP$4:$AP$999,MATCH($C351,FI!$E$4:$E$999,0))),"")))))))</f>
        <v/>
      </c>
      <c r="J351" s="459" t="str">
        <f>IF(ISNA(MATCH($C351,FI!$E$4:$E$999,0)),"",
IF($E351=0,IF(INDEX(FI!$R$4:$R$999,MATCH($C351,FI!$E$4:$E$999,0))="","",INDEX(FI!$R$4:$R$999,MATCH($C351,FI!$E$4:$E$999,0))),
IF($E351=1,IF(INDEX(FI!$W$4:$W$999,MATCH($C351,FI!$E$4:$E$999,0))="","",INDEX(FI!$W$4:$W$999,MATCH($C351,FI!$E$4:$E$999,0))),
IF($E351=2,IF(INDEX(FI!$AB$4:$AB$999,MATCH($C351,FI!$E$4:$E$999,0))="","",INDEX(FI!$AB$4:$AB$999,MATCH($C351,FI!$E$4:$E$999,0))),
IF($E351=3,IF(INDEX(FI!$AG$4:$AG$999,MATCH($C351,FI!$E$4:$E$999,0))="","",INDEX(FI!$AG$4:$AG$999,MATCH($C351,FI!$E$4:$E$999,0))),
IF($E351=4,IF(INDEX(FI!$AL$4:$AL$999,MATCH($C351,FI!$E$4:$E$999,0))="","",INDEX(FI!$AL$4:$AL$999,MATCH($C351,FI!$E$4:$E$999,0))),
IF($E351=5,IF(INDEX(FI!$AQ$4:$AQ$999,MATCH($C351,FI!$E$4:$E$999,0))="","",INDEX(FI!$AQ$4:$AQ$999,MATCH($C351,FI!$E$4:$E$999,0))),"")))))))</f>
        <v/>
      </c>
      <c r="K351" s="459">
        <f>FI!J4</f>
        <v>0</v>
      </c>
      <c r="L351" s="460" t="e" cm="1">
        <f t="array" aca="1" ref="L351" ca="1">_xlfn.IFS(AND($E351&lt;&gt;"",$M351="Pending",$K351="CTA"),TODAY()-$G351,AND($E351&lt;&gt;"",$M351="Pending",$K351="AUR"),TODAY()-$H351,AND($E351&lt;&gt;"",$M351="Pending",$K351="STT"),TODAY()-$I351,OR(K351="Closed",K351=""),"")</f>
        <v>#N/A</v>
      </c>
      <c r="M351" s="461">
        <f>VLOOKUP(C351,FI!$E$4:$AC$620,7,0)</f>
        <v>0</v>
      </c>
      <c r="N351" s="461" t="str">
        <f>IF(AND(E351&lt;&gt;"",M351="Pending"),IF(L351&gt;=5,"Overdue",IF(L351&gt;=3,"High","")),"")</f>
        <v/>
      </c>
      <c r="O351" s="739" t="str">
        <f>FI!M4</f>
        <v>GC</v>
      </c>
      <c r="P351" s="746" t="str" cm="1">
        <f t="array" ref="P351:P390">FI!AS4:AS43</f>
        <v>NO</v>
      </c>
    </row>
    <row r="352" spans="1:16" s="385" customFormat="1" ht="24.75" customHeight="1">
      <c r="A352" s="399">
        <v>2</v>
      </c>
      <c r="B352" s="607" t="s">
        <v>21</v>
      </c>
      <c r="C352" s="454" t="s">
        <v>1482</v>
      </c>
      <c r="D352" s="456" t="str">
        <f>_xlfn.XLOOKUP(C352,FI!$E$4:$E$248,FI!$D$4:$D$248)</f>
        <v>Fire Protection Legend &amp; Abbreviation</v>
      </c>
      <c r="E352" s="488">
        <f>IF(VLOOKUP(C352,FI!$E$4:$AC$486,5,0)="","",VLOOKUP(C352,FI!$E$4:$AC$985,5,0))</f>
        <v>0</v>
      </c>
      <c r="F352" s="457">
        <v>46034</v>
      </c>
      <c r="G352" s="490">
        <f>IF(VLOOKUP(C352,FI!$E$4:$AC$486,3,0)="","",VLOOKUP(C352,FI!$E$4:$AC$486,3,0))</f>
        <v>46034</v>
      </c>
      <c r="H352" s="459">
        <f>IF(ISNA(MATCH($C352,FI!$E$4:$E$999,0)),"",
IF($E352=0,IF(INDEX(FI!$P$4:$P$999,MATCH($C352,FI!$E$4:$E$999,0))="","",INDEX(FI!$P$4:$P$999,MATCH($C352,FI!$E$4:$E$999,0))),
IF($E352=1,IF(INDEX(FI!$U$4:$U$999,MATCH($C352,FI!$E$4:$E$999,0))="","",INDEX(FI!$U$4:$U$999,MATCH($C352,FI!$E$4:$E$999,0))),
IF($E352=2,IF(INDEX(FI!$Z$4:$Z$999,MATCH($C352,FI!$E$4:$E$999,0))="","",INDEX(FI!$Z$4:$Z$999,MATCH($C352,FI!$E$4:$E$999,0))),
IF($E352=3,IF(INDEX(FI!$AE$4:$AE$999,MATCH($C352,FI!$E$4:$E$999,0))="","",INDEX(FI!$AE$4:$AE$999,MATCH($C352,FI!$E$4:$E$999,0))),
IF($E352=4,IF(INDEX(FI!$AJ$4:$AJ$999,MATCH($C352,FI!$E$4:$E$999,0))="","",INDEX(FI!$AJ$4:$AJ$999,MATCH($C352,FI!$E$4:$E$999,0))),
IF($E352=5,IF(INDEX(FI!$AO$4:$AO$999,MATCH($C352,FI!$E$4:$E$999,0))="","",INDEX(FI!$AO$4:$AO$999,MATCH($C352,FI!$E$4:$E$999,0))),"")))))))</f>
        <v>46057</v>
      </c>
      <c r="I352" s="459" t="str">
        <f>IF(ISNA(MATCH($C352,FI!$E$4:$E$999,0)),"",
IF($E352=0,IF(INDEX(FI!$Q$4:$Q$999,MATCH($C352,FI!$E$4:$E$999,0))="","",INDEX(FI!$Q$4:$Q$999,MATCH($C352,FI!$E$4:$E$999,0))),
IF($E352=1,IF(INDEX(FI!$V$4:$V$999,MATCH($C352,FI!$E$4:$E$999,0))="","",INDEX(FI!$V$4:$V$999,MATCH($C352,FI!$E$4:$E$999,0))),
IF($E352=2,IF(INDEX(FI!$AA$4:$AA$999,MATCH($C352,FI!$E$4:$E$999,0))="","",INDEX(FI!$AA$4:$AA$999,MATCH($C352,FI!$E$4:$E$999,0))),
IF($E352=3,IF(INDEX(FI!$AF$4:$AF$999,MATCH($C352,FI!$E$4:$E$999,0))="","",INDEX(FI!$AF$4:$AF$999,MATCH($C352,FI!$E$4:$E$999,0))),
IF($E352=4,IF(INDEX(FI!$AK$4:$AK$999,MATCH($C352,FI!$E$4:$E$999,0))="","",INDEX(FI!$AK$4:$AK$999,MATCH($C352,FI!$E$4:$E$999,0))),
IF($E352=5,IF(INDEX(FI!$AP$4:$AP$999,MATCH($C352,FI!$E$4:$E$999,0))="","",INDEX(FI!$AP$4:$AP$999,MATCH($C352,FI!$E$4:$E$999,0))),"")))))))</f>
        <v/>
      </c>
      <c r="J352" s="459" t="str">
        <f>IF(ISNA(MATCH($C352,FI!$E$4:$E$999,0)),"",
IF($E352=0,IF(INDEX(FI!$R$4:$R$999,MATCH($C352,FI!$E$4:$E$999,0))="","",INDEX(FI!$R$4:$R$999,MATCH($C352,FI!$E$4:$E$999,0))),
IF($E352=1,IF(INDEX(FI!$W$4:$W$999,MATCH($C352,FI!$E$4:$E$999,0))="","",INDEX(FI!$W$4:$W$999,MATCH($C352,FI!$E$4:$E$999,0))),
IF($E352=2,IF(INDEX(FI!$AB$4:$AB$999,MATCH($C352,FI!$E$4:$E$999,0))="","",INDEX(FI!$AB$4:$AB$999,MATCH($C352,FI!$E$4:$E$999,0))),
IF($E352=3,IF(INDEX(FI!$AG$4:$AG$999,MATCH($C352,FI!$E$4:$E$999,0))="","",INDEX(FI!$AG$4:$AG$999,MATCH($C352,FI!$E$4:$E$999,0))),
IF($E352=4,IF(INDEX(FI!$AL$4:$AL$999,MATCH($C352,FI!$E$4:$E$999,0))="","",INDEX(FI!$AL$4:$AL$999,MATCH($C352,FI!$E$4:$E$999,0))),
IF($E352=5,IF(INDEX(FI!$AQ$4:$AQ$999,MATCH($C352,FI!$E$4:$E$999,0))="","",INDEX(FI!$AQ$4:$AQ$999,MATCH($C352,FI!$E$4:$E$999,0))),"")))))))</f>
        <v/>
      </c>
      <c r="K352" s="459" t="str">
        <f>FI!J5</f>
        <v>AUR</v>
      </c>
      <c r="L352" s="460" cm="1">
        <f t="array" aca="1" ref="L352" ca="1">_xlfn.IFS(AND($E352&lt;&gt;"",$M352="Pending",$K352="CTA"),TODAY()-$G352,AND($E352&lt;&gt;"",$M352="Pending",$K352="AUR"),TODAY()-$H352,AND($E352&lt;&gt;"",$M352="Pending",$K352="STT"),TODAY()-$I352,OR(K352="Closed",K352=""),"")</f>
        <v>9</v>
      </c>
      <c r="M352" s="461" t="str">
        <f>VLOOKUP(C352,FI!$E$4:$AC$620,7,0)</f>
        <v>Pending</v>
      </c>
      <c r="N352" s="454" t="str">
        <f t="shared" ref="N352" ca="1" si="16">IF(AND(E352&lt;&gt;"",M352="Pending"),IF(L352&gt;=5,"Overdue",IF(L352&gt;=3,"High","")),"")</f>
        <v>Overdue</v>
      </c>
      <c r="O352" s="739" t="str">
        <f>FI!M5</f>
        <v>GC</v>
      </c>
      <c r="P352" s="746" t="str">
        <v>NO</v>
      </c>
    </row>
    <row r="353" spans="1:16" s="385" customFormat="1" ht="24.75" customHeight="1">
      <c r="A353" s="399">
        <v>3</v>
      </c>
      <c r="B353" s="607" t="s">
        <v>21</v>
      </c>
      <c r="C353" s="454" t="s">
        <v>1485</v>
      </c>
      <c r="D353" s="456" t="str">
        <f>_xlfn.XLOOKUP(C353,FI!$E$4:$E$248,FI!$D$4:$D$248)</f>
        <v>Fire Protection System Schematic Diagram</v>
      </c>
      <c r="E353" s="488">
        <f>IF(VLOOKUP(C353,FI!$E$4:$AC$486,5,0)="","",VLOOKUP(C353,FI!$E$4:$AC$985,5,0))</f>
        <v>0</v>
      </c>
      <c r="F353" s="491"/>
      <c r="G353" s="490">
        <f>IF(VLOOKUP(C353,FI!$E$4:$AC$486,3,0)="","",VLOOKUP(C353,FI!$E$4:$AC$486,3,0))</f>
        <v>46041</v>
      </c>
      <c r="H353" s="459">
        <f>IF(ISNA(MATCH($C353,FI!$E$4:$E$999,0)),"",
IF($E353=0,IF(INDEX(FI!$P$4:$P$999,MATCH($C353,FI!$E$4:$E$999,0))="","",INDEX(FI!$P$4:$P$999,MATCH($C353,FI!$E$4:$E$999,0))),
IF($E353=1,IF(INDEX(FI!$U$4:$U$999,MATCH($C353,FI!$E$4:$E$999,0))="","",INDEX(FI!$U$4:$U$999,MATCH($C353,FI!$E$4:$E$999,0))),
IF($E353=2,IF(INDEX(FI!$Z$4:$Z$999,MATCH($C353,FI!$E$4:$E$999,0))="","",INDEX(FI!$Z$4:$Z$999,MATCH($C353,FI!$E$4:$E$999,0))),
IF($E353=3,IF(INDEX(FI!$AE$4:$AE$999,MATCH($C353,FI!$E$4:$E$999,0))="","",INDEX(FI!$AE$4:$AE$999,MATCH($C353,FI!$E$4:$E$999,0))),
IF($E353=4,IF(INDEX(FI!$AJ$4:$AJ$999,MATCH($C353,FI!$E$4:$E$999,0))="","",INDEX(FI!$AJ$4:$AJ$999,MATCH($C353,FI!$E$4:$E$999,0))),
IF($E353=5,IF(INDEX(FI!$AO$4:$AO$999,MATCH($C353,FI!$E$4:$E$999,0))="","",INDEX(FI!$AO$4:$AO$999,MATCH($C353,FI!$E$4:$E$999,0))),"")))))))</f>
        <v>46057</v>
      </c>
      <c r="I353" s="459" t="str">
        <f>IF(ISNA(MATCH($C353,FI!$E$4:$E$999,0)),"",
IF($E353=0,IF(INDEX(FI!$Q$4:$Q$999,MATCH($C353,FI!$E$4:$E$999,0))="","",INDEX(FI!$Q$4:$Q$999,MATCH($C353,FI!$E$4:$E$999,0))),
IF($E353=1,IF(INDEX(FI!$V$4:$V$999,MATCH($C353,FI!$E$4:$E$999,0))="","",INDEX(FI!$V$4:$V$999,MATCH($C353,FI!$E$4:$E$999,0))),
IF($E353=2,IF(INDEX(FI!$AA$4:$AA$999,MATCH($C353,FI!$E$4:$E$999,0))="","",INDEX(FI!$AA$4:$AA$999,MATCH($C353,FI!$E$4:$E$999,0))),
IF($E353=3,IF(INDEX(FI!$AF$4:$AF$999,MATCH($C353,FI!$E$4:$E$999,0))="","",INDEX(FI!$AF$4:$AF$999,MATCH($C353,FI!$E$4:$E$999,0))),
IF($E353=4,IF(INDEX(FI!$AK$4:$AK$999,MATCH($C353,FI!$E$4:$E$999,0))="","",INDEX(FI!$AK$4:$AK$999,MATCH($C353,FI!$E$4:$E$999,0))),
IF($E353=5,IF(INDEX(FI!$AP$4:$AP$999,MATCH($C353,FI!$E$4:$E$999,0))="","",INDEX(FI!$AP$4:$AP$999,MATCH($C353,FI!$E$4:$E$999,0))),"")))))))</f>
        <v/>
      </c>
      <c r="J353" s="459" t="str">
        <f>IF(ISNA(MATCH($C353,FI!$E$4:$E$999,0)),"",
IF($E353=0,IF(INDEX(FI!$R$4:$R$999,MATCH($C353,FI!$E$4:$E$999,0))="","",INDEX(FI!$R$4:$R$999,MATCH($C353,FI!$E$4:$E$999,0))),
IF($E353=1,IF(INDEX(FI!$W$4:$W$999,MATCH($C353,FI!$E$4:$E$999,0))="","",INDEX(FI!$W$4:$W$999,MATCH($C353,FI!$E$4:$E$999,0))),
IF($E353=2,IF(INDEX(FI!$AB$4:$AB$999,MATCH($C353,FI!$E$4:$E$999,0))="","",INDEX(FI!$AB$4:$AB$999,MATCH($C353,FI!$E$4:$E$999,0))),
IF($E353=3,IF(INDEX(FI!$AG$4:$AG$999,MATCH($C353,FI!$E$4:$E$999,0))="","",INDEX(FI!$AG$4:$AG$999,MATCH($C353,FI!$E$4:$E$999,0))),
IF($E353=4,IF(INDEX(FI!$AL$4:$AL$999,MATCH($C353,FI!$E$4:$E$999,0))="","",INDEX(FI!$AL$4:$AL$999,MATCH($C353,FI!$E$4:$E$999,0))),
IF($E353=5,IF(INDEX(FI!$AQ$4:$AQ$999,MATCH($C353,FI!$E$4:$E$999,0))="","",INDEX(FI!$AQ$4:$AQ$999,MATCH($C353,FI!$E$4:$E$999,0))),"")))))))</f>
        <v/>
      </c>
      <c r="K353" s="459" t="str">
        <f>FI!J6</f>
        <v>AUR</v>
      </c>
      <c r="L353" s="460" cm="1">
        <f t="array" aca="1" ref="L353" ca="1">_xlfn.IFS(AND($E353&lt;&gt;"",$M353="Pending",$K353="CTA"),TODAY()-$G353,AND($E353&lt;&gt;"",$M353="Pending",$K353="AUR"),TODAY()-$H353,AND($E353&lt;&gt;"",$M353="Pending",$K353="STT"),TODAY()-$I353,OR(K353="Closed",K353=""),"")</f>
        <v>9</v>
      </c>
      <c r="M353" s="461" t="str">
        <f>VLOOKUP(C353,FI!$E$4:$AC$620,7,0)</f>
        <v>Pending</v>
      </c>
      <c r="N353" s="461" t="str">
        <f t="shared" ref="N353:N415" ca="1" si="17">IF(AND(E353&lt;&gt;"",M353="Pending"),IF(L353&gt;=5,"Overdue",IF(L353&gt;=3,"High","")),"")</f>
        <v>Overdue</v>
      </c>
      <c r="O353" s="739" t="str">
        <f>FI!M6</f>
        <v>GC</v>
      </c>
      <c r="P353" s="746" t="str">
        <v>NO</v>
      </c>
    </row>
    <row r="354" spans="1:16" s="385" customFormat="1" ht="24.75" customHeight="1">
      <c r="A354" s="399">
        <v>4</v>
      </c>
      <c r="B354" s="607" t="s">
        <v>21</v>
      </c>
      <c r="C354" s="454" t="s">
        <v>1488</v>
      </c>
      <c r="D354" s="456" t="str">
        <f>_xlfn.XLOOKUP(C354,FI!$E$4:$E$248,FI!$D$4:$D$248)</f>
        <v>Schematic Diagram For Fire Pump</v>
      </c>
      <c r="E354" s="488">
        <f>IF(VLOOKUP(C354,FI!$E$4:$AC$486,5,0)="","",VLOOKUP(C354,FI!$E$4:$AC$985,5,0))</f>
        <v>0</v>
      </c>
      <c r="F354" s="457"/>
      <c r="G354" s="490">
        <f>IF(VLOOKUP(C354,FI!$E$4:$AC$486,3,0)="","",VLOOKUP(C354,FI!$E$4:$AC$486,3,0))</f>
        <v>46041</v>
      </c>
      <c r="H354" s="459">
        <f>IF(ISNA(MATCH($C354,FI!$E$4:$E$999,0)),"",
IF($E354=0,IF(INDEX(FI!$P$4:$P$999,MATCH($C354,FI!$E$4:$E$999,0))="","",INDEX(FI!$P$4:$P$999,MATCH($C354,FI!$E$4:$E$999,0))),
IF($E354=1,IF(INDEX(FI!$U$4:$U$999,MATCH($C354,FI!$E$4:$E$999,0))="","",INDEX(FI!$U$4:$U$999,MATCH($C354,FI!$E$4:$E$999,0))),
IF($E354=2,IF(INDEX(FI!$Z$4:$Z$999,MATCH($C354,FI!$E$4:$E$999,0))="","",INDEX(FI!$Z$4:$Z$999,MATCH($C354,FI!$E$4:$E$999,0))),
IF($E354=3,IF(INDEX(FI!$AE$4:$AE$999,MATCH($C354,FI!$E$4:$E$999,0))="","",INDEX(FI!$AE$4:$AE$999,MATCH($C354,FI!$E$4:$E$999,0))),
IF($E354=4,IF(INDEX(FI!$AJ$4:$AJ$999,MATCH($C354,FI!$E$4:$E$999,0))="","",INDEX(FI!$AJ$4:$AJ$999,MATCH($C354,FI!$E$4:$E$999,0))),
IF($E354=5,IF(INDEX(FI!$AO$4:$AO$999,MATCH($C354,FI!$E$4:$E$999,0))="","",INDEX(FI!$AO$4:$AO$999,MATCH($C354,FI!$E$4:$E$999,0))),"")))))))</f>
        <v>46057</v>
      </c>
      <c r="I354" s="459" t="str">
        <f>IF(ISNA(MATCH($C354,FI!$E$4:$E$999,0)),"",
IF($E354=0,IF(INDEX(FI!$Q$4:$Q$999,MATCH($C354,FI!$E$4:$E$999,0))="","",INDEX(FI!$Q$4:$Q$999,MATCH($C354,FI!$E$4:$E$999,0))),
IF($E354=1,IF(INDEX(FI!$V$4:$V$999,MATCH($C354,FI!$E$4:$E$999,0))="","",INDEX(FI!$V$4:$V$999,MATCH($C354,FI!$E$4:$E$999,0))),
IF($E354=2,IF(INDEX(FI!$AA$4:$AA$999,MATCH($C354,FI!$E$4:$E$999,0))="","",INDEX(FI!$AA$4:$AA$999,MATCH($C354,FI!$E$4:$E$999,0))),
IF($E354=3,IF(INDEX(FI!$AF$4:$AF$999,MATCH($C354,FI!$E$4:$E$999,0))="","",INDEX(FI!$AF$4:$AF$999,MATCH($C354,FI!$E$4:$E$999,0))),
IF($E354=4,IF(INDEX(FI!$AK$4:$AK$999,MATCH($C354,FI!$E$4:$E$999,0))="","",INDEX(FI!$AK$4:$AK$999,MATCH($C354,FI!$E$4:$E$999,0))),
IF($E354=5,IF(INDEX(FI!$AP$4:$AP$999,MATCH($C354,FI!$E$4:$E$999,0))="","",INDEX(FI!$AP$4:$AP$999,MATCH($C354,FI!$E$4:$E$999,0))),"")))))))</f>
        <v/>
      </c>
      <c r="J354" s="459" t="str">
        <f>IF(ISNA(MATCH($C354,FI!$E$4:$E$999,0)),"",
IF($E354=0,IF(INDEX(FI!$R$4:$R$999,MATCH($C354,FI!$E$4:$E$999,0))="","",INDEX(FI!$R$4:$R$999,MATCH($C354,FI!$E$4:$E$999,0))),
IF($E354=1,IF(INDEX(FI!$W$4:$W$999,MATCH($C354,FI!$E$4:$E$999,0))="","",INDEX(FI!$W$4:$W$999,MATCH($C354,FI!$E$4:$E$999,0))),
IF($E354=2,IF(INDEX(FI!$AB$4:$AB$999,MATCH($C354,FI!$E$4:$E$999,0))="","",INDEX(FI!$AB$4:$AB$999,MATCH($C354,FI!$E$4:$E$999,0))),
IF($E354=3,IF(INDEX(FI!$AG$4:$AG$999,MATCH($C354,FI!$E$4:$E$999,0))="","",INDEX(FI!$AG$4:$AG$999,MATCH($C354,FI!$E$4:$E$999,0))),
IF($E354=4,IF(INDEX(FI!$AL$4:$AL$999,MATCH($C354,FI!$E$4:$E$999,0))="","",INDEX(FI!$AL$4:$AL$999,MATCH($C354,FI!$E$4:$E$999,0))),
IF($E354=5,IF(INDEX(FI!$AQ$4:$AQ$999,MATCH($C354,FI!$E$4:$E$999,0))="","",INDEX(FI!$AQ$4:$AQ$999,MATCH($C354,FI!$E$4:$E$999,0))),"")))))))</f>
        <v/>
      </c>
      <c r="K354" s="459" t="str">
        <f>FI!J7</f>
        <v>AUR</v>
      </c>
      <c r="L354" s="460" cm="1">
        <f t="array" aca="1" ref="L354" ca="1">_xlfn.IFS(AND($E354&lt;&gt;"",$M354="Pending",$K354="CTA"),TODAY()-$G354,AND($E354&lt;&gt;"",$M354="Pending",$K354="AUR"),TODAY()-$H354,AND($E354&lt;&gt;"",$M354="Pending",$K354="STT"),TODAY()-$I354,OR(K354="Closed",K354=""),"")</f>
        <v>9</v>
      </c>
      <c r="M354" s="461" t="str">
        <f>VLOOKUP(C354,FI!$E$4:$AC$620,7,0)</f>
        <v>Pending</v>
      </c>
      <c r="N354" s="461" t="str">
        <f t="shared" ca="1" si="17"/>
        <v>Overdue</v>
      </c>
      <c r="O354" s="739" t="str">
        <f>FI!M7</f>
        <v>GC</v>
      </c>
      <c r="P354" s="746" t="str">
        <v>NO</v>
      </c>
    </row>
    <row r="355" spans="1:16" s="385" customFormat="1" ht="24.75" hidden="1" customHeight="1">
      <c r="A355" s="399">
        <v>5</v>
      </c>
      <c r="B355" s="455" t="s">
        <v>21</v>
      </c>
      <c r="C355" s="454" t="s">
        <v>1491</v>
      </c>
      <c r="D355" s="456" t="str">
        <f>_xlfn.XLOOKUP(C355,FI!$E$4:$E$248,FI!$D$4:$D$248)</f>
        <v>Nitrogen Suppression Schematic Diagram</v>
      </c>
      <c r="E355" s="488" t="str">
        <f>IF(VLOOKUP(C355,FI!$E$4:$AC$486,5,0)="","",VLOOKUP(C355,FI!$E$4:$AC$985,5,0))</f>
        <v/>
      </c>
      <c r="F355" s="457"/>
      <c r="G355" s="490" t="str">
        <f>IF(VLOOKUP(C355,FI!$E$4:$AC$486,3,0)="","",VLOOKUP(C355,FI!$E$4:$AC$486,3,0))</f>
        <v/>
      </c>
      <c r="H355" s="459" t="str">
        <f>IF(ISNA(MATCH($C355,FI!$E$4:$E$999,0)),"",
IF($E355=0,IF(INDEX(FI!$P$4:$P$999,MATCH($C355,FI!$E$4:$E$999,0))="","",INDEX(FI!$P$4:$P$999,MATCH($C355,FI!$E$4:$E$999,0))),
IF($E355=1,IF(INDEX(FI!$U$4:$U$999,MATCH($C355,FI!$E$4:$E$999,0))="","",INDEX(FI!$U$4:$U$999,MATCH($C355,FI!$E$4:$E$999,0))),
IF($E355=2,IF(INDEX(FI!$Z$4:$Z$999,MATCH($C355,FI!$E$4:$E$999,0))="","",INDEX(FI!$Z$4:$Z$999,MATCH($C355,FI!$E$4:$E$999,0))),
IF($E355=3,IF(INDEX(FI!$AE$4:$AE$999,MATCH($C355,FI!$E$4:$E$999,0))="","",INDEX(FI!$AE$4:$AE$999,MATCH($C355,FI!$E$4:$E$999,0))),
IF($E355=4,IF(INDEX(FI!$AJ$4:$AJ$999,MATCH($C355,FI!$E$4:$E$999,0))="","",INDEX(FI!$AJ$4:$AJ$999,MATCH($C355,FI!$E$4:$E$999,0))),
IF($E355=5,IF(INDEX(FI!$AO$4:$AO$999,MATCH($C355,FI!$E$4:$E$999,0))="","",INDEX(FI!$AO$4:$AO$999,MATCH($C355,FI!$E$4:$E$999,0))),"")))))))</f>
        <v/>
      </c>
      <c r="I355" s="459" t="str">
        <f>IF(ISNA(MATCH($C355,FI!$E$4:$E$999,0)),"",
IF($E355=0,IF(INDEX(FI!$Q$4:$Q$999,MATCH($C355,FI!$E$4:$E$999,0))="","",INDEX(FI!$Q$4:$Q$999,MATCH($C355,FI!$E$4:$E$999,0))),
IF($E355=1,IF(INDEX(FI!$V$4:$V$999,MATCH($C355,FI!$E$4:$E$999,0))="","",INDEX(FI!$V$4:$V$999,MATCH($C355,FI!$E$4:$E$999,0))),
IF($E355=2,IF(INDEX(FI!$AA$4:$AA$999,MATCH($C355,FI!$E$4:$E$999,0))="","",INDEX(FI!$AA$4:$AA$999,MATCH($C355,FI!$E$4:$E$999,0))),
IF($E355=3,IF(INDEX(FI!$AF$4:$AF$999,MATCH($C355,FI!$E$4:$E$999,0))="","",INDEX(FI!$AF$4:$AF$999,MATCH($C355,FI!$E$4:$E$999,0))),
IF($E355=4,IF(INDEX(FI!$AK$4:$AK$999,MATCH($C355,FI!$E$4:$E$999,0))="","",INDEX(FI!$AK$4:$AK$999,MATCH($C355,FI!$E$4:$E$999,0))),
IF($E355=5,IF(INDEX(FI!$AP$4:$AP$999,MATCH($C355,FI!$E$4:$E$999,0))="","",INDEX(FI!$AP$4:$AP$999,MATCH($C355,FI!$E$4:$E$999,0))),"")))))))</f>
        <v/>
      </c>
      <c r="J355" s="459" t="str">
        <f>IF(ISNA(MATCH($C355,FI!$E$4:$E$999,0)),"",
IF($E355=0,IF(INDEX(FI!$R$4:$R$999,MATCH($C355,FI!$E$4:$E$999,0))="","",INDEX(FI!$R$4:$R$999,MATCH($C355,FI!$E$4:$E$999,0))),
IF($E355=1,IF(INDEX(FI!$W$4:$W$999,MATCH($C355,FI!$E$4:$E$999,0))="","",INDEX(FI!$W$4:$W$999,MATCH($C355,FI!$E$4:$E$999,0))),
IF($E355=2,IF(INDEX(FI!$AB$4:$AB$999,MATCH($C355,FI!$E$4:$E$999,0))="","",INDEX(FI!$AB$4:$AB$999,MATCH($C355,FI!$E$4:$E$999,0))),
IF($E355=3,IF(INDEX(FI!$AG$4:$AG$999,MATCH($C355,FI!$E$4:$E$999,0))="","",INDEX(FI!$AG$4:$AG$999,MATCH($C355,FI!$E$4:$E$999,0))),
IF($E355=4,IF(INDEX(FI!$AL$4:$AL$999,MATCH($C355,FI!$E$4:$E$999,0))="","",INDEX(FI!$AL$4:$AL$999,MATCH($C355,FI!$E$4:$E$999,0))),
IF($E355=5,IF(INDEX(FI!$AQ$4:$AQ$999,MATCH($C355,FI!$E$4:$E$999,0))="","",INDEX(FI!$AQ$4:$AQ$999,MATCH($C355,FI!$E$4:$E$999,0))),"")))))))</f>
        <v/>
      </c>
      <c r="K355" s="459">
        <f>FI!J8</f>
        <v>0</v>
      </c>
      <c r="L355" s="460" t="e" cm="1">
        <f t="array" aca="1" ref="L355" ca="1">_xlfn.IFS(AND($E355&lt;&gt;"",$M355="Pending",$K355="CTA"),TODAY()-$G355,AND($E355&lt;&gt;"",$M355="Pending",$K355="AUR"),TODAY()-$H355,AND($E355&lt;&gt;"",$M355="Pending",$K355="STT"),TODAY()-$I355,OR(K355="Closed",K355=""),"")</f>
        <v>#N/A</v>
      </c>
      <c r="M355" s="461">
        <f>VLOOKUP(C355,FI!$E$4:$AC$620,7,0)</f>
        <v>0</v>
      </c>
      <c r="N355" s="461" t="str">
        <f t="shared" si="17"/>
        <v/>
      </c>
      <c r="O355" s="739" t="str">
        <f>FI!M8</f>
        <v>GC</v>
      </c>
      <c r="P355" s="746" t="str">
        <v>NO</v>
      </c>
    </row>
    <row r="356" spans="1:16" s="385" customFormat="1" ht="24.75" hidden="1" customHeight="1">
      <c r="A356" s="399">
        <v>6</v>
      </c>
      <c r="B356" s="455" t="s">
        <v>21</v>
      </c>
      <c r="C356" s="454" t="s">
        <v>1495</v>
      </c>
      <c r="D356" s="456" t="str">
        <f>_xlfn.XLOOKUP(C356,FI!$E$4:$E$248,FI!$D$4:$D$248)</f>
        <v>Nitrogen Suppression Flow Chart Diagram</v>
      </c>
      <c r="E356" s="488" t="str">
        <f>IF(VLOOKUP(C356,FI!$E$4:$AC$486,5,0)="","",VLOOKUP(C356,FI!$E$4:$AC$985,5,0))</f>
        <v/>
      </c>
      <c r="F356" s="457"/>
      <c r="G356" s="490" t="str">
        <f>IF(VLOOKUP(C356,FI!$E$4:$AC$486,3,0)="","",VLOOKUP(C356,FI!$E$4:$AC$486,3,0))</f>
        <v/>
      </c>
      <c r="H356" s="459" t="str">
        <f>IF(ISNA(MATCH($C356,FI!$E$4:$E$999,0)),"",
IF($E356=0,IF(INDEX(FI!$P$4:$P$999,MATCH($C356,FI!$E$4:$E$999,0))="","",INDEX(FI!$P$4:$P$999,MATCH($C356,FI!$E$4:$E$999,0))),
IF($E356=1,IF(INDEX(FI!$U$4:$U$999,MATCH($C356,FI!$E$4:$E$999,0))="","",INDEX(FI!$U$4:$U$999,MATCH($C356,FI!$E$4:$E$999,0))),
IF($E356=2,IF(INDEX(FI!$Z$4:$Z$999,MATCH($C356,FI!$E$4:$E$999,0))="","",INDEX(FI!$Z$4:$Z$999,MATCH($C356,FI!$E$4:$E$999,0))),
IF($E356=3,IF(INDEX(FI!$AE$4:$AE$999,MATCH($C356,FI!$E$4:$E$999,0))="","",INDEX(FI!$AE$4:$AE$999,MATCH($C356,FI!$E$4:$E$999,0))),
IF($E356=4,IF(INDEX(FI!$AJ$4:$AJ$999,MATCH($C356,FI!$E$4:$E$999,0))="","",INDEX(FI!$AJ$4:$AJ$999,MATCH($C356,FI!$E$4:$E$999,0))),
IF($E356=5,IF(INDEX(FI!$AO$4:$AO$999,MATCH($C356,FI!$E$4:$E$999,0))="","",INDEX(FI!$AO$4:$AO$999,MATCH($C356,FI!$E$4:$E$999,0))),"")))))))</f>
        <v/>
      </c>
      <c r="I356" s="459" t="str">
        <f>IF(ISNA(MATCH($C356,FI!$E$4:$E$999,0)),"",
IF($E356=0,IF(INDEX(FI!$Q$4:$Q$999,MATCH($C356,FI!$E$4:$E$999,0))="","",INDEX(FI!$Q$4:$Q$999,MATCH($C356,FI!$E$4:$E$999,0))),
IF($E356=1,IF(INDEX(FI!$V$4:$V$999,MATCH($C356,FI!$E$4:$E$999,0))="","",INDEX(FI!$V$4:$V$999,MATCH($C356,FI!$E$4:$E$999,0))),
IF($E356=2,IF(INDEX(FI!$AA$4:$AA$999,MATCH($C356,FI!$E$4:$E$999,0))="","",INDEX(FI!$AA$4:$AA$999,MATCH($C356,FI!$E$4:$E$999,0))),
IF($E356=3,IF(INDEX(FI!$AF$4:$AF$999,MATCH($C356,FI!$E$4:$E$999,0))="","",INDEX(FI!$AF$4:$AF$999,MATCH($C356,FI!$E$4:$E$999,0))),
IF($E356=4,IF(INDEX(FI!$AK$4:$AK$999,MATCH($C356,FI!$E$4:$E$999,0))="","",INDEX(FI!$AK$4:$AK$999,MATCH($C356,FI!$E$4:$E$999,0))),
IF($E356=5,IF(INDEX(FI!$AP$4:$AP$999,MATCH($C356,FI!$E$4:$E$999,0))="","",INDEX(FI!$AP$4:$AP$999,MATCH($C356,FI!$E$4:$E$999,0))),"")))))))</f>
        <v/>
      </c>
      <c r="J356" s="459" t="str">
        <f>IF(ISNA(MATCH($C356,FI!$E$4:$E$999,0)),"",
IF($E356=0,IF(INDEX(FI!$R$4:$R$999,MATCH($C356,FI!$E$4:$E$999,0))="","",INDEX(FI!$R$4:$R$999,MATCH($C356,FI!$E$4:$E$999,0))),
IF($E356=1,IF(INDEX(FI!$W$4:$W$999,MATCH($C356,FI!$E$4:$E$999,0))="","",INDEX(FI!$W$4:$W$999,MATCH($C356,FI!$E$4:$E$999,0))),
IF($E356=2,IF(INDEX(FI!$AB$4:$AB$999,MATCH($C356,FI!$E$4:$E$999,0))="","",INDEX(FI!$AB$4:$AB$999,MATCH($C356,FI!$E$4:$E$999,0))),
IF($E356=3,IF(INDEX(FI!$AG$4:$AG$999,MATCH($C356,FI!$E$4:$E$999,0))="","",INDEX(FI!$AG$4:$AG$999,MATCH($C356,FI!$E$4:$E$999,0))),
IF($E356=4,IF(INDEX(FI!$AL$4:$AL$999,MATCH($C356,FI!$E$4:$E$999,0))="","",INDEX(FI!$AL$4:$AL$999,MATCH($C356,FI!$E$4:$E$999,0))),
IF($E356=5,IF(INDEX(FI!$AQ$4:$AQ$999,MATCH($C356,FI!$E$4:$E$999,0))="","",INDEX(FI!$AQ$4:$AQ$999,MATCH($C356,FI!$E$4:$E$999,0))),"")))))))</f>
        <v/>
      </c>
      <c r="K356" s="459">
        <f>FI!J9</f>
        <v>0</v>
      </c>
      <c r="L356" s="460" t="e" cm="1">
        <f t="array" aca="1" ref="L356" ca="1">_xlfn.IFS(AND($E356&lt;&gt;"",$M356="Pending",$K356="CTA"),TODAY()-$G356,AND($E356&lt;&gt;"",$M356="Pending",$K356="AUR"),TODAY()-$H356,AND($E356&lt;&gt;"",$M356="Pending",$K356="STT"),TODAY()-$I356,OR(K356="Closed",K356=""),"")</f>
        <v>#N/A</v>
      </c>
      <c r="M356" s="461">
        <f>VLOOKUP(C356,FI!$E$4:$AC$620,7,0)</f>
        <v>0</v>
      </c>
      <c r="N356" s="461" t="str">
        <f t="shared" si="17"/>
        <v/>
      </c>
      <c r="O356" s="739" t="str">
        <f>FI!M9</f>
        <v>GC</v>
      </c>
      <c r="P356" s="746" t="str">
        <v>NO</v>
      </c>
    </row>
    <row r="357" spans="1:16" s="385" customFormat="1" ht="24.75" customHeight="1">
      <c r="A357" s="399">
        <v>7</v>
      </c>
      <c r="B357" s="455" t="s">
        <v>21</v>
      </c>
      <c r="C357" s="454" t="s">
        <v>1498</v>
      </c>
      <c r="D357" s="456" t="str">
        <f>_xlfn.XLOOKUP(C357,FI!$E$4:$E$248,FI!$D$4:$D$248)</f>
        <v>Table For Nitrogen Gas Suppression</v>
      </c>
      <c r="E357" s="488">
        <f>IF(VLOOKUP(C357,FI!$E$4:$AC$486,5,0)="","",VLOOKUP(C357,FI!$E$4:$AC$985,5,0))</f>
        <v>0</v>
      </c>
      <c r="F357" s="457"/>
      <c r="G357" s="490">
        <f>IF(VLOOKUP(C357,FI!$E$4:$AC$486,3,0)="","",VLOOKUP(C357,FI!$E$4:$AC$486,3,0))</f>
        <v>46048</v>
      </c>
      <c r="H357" s="459">
        <f>IF(ISNA(MATCH($C357,FI!$E$4:$E$999,0)),"",
IF($E357=0,IF(INDEX(FI!$P$4:$P$999,MATCH($C357,FI!$E$4:$E$999,0))="","",INDEX(FI!$P$4:$P$999,MATCH($C357,FI!$E$4:$E$999,0))),
IF($E357=1,IF(INDEX(FI!$U$4:$U$999,MATCH($C357,FI!$E$4:$E$999,0))="","",INDEX(FI!$U$4:$U$999,MATCH($C357,FI!$E$4:$E$999,0))),
IF($E357=2,IF(INDEX(FI!$Z$4:$Z$999,MATCH($C357,FI!$E$4:$E$999,0))="","",INDEX(FI!$Z$4:$Z$999,MATCH($C357,FI!$E$4:$E$999,0))),
IF($E357=3,IF(INDEX(FI!$AE$4:$AE$999,MATCH($C357,FI!$E$4:$E$999,0))="","",INDEX(FI!$AE$4:$AE$999,MATCH($C357,FI!$E$4:$E$999,0))),
IF($E357=4,IF(INDEX(FI!$AJ$4:$AJ$999,MATCH($C357,FI!$E$4:$E$999,0))="","",INDEX(FI!$AJ$4:$AJ$999,MATCH($C357,FI!$E$4:$E$999,0))),
IF($E357=5,IF(INDEX(FI!$AO$4:$AO$999,MATCH($C357,FI!$E$4:$E$999,0))="","",INDEX(FI!$AO$4:$AO$999,MATCH($C357,FI!$E$4:$E$999,0))),"")))))))</f>
        <v>46057</v>
      </c>
      <c r="I357" s="459" t="str">
        <f>IF(ISNA(MATCH($C357,FI!$E$4:$E$999,0)),"",
IF($E357=0,IF(INDEX(FI!$Q$4:$Q$999,MATCH($C357,FI!$E$4:$E$999,0))="","",INDEX(FI!$Q$4:$Q$999,MATCH($C357,FI!$E$4:$E$999,0))),
IF($E357=1,IF(INDEX(FI!$V$4:$V$999,MATCH($C357,FI!$E$4:$E$999,0))="","",INDEX(FI!$V$4:$V$999,MATCH($C357,FI!$E$4:$E$999,0))),
IF($E357=2,IF(INDEX(FI!$AA$4:$AA$999,MATCH($C357,FI!$E$4:$E$999,0))="","",INDEX(FI!$AA$4:$AA$999,MATCH($C357,FI!$E$4:$E$999,0))),
IF($E357=3,IF(INDEX(FI!$AF$4:$AF$999,MATCH($C357,FI!$E$4:$E$999,0))="","",INDEX(FI!$AF$4:$AF$999,MATCH($C357,FI!$E$4:$E$999,0))),
IF($E357=4,IF(INDEX(FI!$AK$4:$AK$999,MATCH($C357,FI!$E$4:$E$999,0))="","",INDEX(FI!$AK$4:$AK$999,MATCH($C357,FI!$E$4:$E$999,0))),
IF($E357=5,IF(INDEX(FI!$AP$4:$AP$999,MATCH($C357,FI!$E$4:$E$999,0))="","",INDEX(FI!$AP$4:$AP$999,MATCH($C357,FI!$E$4:$E$999,0))),"")))))))</f>
        <v/>
      </c>
      <c r="J357" s="459" t="str">
        <f>IF(ISNA(MATCH($C357,FI!$E$4:$E$999,0)),"",
IF($E357=0,IF(INDEX(FI!$R$4:$R$999,MATCH($C357,FI!$E$4:$E$999,0))="","",INDEX(FI!$R$4:$R$999,MATCH($C357,FI!$E$4:$E$999,0))),
IF($E357=1,IF(INDEX(FI!$W$4:$W$999,MATCH($C357,FI!$E$4:$E$999,0))="","",INDEX(FI!$W$4:$W$999,MATCH($C357,FI!$E$4:$E$999,0))),
IF($E357=2,IF(INDEX(FI!$AB$4:$AB$999,MATCH($C357,FI!$E$4:$E$999,0))="","",INDEX(FI!$AB$4:$AB$999,MATCH($C357,FI!$E$4:$E$999,0))),
IF($E357=3,IF(INDEX(FI!$AG$4:$AG$999,MATCH($C357,FI!$E$4:$E$999,0))="","",INDEX(FI!$AG$4:$AG$999,MATCH($C357,FI!$E$4:$E$999,0))),
IF($E357=4,IF(INDEX(FI!$AL$4:$AL$999,MATCH($C357,FI!$E$4:$E$999,0))="","",INDEX(FI!$AL$4:$AL$999,MATCH($C357,FI!$E$4:$E$999,0))),
IF($E357=5,IF(INDEX(FI!$AQ$4:$AQ$999,MATCH($C357,FI!$E$4:$E$999,0))="","",INDEX(FI!$AQ$4:$AQ$999,MATCH($C357,FI!$E$4:$E$999,0))),"")))))))</f>
        <v/>
      </c>
      <c r="K357" s="459" t="str">
        <f>FI!J10</f>
        <v>AUR</v>
      </c>
      <c r="L357" s="460" cm="1">
        <f t="array" aca="1" ref="L357" ca="1">_xlfn.IFS(AND($E357&lt;&gt;"",$M357="Pending",$K357="CTA"),TODAY()-$G357,AND($E357&lt;&gt;"",$M357="Pending",$K357="AUR"),TODAY()-$H357,AND($E357&lt;&gt;"",$M357="Pending",$K357="STT"),TODAY()-$I357,OR(K357="Closed",K357=""),"")</f>
        <v>9</v>
      </c>
      <c r="M357" s="461" t="str">
        <f>VLOOKUP(C357,FI!$E$4:$AC$620,7,0)</f>
        <v>Pending</v>
      </c>
      <c r="N357" s="461" t="str">
        <f t="shared" ca="1" si="17"/>
        <v>Overdue</v>
      </c>
      <c r="O357" s="739" t="str">
        <f>FI!M10</f>
        <v>GC</v>
      </c>
      <c r="P357" s="746" t="str">
        <v>NO</v>
      </c>
    </row>
    <row r="358" spans="1:16" s="385" customFormat="1" ht="24.75" customHeight="1">
      <c r="A358" s="399">
        <v>8</v>
      </c>
      <c r="B358" s="455" t="s">
        <v>21</v>
      </c>
      <c r="C358" s="454" t="s">
        <v>1501</v>
      </c>
      <c r="D358" s="456" t="str">
        <f>_xlfn.XLOOKUP(C358,FI!$E$4:$E$248,FI!$D$4:$D$248)</f>
        <v>Pre-Action System Diagram</v>
      </c>
      <c r="E358" s="488">
        <f>IF(VLOOKUP(C358,FI!$E$4:$AC$486,5,0)="","",VLOOKUP(C358,FI!$E$4:$AC$985,5,0))</f>
        <v>0</v>
      </c>
      <c r="F358" s="457"/>
      <c r="G358" s="490">
        <f>IF(VLOOKUP(C358,FI!$E$4:$AC$486,3,0)="","",VLOOKUP(C358,FI!$E$4:$AC$486,3,0))</f>
        <v>46048</v>
      </c>
      <c r="H358" s="459">
        <f>IF(ISNA(MATCH($C358,FI!$E$4:$E$999,0)),"",
IF($E358=0,IF(INDEX(FI!$P$4:$P$999,MATCH($C358,FI!$E$4:$E$999,0))="","",INDEX(FI!$P$4:$P$999,MATCH($C358,FI!$E$4:$E$999,0))),
IF($E358=1,IF(INDEX(FI!$U$4:$U$999,MATCH($C358,FI!$E$4:$E$999,0))="","",INDEX(FI!$U$4:$U$999,MATCH($C358,FI!$E$4:$E$999,0))),
IF($E358=2,IF(INDEX(FI!$Z$4:$Z$999,MATCH($C358,FI!$E$4:$E$999,0))="","",INDEX(FI!$Z$4:$Z$999,MATCH($C358,FI!$E$4:$E$999,0))),
IF($E358=3,IF(INDEX(FI!$AE$4:$AE$999,MATCH($C358,FI!$E$4:$E$999,0))="","",INDEX(FI!$AE$4:$AE$999,MATCH($C358,FI!$E$4:$E$999,0))),
IF($E358=4,IF(INDEX(FI!$AJ$4:$AJ$999,MATCH($C358,FI!$E$4:$E$999,0))="","",INDEX(FI!$AJ$4:$AJ$999,MATCH($C358,FI!$E$4:$E$999,0))),
IF($E358=5,IF(INDEX(FI!$AO$4:$AO$999,MATCH($C358,FI!$E$4:$E$999,0))="","",INDEX(FI!$AO$4:$AO$999,MATCH($C358,FI!$E$4:$E$999,0))),"")))))))</f>
        <v>46057</v>
      </c>
      <c r="I358" s="459" t="str">
        <f>IF(ISNA(MATCH($C358,FI!$E$4:$E$999,0)),"",
IF($E358=0,IF(INDEX(FI!$Q$4:$Q$999,MATCH($C358,FI!$E$4:$E$999,0))="","",INDEX(FI!$Q$4:$Q$999,MATCH($C358,FI!$E$4:$E$999,0))),
IF($E358=1,IF(INDEX(FI!$V$4:$V$999,MATCH($C358,FI!$E$4:$E$999,0))="","",INDEX(FI!$V$4:$V$999,MATCH($C358,FI!$E$4:$E$999,0))),
IF($E358=2,IF(INDEX(FI!$AA$4:$AA$999,MATCH($C358,FI!$E$4:$E$999,0))="","",INDEX(FI!$AA$4:$AA$999,MATCH($C358,FI!$E$4:$E$999,0))),
IF($E358=3,IF(INDEX(FI!$AF$4:$AF$999,MATCH($C358,FI!$E$4:$E$999,0))="","",INDEX(FI!$AF$4:$AF$999,MATCH($C358,FI!$E$4:$E$999,0))),
IF($E358=4,IF(INDEX(FI!$AK$4:$AK$999,MATCH($C358,FI!$E$4:$E$999,0))="","",INDEX(FI!$AK$4:$AK$999,MATCH($C358,FI!$E$4:$E$999,0))),
IF($E358=5,IF(INDEX(FI!$AP$4:$AP$999,MATCH($C358,FI!$E$4:$E$999,0))="","",INDEX(FI!$AP$4:$AP$999,MATCH($C358,FI!$E$4:$E$999,0))),"")))))))</f>
        <v/>
      </c>
      <c r="J358" s="459" t="str">
        <f>IF(ISNA(MATCH($C358,FI!$E$4:$E$999,0)),"",
IF($E358=0,IF(INDEX(FI!$R$4:$R$999,MATCH($C358,FI!$E$4:$E$999,0))="","",INDEX(FI!$R$4:$R$999,MATCH($C358,FI!$E$4:$E$999,0))),
IF($E358=1,IF(INDEX(FI!$W$4:$W$999,MATCH($C358,FI!$E$4:$E$999,0))="","",INDEX(FI!$W$4:$W$999,MATCH($C358,FI!$E$4:$E$999,0))),
IF($E358=2,IF(INDEX(FI!$AB$4:$AB$999,MATCH($C358,FI!$E$4:$E$999,0))="","",INDEX(FI!$AB$4:$AB$999,MATCH($C358,FI!$E$4:$E$999,0))),
IF($E358=3,IF(INDEX(FI!$AG$4:$AG$999,MATCH($C358,FI!$E$4:$E$999,0))="","",INDEX(FI!$AG$4:$AG$999,MATCH($C358,FI!$E$4:$E$999,0))),
IF($E358=4,IF(INDEX(FI!$AL$4:$AL$999,MATCH($C358,FI!$E$4:$E$999,0))="","",INDEX(FI!$AL$4:$AL$999,MATCH($C358,FI!$E$4:$E$999,0))),
IF($E358=5,IF(INDEX(FI!$AQ$4:$AQ$999,MATCH($C358,FI!$E$4:$E$999,0))="","",INDEX(FI!$AQ$4:$AQ$999,MATCH($C358,FI!$E$4:$E$999,0))),"")))))))</f>
        <v/>
      </c>
      <c r="K358" s="459" t="str">
        <f>FI!J11</f>
        <v>AUR</v>
      </c>
      <c r="L358" s="460" cm="1">
        <f t="array" aca="1" ref="L358" ca="1">_xlfn.IFS(AND($E358&lt;&gt;"",$M358="Pending",$K358="CTA"),TODAY()-$G358,AND($E358&lt;&gt;"",$M358="Pending",$K358="AUR"),TODAY()-$H358,AND($E358&lt;&gt;"",$M358="Pending",$K358="STT"),TODAY()-$I358,OR(K358="Closed",K358=""),"")</f>
        <v>9</v>
      </c>
      <c r="M358" s="461" t="str">
        <f>VLOOKUP(C358,FI!$E$4:$AC$620,7,0)</f>
        <v>Pending</v>
      </c>
      <c r="N358" s="461" t="str">
        <f t="shared" ca="1" si="17"/>
        <v>Overdue</v>
      </c>
      <c r="O358" s="739" t="str">
        <f>FI!M11</f>
        <v>GC</v>
      </c>
      <c r="P358" s="746" t="str">
        <v>NO</v>
      </c>
    </row>
    <row r="359" spans="1:16" s="385" customFormat="1" ht="24.75" customHeight="1">
      <c r="A359" s="399">
        <v>9</v>
      </c>
      <c r="B359" s="607" t="s">
        <v>21</v>
      </c>
      <c r="C359" s="454" t="s">
        <v>1503</v>
      </c>
      <c r="D359" s="456" t="str">
        <f>_xlfn.XLOOKUP(C359,FI!$E$4:$E$248,FI!$D$4:$D$248)</f>
        <v>Equipment Schedule</v>
      </c>
      <c r="E359" s="488">
        <f>IF(VLOOKUP(C359,FI!$E$4:$AC$486,5,0)="","",VLOOKUP(C359,FI!$E$4:$AC$985,5,0))</f>
        <v>0</v>
      </c>
      <c r="F359" s="457"/>
      <c r="G359" s="490">
        <f>IF(VLOOKUP(C359,FI!$E$4:$AC$486,3,0)="","",VLOOKUP(C359,FI!$E$4:$AC$486,3,0))</f>
        <v>46041</v>
      </c>
      <c r="H359" s="459">
        <f>IF(ISNA(MATCH($C359,FI!$E$4:$E$999,0)),"",
IF($E359=0,IF(INDEX(FI!$P$4:$P$999,MATCH($C359,FI!$E$4:$E$999,0))="","",INDEX(FI!$P$4:$P$999,MATCH($C359,FI!$E$4:$E$999,0))),
IF($E359=1,IF(INDEX(FI!$U$4:$U$999,MATCH($C359,FI!$E$4:$E$999,0))="","",INDEX(FI!$U$4:$U$999,MATCH($C359,FI!$E$4:$E$999,0))),
IF($E359=2,IF(INDEX(FI!$Z$4:$Z$999,MATCH($C359,FI!$E$4:$E$999,0))="","",INDEX(FI!$Z$4:$Z$999,MATCH($C359,FI!$E$4:$E$999,0))),
IF($E359=3,IF(INDEX(FI!$AE$4:$AE$999,MATCH($C359,FI!$E$4:$E$999,0))="","",INDEX(FI!$AE$4:$AE$999,MATCH($C359,FI!$E$4:$E$999,0))),
IF($E359=4,IF(INDEX(FI!$AJ$4:$AJ$999,MATCH($C359,FI!$E$4:$E$999,0))="","",INDEX(FI!$AJ$4:$AJ$999,MATCH($C359,FI!$E$4:$E$999,0))),
IF($E359=5,IF(INDEX(FI!$AO$4:$AO$999,MATCH($C359,FI!$E$4:$E$999,0))="","",INDEX(FI!$AO$4:$AO$999,MATCH($C359,FI!$E$4:$E$999,0))),"")))))))</f>
        <v>46057</v>
      </c>
      <c r="I359" s="459" t="str">
        <f>IF(ISNA(MATCH($C359,FI!$E$4:$E$999,0)),"",
IF($E359=0,IF(INDEX(FI!$Q$4:$Q$999,MATCH($C359,FI!$E$4:$E$999,0))="","",INDEX(FI!$Q$4:$Q$999,MATCH($C359,FI!$E$4:$E$999,0))),
IF($E359=1,IF(INDEX(FI!$V$4:$V$999,MATCH($C359,FI!$E$4:$E$999,0))="","",INDEX(FI!$V$4:$V$999,MATCH($C359,FI!$E$4:$E$999,0))),
IF($E359=2,IF(INDEX(FI!$AA$4:$AA$999,MATCH($C359,FI!$E$4:$E$999,0))="","",INDEX(FI!$AA$4:$AA$999,MATCH($C359,FI!$E$4:$E$999,0))),
IF($E359=3,IF(INDEX(FI!$AF$4:$AF$999,MATCH($C359,FI!$E$4:$E$999,0))="","",INDEX(FI!$AF$4:$AF$999,MATCH($C359,FI!$E$4:$E$999,0))),
IF($E359=4,IF(INDEX(FI!$AK$4:$AK$999,MATCH($C359,FI!$E$4:$E$999,0))="","",INDEX(FI!$AK$4:$AK$999,MATCH($C359,FI!$E$4:$E$999,0))),
IF($E359=5,IF(INDEX(FI!$AP$4:$AP$999,MATCH($C359,FI!$E$4:$E$999,0))="","",INDEX(FI!$AP$4:$AP$999,MATCH($C359,FI!$E$4:$E$999,0))),"")))))))</f>
        <v/>
      </c>
      <c r="J359" s="459" t="str">
        <f>IF(ISNA(MATCH($C359,FI!$E$4:$E$999,0)),"",
IF($E359=0,IF(INDEX(FI!$R$4:$R$999,MATCH($C359,FI!$E$4:$E$999,0))="","",INDEX(FI!$R$4:$R$999,MATCH($C359,FI!$E$4:$E$999,0))),
IF($E359=1,IF(INDEX(FI!$W$4:$W$999,MATCH($C359,FI!$E$4:$E$999,0))="","",INDEX(FI!$W$4:$W$999,MATCH($C359,FI!$E$4:$E$999,0))),
IF($E359=2,IF(INDEX(FI!$AB$4:$AB$999,MATCH($C359,FI!$E$4:$E$999,0))="","",INDEX(FI!$AB$4:$AB$999,MATCH($C359,FI!$E$4:$E$999,0))),
IF($E359=3,IF(INDEX(FI!$AG$4:$AG$999,MATCH($C359,FI!$E$4:$E$999,0))="","",INDEX(FI!$AG$4:$AG$999,MATCH($C359,FI!$E$4:$E$999,0))),
IF($E359=4,IF(INDEX(FI!$AL$4:$AL$999,MATCH($C359,FI!$E$4:$E$999,0))="","",INDEX(FI!$AL$4:$AL$999,MATCH($C359,FI!$E$4:$E$999,0))),
IF($E359=5,IF(INDEX(FI!$AQ$4:$AQ$999,MATCH($C359,FI!$E$4:$E$999,0))="","",INDEX(FI!$AQ$4:$AQ$999,MATCH($C359,FI!$E$4:$E$999,0))),"")))))))</f>
        <v/>
      </c>
      <c r="K359" s="459" t="str">
        <f>FI!J12</f>
        <v>AUR</v>
      </c>
      <c r="L359" s="460" cm="1">
        <f t="array" aca="1" ref="L359" ca="1">_xlfn.IFS(AND($E359&lt;&gt;"",$M359="Pending",$K359="CTA"),TODAY()-$G359,AND($E359&lt;&gt;"",$M359="Pending",$K359="AUR"),TODAY()-$H359,AND($E359&lt;&gt;"",$M359="Pending",$K359="STT"),TODAY()-$I359,OR(K359="Closed",K359=""),"")</f>
        <v>9</v>
      </c>
      <c r="M359" s="461" t="str">
        <f>VLOOKUP(C359,FI!$E$4:$AC$620,7,0)</f>
        <v>Pending</v>
      </c>
      <c r="N359" s="461" t="str">
        <f t="shared" ca="1" si="17"/>
        <v>Overdue</v>
      </c>
      <c r="O359" s="739" t="str">
        <f>FI!M12</f>
        <v>GC</v>
      </c>
      <c r="P359" s="746" t="str">
        <v>NO</v>
      </c>
    </row>
    <row r="360" spans="1:16" s="385" customFormat="1" ht="24.75" customHeight="1">
      <c r="A360" s="399">
        <v>10</v>
      </c>
      <c r="B360" s="607" t="s">
        <v>21</v>
      </c>
      <c r="C360" s="454" t="s">
        <v>1505</v>
      </c>
      <c r="D360" s="456" t="str">
        <f>_xlfn.XLOOKUP(C360,FI!$E$4:$E$248,FI!$D$4:$D$248)</f>
        <v>Electrical Single Line Diagram</v>
      </c>
      <c r="E360" s="488">
        <f>IF(VLOOKUP(C360,FI!$E$4:$AC$486,5,0)="","",VLOOKUP(C360,FI!$E$4:$AC$985,5,0))</f>
        <v>0</v>
      </c>
      <c r="F360" s="457"/>
      <c r="G360" s="490">
        <f>IF(VLOOKUP(C360,FI!$E$4:$AC$486,3,0)="","",VLOOKUP(C360,FI!$E$4:$AC$486,3,0))</f>
        <v>46041</v>
      </c>
      <c r="H360" s="459">
        <f>IF(ISNA(MATCH($C360,FI!$E$4:$E$999,0)),"",
IF($E360=0,IF(INDEX(FI!$P$4:$P$999,MATCH($C360,FI!$E$4:$E$999,0))="","",INDEX(FI!$P$4:$P$999,MATCH($C360,FI!$E$4:$E$999,0))),
IF($E360=1,IF(INDEX(FI!$U$4:$U$999,MATCH($C360,FI!$E$4:$E$999,0))="","",INDEX(FI!$U$4:$U$999,MATCH($C360,FI!$E$4:$E$999,0))),
IF($E360=2,IF(INDEX(FI!$Z$4:$Z$999,MATCH($C360,FI!$E$4:$E$999,0))="","",INDEX(FI!$Z$4:$Z$999,MATCH($C360,FI!$E$4:$E$999,0))),
IF($E360=3,IF(INDEX(FI!$AE$4:$AE$999,MATCH($C360,FI!$E$4:$E$999,0))="","",INDEX(FI!$AE$4:$AE$999,MATCH($C360,FI!$E$4:$E$999,0))),
IF($E360=4,IF(INDEX(FI!$AJ$4:$AJ$999,MATCH($C360,FI!$E$4:$E$999,0))="","",INDEX(FI!$AJ$4:$AJ$999,MATCH($C360,FI!$E$4:$E$999,0))),
IF($E360=5,IF(INDEX(FI!$AO$4:$AO$999,MATCH($C360,FI!$E$4:$E$999,0))="","",INDEX(FI!$AO$4:$AO$999,MATCH($C360,FI!$E$4:$E$999,0))),"")))))))</f>
        <v>46057</v>
      </c>
      <c r="I360" s="459" t="str">
        <f>IF(ISNA(MATCH($C360,FI!$E$4:$E$999,0)),"",
IF($E360=0,IF(INDEX(FI!$Q$4:$Q$999,MATCH($C360,FI!$E$4:$E$999,0))="","",INDEX(FI!$Q$4:$Q$999,MATCH($C360,FI!$E$4:$E$999,0))),
IF($E360=1,IF(INDEX(FI!$V$4:$V$999,MATCH($C360,FI!$E$4:$E$999,0))="","",INDEX(FI!$V$4:$V$999,MATCH($C360,FI!$E$4:$E$999,0))),
IF($E360=2,IF(INDEX(FI!$AA$4:$AA$999,MATCH($C360,FI!$E$4:$E$999,0))="","",INDEX(FI!$AA$4:$AA$999,MATCH($C360,FI!$E$4:$E$999,0))),
IF($E360=3,IF(INDEX(FI!$AF$4:$AF$999,MATCH($C360,FI!$E$4:$E$999,0))="","",INDEX(FI!$AF$4:$AF$999,MATCH($C360,FI!$E$4:$E$999,0))),
IF($E360=4,IF(INDEX(FI!$AK$4:$AK$999,MATCH($C360,FI!$E$4:$E$999,0))="","",INDEX(FI!$AK$4:$AK$999,MATCH($C360,FI!$E$4:$E$999,0))),
IF($E360=5,IF(INDEX(FI!$AP$4:$AP$999,MATCH($C360,FI!$E$4:$E$999,0))="","",INDEX(FI!$AP$4:$AP$999,MATCH($C360,FI!$E$4:$E$999,0))),"")))))))</f>
        <v/>
      </c>
      <c r="J360" s="459" t="str">
        <f>IF(ISNA(MATCH($C360,FI!$E$4:$E$999,0)),"",
IF($E360=0,IF(INDEX(FI!$R$4:$R$999,MATCH($C360,FI!$E$4:$E$999,0))="","",INDEX(FI!$R$4:$R$999,MATCH($C360,FI!$E$4:$E$999,0))),
IF($E360=1,IF(INDEX(FI!$W$4:$W$999,MATCH($C360,FI!$E$4:$E$999,0))="","",INDEX(FI!$W$4:$W$999,MATCH($C360,FI!$E$4:$E$999,0))),
IF($E360=2,IF(INDEX(FI!$AB$4:$AB$999,MATCH($C360,FI!$E$4:$E$999,0))="","",INDEX(FI!$AB$4:$AB$999,MATCH($C360,FI!$E$4:$E$999,0))),
IF($E360=3,IF(INDEX(FI!$AG$4:$AG$999,MATCH($C360,FI!$E$4:$E$999,0))="","",INDEX(FI!$AG$4:$AG$999,MATCH($C360,FI!$E$4:$E$999,0))),
IF($E360=4,IF(INDEX(FI!$AL$4:$AL$999,MATCH($C360,FI!$E$4:$E$999,0))="","",INDEX(FI!$AL$4:$AL$999,MATCH($C360,FI!$E$4:$E$999,0))),
IF($E360=5,IF(INDEX(FI!$AQ$4:$AQ$999,MATCH($C360,FI!$E$4:$E$999,0))="","",INDEX(FI!$AQ$4:$AQ$999,MATCH($C360,FI!$E$4:$E$999,0))),"")))))))</f>
        <v/>
      </c>
      <c r="K360" s="459" t="str">
        <f>FI!J13</f>
        <v>AUR</v>
      </c>
      <c r="L360" s="460" cm="1">
        <f t="array" aca="1" ref="L360" ca="1">_xlfn.IFS(AND($E360&lt;&gt;"",$M360="Pending",$K360="CTA"),TODAY()-$G360,AND($E360&lt;&gt;"",$M360="Pending",$K360="AUR"),TODAY()-$H360,AND($E360&lt;&gt;"",$M360="Pending",$K360="STT"),TODAY()-$I360,OR(K360="Closed",K360=""),"")</f>
        <v>9</v>
      </c>
      <c r="M360" s="461" t="str">
        <f>VLOOKUP(C360,FI!$E$4:$AC$620,7,0)</f>
        <v>Pending</v>
      </c>
      <c r="N360" s="461" t="str">
        <f t="shared" ca="1" si="17"/>
        <v>Overdue</v>
      </c>
      <c r="O360" s="739" t="str">
        <f>FI!M13</f>
        <v>GC</v>
      </c>
      <c r="P360" s="746" t="str">
        <v>NO</v>
      </c>
    </row>
    <row r="361" spans="1:16" s="385" customFormat="1" ht="24.75" customHeight="1">
      <c r="A361" s="399">
        <v>11</v>
      </c>
      <c r="B361" s="455" t="s">
        <v>21</v>
      </c>
      <c r="C361" s="454" t="s">
        <v>1508</v>
      </c>
      <c r="D361" s="456" t="str">
        <f>_xlfn.XLOOKUP(C361,FI!$E$4:$E$248,FI!$D$4:$D$248)</f>
        <v>Fire Protection Matrix For Level 1</v>
      </c>
      <c r="E361" s="488">
        <f>IF(VLOOKUP(C361,FI!$E$4:$AC$486,5,0)="","",VLOOKUP(C361,FI!$E$4:$AC$985,5,0))</f>
        <v>0</v>
      </c>
      <c r="F361" s="457"/>
      <c r="G361" s="490">
        <f>IF(VLOOKUP(C361,FI!$E$4:$AC$486,3,0)="","",VLOOKUP(C361,FI!$E$4:$AC$486,3,0))</f>
        <v>46064</v>
      </c>
      <c r="H361" s="459" t="str">
        <f>IF(ISNA(MATCH($C361,FI!$E$4:$E$999,0)),"",
IF($E361=0,IF(INDEX(FI!$P$4:$P$999,MATCH($C361,FI!$E$4:$E$999,0))="","",INDEX(FI!$P$4:$P$999,MATCH($C361,FI!$E$4:$E$999,0))),
IF($E361=1,IF(INDEX(FI!$U$4:$U$999,MATCH($C361,FI!$E$4:$E$999,0))="","",INDEX(FI!$U$4:$U$999,MATCH($C361,FI!$E$4:$E$999,0))),
IF($E361=2,IF(INDEX(FI!$Z$4:$Z$999,MATCH($C361,FI!$E$4:$E$999,0))="","",INDEX(FI!$Z$4:$Z$999,MATCH($C361,FI!$E$4:$E$999,0))),
IF($E361=3,IF(INDEX(FI!$AE$4:$AE$999,MATCH($C361,FI!$E$4:$E$999,0))="","",INDEX(FI!$AE$4:$AE$999,MATCH($C361,FI!$E$4:$E$999,0))),
IF($E361=4,IF(INDEX(FI!$AJ$4:$AJ$999,MATCH($C361,FI!$E$4:$E$999,0))="","",INDEX(FI!$AJ$4:$AJ$999,MATCH($C361,FI!$E$4:$E$999,0))),
IF($E361=5,IF(INDEX(FI!$AO$4:$AO$999,MATCH($C361,FI!$E$4:$E$999,0))="","",INDEX(FI!$AO$4:$AO$999,MATCH($C361,FI!$E$4:$E$999,0))),"")))))))</f>
        <v/>
      </c>
      <c r="I361" s="459" t="str">
        <f>IF(ISNA(MATCH($C361,FI!$E$4:$E$999,0)),"",
IF($E361=0,IF(INDEX(FI!$Q$4:$Q$999,MATCH($C361,FI!$E$4:$E$999,0))="","",INDEX(FI!$Q$4:$Q$999,MATCH($C361,FI!$E$4:$E$999,0))),
IF($E361=1,IF(INDEX(FI!$V$4:$V$999,MATCH($C361,FI!$E$4:$E$999,0))="","",INDEX(FI!$V$4:$V$999,MATCH($C361,FI!$E$4:$E$999,0))),
IF($E361=2,IF(INDEX(FI!$AA$4:$AA$999,MATCH($C361,FI!$E$4:$E$999,0))="","",INDEX(FI!$AA$4:$AA$999,MATCH($C361,FI!$E$4:$E$999,0))),
IF($E361=3,IF(INDEX(FI!$AF$4:$AF$999,MATCH($C361,FI!$E$4:$E$999,0))="","",INDEX(FI!$AF$4:$AF$999,MATCH($C361,FI!$E$4:$E$999,0))),
IF($E361=4,IF(INDEX(FI!$AK$4:$AK$999,MATCH($C361,FI!$E$4:$E$999,0))="","",INDEX(FI!$AK$4:$AK$999,MATCH($C361,FI!$E$4:$E$999,0))),
IF($E361=5,IF(INDEX(FI!$AP$4:$AP$999,MATCH($C361,FI!$E$4:$E$999,0))="","",INDEX(FI!$AP$4:$AP$999,MATCH($C361,FI!$E$4:$E$999,0))),"")))))))</f>
        <v/>
      </c>
      <c r="J361" s="459" t="str">
        <f>IF(ISNA(MATCH($C361,FI!$E$4:$E$999,0)),"",
IF($E361=0,IF(INDEX(FI!$R$4:$R$999,MATCH($C361,FI!$E$4:$E$999,0))="","",INDEX(FI!$R$4:$R$999,MATCH($C361,FI!$E$4:$E$999,0))),
IF($E361=1,IF(INDEX(FI!$W$4:$W$999,MATCH($C361,FI!$E$4:$E$999,0))="","",INDEX(FI!$W$4:$W$999,MATCH($C361,FI!$E$4:$E$999,0))),
IF($E361=2,IF(INDEX(FI!$AB$4:$AB$999,MATCH($C361,FI!$E$4:$E$999,0))="","",INDEX(FI!$AB$4:$AB$999,MATCH($C361,FI!$E$4:$E$999,0))),
IF($E361=3,IF(INDEX(FI!$AG$4:$AG$999,MATCH($C361,FI!$E$4:$E$999,0))="","",INDEX(FI!$AG$4:$AG$999,MATCH($C361,FI!$E$4:$E$999,0))),
IF($E361=4,IF(INDEX(FI!$AL$4:$AL$999,MATCH($C361,FI!$E$4:$E$999,0))="","",INDEX(FI!$AL$4:$AL$999,MATCH($C361,FI!$E$4:$E$999,0))),
IF($E361=5,IF(INDEX(FI!$AQ$4:$AQ$999,MATCH($C361,FI!$E$4:$E$999,0))="","",INDEX(FI!$AQ$4:$AQ$999,MATCH($C361,FI!$E$4:$E$999,0))),"")))))))</f>
        <v/>
      </c>
      <c r="K361" s="459" t="str">
        <f>FI!J14</f>
        <v>CTA</v>
      </c>
      <c r="L361" s="460" cm="1">
        <f t="array" aca="1" ref="L361" ca="1">_xlfn.IFS(AND($E361&lt;&gt;"",$M361="Pending",$K361="CTA"),TODAY()-$G361,AND($E361&lt;&gt;"",$M361="Pending",$K361="AUR"),TODAY()-$H361,AND($E361&lt;&gt;"",$M361="Pending",$K361="STT"),TODAY()-$I361,OR(K361="Closed",K361=""),"")</f>
        <v>2</v>
      </c>
      <c r="M361" s="461" t="str">
        <f>VLOOKUP(C361,FI!$E$4:$AC$620,7,0)</f>
        <v>Pending</v>
      </c>
      <c r="N361" s="461" t="str">
        <f t="shared" ref="N361:N364" ca="1" si="18">IF(AND(E361&lt;&gt;"",M361="Pending"),IF(L361&gt;=5,"Overdue",IF(L361&gt;=3,"High","")),"")</f>
        <v/>
      </c>
      <c r="O361" s="739" t="str">
        <f>FI!M14</f>
        <v>GC</v>
      </c>
      <c r="P361" s="746" t="str">
        <v>NO</v>
      </c>
    </row>
    <row r="362" spans="1:16" s="385" customFormat="1" ht="24.75" customHeight="1">
      <c r="A362" s="399">
        <v>12</v>
      </c>
      <c r="B362" s="455" t="s">
        <v>21</v>
      </c>
      <c r="C362" s="454" t="s">
        <v>1511</v>
      </c>
      <c r="D362" s="456" t="str">
        <f>_xlfn.XLOOKUP(C362,FI!$E$4:$E$248,FI!$D$4:$D$248)</f>
        <v>Fire Protection Matrix For Level 2</v>
      </c>
      <c r="E362" s="488">
        <f>IF(VLOOKUP(C362,FI!$E$4:$AC$486,5,0)="","",VLOOKUP(C362,FI!$E$4:$AC$985,5,0))</f>
        <v>0</v>
      </c>
      <c r="F362" s="457"/>
      <c r="G362" s="490">
        <f>IF(VLOOKUP(C362,FI!$E$4:$AC$486,3,0)="","",VLOOKUP(C362,FI!$E$4:$AC$486,3,0))</f>
        <v>46064</v>
      </c>
      <c r="H362" s="459" t="str">
        <f>IF(ISNA(MATCH($C362,FI!$E$4:$E$999,0)),"",
IF($E362=0,IF(INDEX(FI!$P$4:$P$999,MATCH($C362,FI!$E$4:$E$999,0))="","",INDEX(FI!$P$4:$P$999,MATCH($C362,FI!$E$4:$E$999,0))),
IF($E362=1,IF(INDEX(FI!$U$4:$U$999,MATCH($C362,FI!$E$4:$E$999,0))="","",INDEX(FI!$U$4:$U$999,MATCH($C362,FI!$E$4:$E$999,0))),
IF($E362=2,IF(INDEX(FI!$Z$4:$Z$999,MATCH($C362,FI!$E$4:$E$999,0))="","",INDEX(FI!$Z$4:$Z$999,MATCH($C362,FI!$E$4:$E$999,0))),
IF($E362=3,IF(INDEX(FI!$AE$4:$AE$999,MATCH($C362,FI!$E$4:$E$999,0))="","",INDEX(FI!$AE$4:$AE$999,MATCH($C362,FI!$E$4:$E$999,0))),
IF($E362=4,IF(INDEX(FI!$AJ$4:$AJ$999,MATCH($C362,FI!$E$4:$E$999,0))="","",INDEX(FI!$AJ$4:$AJ$999,MATCH($C362,FI!$E$4:$E$999,0))),
IF($E362=5,IF(INDEX(FI!$AO$4:$AO$999,MATCH($C362,FI!$E$4:$E$999,0))="","",INDEX(FI!$AO$4:$AO$999,MATCH($C362,FI!$E$4:$E$999,0))),"")))))))</f>
        <v/>
      </c>
      <c r="I362" s="459" t="str">
        <f>IF(ISNA(MATCH($C362,FI!$E$4:$E$999,0)),"",
IF($E362=0,IF(INDEX(FI!$Q$4:$Q$999,MATCH($C362,FI!$E$4:$E$999,0))="","",INDEX(FI!$Q$4:$Q$999,MATCH($C362,FI!$E$4:$E$999,0))),
IF($E362=1,IF(INDEX(FI!$V$4:$V$999,MATCH($C362,FI!$E$4:$E$999,0))="","",INDEX(FI!$V$4:$V$999,MATCH($C362,FI!$E$4:$E$999,0))),
IF($E362=2,IF(INDEX(FI!$AA$4:$AA$999,MATCH($C362,FI!$E$4:$E$999,0))="","",INDEX(FI!$AA$4:$AA$999,MATCH($C362,FI!$E$4:$E$999,0))),
IF($E362=3,IF(INDEX(FI!$AF$4:$AF$999,MATCH($C362,FI!$E$4:$E$999,0))="","",INDEX(FI!$AF$4:$AF$999,MATCH($C362,FI!$E$4:$E$999,0))),
IF($E362=4,IF(INDEX(FI!$AK$4:$AK$999,MATCH($C362,FI!$E$4:$E$999,0))="","",INDEX(FI!$AK$4:$AK$999,MATCH($C362,FI!$E$4:$E$999,0))),
IF($E362=5,IF(INDEX(FI!$AP$4:$AP$999,MATCH($C362,FI!$E$4:$E$999,0))="","",INDEX(FI!$AP$4:$AP$999,MATCH($C362,FI!$E$4:$E$999,0))),"")))))))</f>
        <v/>
      </c>
      <c r="J362" s="459" t="str">
        <f>IF(ISNA(MATCH($C362,FI!$E$4:$E$999,0)),"",
IF($E362=0,IF(INDEX(FI!$R$4:$R$999,MATCH($C362,FI!$E$4:$E$999,0))="","",INDEX(FI!$R$4:$R$999,MATCH($C362,FI!$E$4:$E$999,0))),
IF($E362=1,IF(INDEX(FI!$W$4:$W$999,MATCH($C362,FI!$E$4:$E$999,0))="","",INDEX(FI!$W$4:$W$999,MATCH($C362,FI!$E$4:$E$999,0))),
IF($E362=2,IF(INDEX(FI!$AB$4:$AB$999,MATCH($C362,FI!$E$4:$E$999,0))="","",INDEX(FI!$AB$4:$AB$999,MATCH($C362,FI!$E$4:$E$999,0))),
IF($E362=3,IF(INDEX(FI!$AG$4:$AG$999,MATCH($C362,FI!$E$4:$E$999,0))="","",INDEX(FI!$AG$4:$AG$999,MATCH($C362,FI!$E$4:$E$999,0))),
IF($E362=4,IF(INDEX(FI!$AL$4:$AL$999,MATCH($C362,FI!$E$4:$E$999,0))="","",INDEX(FI!$AL$4:$AL$999,MATCH($C362,FI!$E$4:$E$999,0))),
IF($E362=5,IF(INDEX(FI!$AQ$4:$AQ$999,MATCH($C362,FI!$E$4:$E$999,0))="","",INDEX(FI!$AQ$4:$AQ$999,MATCH($C362,FI!$E$4:$E$999,0))),"")))))))</f>
        <v/>
      </c>
      <c r="K362" s="459" t="str">
        <f>FI!J15</f>
        <v>CTA</v>
      </c>
      <c r="L362" s="460" cm="1">
        <f t="array" aca="1" ref="L362" ca="1">_xlfn.IFS(AND($E362&lt;&gt;"",$M362="Pending",$K362="CTA"),TODAY()-$G362,AND($E362&lt;&gt;"",$M362="Pending",$K362="AUR"),TODAY()-$H362,AND($E362&lt;&gt;"",$M362="Pending",$K362="STT"),TODAY()-$I362,OR(K362="Closed",K362=""),"")</f>
        <v>2</v>
      </c>
      <c r="M362" s="461" t="str">
        <f>VLOOKUP(C362,FI!$E$4:$AC$620,7,0)</f>
        <v>Pending</v>
      </c>
      <c r="N362" s="461" t="str">
        <f t="shared" ca="1" si="18"/>
        <v/>
      </c>
      <c r="O362" s="739" t="str">
        <f>FI!M15</f>
        <v>GC</v>
      </c>
      <c r="P362" s="746" t="str">
        <v>NO</v>
      </c>
    </row>
    <row r="363" spans="1:16" s="385" customFormat="1" ht="24.75" customHeight="1">
      <c r="A363" s="399">
        <v>13</v>
      </c>
      <c r="B363" s="455" t="s">
        <v>21</v>
      </c>
      <c r="C363" s="454" t="s">
        <v>1514</v>
      </c>
      <c r="D363" s="456" t="str">
        <f>_xlfn.XLOOKUP(C363,FI!$E$4:$E$248,FI!$D$4:$D$248)</f>
        <v>Fire Protection Matrix For Level 6</v>
      </c>
      <c r="E363" s="488">
        <f>IF(VLOOKUP(C363,FI!$E$4:$AC$486,5,0)="","",VLOOKUP(C363,FI!$E$4:$AC$985,5,0))</f>
        <v>0</v>
      </c>
      <c r="F363" s="457"/>
      <c r="G363" s="490">
        <f>IF(VLOOKUP(C363,FI!$E$4:$AC$486,3,0)="","",VLOOKUP(C363,FI!$E$4:$AC$486,3,0))</f>
        <v>46064</v>
      </c>
      <c r="H363" s="459" t="str">
        <f>IF(ISNA(MATCH($C363,FI!$E$4:$E$999,0)),"",
IF($E363=0,IF(INDEX(FI!$P$4:$P$999,MATCH($C363,FI!$E$4:$E$999,0))="","",INDEX(FI!$P$4:$P$999,MATCH($C363,FI!$E$4:$E$999,0))),
IF($E363=1,IF(INDEX(FI!$U$4:$U$999,MATCH($C363,FI!$E$4:$E$999,0))="","",INDEX(FI!$U$4:$U$999,MATCH($C363,FI!$E$4:$E$999,0))),
IF($E363=2,IF(INDEX(FI!$Z$4:$Z$999,MATCH($C363,FI!$E$4:$E$999,0))="","",INDEX(FI!$Z$4:$Z$999,MATCH($C363,FI!$E$4:$E$999,0))),
IF($E363=3,IF(INDEX(FI!$AE$4:$AE$999,MATCH($C363,FI!$E$4:$E$999,0))="","",INDEX(FI!$AE$4:$AE$999,MATCH($C363,FI!$E$4:$E$999,0))),
IF($E363=4,IF(INDEX(FI!$AJ$4:$AJ$999,MATCH($C363,FI!$E$4:$E$999,0))="","",INDEX(FI!$AJ$4:$AJ$999,MATCH($C363,FI!$E$4:$E$999,0))),
IF($E363=5,IF(INDEX(FI!$AO$4:$AO$999,MATCH($C363,FI!$E$4:$E$999,0))="","",INDEX(FI!$AO$4:$AO$999,MATCH($C363,FI!$E$4:$E$999,0))),"")))))))</f>
        <v/>
      </c>
      <c r="I363" s="459" t="str">
        <f>IF(ISNA(MATCH($C363,FI!$E$4:$E$999,0)),"",
IF($E363=0,IF(INDEX(FI!$Q$4:$Q$999,MATCH($C363,FI!$E$4:$E$999,0))="","",INDEX(FI!$Q$4:$Q$999,MATCH($C363,FI!$E$4:$E$999,0))),
IF($E363=1,IF(INDEX(FI!$V$4:$V$999,MATCH($C363,FI!$E$4:$E$999,0))="","",INDEX(FI!$V$4:$V$999,MATCH($C363,FI!$E$4:$E$999,0))),
IF($E363=2,IF(INDEX(FI!$AA$4:$AA$999,MATCH($C363,FI!$E$4:$E$999,0))="","",INDEX(FI!$AA$4:$AA$999,MATCH($C363,FI!$E$4:$E$999,0))),
IF($E363=3,IF(INDEX(FI!$AF$4:$AF$999,MATCH($C363,FI!$E$4:$E$999,0))="","",INDEX(FI!$AF$4:$AF$999,MATCH($C363,FI!$E$4:$E$999,0))),
IF($E363=4,IF(INDEX(FI!$AK$4:$AK$999,MATCH($C363,FI!$E$4:$E$999,0))="","",INDEX(FI!$AK$4:$AK$999,MATCH($C363,FI!$E$4:$E$999,0))),
IF($E363=5,IF(INDEX(FI!$AP$4:$AP$999,MATCH($C363,FI!$E$4:$E$999,0))="","",INDEX(FI!$AP$4:$AP$999,MATCH($C363,FI!$E$4:$E$999,0))),"")))))))</f>
        <v/>
      </c>
      <c r="J363" s="459" t="str">
        <f>IF(ISNA(MATCH($C363,FI!$E$4:$E$999,0)),"",
IF($E363=0,IF(INDEX(FI!$R$4:$R$999,MATCH($C363,FI!$E$4:$E$999,0))="","",INDEX(FI!$R$4:$R$999,MATCH($C363,FI!$E$4:$E$999,0))),
IF($E363=1,IF(INDEX(FI!$W$4:$W$999,MATCH($C363,FI!$E$4:$E$999,0))="","",INDEX(FI!$W$4:$W$999,MATCH($C363,FI!$E$4:$E$999,0))),
IF($E363=2,IF(INDEX(FI!$AB$4:$AB$999,MATCH($C363,FI!$E$4:$E$999,0))="","",INDEX(FI!$AB$4:$AB$999,MATCH($C363,FI!$E$4:$E$999,0))),
IF($E363=3,IF(INDEX(FI!$AG$4:$AG$999,MATCH($C363,FI!$E$4:$E$999,0))="","",INDEX(FI!$AG$4:$AG$999,MATCH($C363,FI!$E$4:$E$999,0))),
IF($E363=4,IF(INDEX(FI!$AL$4:$AL$999,MATCH($C363,FI!$E$4:$E$999,0))="","",INDEX(FI!$AL$4:$AL$999,MATCH($C363,FI!$E$4:$E$999,0))),
IF($E363=5,IF(INDEX(FI!$AQ$4:$AQ$999,MATCH($C363,FI!$E$4:$E$999,0))="","",INDEX(FI!$AQ$4:$AQ$999,MATCH($C363,FI!$E$4:$E$999,0))),"")))))))</f>
        <v/>
      </c>
      <c r="K363" s="459" t="str">
        <f>FI!J16</f>
        <v>CTA</v>
      </c>
      <c r="L363" s="460" cm="1">
        <f t="array" aca="1" ref="L363" ca="1">_xlfn.IFS(AND($E363&lt;&gt;"",$M363="Pending",$K363="CTA"),TODAY()-$G363,AND($E363&lt;&gt;"",$M363="Pending",$K363="AUR"),TODAY()-$H363,AND($E363&lt;&gt;"",$M363="Pending",$K363="STT"),TODAY()-$I363,OR(K363="Closed",K363=""),"")</f>
        <v>2</v>
      </c>
      <c r="M363" s="461" t="str">
        <f>VLOOKUP(C363,FI!$E$4:$AC$620,7,0)</f>
        <v>Pending</v>
      </c>
      <c r="N363" s="461" t="str">
        <f t="shared" ca="1" si="18"/>
        <v/>
      </c>
      <c r="O363" s="739" t="str">
        <f>FI!M16</f>
        <v>GC</v>
      </c>
      <c r="P363" s="746" t="str">
        <v>NO</v>
      </c>
    </row>
    <row r="364" spans="1:16" s="385" customFormat="1" ht="24.75" customHeight="1">
      <c r="A364" s="399">
        <v>14</v>
      </c>
      <c r="B364" s="455" t="s">
        <v>21</v>
      </c>
      <c r="C364" s="454" t="s">
        <v>1517</v>
      </c>
      <c r="D364" s="456" t="str">
        <f>_xlfn.XLOOKUP(C364,FI!$E$4:$E$248,FI!$D$4:$D$248)</f>
        <v>Fire Protection Matrix For Level Roof</v>
      </c>
      <c r="E364" s="488">
        <f>IF(VLOOKUP(C364,FI!$E$4:$AC$486,5,0)="","",VLOOKUP(C364,FI!$E$4:$AC$985,5,0))</f>
        <v>0</v>
      </c>
      <c r="F364" s="457"/>
      <c r="G364" s="490">
        <f>IF(VLOOKUP(C364,FI!$E$4:$AC$486,3,0)="","",VLOOKUP(C364,FI!$E$4:$AC$486,3,0))</f>
        <v>46064</v>
      </c>
      <c r="H364" s="459" t="str">
        <f>IF(ISNA(MATCH($C364,FI!$E$4:$E$999,0)),"",
IF($E364=0,IF(INDEX(FI!$P$4:$P$999,MATCH($C364,FI!$E$4:$E$999,0))="","",INDEX(FI!$P$4:$P$999,MATCH($C364,FI!$E$4:$E$999,0))),
IF($E364=1,IF(INDEX(FI!$U$4:$U$999,MATCH($C364,FI!$E$4:$E$999,0))="","",INDEX(FI!$U$4:$U$999,MATCH($C364,FI!$E$4:$E$999,0))),
IF($E364=2,IF(INDEX(FI!$Z$4:$Z$999,MATCH($C364,FI!$E$4:$E$999,0))="","",INDEX(FI!$Z$4:$Z$999,MATCH($C364,FI!$E$4:$E$999,0))),
IF($E364=3,IF(INDEX(FI!$AE$4:$AE$999,MATCH($C364,FI!$E$4:$E$999,0))="","",INDEX(FI!$AE$4:$AE$999,MATCH($C364,FI!$E$4:$E$999,0))),
IF($E364=4,IF(INDEX(FI!$AJ$4:$AJ$999,MATCH($C364,FI!$E$4:$E$999,0))="","",INDEX(FI!$AJ$4:$AJ$999,MATCH($C364,FI!$E$4:$E$999,0))),
IF($E364=5,IF(INDEX(FI!$AO$4:$AO$999,MATCH($C364,FI!$E$4:$E$999,0))="","",INDEX(FI!$AO$4:$AO$999,MATCH($C364,FI!$E$4:$E$999,0))),"")))))))</f>
        <v/>
      </c>
      <c r="I364" s="459" t="str">
        <f>IF(ISNA(MATCH($C364,FI!$E$4:$E$999,0)),"",
IF($E364=0,IF(INDEX(FI!$Q$4:$Q$999,MATCH($C364,FI!$E$4:$E$999,0))="","",INDEX(FI!$Q$4:$Q$999,MATCH($C364,FI!$E$4:$E$999,0))),
IF($E364=1,IF(INDEX(FI!$V$4:$V$999,MATCH($C364,FI!$E$4:$E$999,0))="","",INDEX(FI!$V$4:$V$999,MATCH($C364,FI!$E$4:$E$999,0))),
IF($E364=2,IF(INDEX(FI!$AA$4:$AA$999,MATCH($C364,FI!$E$4:$E$999,0))="","",INDEX(FI!$AA$4:$AA$999,MATCH($C364,FI!$E$4:$E$999,0))),
IF($E364=3,IF(INDEX(FI!$AF$4:$AF$999,MATCH($C364,FI!$E$4:$E$999,0))="","",INDEX(FI!$AF$4:$AF$999,MATCH($C364,FI!$E$4:$E$999,0))),
IF($E364=4,IF(INDEX(FI!$AK$4:$AK$999,MATCH($C364,FI!$E$4:$E$999,0))="","",INDEX(FI!$AK$4:$AK$999,MATCH($C364,FI!$E$4:$E$999,0))),
IF($E364=5,IF(INDEX(FI!$AP$4:$AP$999,MATCH($C364,FI!$E$4:$E$999,0))="","",INDEX(FI!$AP$4:$AP$999,MATCH($C364,FI!$E$4:$E$999,0))),"")))))))</f>
        <v/>
      </c>
      <c r="J364" s="459" t="str">
        <f>IF(ISNA(MATCH($C364,FI!$E$4:$E$999,0)),"",
IF($E364=0,IF(INDEX(FI!$R$4:$R$999,MATCH($C364,FI!$E$4:$E$999,0))="","",INDEX(FI!$R$4:$R$999,MATCH($C364,FI!$E$4:$E$999,0))),
IF($E364=1,IF(INDEX(FI!$W$4:$W$999,MATCH($C364,FI!$E$4:$E$999,0))="","",INDEX(FI!$W$4:$W$999,MATCH($C364,FI!$E$4:$E$999,0))),
IF($E364=2,IF(INDEX(FI!$AB$4:$AB$999,MATCH($C364,FI!$E$4:$E$999,0))="","",INDEX(FI!$AB$4:$AB$999,MATCH($C364,FI!$E$4:$E$999,0))),
IF($E364=3,IF(INDEX(FI!$AG$4:$AG$999,MATCH($C364,FI!$E$4:$E$999,0))="","",INDEX(FI!$AG$4:$AG$999,MATCH($C364,FI!$E$4:$E$999,0))),
IF($E364=4,IF(INDEX(FI!$AL$4:$AL$999,MATCH($C364,FI!$E$4:$E$999,0))="","",INDEX(FI!$AL$4:$AL$999,MATCH($C364,FI!$E$4:$E$999,0))),
IF($E364=5,IF(INDEX(FI!$AQ$4:$AQ$999,MATCH($C364,FI!$E$4:$E$999,0))="","",INDEX(FI!$AQ$4:$AQ$999,MATCH($C364,FI!$E$4:$E$999,0))),"")))))))</f>
        <v/>
      </c>
      <c r="K364" s="459" t="str">
        <f>FI!J17</f>
        <v>CTA</v>
      </c>
      <c r="L364" s="460" cm="1">
        <f t="array" aca="1" ref="L364" ca="1">_xlfn.IFS(AND($E364&lt;&gt;"",$M364="Pending",$K364="CTA"),TODAY()-$G364,AND($E364&lt;&gt;"",$M364="Pending",$K364="AUR"),TODAY()-$H364,AND($E364&lt;&gt;"",$M364="Pending",$K364="STT"),TODAY()-$I364,OR(K364="Closed",K364=""),"")</f>
        <v>2</v>
      </c>
      <c r="M364" s="461" t="str">
        <f>VLOOKUP(C364,FI!$E$4:$AC$620,7,0)</f>
        <v>Pending</v>
      </c>
      <c r="N364" s="461" t="str">
        <f t="shared" ca="1" si="18"/>
        <v/>
      </c>
      <c r="O364" s="739" t="str">
        <f>FI!M17</f>
        <v>GC</v>
      </c>
      <c r="P364" s="746" t="str">
        <v>NO</v>
      </c>
    </row>
    <row r="365" spans="1:16" s="385" customFormat="1" ht="24.75" hidden="1" customHeight="1">
      <c r="A365" s="399">
        <v>15</v>
      </c>
      <c r="B365" s="455" t="s">
        <v>21</v>
      </c>
      <c r="C365" s="454" t="s">
        <v>1520</v>
      </c>
      <c r="D365" s="456" t="str">
        <f>_xlfn.XLOOKUP(C365,FI!$E$4:$E$248,FI!$D$4:$D$248)</f>
        <v>Level 1 - Fire Sprinkler System Layout Plan</v>
      </c>
      <c r="E365" s="488" t="str">
        <f>IF(VLOOKUP(C365,FI!$E$4:$AC$486,5,0)="","",VLOOKUP(C365,FI!$E$4:$AC$985,5,0))</f>
        <v/>
      </c>
      <c r="F365" s="491"/>
      <c r="G365" s="490" t="str">
        <f>IF(VLOOKUP(C365,FI!$E$4:$AC$486,3,0)="","",VLOOKUP(C365,FI!$E$4:$AC$486,3,0))</f>
        <v/>
      </c>
      <c r="H365" s="459" t="str">
        <f>IF(ISNA(MATCH($C365,FI!$E$4:$E$999,0)),"",
IF($E365=0,IF(INDEX(FI!$P$4:$P$999,MATCH($C365,FI!$E$4:$E$999,0))="","",INDEX(FI!$P$4:$P$999,MATCH($C365,FI!$E$4:$E$999,0))),
IF($E365=1,IF(INDEX(FI!$U$4:$U$999,MATCH($C365,FI!$E$4:$E$999,0))="","",INDEX(FI!$U$4:$U$999,MATCH($C365,FI!$E$4:$E$999,0))),
IF($E365=2,IF(INDEX(FI!$Z$4:$Z$999,MATCH($C365,FI!$E$4:$E$999,0))="","",INDEX(FI!$Z$4:$Z$999,MATCH($C365,FI!$E$4:$E$999,0))),
IF($E365=3,IF(INDEX(FI!$AE$4:$AE$999,MATCH($C365,FI!$E$4:$E$999,0))="","",INDEX(FI!$AE$4:$AE$999,MATCH($C365,FI!$E$4:$E$999,0))),
IF($E365=4,IF(INDEX(FI!$AJ$4:$AJ$999,MATCH($C365,FI!$E$4:$E$999,0))="","",INDEX(FI!$AJ$4:$AJ$999,MATCH($C365,FI!$E$4:$E$999,0))),
IF($E365=5,IF(INDEX(FI!$AO$4:$AO$999,MATCH($C365,FI!$E$4:$E$999,0))="","",INDEX(FI!$AO$4:$AO$999,MATCH($C365,FI!$E$4:$E$999,0))),"")))))))</f>
        <v/>
      </c>
      <c r="I365" s="459" t="str">
        <f>IF(ISNA(MATCH($C365,FI!$E$4:$E$999,0)),"",
IF($E365=0,IF(INDEX(FI!$Q$4:$Q$999,MATCH($C365,FI!$E$4:$E$999,0))="","",INDEX(FI!$Q$4:$Q$999,MATCH($C365,FI!$E$4:$E$999,0))),
IF($E365=1,IF(INDEX(FI!$V$4:$V$999,MATCH($C365,FI!$E$4:$E$999,0))="","",INDEX(FI!$V$4:$V$999,MATCH($C365,FI!$E$4:$E$999,0))),
IF($E365=2,IF(INDEX(FI!$AA$4:$AA$999,MATCH($C365,FI!$E$4:$E$999,0))="","",INDEX(FI!$AA$4:$AA$999,MATCH($C365,FI!$E$4:$E$999,0))),
IF($E365=3,IF(INDEX(FI!$AF$4:$AF$999,MATCH($C365,FI!$E$4:$E$999,0))="","",INDEX(FI!$AF$4:$AF$999,MATCH($C365,FI!$E$4:$E$999,0))),
IF($E365=4,IF(INDEX(FI!$AK$4:$AK$999,MATCH($C365,FI!$E$4:$E$999,0))="","",INDEX(FI!$AK$4:$AK$999,MATCH($C365,FI!$E$4:$E$999,0))),
IF($E365=5,IF(INDEX(FI!$AP$4:$AP$999,MATCH($C365,FI!$E$4:$E$999,0))="","",INDEX(FI!$AP$4:$AP$999,MATCH($C365,FI!$E$4:$E$999,0))),"")))))))</f>
        <v/>
      </c>
      <c r="J365" s="459" t="str">
        <f>IF(ISNA(MATCH($C365,FI!$E$4:$E$999,0)),"",
IF($E365=0,IF(INDEX(FI!$R$4:$R$999,MATCH($C365,FI!$E$4:$E$999,0))="","",INDEX(FI!$R$4:$R$999,MATCH($C365,FI!$E$4:$E$999,0))),
IF($E365=1,IF(INDEX(FI!$W$4:$W$999,MATCH($C365,FI!$E$4:$E$999,0))="","",INDEX(FI!$W$4:$W$999,MATCH($C365,FI!$E$4:$E$999,0))),
IF($E365=2,IF(INDEX(FI!$AB$4:$AB$999,MATCH($C365,FI!$E$4:$E$999,0))="","",INDEX(FI!$AB$4:$AB$999,MATCH($C365,FI!$E$4:$E$999,0))),
IF($E365=3,IF(INDEX(FI!$AG$4:$AG$999,MATCH($C365,FI!$E$4:$E$999,0))="","",INDEX(FI!$AG$4:$AG$999,MATCH($C365,FI!$E$4:$E$999,0))),
IF($E365=4,IF(INDEX(FI!$AL$4:$AL$999,MATCH($C365,FI!$E$4:$E$999,0))="","",INDEX(FI!$AL$4:$AL$999,MATCH($C365,FI!$E$4:$E$999,0))),
IF($E365=5,IF(INDEX(FI!$AQ$4:$AQ$999,MATCH($C365,FI!$E$4:$E$999,0))="","",INDEX(FI!$AQ$4:$AQ$999,MATCH($C365,FI!$E$4:$E$999,0))),"")))))))</f>
        <v/>
      </c>
      <c r="K365" s="459" t="str">
        <f>FI!J16</f>
        <v>CTA</v>
      </c>
      <c r="L365" s="460" t="e" cm="1">
        <f t="array" aca="1" ref="L365" ca="1">_xlfn.IFS(AND($E365&lt;&gt;"",$M365="Pending",$K365="CTA"),TODAY()-$G365,AND($E365&lt;&gt;"",$M365="Pending",$K365="AUR"),TODAY()-$H365,AND($E365&lt;&gt;"",$M365="Pending",$K365="STT"),TODAY()-$I365,OR(K365="Closed",K365=""),"")</f>
        <v>#N/A</v>
      </c>
      <c r="M365" s="461">
        <f>VLOOKUP(C365,FI!$E$4:$AC$620,7,0)</f>
        <v>0</v>
      </c>
      <c r="N365" s="461" t="str">
        <f t="shared" si="17"/>
        <v/>
      </c>
      <c r="O365" s="739" t="str">
        <f>FI!M18</f>
        <v>GC</v>
      </c>
      <c r="P365" s="746" t="str">
        <v>NO</v>
      </c>
    </row>
    <row r="366" spans="1:16" s="385" customFormat="1" ht="24.75" hidden="1" customHeight="1">
      <c r="A366" s="399">
        <v>16</v>
      </c>
      <c r="B366" s="455" t="s">
        <v>21</v>
      </c>
      <c r="C366" s="454" t="s">
        <v>1524</v>
      </c>
      <c r="D366" s="456" t="str">
        <f>_xlfn.XLOOKUP(C366,FI!$E$4:$E$248,FI!$D$4:$D$248)</f>
        <v>Level 2 - Fire Sprinkler System Layout Plan</v>
      </c>
      <c r="E366" s="488" t="str">
        <f>IF(VLOOKUP(C366,FI!$E$4:$AC$486,5,0)="","",VLOOKUP(C366,FI!$E$4:$AC$985,5,0))</f>
        <v/>
      </c>
      <c r="F366" s="457"/>
      <c r="G366" s="490" t="str">
        <f>IF(VLOOKUP(C366,FI!$E$4:$AC$486,3,0)="","",VLOOKUP(C366,FI!$E$4:$AC$486,3,0))</f>
        <v/>
      </c>
      <c r="H366" s="459" t="str">
        <f>IF(ISNA(MATCH($C366,FI!$E$4:$E$999,0)),"",
IF($E366=0,IF(INDEX(FI!$P$4:$P$999,MATCH($C366,FI!$E$4:$E$999,0))="","",INDEX(FI!$P$4:$P$999,MATCH($C366,FI!$E$4:$E$999,0))),
IF($E366=1,IF(INDEX(FI!$U$4:$U$999,MATCH($C366,FI!$E$4:$E$999,0))="","",INDEX(FI!$U$4:$U$999,MATCH($C366,FI!$E$4:$E$999,0))),
IF($E366=2,IF(INDEX(FI!$Z$4:$Z$999,MATCH($C366,FI!$E$4:$E$999,0))="","",INDEX(FI!$Z$4:$Z$999,MATCH($C366,FI!$E$4:$E$999,0))),
IF($E366=3,IF(INDEX(FI!$AE$4:$AE$999,MATCH($C366,FI!$E$4:$E$999,0))="","",INDEX(FI!$AE$4:$AE$999,MATCH($C366,FI!$E$4:$E$999,0))),
IF($E366=4,IF(INDEX(FI!$AJ$4:$AJ$999,MATCH($C366,FI!$E$4:$E$999,0))="","",INDEX(FI!$AJ$4:$AJ$999,MATCH($C366,FI!$E$4:$E$999,0))),
IF($E366=5,IF(INDEX(FI!$AO$4:$AO$999,MATCH($C366,FI!$E$4:$E$999,0))="","",INDEX(FI!$AO$4:$AO$999,MATCH($C366,FI!$E$4:$E$999,0))),"")))))))</f>
        <v/>
      </c>
      <c r="I366" s="459" t="str">
        <f>IF(ISNA(MATCH($C366,FI!$E$4:$E$999,0)),"",
IF($E366=0,IF(INDEX(FI!$Q$4:$Q$999,MATCH($C366,FI!$E$4:$E$999,0))="","",INDEX(FI!$Q$4:$Q$999,MATCH($C366,FI!$E$4:$E$999,0))),
IF($E366=1,IF(INDEX(FI!$V$4:$V$999,MATCH($C366,FI!$E$4:$E$999,0))="","",INDEX(FI!$V$4:$V$999,MATCH($C366,FI!$E$4:$E$999,0))),
IF($E366=2,IF(INDEX(FI!$AA$4:$AA$999,MATCH($C366,FI!$E$4:$E$999,0))="","",INDEX(FI!$AA$4:$AA$999,MATCH($C366,FI!$E$4:$E$999,0))),
IF($E366=3,IF(INDEX(FI!$AF$4:$AF$999,MATCH($C366,FI!$E$4:$E$999,0))="","",INDEX(FI!$AF$4:$AF$999,MATCH($C366,FI!$E$4:$E$999,0))),
IF($E366=4,IF(INDEX(FI!$AK$4:$AK$999,MATCH($C366,FI!$E$4:$E$999,0))="","",INDEX(FI!$AK$4:$AK$999,MATCH($C366,FI!$E$4:$E$999,0))),
IF($E366=5,IF(INDEX(FI!$AP$4:$AP$999,MATCH($C366,FI!$E$4:$E$999,0))="","",INDEX(FI!$AP$4:$AP$999,MATCH($C366,FI!$E$4:$E$999,0))),"")))))))</f>
        <v/>
      </c>
      <c r="J366" s="459" t="str">
        <f>IF(ISNA(MATCH($C366,FI!$E$4:$E$999,0)),"",
IF($E366=0,IF(INDEX(FI!$R$4:$R$999,MATCH($C366,FI!$E$4:$E$999,0))="","",INDEX(FI!$R$4:$R$999,MATCH($C366,FI!$E$4:$E$999,0))),
IF($E366=1,IF(INDEX(FI!$W$4:$W$999,MATCH($C366,FI!$E$4:$E$999,0))="","",INDEX(FI!$W$4:$W$999,MATCH($C366,FI!$E$4:$E$999,0))),
IF($E366=2,IF(INDEX(FI!$AB$4:$AB$999,MATCH($C366,FI!$E$4:$E$999,0))="","",INDEX(FI!$AB$4:$AB$999,MATCH($C366,FI!$E$4:$E$999,0))),
IF($E366=3,IF(INDEX(FI!$AG$4:$AG$999,MATCH($C366,FI!$E$4:$E$999,0))="","",INDEX(FI!$AG$4:$AG$999,MATCH($C366,FI!$E$4:$E$999,0))),
IF($E366=4,IF(INDEX(FI!$AL$4:$AL$999,MATCH($C366,FI!$E$4:$E$999,0))="","",INDEX(FI!$AL$4:$AL$999,MATCH($C366,FI!$E$4:$E$999,0))),
IF($E366=5,IF(INDEX(FI!$AQ$4:$AQ$999,MATCH($C366,FI!$E$4:$E$999,0))="","",INDEX(FI!$AQ$4:$AQ$999,MATCH($C366,FI!$E$4:$E$999,0))),"")))))))</f>
        <v/>
      </c>
      <c r="K366" s="459" t="str">
        <f>FI!J17</f>
        <v>CTA</v>
      </c>
      <c r="L366" s="460" t="e" cm="1">
        <f t="array" aca="1" ref="L366" ca="1">_xlfn.IFS(AND($E366&lt;&gt;"",$M366="Pending",$K366="CTA"),TODAY()-$G366,AND($E366&lt;&gt;"",$M366="Pending",$K366="AUR"),TODAY()-$H366,AND($E366&lt;&gt;"",$M366="Pending",$K366="STT"),TODAY()-$I366,OR(K366="Closed",K366=""),"")</f>
        <v>#N/A</v>
      </c>
      <c r="M366" s="461">
        <f>VLOOKUP(C366,FI!$E$4:$AC$620,7,0)</f>
        <v>0</v>
      </c>
      <c r="N366" s="461" t="str">
        <f t="shared" si="17"/>
        <v/>
      </c>
      <c r="O366" s="739" t="str">
        <f>FI!M19</f>
        <v>GC</v>
      </c>
      <c r="P366" s="746" t="str">
        <v>NO</v>
      </c>
    </row>
    <row r="367" spans="1:16" s="385" customFormat="1" ht="24.75" hidden="1" customHeight="1">
      <c r="A367" s="399">
        <v>17</v>
      </c>
      <c r="B367" s="455" t="s">
        <v>21</v>
      </c>
      <c r="C367" s="454" t="s">
        <v>1528</v>
      </c>
      <c r="D367" s="456" t="str">
        <f>_xlfn.XLOOKUP(C367,FI!$E$4:$E$248,FI!$D$4:$D$248)</f>
        <v>Level 6 - Fire Sprinkler System Layout Plan</v>
      </c>
      <c r="E367" s="488" t="str">
        <f>IF(VLOOKUP(C367,FI!$E$4:$AC$486,5,0)="","",VLOOKUP(C367,FI!$E$4:$AC$985,5,0))</f>
        <v/>
      </c>
      <c r="F367" s="491"/>
      <c r="G367" s="490" t="str">
        <f>IF(VLOOKUP(C367,FI!$E$4:$AC$486,3,0)="","",VLOOKUP(C367,FI!$E$4:$AC$486,3,0))</f>
        <v/>
      </c>
      <c r="H367" s="459" t="str">
        <f>IF(ISNA(MATCH($C367,FI!$E$4:$E$999,0)),"",
IF($E367=0,IF(INDEX(FI!$P$4:$P$999,MATCH($C367,FI!$E$4:$E$999,0))="","",INDEX(FI!$P$4:$P$999,MATCH($C367,FI!$E$4:$E$999,0))),
IF($E367=1,IF(INDEX(FI!$U$4:$U$999,MATCH($C367,FI!$E$4:$E$999,0))="","",INDEX(FI!$U$4:$U$999,MATCH($C367,FI!$E$4:$E$999,0))),
IF($E367=2,IF(INDEX(FI!$Z$4:$Z$999,MATCH($C367,FI!$E$4:$E$999,0))="","",INDEX(FI!$Z$4:$Z$999,MATCH($C367,FI!$E$4:$E$999,0))),
IF($E367=3,IF(INDEX(FI!$AE$4:$AE$999,MATCH($C367,FI!$E$4:$E$999,0))="","",INDEX(FI!$AE$4:$AE$999,MATCH($C367,FI!$E$4:$E$999,0))),
IF($E367=4,IF(INDEX(FI!$AJ$4:$AJ$999,MATCH($C367,FI!$E$4:$E$999,0))="","",INDEX(FI!$AJ$4:$AJ$999,MATCH($C367,FI!$E$4:$E$999,0))),
IF($E367=5,IF(INDEX(FI!$AO$4:$AO$999,MATCH($C367,FI!$E$4:$E$999,0))="","",INDEX(FI!$AO$4:$AO$999,MATCH($C367,FI!$E$4:$E$999,0))),"")))))))</f>
        <v/>
      </c>
      <c r="I367" s="459" t="str">
        <f>IF(ISNA(MATCH($C367,FI!$E$4:$E$999,0)),"",
IF($E367=0,IF(INDEX(FI!$Q$4:$Q$999,MATCH($C367,FI!$E$4:$E$999,0))="","",INDEX(FI!$Q$4:$Q$999,MATCH($C367,FI!$E$4:$E$999,0))),
IF($E367=1,IF(INDEX(FI!$V$4:$V$999,MATCH($C367,FI!$E$4:$E$999,0))="","",INDEX(FI!$V$4:$V$999,MATCH($C367,FI!$E$4:$E$999,0))),
IF($E367=2,IF(INDEX(FI!$AA$4:$AA$999,MATCH($C367,FI!$E$4:$E$999,0))="","",INDEX(FI!$AA$4:$AA$999,MATCH($C367,FI!$E$4:$E$999,0))),
IF($E367=3,IF(INDEX(FI!$AF$4:$AF$999,MATCH($C367,FI!$E$4:$E$999,0))="","",INDEX(FI!$AF$4:$AF$999,MATCH($C367,FI!$E$4:$E$999,0))),
IF($E367=4,IF(INDEX(FI!$AK$4:$AK$999,MATCH($C367,FI!$E$4:$E$999,0))="","",INDEX(FI!$AK$4:$AK$999,MATCH($C367,FI!$E$4:$E$999,0))),
IF($E367=5,IF(INDEX(FI!$AP$4:$AP$999,MATCH($C367,FI!$E$4:$E$999,0))="","",INDEX(FI!$AP$4:$AP$999,MATCH($C367,FI!$E$4:$E$999,0))),"")))))))</f>
        <v/>
      </c>
      <c r="J367" s="459" t="str">
        <f>IF(ISNA(MATCH($C367,FI!$E$4:$E$999,0)),"",
IF($E367=0,IF(INDEX(FI!$R$4:$R$999,MATCH($C367,FI!$E$4:$E$999,0))="","",INDEX(FI!$R$4:$R$999,MATCH($C367,FI!$E$4:$E$999,0))),
IF($E367=1,IF(INDEX(FI!$W$4:$W$999,MATCH($C367,FI!$E$4:$E$999,0))="","",INDEX(FI!$W$4:$W$999,MATCH($C367,FI!$E$4:$E$999,0))),
IF($E367=2,IF(INDEX(FI!$AB$4:$AB$999,MATCH($C367,FI!$E$4:$E$999,0))="","",INDEX(FI!$AB$4:$AB$999,MATCH($C367,FI!$E$4:$E$999,0))),
IF($E367=3,IF(INDEX(FI!$AG$4:$AG$999,MATCH($C367,FI!$E$4:$E$999,0))="","",INDEX(FI!$AG$4:$AG$999,MATCH($C367,FI!$E$4:$E$999,0))),
IF($E367=4,IF(INDEX(FI!$AL$4:$AL$999,MATCH($C367,FI!$E$4:$E$999,0))="","",INDEX(FI!$AL$4:$AL$999,MATCH($C367,FI!$E$4:$E$999,0))),
IF($E367=5,IF(INDEX(FI!$AQ$4:$AQ$999,MATCH($C367,FI!$E$4:$E$999,0))="","",INDEX(FI!$AQ$4:$AQ$999,MATCH($C367,FI!$E$4:$E$999,0))),"")))))))</f>
        <v/>
      </c>
      <c r="K367" s="459">
        <f>FI!J18</f>
        <v>0</v>
      </c>
      <c r="L367" s="460" t="e" cm="1">
        <f t="array" aca="1" ref="L367" ca="1">_xlfn.IFS(AND($E367&lt;&gt;"",$M367="Pending",$K367="CTA"),TODAY()-$G367,AND($E367&lt;&gt;"",$M367="Pending",$K367="AUR"),TODAY()-$H367,AND($E367&lt;&gt;"",$M367="Pending",$K367="STT"),TODAY()-$I367,OR(K367="Closed",K367=""),"")</f>
        <v>#N/A</v>
      </c>
      <c r="M367" s="461">
        <f>VLOOKUP(C367,FI!$E$4:$AC$620,7,0)</f>
        <v>0</v>
      </c>
      <c r="N367" s="461" t="str">
        <f t="shared" si="17"/>
        <v/>
      </c>
      <c r="O367" s="739" t="str">
        <f>FI!M20</f>
        <v>GC</v>
      </c>
      <c r="P367" s="746" t="str">
        <v>NO</v>
      </c>
    </row>
    <row r="368" spans="1:16" s="385" customFormat="1" ht="24.75" hidden="1" customHeight="1">
      <c r="A368" s="399">
        <v>18</v>
      </c>
      <c r="B368" s="455" t="s">
        <v>21</v>
      </c>
      <c r="C368" s="454" t="s">
        <v>1531</v>
      </c>
      <c r="D368" s="456" t="str">
        <f>_xlfn.XLOOKUP(C368,FI!$E$4:$E$248,FI!$D$4:$D$248)</f>
        <v>Level Roof - Fire Sprinkler System Layout Plan</v>
      </c>
      <c r="E368" s="488" t="str">
        <f>IF(VLOOKUP(C368,FI!$E$4:$AC$486,5,0)="","",VLOOKUP(C368,FI!$E$4:$AC$985,5,0))</f>
        <v/>
      </c>
      <c r="F368" s="457"/>
      <c r="G368" s="490" t="str">
        <f>IF(VLOOKUP(C368,FI!$E$4:$AC$486,3,0)="","",VLOOKUP(C368,FI!$E$4:$AC$486,3,0))</f>
        <v/>
      </c>
      <c r="H368" s="459" t="str">
        <f>IF(ISNA(MATCH($C368,FI!$E$4:$E$999,0)),"",
IF($E368=0,IF(INDEX(FI!$P$4:$P$999,MATCH($C368,FI!$E$4:$E$999,0))="","",INDEX(FI!$P$4:$P$999,MATCH($C368,FI!$E$4:$E$999,0))),
IF($E368=1,IF(INDEX(FI!$U$4:$U$999,MATCH($C368,FI!$E$4:$E$999,0))="","",INDEX(FI!$U$4:$U$999,MATCH($C368,FI!$E$4:$E$999,0))),
IF($E368=2,IF(INDEX(FI!$Z$4:$Z$999,MATCH($C368,FI!$E$4:$E$999,0))="","",INDEX(FI!$Z$4:$Z$999,MATCH($C368,FI!$E$4:$E$999,0))),
IF($E368=3,IF(INDEX(FI!$AE$4:$AE$999,MATCH($C368,FI!$E$4:$E$999,0))="","",INDEX(FI!$AE$4:$AE$999,MATCH($C368,FI!$E$4:$E$999,0))),
IF($E368=4,IF(INDEX(FI!$AJ$4:$AJ$999,MATCH($C368,FI!$E$4:$E$999,0))="","",INDEX(FI!$AJ$4:$AJ$999,MATCH($C368,FI!$E$4:$E$999,0))),
IF($E368=5,IF(INDEX(FI!$AO$4:$AO$999,MATCH($C368,FI!$E$4:$E$999,0))="","",INDEX(FI!$AO$4:$AO$999,MATCH($C368,FI!$E$4:$E$999,0))),"")))))))</f>
        <v/>
      </c>
      <c r="I368" s="459" t="str">
        <f>IF(ISNA(MATCH($C368,FI!$E$4:$E$999,0)),"",
IF($E368=0,IF(INDEX(FI!$Q$4:$Q$999,MATCH($C368,FI!$E$4:$E$999,0))="","",INDEX(FI!$Q$4:$Q$999,MATCH($C368,FI!$E$4:$E$999,0))),
IF($E368=1,IF(INDEX(FI!$V$4:$V$999,MATCH($C368,FI!$E$4:$E$999,0))="","",INDEX(FI!$V$4:$V$999,MATCH($C368,FI!$E$4:$E$999,0))),
IF($E368=2,IF(INDEX(FI!$AA$4:$AA$999,MATCH($C368,FI!$E$4:$E$999,0))="","",INDEX(FI!$AA$4:$AA$999,MATCH($C368,FI!$E$4:$E$999,0))),
IF($E368=3,IF(INDEX(FI!$AF$4:$AF$999,MATCH($C368,FI!$E$4:$E$999,0))="","",INDEX(FI!$AF$4:$AF$999,MATCH($C368,FI!$E$4:$E$999,0))),
IF($E368=4,IF(INDEX(FI!$AK$4:$AK$999,MATCH($C368,FI!$E$4:$E$999,0))="","",INDEX(FI!$AK$4:$AK$999,MATCH($C368,FI!$E$4:$E$999,0))),
IF($E368=5,IF(INDEX(FI!$AP$4:$AP$999,MATCH($C368,FI!$E$4:$E$999,0))="","",INDEX(FI!$AP$4:$AP$999,MATCH($C368,FI!$E$4:$E$999,0))),"")))))))</f>
        <v/>
      </c>
      <c r="J368" s="459" t="str">
        <f>IF(ISNA(MATCH($C368,FI!$E$4:$E$999,0)),"",
IF($E368=0,IF(INDEX(FI!$R$4:$R$999,MATCH($C368,FI!$E$4:$E$999,0))="","",INDEX(FI!$R$4:$R$999,MATCH($C368,FI!$E$4:$E$999,0))),
IF($E368=1,IF(INDEX(FI!$W$4:$W$999,MATCH($C368,FI!$E$4:$E$999,0))="","",INDEX(FI!$W$4:$W$999,MATCH($C368,FI!$E$4:$E$999,0))),
IF($E368=2,IF(INDEX(FI!$AB$4:$AB$999,MATCH($C368,FI!$E$4:$E$999,0))="","",INDEX(FI!$AB$4:$AB$999,MATCH($C368,FI!$E$4:$E$999,0))),
IF($E368=3,IF(INDEX(FI!$AG$4:$AG$999,MATCH($C368,FI!$E$4:$E$999,0))="","",INDEX(FI!$AG$4:$AG$999,MATCH($C368,FI!$E$4:$E$999,0))),
IF($E368=4,IF(INDEX(FI!$AL$4:$AL$999,MATCH($C368,FI!$E$4:$E$999,0))="","",INDEX(FI!$AL$4:$AL$999,MATCH($C368,FI!$E$4:$E$999,0))),
IF($E368=5,IF(INDEX(FI!$AQ$4:$AQ$999,MATCH($C368,FI!$E$4:$E$999,0))="","",INDEX(FI!$AQ$4:$AQ$999,MATCH($C368,FI!$E$4:$E$999,0))),"")))))))</f>
        <v/>
      </c>
      <c r="K368" s="459">
        <f>FI!J19</f>
        <v>0</v>
      </c>
      <c r="L368" s="460" t="e" cm="1">
        <f t="array" aca="1" ref="L368" ca="1">_xlfn.IFS(AND($E368&lt;&gt;"",$M368="Pending",$K368="CTA"),TODAY()-$G368,AND($E368&lt;&gt;"",$M368="Pending",$K368="AUR"),TODAY()-$H368,AND($E368&lt;&gt;"",$M368="Pending",$K368="STT"),TODAY()-$I368,OR(K368="Closed",K368=""),"")</f>
        <v>#N/A</v>
      </c>
      <c r="M368" s="461">
        <f>VLOOKUP(C368,FI!$E$4:$AC$620,7,0)</f>
        <v>0</v>
      </c>
      <c r="N368" s="461" t="str">
        <f t="shared" si="17"/>
        <v/>
      </c>
      <c r="O368" s="739" t="str">
        <f>FI!M21</f>
        <v>GC</v>
      </c>
      <c r="P368" s="746" t="str">
        <v>NO</v>
      </c>
    </row>
    <row r="369" spans="1:16" s="385" customFormat="1" ht="24.75" hidden="1" customHeight="1">
      <c r="A369" s="399">
        <v>19</v>
      </c>
      <c r="B369" s="455" t="s">
        <v>21</v>
      </c>
      <c r="C369" s="454" t="s">
        <v>1534</v>
      </c>
      <c r="D369" s="456" t="str">
        <f>_xlfn.XLOOKUP(C369,FI!$E$4:$E$248,FI!$D$4:$D$248)</f>
        <v>Level 1 - Nitrogen Fire Suppression Ststem Layout Plan</v>
      </c>
      <c r="E369" s="488" t="str">
        <f>IF(VLOOKUP(C369,FI!$E$4:$AC$486,5,0)="","",VLOOKUP(C369,FI!$E$4:$AC$985,5,0))</f>
        <v/>
      </c>
      <c r="F369" s="457"/>
      <c r="G369" s="490" t="str">
        <f>IF(VLOOKUP(C369,FI!$E$4:$AC$486,3,0)="","",VLOOKUP(C369,FI!$E$4:$AC$486,3,0))</f>
        <v/>
      </c>
      <c r="H369" s="459" t="str">
        <f>IF(ISNA(MATCH($C369,FI!$E$4:$E$999,0)),"",
IF($E369=0,IF(INDEX(FI!$P$4:$P$999,MATCH($C369,FI!$E$4:$E$999,0))="","",INDEX(FI!$P$4:$P$999,MATCH($C369,FI!$E$4:$E$999,0))),
IF($E369=1,IF(INDEX(FI!$U$4:$U$999,MATCH($C369,FI!$E$4:$E$999,0))="","",INDEX(FI!$U$4:$U$999,MATCH($C369,FI!$E$4:$E$999,0))),
IF($E369=2,IF(INDEX(FI!$Z$4:$Z$999,MATCH($C369,FI!$E$4:$E$999,0))="","",INDEX(FI!$Z$4:$Z$999,MATCH($C369,FI!$E$4:$E$999,0))),
IF($E369=3,IF(INDEX(FI!$AE$4:$AE$999,MATCH($C369,FI!$E$4:$E$999,0))="","",INDEX(FI!$AE$4:$AE$999,MATCH($C369,FI!$E$4:$E$999,0))),
IF($E369=4,IF(INDEX(FI!$AJ$4:$AJ$999,MATCH($C369,FI!$E$4:$E$999,0))="","",INDEX(FI!$AJ$4:$AJ$999,MATCH($C369,FI!$E$4:$E$999,0))),
IF($E369=5,IF(INDEX(FI!$AO$4:$AO$999,MATCH($C369,FI!$E$4:$E$999,0))="","",INDEX(FI!$AO$4:$AO$999,MATCH($C369,FI!$E$4:$E$999,0))),"")))))))</f>
        <v/>
      </c>
      <c r="I369" s="459" t="str">
        <f>IF(ISNA(MATCH($C369,FI!$E$4:$E$999,0)),"",
IF($E369=0,IF(INDEX(FI!$Q$4:$Q$999,MATCH($C369,FI!$E$4:$E$999,0))="","",INDEX(FI!$Q$4:$Q$999,MATCH($C369,FI!$E$4:$E$999,0))),
IF($E369=1,IF(INDEX(FI!$V$4:$V$999,MATCH($C369,FI!$E$4:$E$999,0))="","",INDEX(FI!$V$4:$V$999,MATCH($C369,FI!$E$4:$E$999,0))),
IF($E369=2,IF(INDEX(FI!$AA$4:$AA$999,MATCH($C369,FI!$E$4:$E$999,0))="","",INDEX(FI!$AA$4:$AA$999,MATCH($C369,FI!$E$4:$E$999,0))),
IF($E369=3,IF(INDEX(FI!$AF$4:$AF$999,MATCH($C369,FI!$E$4:$E$999,0))="","",INDEX(FI!$AF$4:$AF$999,MATCH($C369,FI!$E$4:$E$999,0))),
IF($E369=4,IF(INDEX(FI!$AK$4:$AK$999,MATCH($C369,FI!$E$4:$E$999,0))="","",INDEX(FI!$AK$4:$AK$999,MATCH($C369,FI!$E$4:$E$999,0))),
IF($E369=5,IF(INDEX(FI!$AP$4:$AP$999,MATCH($C369,FI!$E$4:$E$999,0))="","",INDEX(FI!$AP$4:$AP$999,MATCH($C369,FI!$E$4:$E$999,0))),"")))))))</f>
        <v/>
      </c>
      <c r="J369" s="459" t="str">
        <f>IF(ISNA(MATCH($C369,FI!$E$4:$E$999,0)),"",
IF($E369=0,IF(INDEX(FI!$R$4:$R$999,MATCH($C369,FI!$E$4:$E$999,0))="","",INDEX(FI!$R$4:$R$999,MATCH($C369,FI!$E$4:$E$999,0))),
IF($E369=1,IF(INDEX(FI!$W$4:$W$999,MATCH($C369,FI!$E$4:$E$999,0))="","",INDEX(FI!$W$4:$W$999,MATCH($C369,FI!$E$4:$E$999,0))),
IF($E369=2,IF(INDEX(FI!$AB$4:$AB$999,MATCH($C369,FI!$E$4:$E$999,0))="","",INDEX(FI!$AB$4:$AB$999,MATCH($C369,FI!$E$4:$E$999,0))),
IF($E369=3,IF(INDEX(FI!$AG$4:$AG$999,MATCH($C369,FI!$E$4:$E$999,0))="","",INDEX(FI!$AG$4:$AG$999,MATCH($C369,FI!$E$4:$E$999,0))),
IF($E369=4,IF(INDEX(FI!$AL$4:$AL$999,MATCH($C369,FI!$E$4:$E$999,0))="","",INDEX(FI!$AL$4:$AL$999,MATCH($C369,FI!$E$4:$E$999,0))),
IF($E369=5,IF(INDEX(FI!$AQ$4:$AQ$999,MATCH($C369,FI!$E$4:$E$999,0))="","",INDEX(FI!$AQ$4:$AQ$999,MATCH($C369,FI!$E$4:$E$999,0))),"")))))))</f>
        <v/>
      </c>
      <c r="K369" s="459">
        <f>FI!J20</f>
        <v>0</v>
      </c>
      <c r="L369" s="460" t="e" cm="1">
        <f t="array" aca="1" ref="L369" ca="1">_xlfn.IFS(AND($E369&lt;&gt;"",$M369="Pending",$K369="CTA"),TODAY()-$G369,AND($E369&lt;&gt;"",$M369="Pending",$K369="AUR"),TODAY()-$H369,AND($E369&lt;&gt;"",$M369="Pending",$K369="STT"),TODAY()-$I369,OR(K369="Closed",K369=""),"")</f>
        <v>#N/A</v>
      </c>
      <c r="M369" s="461">
        <f>VLOOKUP(C369,FI!$E$4:$AC$620,7,0)</f>
        <v>0</v>
      </c>
      <c r="N369" s="461" t="str">
        <f t="shared" si="17"/>
        <v/>
      </c>
      <c r="O369" s="739" t="str">
        <f>FI!M22</f>
        <v>GC</v>
      </c>
      <c r="P369" s="746" t="str">
        <v>NO</v>
      </c>
    </row>
    <row r="370" spans="1:16" s="385" customFormat="1" ht="24.75" hidden="1" customHeight="1">
      <c r="A370" s="399">
        <v>20</v>
      </c>
      <c r="B370" s="455" t="s">
        <v>21</v>
      </c>
      <c r="C370" s="454" t="s">
        <v>1538</v>
      </c>
      <c r="D370" s="456" t="str">
        <f>_xlfn.XLOOKUP(C370,FI!$E$4:$E$248,FI!$D$4:$D$248)</f>
        <v>Level 1 - Nitrogen Fire Suppression Ststem Wiring Layout Plan</v>
      </c>
      <c r="E370" s="488" t="str">
        <f>IF(VLOOKUP(C370,FI!$E$4:$AC$486,5,0)="","",VLOOKUP(C370,FI!$E$4:$AC$985,5,0))</f>
        <v/>
      </c>
      <c r="F370" s="457"/>
      <c r="G370" s="490" t="str">
        <f>IF(VLOOKUP(C370,FI!$E$4:$AC$486,3,0)="","",VLOOKUP(C370,FI!$E$4:$AC$486,3,0))</f>
        <v/>
      </c>
      <c r="H370" s="459" t="str">
        <f>IF(ISNA(MATCH($C370,FI!$E$4:$E$999,0)),"",
IF($E370=0,IF(INDEX(FI!$P$4:$P$999,MATCH($C370,FI!$E$4:$E$999,0))="","",INDEX(FI!$P$4:$P$999,MATCH($C370,FI!$E$4:$E$999,0))),
IF($E370=1,IF(INDEX(FI!$U$4:$U$999,MATCH($C370,FI!$E$4:$E$999,0))="","",INDEX(FI!$U$4:$U$999,MATCH($C370,FI!$E$4:$E$999,0))),
IF($E370=2,IF(INDEX(FI!$Z$4:$Z$999,MATCH($C370,FI!$E$4:$E$999,0))="","",INDEX(FI!$Z$4:$Z$999,MATCH($C370,FI!$E$4:$E$999,0))),
IF($E370=3,IF(INDEX(FI!$AE$4:$AE$999,MATCH($C370,FI!$E$4:$E$999,0))="","",INDEX(FI!$AE$4:$AE$999,MATCH($C370,FI!$E$4:$E$999,0))),
IF($E370=4,IF(INDEX(FI!$AJ$4:$AJ$999,MATCH($C370,FI!$E$4:$E$999,0))="","",INDEX(FI!$AJ$4:$AJ$999,MATCH($C370,FI!$E$4:$E$999,0))),
IF($E370=5,IF(INDEX(FI!$AO$4:$AO$999,MATCH($C370,FI!$E$4:$E$999,0))="","",INDEX(FI!$AO$4:$AO$999,MATCH($C370,FI!$E$4:$E$999,0))),"")))))))</f>
        <v/>
      </c>
      <c r="I370" s="459" t="str">
        <f>IF(ISNA(MATCH($C370,FI!$E$4:$E$999,0)),"",
IF($E370=0,IF(INDEX(FI!$Q$4:$Q$999,MATCH($C370,FI!$E$4:$E$999,0))="","",INDEX(FI!$Q$4:$Q$999,MATCH($C370,FI!$E$4:$E$999,0))),
IF($E370=1,IF(INDEX(FI!$V$4:$V$999,MATCH($C370,FI!$E$4:$E$999,0))="","",INDEX(FI!$V$4:$V$999,MATCH($C370,FI!$E$4:$E$999,0))),
IF($E370=2,IF(INDEX(FI!$AA$4:$AA$999,MATCH($C370,FI!$E$4:$E$999,0))="","",INDEX(FI!$AA$4:$AA$999,MATCH($C370,FI!$E$4:$E$999,0))),
IF($E370=3,IF(INDEX(FI!$AF$4:$AF$999,MATCH($C370,FI!$E$4:$E$999,0))="","",INDEX(FI!$AF$4:$AF$999,MATCH($C370,FI!$E$4:$E$999,0))),
IF($E370=4,IF(INDEX(FI!$AK$4:$AK$999,MATCH($C370,FI!$E$4:$E$999,0))="","",INDEX(FI!$AK$4:$AK$999,MATCH($C370,FI!$E$4:$E$999,0))),
IF($E370=5,IF(INDEX(FI!$AP$4:$AP$999,MATCH($C370,FI!$E$4:$E$999,0))="","",INDEX(FI!$AP$4:$AP$999,MATCH($C370,FI!$E$4:$E$999,0))),"")))))))</f>
        <v/>
      </c>
      <c r="J370" s="459" t="str">
        <f>IF(ISNA(MATCH($C370,FI!$E$4:$E$999,0)),"",
IF($E370=0,IF(INDEX(FI!$R$4:$R$999,MATCH($C370,FI!$E$4:$E$999,0))="","",INDEX(FI!$R$4:$R$999,MATCH($C370,FI!$E$4:$E$999,0))),
IF($E370=1,IF(INDEX(FI!$W$4:$W$999,MATCH($C370,FI!$E$4:$E$999,0))="","",INDEX(FI!$W$4:$W$999,MATCH($C370,FI!$E$4:$E$999,0))),
IF($E370=2,IF(INDEX(FI!$AB$4:$AB$999,MATCH($C370,FI!$E$4:$E$999,0))="","",INDEX(FI!$AB$4:$AB$999,MATCH($C370,FI!$E$4:$E$999,0))),
IF($E370=3,IF(INDEX(FI!$AG$4:$AG$999,MATCH($C370,FI!$E$4:$E$999,0))="","",INDEX(FI!$AG$4:$AG$999,MATCH($C370,FI!$E$4:$E$999,0))),
IF($E370=4,IF(INDEX(FI!$AL$4:$AL$999,MATCH($C370,FI!$E$4:$E$999,0))="","",INDEX(FI!$AL$4:$AL$999,MATCH($C370,FI!$E$4:$E$999,0))),
IF($E370=5,IF(INDEX(FI!$AQ$4:$AQ$999,MATCH($C370,FI!$E$4:$E$999,0))="","",INDEX(FI!$AQ$4:$AQ$999,MATCH($C370,FI!$E$4:$E$999,0))),"")))))))</f>
        <v/>
      </c>
      <c r="K370" s="459">
        <f>FI!J21</f>
        <v>0</v>
      </c>
      <c r="L370" s="460" t="e" cm="1">
        <f t="array" aca="1" ref="L370" ca="1">_xlfn.IFS(AND($E370&lt;&gt;"",$M370="Pending",$K370="CTA"),TODAY()-$G370,AND($E370&lt;&gt;"",$M370="Pending",$K370="AUR"),TODAY()-$H370,AND($E370&lt;&gt;"",$M370="Pending",$K370="STT"),TODAY()-$I370,OR(K370="Closed",K370=""),"")</f>
        <v>#N/A</v>
      </c>
      <c r="M370" s="461">
        <f>VLOOKUP(C370,FI!$E$4:$AC$620,7,0)</f>
        <v>0</v>
      </c>
      <c r="N370" s="461" t="str">
        <f t="shared" si="17"/>
        <v/>
      </c>
      <c r="O370" s="739" t="str">
        <f>FI!M23</f>
        <v>GC</v>
      </c>
      <c r="P370" s="746" t="str">
        <v>NO</v>
      </c>
    </row>
    <row r="371" spans="1:16" s="385" customFormat="1" ht="24.75" hidden="1" customHeight="1">
      <c r="A371" s="399">
        <v>21</v>
      </c>
      <c r="B371" s="455" t="s">
        <v>21</v>
      </c>
      <c r="C371" s="454" t="s">
        <v>1541</v>
      </c>
      <c r="D371" s="456" t="str">
        <f>_xlfn.XLOOKUP(C371,FI!$E$4:$E$248,FI!$D$4:$D$248)</f>
        <v>Level 2 - Nitrogen Fire Suppression Ststem Layout Plan</v>
      </c>
      <c r="E371" s="488" t="str">
        <f>IF(VLOOKUP(C371,FI!$E$4:$AC$486,5,0)="","",VLOOKUP(C371,FI!$E$4:$AC$985,5,0))</f>
        <v/>
      </c>
      <c r="F371" s="457"/>
      <c r="G371" s="490" t="str">
        <f>IF(VLOOKUP(C371,FI!$E$4:$AC$486,3,0)="","",VLOOKUP(C371,FI!$E$4:$AC$486,3,0))</f>
        <v/>
      </c>
      <c r="H371" s="459" t="str">
        <f>IF(ISNA(MATCH($C371,FI!$E$4:$E$999,0)),"",
IF($E371=0,IF(INDEX(FI!$P$4:$P$999,MATCH($C371,FI!$E$4:$E$999,0))="","",INDEX(FI!$P$4:$P$999,MATCH($C371,FI!$E$4:$E$999,0))),
IF($E371=1,IF(INDEX(FI!$U$4:$U$999,MATCH($C371,FI!$E$4:$E$999,0))="","",INDEX(FI!$U$4:$U$999,MATCH($C371,FI!$E$4:$E$999,0))),
IF($E371=2,IF(INDEX(FI!$Z$4:$Z$999,MATCH($C371,FI!$E$4:$E$999,0))="","",INDEX(FI!$Z$4:$Z$999,MATCH($C371,FI!$E$4:$E$999,0))),
IF($E371=3,IF(INDEX(FI!$AE$4:$AE$999,MATCH($C371,FI!$E$4:$E$999,0))="","",INDEX(FI!$AE$4:$AE$999,MATCH($C371,FI!$E$4:$E$999,0))),
IF($E371=4,IF(INDEX(FI!$AJ$4:$AJ$999,MATCH($C371,FI!$E$4:$E$999,0))="","",INDEX(FI!$AJ$4:$AJ$999,MATCH($C371,FI!$E$4:$E$999,0))),
IF($E371=5,IF(INDEX(FI!$AO$4:$AO$999,MATCH($C371,FI!$E$4:$E$999,0))="","",INDEX(FI!$AO$4:$AO$999,MATCH($C371,FI!$E$4:$E$999,0))),"")))))))</f>
        <v/>
      </c>
      <c r="I371" s="459" t="str">
        <f>IF(ISNA(MATCH($C371,FI!$E$4:$E$999,0)),"",
IF($E371=0,IF(INDEX(FI!$Q$4:$Q$999,MATCH($C371,FI!$E$4:$E$999,0))="","",INDEX(FI!$Q$4:$Q$999,MATCH($C371,FI!$E$4:$E$999,0))),
IF($E371=1,IF(INDEX(FI!$V$4:$V$999,MATCH($C371,FI!$E$4:$E$999,0))="","",INDEX(FI!$V$4:$V$999,MATCH($C371,FI!$E$4:$E$999,0))),
IF($E371=2,IF(INDEX(FI!$AA$4:$AA$999,MATCH($C371,FI!$E$4:$E$999,0))="","",INDEX(FI!$AA$4:$AA$999,MATCH($C371,FI!$E$4:$E$999,0))),
IF($E371=3,IF(INDEX(FI!$AF$4:$AF$999,MATCH($C371,FI!$E$4:$E$999,0))="","",INDEX(FI!$AF$4:$AF$999,MATCH($C371,FI!$E$4:$E$999,0))),
IF($E371=4,IF(INDEX(FI!$AK$4:$AK$999,MATCH($C371,FI!$E$4:$E$999,0))="","",INDEX(FI!$AK$4:$AK$999,MATCH($C371,FI!$E$4:$E$999,0))),
IF($E371=5,IF(INDEX(FI!$AP$4:$AP$999,MATCH($C371,FI!$E$4:$E$999,0))="","",INDEX(FI!$AP$4:$AP$999,MATCH($C371,FI!$E$4:$E$999,0))),"")))))))</f>
        <v/>
      </c>
      <c r="J371" s="459" t="str">
        <f>IF(ISNA(MATCH($C371,FI!$E$4:$E$999,0)),"",
IF($E371=0,IF(INDEX(FI!$R$4:$R$999,MATCH($C371,FI!$E$4:$E$999,0))="","",INDEX(FI!$R$4:$R$999,MATCH($C371,FI!$E$4:$E$999,0))),
IF($E371=1,IF(INDEX(FI!$W$4:$W$999,MATCH($C371,FI!$E$4:$E$999,0))="","",INDEX(FI!$W$4:$W$999,MATCH($C371,FI!$E$4:$E$999,0))),
IF($E371=2,IF(INDEX(FI!$AB$4:$AB$999,MATCH($C371,FI!$E$4:$E$999,0))="","",INDEX(FI!$AB$4:$AB$999,MATCH($C371,FI!$E$4:$E$999,0))),
IF($E371=3,IF(INDEX(FI!$AG$4:$AG$999,MATCH($C371,FI!$E$4:$E$999,0))="","",INDEX(FI!$AG$4:$AG$999,MATCH($C371,FI!$E$4:$E$999,0))),
IF($E371=4,IF(INDEX(FI!$AL$4:$AL$999,MATCH($C371,FI!$E$4:$E$999,0))="","",INDEX(FI!$AL$4:$AL$999,MATCH($C371,FI!$E$4:$E$999,0))),
IF($E371=5,IF(INDEX(FI!$AQ$4:$AQ$999,MATCH($C371,FI!$E$4:$E$999,0))="","",INDEX(FI!$AQ$4:$AQ$999,MATCH($C371,FI!$E$4:$E$999,0))),"")))))))</f>
        <v/>
      </c>
      <c r="K371" s="459">
        <f>FI!J22</f>
        <v>0</v>
      </c>
      <c r="L371" s="460" t="e" cm="1">
        <f t="array" aca="1" ref="L371" ca="1">_xlfn.IFS(AND($E371&lt;&gt;"",$M371="Pending",$K371="CTA"),TODAY()-$G371,AND($E371&lt;&gt;"",$M371="Pending",$K371="AUR"),TODAY()-$H371,AND($E371&lt;&gt;"",$M371="Pending",$K371="STT"),TODAY()-$I371,OR(K371="Closed",K371=""),"")</f>
        <v>#N/A</v>
      </c>
      <c r="M371" s="461">
        <f>VLOOKUP(C371,FI!$E$4:$AC$620,7,0)</f>
        <v>0</v>
      </c>
      <c r="N371" s="461" t="str">
        <f t="shared" si="17"/>
        <v/>
      </c>
      <c r="O371" s="739" t="str">
        <f>FI!M24</f>
        <v>GC</v>
      </c>
      <c r="P371" s="746" t="str">
        <v>NO</v>
      </c>
    </row>
    <row r="372" spans="1:16" s="385" customFormat="1" ht="24.75" hidden="1" customHeight="1">
      <c r="A372" s="399">
        <v>22</v>
      </c>
      <c r="B372" s="455" t="s">
        <v>21</v>
      </c>
      <c r="C372" s="454" t="s">
        <v>1544</v>
      </c>
      <c r="D372" s="456" t="str">
        <f>_xlfn.XLOOKUP(C372,FI!$E$4:$E$248,FI!$D$4:$D$248)</f>
        <v>Level 2 - Nitrogen Fire Suppression Ststem Wiring Layout Plan</v>
      </c>
      <c r="E372" s="488" t="str">
        <f>IF(VLOOKUP(C372,FI!$E$4:$AC$486,5,0)="","",VLOOKUP(C372,FI!$E$4:$AC$985,5,0))</f>
        <v/>
      </c>
      <c r="F372" s="457"/>
      <c r="G372" s="490" t="str">
        <f>IF(VLOOKUP(C372,FI!$E$4:$AC$486,3,0)="","",VLOOKUP(C372,FI!$E$4:$AC$486,3,0))</f>
        <v/>
      </c>
      <c r="H372" s="459" t="str">
        <f>IF(ISNA(MATCH($C372,FI!$E$4:$E$999,0)),"",
IF($E372=0,IF(INDEX(FI!$P$4:$P$999,MATCH($C372,FI!$E$4:$E$999,0))="","",INDEX(FI!$P$4:$P$999,MATCH($C372,FI!$E$4:$E$999,0))),
IF($E372=1,IF(INDEX(FI!$U$4:$U$999,MATCH($C372,FI!$E$4:$E$999,0))="","",INDEX(FI!$U$4:$U$999,MATCH($C372,FI!$E$4:$E$999,0))),
IF($E372=2,IF(INDEX(FI!$Z$4:$Z$999,MATCH($C372,FI!$E$4:$E$999,0))="","",INDEX(FI!$Z$4:$Z$999,MATCH($C372,FI!$E$4:$E$999,0))),
IF($E372=3,IF(INDEX(FI!$AE$4:$AE$999,MATCH($C372,FI!$E$4:$E$999,0))="","",INDEX(FI!$AE$4:$AE$999,MATCH($C372,FI!$E$4:$E$999,0))),
IF($E372=4,IF(INDEX(FI!$AJ$4:$AJ$999,MATCH($C372,FI!$E$4:$E$999,0))="","",INDEX(FI!$AJ$4:$AJ$999,MATCH($C372,FI!$E$4:$E$999,0))),
IF($E372=5,IF(INDEX(FI!$AO$4:$AO$999,MATCH($C372,FI!$E$4:$E$999,0))="","",INDEX(FI!$AO$4:$AO$999,MATCH($C372,FI!$E$4:$E$999,0))),"")))))))</f>
        <v/>
      </c>
      <c r="I372" s="459" t="str">
        <f>IF(ISNA(MATCH($C372,FI!$E$4:$E$999,0)),"",
IF($E372=0,IF(INDEX(FI!$Q$4:$Q$999,MATCH($C372,FI!$E$4:$E$999,0))="","",INDEX(FI!$Q$4:$Q$999,MATCH($C372,FI!$E$4:$E$999,0))),
IF($E372=1,IF(INDEX(FI!$V$4:$V$999,MATCH($C372,FI!$E$4:$E$999,0))="","",INDEX(FI!$V$4:$V$999,MATCH($C372,FI!$E$4:$E$999,0))),
IF($E372=2,IF(INDEX(FI!$AA$4:$AA$999,MATCH($C372,FI!$E$4:$E$999,0))="","",INDEX(FI!$AA$4:$AA$999,MATCH($C372,FI!$E$4:$E$999,0))),
IF($E372=3,IF(INDEX(FI!$AF$4:$AF$999,MATCH($C372,FI!$E$4:$E$999,0))="","",INDEX(FI!$AF$4:$AF$999,MATCH($C372,FI!$E$4:$E$999,0))),
IF($E372=4,IF(INDEX(FI!$AK$4:$AK$999,MATCH($C372,FI!$E$4:$E$999,0))="","",INDEX(FI!$AK$4:$AK$999,MATCH($C372,FI!$E$4:$E$999,0))),
IF($E372=5,IF(INDEX(FI!$AP$4:$AP$999,MATCH($C372,FI!$E$4:$E$999,0))="","",INDEX(FI!$AP$4:$AP$999,MATCH($C372,FI!$E$4:$E$999,0))),"")))))))</f>
        <v/>
      </c>
      <c r="J372" s="459" t="str">
        <f>IF(ISNA(MATCH($C372,FI!$E$4:$E$999,0)),"",
IF($E372=0,IF(INDEX(FI!$R$4:$R$999,MATCH($C372,FI!$E$4:$E$999,0))="","",INDEX(FI!$R$4:$R$999,MATCH($C372,FI!$E$4:$E$999,0))),
IF($E372=1,IF(INDEX(FI!$W$4:$W$999,MATCH($C372,FI!$E$4:$E$999,0))="","",INDEX(FI!$W$4:$W$999,MATCH($C372,FI!$E$4:$E$999,0))),
IF($E372=2,IF(INDEX(FI!$AB$4:$AB$999,MATCH($C372,FI!$E$4:$E$999,0))="","",INDEX(FI!$AB$4:$AB$999,MATCH($C372,FI!$E$4:$E$999,0))),
IF($E372=3,IF(INDEX(FI!$AG$4:$AG$999,MATCH($C372,FI!$E$4:$E$999,0))="","",INDEX(FI!$AG$4:$AG$999,MATCH($C372,FI!$E$4:$E$999,0))),
IF($E372=4,IF(INDEX(FI!$AL$4:$AL$999,MATCH($C372,FI!$E$4:$E$999,0))="","",INDEX(FI!$AL$4:$AL$999,MATCH($C372,FI!$E$4:$E$999,0))),
IF($E372=5,IF(INDEX(FI!$AQ$4:$AQ$999,MATCH($C372,FI!$E$4:$E$999,0))="","",INDEX(FI!$AQ$4:$AQ$999,MATCH($C372,FI!$E$4:$E$999,0))),"")))))))</f>
        <v/>
      </c>
      <c r="K372" s="459">
        <f>FI!J23</f>
        <v>0</v>
      </c>
      <c r="L372" s="460" t="e" cm="1">
        <f t="array" aca="1" ref="L372" ca="1">_xlfn.IFS(AND($E372&lt;&gt;"",$M372="Pending",$K372="CTA"),TODAY()-$G372,AND($E372&lt;&gt;"",$M372="Pending",$K372="AUR"),TODAY()-$H372,AND($E372&lt;&gt;"",$M372="Pending",$K372="STT"),TODAY()-$I372,OR(K372="Closed",K372=""),"")</f>
        <v>#N/A</v>
      </c>
      <c r="M372" s="461">
        <f>VLOOKUP(C372,FI!$E$4:$AC$620,7,0)</f>
        <v>0</v>
      </c>
      <c r="N372" s="461" t="str">
        <f t="shared" si="17"/>
        <v/>
      </c>
      <c r="O372" s="739" t="str">
        <f>FI!M25</f>
        <v>GC</v>
      </c>
      <c r="P372" s="746" t="str">
        <v>NO</v>
      </c>
    </row>
    <row r="373" spans="1:16" s="385" customFormat="1" ht="24.75" hidden="1" customHeight="1">
      <c r="A373" s="399">
        <v>23</v>
      </c>
      <c r="B373" s="455" t="s">
        <v>21</v>
      </c>
      <c r="C373" s="454" t="s">
        <v>1547</v>
      </c>
      <c r="D373" s="456" t="str">
        <f>_xlfn.XLOOKUP(C373,FI!$E$4:$E$248,FI!$D$4:$D$248)</f>
        <v>Level 6 - Nitrogen Fire Suppression Ststem Layout Plan</v>
      </c>
      <c r="E373" s="488" t="str">
        <f>IF(VLOOKUP(C373,FI!$E$4:$AC$486,5,0)="","",VLOOKUP(C373,FI!$E$4:$AC$985,5,0))</f>
        <v/>
      </c>
      <c r="F373" s="457"/>
      <c r="G373" s="490" t="str">
        <f>IF(VLOOKUP(C373,FI!$E$4:$AC$486,3,0)="","",VLOOKUP(C373,FI!$E$4:$AC$486,3,0))</f>
        <v/>
      </c>
      <c r="H373" s="459" t="str">
        <f>IF(ISNA(MATCH($C373,FI!$E$4:$E$999,0)),"",
IF($E373=0,IF(INDEX(FI!$P$4:$P$999,MATCH($C373,FI!$E$4:$E$999,0))="","",INDEX(FI!$P$4:$P$999,MATCH($C373,FI!$E$4:$E$999,0))),
IF($E373=1,IF(INDEX(FI!$U$4:$U$999,MATCH($C373,FI!$E$4:$E$999,0))="","",INDEX(FI!$U$4:$U$999,MATCH($C373,FI!$E$4:$E$999,0))),
IF($E373=2,IF(INDEX(FI!$Z$4:$Z$999,MATCH($C373,FI!$E$4:$E$999,0))="","",INDEX(FI!$Z$4:$Z$999,MATCH($C373,FI!$E$4:$E$999,0))),
IF($E373=3,IF(INDEX(FI!$AE$4:$AE$999,MATCH($C373,FI!$E$4:$E$999,0))="","",INDEX(FI!$AE$4:$AE$999,MATCH($C373,FI!$E$4:$E$999,0))),
IF($E373=4,IF(INDEX(FI!$AJ$4:$AJ$999,MATCH($C373,FI!$E$4:$E$999,0))="","",INDEX(FI!$AJ$4:$AJ$999,MATCH($C373,FI!$E$4:$E$999,0))),
IF($E373=5,IF(INDEX(FI!$AO$4:$AO$999,MATCH($C373,FI!$E$4:$E$999,0))="","",INDEX(FI!$AO$4:$AO$999,MATCH($C373,FI!$E$4:$E$999,0))),"")))))))</f>
        <v/>
      </c>
      <c r="I373" s="459" t="str">
        <f>IF(ISNA(MATCH($C373,FI!$E$4:$E$999,0)),"",
IF($E373=0,IF(INDEX(FI!$Q$4:$Q$999,MATCH($C373,FI!$E$4:$E$999,0))="","",INDEX(FI!$Q$4:$Q$999,MATCH($C373,FI!$E$4:$E$999,0))),
IF($E373=1,IF(INDEX(FI!$V$4:$V$999,MATCH($C373,FI!$E$4:$E$999,0))="","",INDEX(FI!$V$4:$V$999,MATCH($C373,FI!$E$4:$E$999,0))),
IF($E373=2,IF(INDEX(FI!$AA$4:$AA$999,MATCH($C373,FI!$E$4:$E$999,0))="","",INDEX(FI!$AA$4:$AA$999,MATCH($C373,FI!$E$4:$E$999,0))),
IF($E373=3,IF(INDEX(FI!$AF$4:$AF$999,MATCH($C373,FI!$E$4:$E$999,0))="","",INDEX(FI!$AF$4:$AF$999,MATCH($C373,FI!$E$4:$E$999,0))),
IF($E373=4,IF(INDEX(FI!$AK$4:$AK$999,MATCH($C373,FI!$E$4:$E$999,0))="","",INDEX(FI!$AK$4:$AK$999,MATCH($C373,FI!$E$4:$E$999,0))),
IF($E373=5,IF(INDEX(FI!$AP$4:$AP$999,MATCH($C373,FI!$E$4:$E$999,0))="","",INDEX(FI!$AP$4:$AP$999,MATCH($C373,FI!$E$4:$E$999,0))),"")))))))</f>
        <v/>
      </c>
      <c r="J373" s="459" t="str">
        <f>IF(ISNA(MATCH($C373,FI!$E$4:$E$999,0)),"",
IF($E373=0,IF(INDEX(FI!$R$4:$R$999,MATCH($C373,FI!$E$4:$E$999,0))="","",INDEX(FI!$R$4:$R$999,MATCH($C373,FI!$E$4:$E$999,0))),
IF($E373=1,IF(INDEX(FI!$W$4:$W$999,MATCH($C373,FI!$E$4:$E$999,0))="","",INDEX(FI!$W$4:$W$999,MATCH($C373,FI!$E$4:$E$999,0))),
IF($E373=2,IF(INDEX(FI!$AB$4:$AB$999,MATCH($C373,FI!$E$4:$E$999,0))="","",INDEX(FI!$AB$4:$AB$999,MATCH($C373,FI!$E$4:$E$999,0))),
IF($E373=3,IF(INDEX(FI!$AG$4:$AG$999,MATCH($C373,FI!$E$4:$E$999,0))="","",INDEX(FI!$AG$4:$AG$999,MATCH($C373,FI!$E$4:$E$999,0))),
IF($E373=4,IF(INDEX(FI!$AL$4:$AL$999,MATCH($C373,FI!$E$4:$E$999,0))="","",INDEX(FI!$AL$4:$AL$999,MATCH($C373,FI!$E$4:$E$999,0))),
IF($E373=5,IF(INDEX(FI!$AQ$4:$AQ$999,MATCH($C373,FI!$E$4:$E$999,0))="","",INDEX(FI!$AQ$4:$AQ$999,MATCH($C373,FI!$E$4:$E$999,0))),"")))))))</f>
        <v/>
      </c>
      <c r="K373" s="459">
        <f>FI!J24</f>
        <v>0</v>
      </c>
      <c r="L373" s="460" t="e" cm="1">
        <f t="array" aca="1" ref="L373" ca="1">_xlfn.IFS(AND($E373&lt;&gt;"",$M373="Pending",$K373="CTA"),TODAY()-$G373,AND($E373&lt;&gt;"",$M373="Pending",$K373="AUR"),TODAY()-$H373,AND($E373&lt;&gt;"",$M373="Pending",$K373="STT"),TODAY()-$I373,OR(K373="Closed",K373=""),"")</f>
        <v>#N/A</v>
      </c>
      <c r="M373" s="461">
        <f>VLOOKUP(C373,FI!$E$4:$AC$620,7,0)</f>
        <v>0</v>
      </c>
      <c r="N373" s="461" t="str">
        <f t="shared" si="17"/>
        <v/>
      </c>
      <c r="O373" s="739" t="str">
        <f>FI!M26</f>
        <v>GC</v>
      </c>
      <c r="P373" s="746" t="str">
        <v>NO</v>
      </c>
    </row>
    <row r="374" spans="1:16" s="385" customFormat="1" ht="24.75" hidden="1" customHeight="1">
      <c r="A374" s="399">
        <v>24</v>
      </c>
      <c r="B374" s="455" t="s">
        <v>21</v>
      </c>
      <c r="C374" s="454" t="s">
        <v>1550</v>
      </c>
      <c r="D374" s="456" t="str">
        <f>_xlfn.XLOOKUP(C374,FI!$E$4:$E$248,FI!$D$4:$D$248)</f>
        <v>Level 6 - Nitrogen Fire Suppression Ststem Wiring Layout Plan</v>
      </c>
      <c r="E374" s="488" t="str">
        <f>IF(VLOOKUP(C374,FI!$E$4:$AC$486,5,0)="","",VLOOKUP(C374,FI!$E$4:$AC$985,5,0))</f>
        <v/>
      </c>
      <c r="F374" s="457"/>
      <c r="G374" s="490" t="str">
        <f>IF(VLOOKUP(C374,FI!$E$4:$AC$486,3,0)="","",VLOOKUP(C374,FI!$E$4:$AC$486,3,0))</f>
        <v/>
      </c>
      <c r="H374" s="459" t="str">
        <f>IF(ISNA(MATCH($C374,FI!$E$4:$E$999,0)),"",
IF($E374=0,IF(INDEX(FI!$P$4:$P$999,MATCH($C374,FI!$E$4:$E$999,0))="","",INDEX(FI!$P$4:$P$999,MATCH($C374,FI!$E$4:$E$999,0))),
IF($E374=1,IF(INDEX(FI!$U$4:$U$999,MATCH($C374,FI!$E$4:$E$999,0))="","",INDEX(FI!$U$4:$U$999,MATCH($C374,FI!$E$4:$E$999,0))),
IF($E374=2,IF(INDEX(FI!$Z$4:$Z$999,MATCH($C374,FI!$E$4:$E$999,0))="","",INDEX(FI!$Z$4:$Z$999,MATCH($C374,FI!$E$4:$E$999,0))),
IF($E374=3,IF(INDEX(FI!$AE$4:$AE$999,MATCH($C374,FI!$E$4:$E$999,0))="","",INDEX(FI!$AE$4:$AE$999,MATCH($C374,FI!$E$4:$E$999,0))),
IF($E374=4,IF(INDEX(FI!$AJ$4:$AJ$999,MATCH($C374,FI!$E$4:$E$999,0))="","",INDEX(FI!$AJ$4:$AJ$999,MATCH($C374,FI!$E$4:$E$999,0))),
IF($E374=5,IF(INDEX(FI!$AO$4:$AO$999,MATCH($C374,FI!$E$4:$E$999,0))="","",INDEX(FI!$AO$4:$AO$999,MATCH($C374,FI!$E$4:$E$999,0))),"")))))))</f>
        <v/>
      </c>
      <c r="I374" s="459" t="str">
        <f>IF(ISNA(MATCH($C374,FI!$E$4:$E$999,0)),"",
IF($E374=0,IF(INDEX(FI!$Q$4:$Q$999,MATCH($C374,FI!$E$4:$E$999,0))="","",INDEX(FI!$Q$4:$Q$999,MATCH($C374,FI!$E$4:$E$999,0))),
IF($E374=1,IF(INDEX(FI!$V$4:$V$999,MATCH($C374,FI!$E$4:$E$999,0))="","",INDEX(FI!$V$4:$V$999,MATCH($C374,FI!$E$4:$E$999,0))),
IF($E374=2,IF(INDEX(FI!$AA$4:$AA$999,MATCH($C374,FI!$E$4:$E$999,0))="","",INDEX(FI!$AA$4:$AA$999,MATCH($C374,FI!$E$4:$E$999,0))),
IF($E374=3,IF(INDEX(FI!$AF$4:$AF$999,MATCH($C374,FI!$E$4:$E$999,0))="","",INDEX(FI!$AF$4:$AF$999,MATCH($C374,FI!$E$4:$E$999,0))),
IF($E374=4,IF(INDEX(FI!$AK$4:$AK$999,MATCH($C374,FI!$E$4:$E$999,0))="","",INDEX(FI!$AK$4:$AK$999,MATCH($C374,FI!$E$4:$E$999,0))),
IF($E374=5,IF(INDEX(FI!$AP$4:$AP$999,MATCH($C374,FI!$E$4:$E$999,0))="","",INDEX(FI!$AP$4:$AP$999,MATCH($C374,FI!$E$4:$E$999,0))),"")))))))</f>
        <v/>
      </c>
      <c r="J374" s="459" t="str">
        <f>IF(ISNA(MATCH($C374,FI!$E$4:$E$999,0)),"",
IF($E374=0,IF(INDEX(FI!$R$4:$R$999,MATCH($C374,FI!$E$4:$E$999,0))="","",INDEX(FI!$R$4:$R$999,MATCH($C374,FI!$E$4:$E$999,0))),
IF($E374=1,IF(INDEX(FI!$W$4:$W$999,MATCH($C374,FI!$E$4:$E$999,0))="","",INDEX(FI!$W$4:$W$999,MATCH($C374,FI!$E$4:$E$999,0))),
IF($E374=2,IF(INDEX(FI!$AB$4:$AB$999,MATCH($C374,FI!$E$4:$E$999,0))="","",INDEX(FI!$AB$4:$AB$999,MATCH($C374,FI!$E$4:$E$999,0))),
IF($E374=3,IF(INDEX(FI!$AG$4:$AG$999,MATCH($C374,FI!$E$4:$E$999,0))="","",INDEX(FI!$AG$4:$AG$999,MATCH($C374,FI!$E$4:$E$999,0))),
IF($E374=4,IF(INDEX(FI!$AL$4:$AL$999,MATCH($C374,FI!$E$4:$E$999,0))="","",INDEX(FI!$AL$4:$AL$999,MATCH($C374,FI!$E$4:$E$999,0))),
IF($E374=5,IF(INDEX(FI!$AQ$4:$AQ$999,MATCH($C374,FI!$E$4:$E$999,0))="","",INDEX(FI!$AQ$4:$AQ$999,MATCH($C374,FI!$E$4:$E$999,0))),"")))))))</f>
        <v/>
      </c>
      <c r="K374" s="459">
        <f>FI!J25</f>
        <v>0</v>
      </c>
      <c r="L374" s="460" t="e" cm="1">
        <f t="array" aca="1" ref="L374" ca="1">_xlfn.IFS(AND($E374&lt;&gt;"",$M374="Pending",$K374="CTA"),TODAY()-$G374,AND($E374&lt;&gt;"",$M374="Pending",$K374="AUR"),TODAY()-$H374,AND($E374&lt;&gt;"",$M374="Pending",$K374="STT"),TODAY()-$I374,OR(K374="Closed",K374=""),"")</f>
        <v>#N/A</v>
      </c>
      <c r="M374" s="461">
        <f>VLOOKUP(C374,FI!$E$4:$AC$620,7,0)</f>
        <v>0</v>
      </c>
      <c r="N374" s="461" t="str">
        <f t="shared" si="17"/>
        <v/>
      </c>
      <c r="O374" s="739" t="str">
        <f>FI!M27</f>
        <v>GC</v>
      </c>
      <c r="P374" s="746" t="str">
        <v>NO</v>
      </c>
    </row>
    <row r="375" spans="1:16" s="385" customFormat="1" ht="24.75" hidden="1" customHeight="1">
      <c r="A375" s="399">
        <v>25</v>
      </c>
      <c r="B375" s="455" t="s">
        <v>21</v>
      </c>
      <c r="C375" s="454" t="s">
        <v>1553</v>
      </c>
      <c r="D375" s="456" t="str">
        <f>_xlfn.XLOOKUP(C375,FI!$E$4:$E$248,FI!$D$4:$D$248)</f>
        <v>Level 1 - Fire Hose Cabinet And Fire Extinguisher Layout Plan</v>
      </c>
      <c r="E375" s="488" t="str">
        <f>IF(VLOOKUP(C375,FI!$E$4:$AC$486,5,0)="","",VLOOKUP(C375,FI!$E$4:$AC$985,5,0))</f>
        <v/>
      </c>
      <c r="F375" s="457"/>
      <c r="G375" s="490" t="str">
        <f>IF(VLOOKUP(C375,FI!$E$4:$AC$486,3,0)="","",VLOOKUP(C375,FI!$E$4:$AC$486,3,0))</f>
        <v/>
      </c>
      <c r="H375" s="459" t="str">
        <f>IF(ISNA(MATCH($C375,FI!$E$4:$E$999,0)),"",
IF($E375=0,IF(INDEX(FI!$P$4:$P$999,MATCH($C375,FI!$E$4:$E$999,0))="","",INDEX(FI!$P$4:$P$999,MATCH($C375,FI!$E$4:$E$999,0))),
IF($E375=1,IF(INDEX(FI!$U$4:$U$999,MATCH($C375,FI!$E$4:$E$999,0))="","",INDEX(FI!$U$4:$U$999,MATCH($C375,FI!$E$4:$E$999,0))),
IF($E375=2,IF(INDEX(FI!$Z$4:$Z$999,MATCH($C375,FI!$E$4:$E$999,0))="","",INDEX(FI!$Z$4:$Z$999,MATCH($C375,FI!$E$4:$E$999,0))),
IF($E375=3,IF(INDEX(FI!$AE$4:$AE$999,MATCH($C375,FI!$E$4:$E$999,0))="","",INDEX(FI!$AE$4:$AE$999,MATCH($C375,FI!$E$4:$E$999,0))),
IF($E375=4,IF(INDEX(FI!$AJ$4:$AJ$999,MATCH($C375,FI!$E$4:$E$999,0))="","",INDEX(FI!$AJ$4:$AJ$999,MATCH($C375,FI!$E$4:$E$999,0))),
IF($E375=5,IF(INDEX(FI!$AO$4:$AO$999,MATCH($C375,FI!$E$4:$E$999,0))="","",INDEX(FI!$AO$4:$AO$999,MATCH($C375,FI!$E$4:$E$999,0))),"")))))))</f>
        <v/>
      </c>
      <c r="I375" s="459" t="str">
        <f>IF(ISNA(MATCH($C375,FI!$E$4:$E$999,0)),"",
IF($E375=0,IF(INDEX(FI!$Q$4:$Q$999,MATCH($C375,FI!$E$4:$E$999,0))="","",INDEX(FI!$Q$4:$Q$999,MATCH($C375,FI!$E$4:$E$999,0))),
IF($E375=1,IF(INDEX(FI!$V$4:$V$999,MATCH($C375,FI!$E$4:$E$999,0))="","",INDEX(FI!$V$4:$V$999,MATCH($C375,FI!$E$4:$E$999,0))),
IF($E375=2,IF(INDEX(FI!$AA$4:$AA$999,MATCH($C375,FI!$E$4:$E$999,0))="","",INDEX(FI!$AA$4:$AA$999,MATCH($C375,FI!$E$4:$E$999,0))),
IF($E375=3,IF(INDEX(FI!$AF$4:$AF$999,MATCH($C375,FI!$E$4:$E$999,0))="","",INDEX(FI!$AF$4:$AF$999,MATCH($C375,FI!$E$4:$E$999,0))),
IF($E375=4,IF(INDEX(FI!$AK$4:$AK$999,MATCH($C375,FI!$E$4:$E$999,0))="","",INDEX(FI!$AK$4:$AK$999,MATCH($C375,FI!$E$4:$E$999,0))),
IF($E375=5,IF(INDEX(FI!$AP$4:$AP$999,MATCH($C375,FI!$E$4:$E$999,0))="","",INDEX(FI!$AP$4:$AP$999,MATCH($C375,FI!$E$4:$E$999,0))),"")))))))</f>
        <v/>
      </c>
      <c r="J375" s="459" t="str">
        <f>IF(ISNA(MATCH($C375,FI!$E$4:$E$999,0)),"",
IF($E375=0,IF(INDEX(FI!$R$4:$R$999,MATCH($C375,FI!$E$4:$E$999,0))="","",INDEX(FI!$R$4:$R$999,MATCH($C375,FI!$E$4:$E$999,0))),
IF($E375=1,IF(INDEX(FI!$W$4:$W$999,MATCH($C375,FI!$E$4:$E$999,0))="","",INDEX(FI!$W$4:$W$999,MATCH($C375,FI!$E$4:$E$999,0))),
IF($E375=2,IF(INDEX(FI!$AB$4:$AB$999,MATCH($C375,FI!$E$4:$E$999,0))="","",INDEX(FI!$AB$4:$AB$999,MATCH($C375,FI!$E$4:$E$999,0))),
IF($E375=3,IF(INDEX(FI!$AG$4:$AG$999,MATCH($C375,FI!$E$4:$E$999,0))="","",INDEX(FI!$AG$4:$AG$999,MATCH($C375,FI!$E$4:$E$999,0))),
IF($E375=4,IF(INDEX(FI!$AL$4:$AL$999,MATCH($C375,FI!$E$4:$E$999,0))="","",INDEX(FI!$AL$4:$AL$999,MATCH($C375,FI!$E$4:$E$999,0))),
IF($E375=5,IF(INDEX(FI!$AQ$4:$AQ$999,MATCH($C375,FI!$E$4:$E$999,0))="","",INDEX(FI!$AQ$4:$AQ$999,MATCH($C375,FI!$E$4:$E$999,0))),"")))))))</f>
        <v/>
      </c>
      <c r="K375" s="459">
        <f>FI!J26</f>
        <v>0</v>
      </c>
      <c r="L375" s="460" t="e" cm="1">
        <f t="array" aca="1" ref="L375" ca="1">_xlfn.IFS(AND($E375&lt;&gt;"",$M375="Pending",$K375="CTA"),TODAY()-$G375,AND($E375&lt;&gt;"",$M375="Pending",$K375="AUR"),TODAY()-$H375,AND($E375&lt;&gt;"",$M375="Pending",$K375="STT"),TODAY()-$I375,OR(K375="Closed",K375=""),"")</f>
        <v>#N/A</v>
      </c>
      <c r="M375" s="461">
        <f>VLOOKUP(C375,FI!$E$4:$AC$620,7,0)</f>
        <v>0</v>
      </c>
      <c r="N375" s="461" t="str">
        <f t="shared" si="17"/>
        <v/>
      </c>
      <c r="O375" s="739" t="str">
        <f>FI!M28</f>
        <v>GC</v>
      </c>
      <c r="P375" s="746" t="str">
        <v>NO</v>
      </c>
    </row>
    <row r="376" spans="1:16" s="385" customFormat="1" ht="24.75" hidden="1" customHeight="1">
      <c r="A376" s="399">
        <v>26</v>
      </c>
      <c r="B376" s="455" t="s">
        <v>21</v>
      </c>
      <c r="C376" s="454" t="s">
        <v>1556</v>
      </c>
      <c r="D376" s="456" t="str">
        <f>_xlfn.XLOOKUP(C376,FI!$E$4:$E$248,FI!$D$4:$D$248)</f>
        <v>Level 2 - Fire Hose Cabinet And Fire Extinguisher Layout Plan</v>
      </c>
      <c r="E376" s="488" t="str">
        <f>IF(VLOOKUP(C376,FI!$E$4:$AC$486,5,0)="","",VLOOKUP(C376,FI!$E$4:$AC$985,5,0))</f>
        <v/>
      </c>
      <c r="F376" s="457"/>
      <c r="G376" s="490" t="str">
        <f>IF(VLOOKUP(C376,FI!$E$4:$AC$486,3,0)="","",VLOOKUP(C376,FI!$E$4:$AC$486,3,0))</f>
        <v/>
      </c>
      <c r="H376" s="459" t="str">
        <f>IF(ISNA(MATCH($C376,FI!$E$4:$E$999,0)),"",
IF($E376=0,IF(INDEX(FI!$P$4:$P$999,MATCH($C376,FI!$E$4:$E$999,0))="","",INDEX(FI!$P$4:$P$999,MATCH($C376,FI!$E$4:$E$999,0))),
IF($E376=1,IF(INDEX(FI!$U$4:$U$999,MATCH($C376,FI!$E$4:$E$999,0))="","",INDEX(FI!$U$4:$U$999,MATCH($C376,FI!$E$4:$E$999,0))),
IF($E376=2,IF(INDEX(FI!$Z$4:$Z$999,MATCH($C376,FI!$E$4:$E$999,0))="","",INDEX(FI!$Z$4:$Z$999,MATCH($C376,FI!$E$4:$E$999,0))),
IF($E376=3,IF(INDEX(FI!$AE$4:$AE$999,MATCH($C376,FI!$E$4:$E$999,0))="","",INDEX(FI!$AE$4:$AE$999,MATCH($C376,FI!$E$4:$E$999,0))),
IF($E376=4,IF(INDEX(FI!$AJ$4:$AJ$999,MATCH($C376,FI!$E$4:$E$999,0))="","",INDEX(FI!$AJ$4:$AJ$999,MATCH($C376,FI!$E$4:$E$999,0))),
IF($E376=5,IF(INDEX(FI!$AO$4:$AO$999,MATCH($C376,FI!$E$4:$E$999,0))="","",INDEX(FI!$AO$4:$AO$999,MATCH($C376,FI!$E$4:$E$999,0))),"")))))))</f>
        <v/>
      </c>
      <c r="I376" s="459" t="str">
        <f>IF(ISNA(MATCH($C376,FI!$E$4:$E$999,0)),"",
IF($E376=0,IF(INDEX(FI!$Q$4:$Q$999,MATCH($C376,FI!$E$4:$E$999,0))="","",INDEX(FI!$Q$4:$Q$999,MATCH($C376,FI!$E$4:$E$999,0))),
IF($E376=1,IF(INDEX(FI!$V$4:$V$999,MATCH($C376,FI!$E$4:$E$999,0))="","",INDEX(FI!$V$4:$V$999,MATCH($C376,FI!$E$4:$E$999,0))),
IF($E376=2,IF(INDEX(FI!$AA$4:$AA$999,MATCH($C376,FI!$E$4:$E$999,0))="","",INDEX(FI!$AA$4:$AA$999,MATCH($C376,FI!$E$4:$E$999,0))),
IF($E376=3,IF(INDEX(FI!$AF$4:$AF$999,MATCH($C376,FI!$E$4:$E$999,0))="","",INDEX(FI!$AF$4:$AF$999,MATCH($C376,FI!$E$4:$E$999,0))),
IF($E376=4,IF(INDEX(FI!$AK$4:$AK$999,MATCH($C376,FI!$E$4:$E$999,0))="","",INDEX(FI!$AK$4:$AK$999,MATCH($C376,FI!$E$4:$E$999,0))),
IF($E376=5,IF(INDEX(FI!$AP$4:$AP$999,MATCH($C376,FI!$E$4:$E$999,0))="","",INDEX(FI!$AP$4:$AP$999,MATCH($C376,FI!$E$4:$E$999,0))),"")))))))</f>
        <v/>
      </c>
      <c r="J376" s="459" t="str">
        <f>IF(ISNA(MATCH($C376,FI!$E$4:$E$999,0)),"",
IF($E376=0,IF(INDEX(FI!$R$4:$R$999,MATCH($C376,FI!$E$4:$E$999,0))="","",INDEX(FI!$R$4:$R$999,MATCH($C376,FI!$E$4:$E$999,0))),
IF($E376=1,IF(INDEX(FI!$W$4:$W$999,MATCH($C376,FI!$E$4:$E$999,0))="","",INDEX(FI!$W$4:$W$999,MATCH($C376,FI!$E$4:$E$999,0))),
IF($E376=2,IF(INDEX(FI!$AB$4:$AB$999,MATCH($C376,FI!$E$4:$E$999,0))="","",INDEX(FI!$AB$4:$AB$999,MATCH($C376,FI!$E$4:$E$999,0))),
IF($E376=3,IF(INDEX(FI!$AG$4:$AG$999,MATCH($C376,FI!$E$4:$E$999,0))="","",INDEX(FI!$AG$4:$AG$999,MATCH($C376,FI!$E$4:$E$999,0))),
IF($E376=4,IF(INDEX(FI!$AL$4:$AL$999,MATCH($C376,FI!$E$4:$E$999,0))="","",INDEX(FI!$AL$4:$AL$999,MATCH($C376,FI!$E$4:$E$999,0))),
IF($E376=5,IF(INDEX(FI!$AQ$4:$AQ$999,MATCH($C376,FI!$E$4:$E$999,0))="","",INDEX(FI!$AQ$4:$AQ$999,MATCH($C376,FI!$E$4:$E$999,0))),"")))))))</f>
        <v/>
      </c>
      <c r="K376" s="459">
        <f>FI!J27</f>
        <v>0</v>
      </c>
      <c r="L376" s="460" t="e" cm="1">
        <f t="array" aca="1" ref="L376" ca="1">_xlfn.IFS(AND($E376&lt;&gt;"",$M376="Pending",$K376="CTA"),TODAY()-$G376,AND($E376&lt;&gt;"",$M376="Pending",$K376="AUR"),TODAY()-$H376,AND($E376&lt;&gt;"",$M376="Pending",$K376="STT"),TODAY()-$I376,OR(K376="Closed",K376=""),"")</f>
        <v>#N/A</v>
      </c>
      <c r="M376" s="461">
        <f>VLOOKUP(C376,FI!$E$4:$AC$620,7,0)</f>
        <v>0</v>
      </c>
      <c r="N376" s="461" t="str">
        <f t="shared" si="17"/>
        <v/>
      </c>
      <c r="O376" s="739" t="str">
        <f>FI!M29</f>
        <v>GC</v>
      </c>
      <c r="P376" s="746" t="str">
        <v>NO</v>
      </c>
    </row>
    <row r="377" spans="1:16" s="385" customFormat="1" ht="24.75" hidden="1" customHeight="1">
      <c r="A377" s="399">
        <v>27</v>
      </c>
      <c r="B377" s="455" t="s">
        <v>21</v>
      </c>
      <c r="C377" s="454" t="s">
        <v>1559</v>
      </c>
      <c r="D377" s="456" t="str">
        <f>_xlfn.XLOOKUP(C377,FI!$E$4:$E$248,FI!$D$4:$D$248)</f>
        <v>Level 6 - Fire Hose Cabinet And Fire Extinguisher Layout Plan</v>
      </c>
      <c r="E377" s="488" t="str">
        <f>IF(VLOOKUP(C377,FI!$E$4:$AC$486,5,0)="","",VLOOKUP(C377,FI!$E$4:$AC$985,5,0))</f>
        <v/>
      </c>
      <c r="F377" s="457"/>
      <c r="G377" s="490" t="str">
        <f>IF(VLOOKUP(C377,FI!$E$4:$AC$486,3,0)="","",VLOOKUP(C377,FI!$E$4:$AC$486,3,0))</f>
        <v/>
      </c>
      <c r="H377" s="459" t="str">
        <f>IF(ISNA(MATCH($C377,FI!$E$4:$E$999,0)),"",
IF($E377=0,IF(INDEX(FI!$P$4:$P$999,MATCH($C377,FI!$E$4:$E$999,0))="","",INDEX(FI!$P$4:$P$999,MATCH($C377,FI!$E$4:$E$999,0))),
IF($E377=1,IF(INDEX(FI!$U$4:$U$999,MATCH($C377,FI!$E$4:$E$999,0))="","",INDEX(FI!$U$4:$U$999,MATCH($C377,FI!$E$4:$E$999,0))),
IF($E377=2,IF(INDEX(FI!$Z$4:$Z$999,MATCH($C377,FI!$E$4:$E$999,0))="","",INDEX(FI!$Z$4:$Z$999,MATCH($C377,FI!$E$4:$E$999,0))),
IF($E377=3,IF(INDEX(FI!$AE$4:$AE$999,MATCH($C377,FI!$E$4:$E$999,0))="","",INDEX(FI!$AE$4:$AE$999,MATCH($C377,FI!$E$4:$E$999,0))),
IF($E377=4,IF(INDEX(FI!$AJ$4:$AJ$999,MATCH($C377,FI!$E$4:$E$999,0))="","",INDEX(FI!$AJ$4:$AJ$999,MATCH($C377,FI!$E$4:$E$999,0))),
IF($E377=5,IF(INDEX(FI!$AO$4:$AO$999,MATCH($C377,FI!$E$4:$E$999,0))="","",INDEX(FI!$AO$4:$AO$999,MATCH($C377,FI!$E$4:$E$999,0))),"")))))))</f>
        <v/>
      </c>
      <c r="I377" s="459" t="str">
        <f>IF(ISNA(MATCH($C377,FI!$E$4:$E$999,0)),"",
IF($E377=0,IF(INDEX(FI!$Q$4:$Q$999,MATCH($C377,FI!$E$4:$E$999,0))="","",INDEX(FI!$Q$4:$Q$999,MATCH($C377,FI!$E$4:$E$999,0))),
IF($E377=1,IF(INDEX(FI!$V$4:$V$999,MATCH($C377,FI!$E$4:$E$999,0))="","",INDEX(FI!$V$4:$V$999,MATCH($C377,FI!$E$4:$E$999,0))),
IF($E377=2,IF(INDEX(FI!$AA$4:$AA$999,MATCH($C377,FI!$E$4:$E$999,0))="","",INDEX(FI!$AA$4:$AA$999,MATCH($C377,FI!$E$4:$E$999,0))),
IF($E377=3,IF(INDEX(FI!$AF$4:$AF$999,MATCH($C377,FI!$E$4:$E$999,0))="","",INDEX(FI!$AF$4:$AF$999,MATCH($C377,FI!$E$4:$E$999,0))),
IF($E377=4,IF(INDEX(FI!$AK$4:$AK$999,MATCH($C377,FI!$E$4:$E$999,0))="","",INDEX(FI!$AK$4:$AK$999,MATCH($C377,FI!$E$4:$E$999,0))),
IF($E377=5,IF(INDEX(FI!$AP$4:$AP$999,MATCH($C377,FI!$E$4:$E$999,0))="","",INDEX(FI!$AP$4:$AP$999,MATCH($C377,FI!$E$4:$E$999,0))),"")))))))</f>
        <v/>
      </c>
      <c r="J377" s="459" t="str">
        <f>IF(ISNA(MATCH($C377,FI!$E$4:$E$999,0)),"",
IF($E377=0,IF(INDEX(FI!$R$4:$R$999,MATCH($C377,FI!$E$4:$E$999,0))="","",INDEX(FI!$R$4:$R$999,MATCH($C377,FI!$E$4:$E$999,0))),
IF($E377=1,IF(INDEX(FI!$W$4:$W$999,MATCH($C377,FI!$E$4:$E$999,0))="","",INDEX(FI!$W$4:$W$999,MATCH($C377,FI!$E$4:$E$999,0))),
IF($E377=2,IF(INDEX(FI!$AB$4:$AB$999,MATCH($C377,FI!$E$4:$E$999,0))="","",INDEX(FI!$AB$4:$AB$999,MATCH($C377,FI!$E$4:$E$999,0))),
IF($E377=3,IF(INDEX(FI!$AG$4:$AG$999,MATCH($C377,FI!$E$4:$E$999,0))="","",INDEX(FI!$AG$4:$AG$999,MATCH($C377,FI!$E$4:$E$999,0))),
IF($E377=4,IF(INDEX(FI!$AL$4:$AL$999,MATCH($C377,FI!$E$4:$E$999,0))="","",INDEX(FI!$AL$4:$AL$999,MATCH($C377,FI!$E$4:$E$999,0))),
IF($E377=5,IF(INDEX(FI!$AQ$4:$AQ$999,MATCH($C377,FI!$E$4:$E$999,0))="","",INDEX(FI!$AQ$4:$AQ$999,MATCH($C377,FI!$E$4:$E$999,0))),"")))))))</f>
        <v/>
      </c>
      <c r="K377" s="459">
        <f>FI!J28</f>
        <v>0</v>
      </c>
      <c r="L377" s="460" t="e" cm="1">
        <f t="array" aca="1" ref="L377" ca="1">_xlfn.IFS(AND($E377&lt;&gt;"",$M377="Pending",$K377="CTA"),TODAY()-$G377,AND($E377&lt;&gt;"",$M377="Pending",$K377="AUR"),TODAY()-$H377,AND($E377&lt;&gt;"",$M377="Pending",$K377="STT"),TODAY()-$I377,OR(K377="Closed",K377=""),"")</f>
        <v>#N/A</v>
      </c>
      <c r="M377" s="461">
        <f>VLOOKUP(C377,FI!$E$4:$AC$620,7,0)</f>
        <v>0</v>
      </c>
      <c r="N377" s="461" t="str">
        <f t="shared" si="17"/>
        <v/>
      </c>
      <c r="O377" s="739" t="str">
        <f>FI!M30</f>
        <v>GC</v>
      </c>
      <c r="P377" s="746" t="str">
        <v>NO</v>
      </c>
    </row>
    <row r="378" spans="1:16" s="385" customFormat="1" ht="24.75" hidden="1" customHeight="1">
      <c r="A378" s="399">
        <v>28</v>
      </c>
      <c r="B378" s="455" t="s">
        <v>21</v>
      </c>
      <c r="C378" s="454" t="s">
        <v>1562</v>
      </c>
      <c r="D378" s="456" t="str">
        <f>_xlfn.XLOOKUP(C378,FI!$E$4:$E$248,FI!$D$4:$D$248)</f>
        <v>Level Roof - Fire Hose Cabinet And Fire Extinguisher Layout Plan</v>
      </c>
      <c r="E378" s="488" t="str">
        <f>IF(VLOOKUP(C378,FI!$E$4:$AC$486,5,0)="","",VLOOKUP(C378,FI!$E$4:$AC$985,5,0))</f>
        <v/>
      </c>
      <c r="F378" s="457"/>
      <c r="G378" s="490" t="str">
        <f>IF(VLOOKUP(C378,FI!$E$4:$AC$486,3,0)="","",VLOOKUP(C378,FI!$E$4:$AC$486,3,0))</f>
        <v/>
      </c>
      <c r="H378" s="459" t="str">
        <f>IF(ISNA(MATCH($C378,FI!$E$4:$E$999,0)),"",
IF($E378=0,IF(INDEX(FI!$P$4:$P$999,MATCH($C378,FI!$E$4:$E$999,0))="","",INDEX(FI!$P$4:$P$999,MATCH($C378,FI!$E$4:$E$999,0))),
IF($E378=1,IF(INDEX(FI!$U$4:$U$999,MATCH($C378,FI!$E$4:$E$999,0))="","",INDEX(FI!$U$4:$U$999,MATCH($C378,FI!$E$4:$E$999,0))),
IF($E378=2,IF(INDEX(FI!$Z$4:$Z$999,MATCH($C378,FI!$E$4:$E$999,0))="","",INDEX(FI!$Z$4:$Z$999,MATCH($C378,FI!$E$4:$E$999,0))),
IF($E378=3,IF(INDEX(FI!$AE$4:$AE$999,MATCH($C378,FI!$E$4:$E$999,0))="","",INDEX(FI!$AE$4:$AE$999,MATCH($C378,FI!$E$4:$E$999,0))),
IF($E378=4,IF(INDEX(FI!$AJ$4:$AJ$999,MATCH($C378,FI!$E$4:$E$999,0))="","",INDEX(FI!$AJ$4:$AJ$999,MATCH($C378,FI!$E$4:$E$999,0))),
IF($E378=5,IF(INDEX(FI!$AO$4:$AO$999,MATCH($C378,FI!$E$4:$E$999,0))="","",INDEX(FI!$AO$4:$AO$999,MATCH($C378,FI!$E$4:$E$999,0))),"")))))))</f>
        <v/>
      </c>
      <c r="I378" s="459" t="str">
        <f>IF(ISNA(MATCH($C378,FI!$E$4:$E$999,0)),"",
IF($E378=0,IF(INDEX(FI!$Q$4:$Q$999,MATCH($C378,FI!$E$4:$E$999,0))="","",INDEX(FI!$Q$4:$Q$999,MATCH($C378,FI!$E$4:$E$999,0))),
IF($E378=1,IF(INDEX(FI!$V$4:$V$999,MATCH($C378,FI!$E$4:$E$999,0))="","",INDEX(FI!$V$4:$V$999,MATCH($C378,FI!$E$4:$E$999,0))),
IF($E378=2,IF(INDEX(FI!$AA$4:$AA$999,MATCH($C378,FI!$E$4:$E$999,0))="","",INDEX(FI!$AA$4:$AA$999,MATCH($C378,FI!$E$4:$E$999,0))),
IF($E378=3,IF(INDEX(FI!$AF$4:$AF$999,MATCH($C378,FI!$E$4:$E$999,0))="","",INDEX(FI!$AF$4:$AF$999,MATCH($C378,FI!$E$4:$E$999,0))),
IF($E378=4,IF(INDEX(FI!$AK$4:$AK$999,MATCH($C378,FI!$E$4:$E$999,0))="","",INDEX(FI!$AK$4:$AK$999,MATCH($C378,FI!$E$4:$E$999,0))),
IF($E378=5,IF(INDEX(FI!$AP$4:$AP$999,MATCH($C378,FI!$E$4:$E$999,0))="","",INDEX(FI!$AP$4:$AP$999,MATCH($C378,FI!$E$4:$E$999,0))),"")))))))</f>
        <v/>
      </c>
      <c r="J378" s="459" t="str">
        <f>IF(ISNA(MATCH($C378,FI!$E$4:$E$999,0)),"",
IF($E378=0,IF(INDEX(FI!$R$4:$R$999,MATCH($C378,FI!$E$4:$E$999,0))="","",INDEX(FI!$R$4:$R$999,MATCH($C378,FI!$E$4:$E$999,0))),
IF($E378=1,IF(INDEX(FI!$W$4:$W$999,MATCH($C378,FI!$E$4:$E$999,0))="","",INDEX(FI!$W$4:$W$999,MATCH($C378,FI!$E$4:$E$999,0))),
IF($E378=2,IF(INDEX(FI!$AB$4:$AB$999,MATCH($C378,FI!$E$4:$E$999,0))="","",INDEX(FI!$AB$4:$AB$999,MATCH($C378,FI!$E$4:$E$999,0))),
IF($E378=3,IF(INDEX(FI!$AG$4:$AG$999,MATCH($C378,FI!$E$4:$E$999,0))="","",INDEX(FI!$AG$4:$AG$999,MATCH($C378,FI!$E$4:$E$999,0))),
IF($E378=4,IF(INDEX(FI!$AL$4:$AL$999,MATCH($C378,FI!$E$4:$E$999,0))="","",INDEX(FI!$AL$4:$AL$999,MATCH($C378,FI!$E$4:$E$999,0))),
IF($E378=5,IF(INDEX(FI!$AQ$4:$AQ$999,MATCH($C378,FI!$E$4:$E$999,0))="","",INDEX(FI!$AQ$4:$AQ$999,MATCH($C378,FI!$E$4:$E$999,0))),"")))))))</f>
        <v/>
      </c>
      <c r="K378" s="459">
        <f>FI!J29</f>
        <v>0</v>
      </c>
      <c r="L378" s="460" t="e" cm="1">
        <f t="array" aca="1" ref="L378" ca="1">_xlfn.IFS(AND($E378&lt;&gt;"",$M378="Pending",$K378="CTA"),TODAY()-$G378,AND($E378&lt;&gt;"",$M378="Pending",$K378="AUR"),TODAY()-$H378,AND($E378&lt;&gt;"",$M378="Pending",$K378="STT"),TODAY()-$I378,OR(K378="Closed",K378=""),"")</f>
        <v>#N/A</v>
      </c>
      <c r="M378" s="461">
        <f>VLOOKUP(C378,FI!$E$4:$AC$620,7,0)</f>
        <v>0</v>
      </c>
      <c r="N378" s="461" t="str">
        <f t="shared" si="17"/>
        <v/>
      </c>
      <c r="O378" s="739" t="str">
        <f>FI!M31</f>
        <v>GC</v>
      </c>
      <c r="P378" s="746" t="str">
        <v>NO</v>
      </c>
    </row>
    <row r="379" spans="1:16" s="385" customFormat="1" ht="24.75" hidden="1" customHeight="1">
      <c r="A379" s="399">
        <v>29</v>
      </c>
      <c r="B379" s="455" t="s">
        <v>21</v>
      </c>
      <c r="C379" s="454" t="s">
        <v>1565</v>
      </c>
      <c r="D379" s="456" t="str">
        <f>_xlfn.XLOOKUP(C379,FI!$E$4:$E$248,FI!$D$4:$D$248)</f>
        <v>Pump Room Detail Sheet 1</v>
      </c>
      <c r="E379" s="488" t="str">
        <f>IF(VLOOKUP(C379,FI!$E$4:$AC$486,5,0)="","",VLOOKUP(C379,FI!$E$4:$AC$985,5,0))</f>
        <v/>
      </c>
      <c r="F379" s="457"/>
      <c r="G379" s="490" t="str">
        <f>IF(VLOOKUP(C379,FI!$E$4:$AC$486,3,0)="","",VLOOKUP(C379,FI!$E$4:$AC$486,3,0))</f>
        <v/>
      </c>
      <c r="H379" s="459" t="str">
        <f>IF(ISNA(MATCH($C379,FI!$E$4:$E$999,0)),"",
IF($E379=0,IF(INDEX(FI!$P$4:$P$999,MATCH($C379,FI!$E$4:$E$999,0))="","",INDEX(FI!$P$4:$P$999,MATCH($C379,FI!$E$4:$E$999,0))),
IF($E379=1,IF(INDEX(FI!$U$4:$U$999,MATCH($C379,FI!$E$4:$E$999,0))="","",INDEX(FI!$U$4:$U$999,MATCH($C379,FI!$E$4:$E$999,0))),
IF($E379=2,IF(INDEX(FI!$Z$4:$Z$999,MATCH($C379,FI!$E$4:$E$999,0))="","",INDEX(FI!$Z$4:$Z$999,MATCH($C379,FI!$E$4:$E$999,0))),
IF($E379=3,IF(INDEX(FI!$AE$4:$AE$999,MATCH($C379,FI!$E$4:$E$999,0))="","",INDEX(FI!$AE$4:$AE$999,MATCH($C379,FI!$E$4:$E$999,0))),
IF($E379=4,IF(INDEX(FI!$AJ$4:$AJ$999,MATCH($C379,FI!$E$4:$E$999,0))="","",INDEX(FI!$AJ$4:$AJ$999,MATCH($C379,FI!$E$4:$E$999,0))),
IF($E379=5,IF(INDEX(FI!$AO$4:$AO$999,MATCH($C379,FI!$E$4:$E$999,0))="","",INDEX(FI!$AO$4:$AO$999,MATCH($C379,FI!$E$4:$E$999,0))),"")))))))</f>
        <v/>
      </c>
      <c r="I379" s="459" t="str">
        <f>IF(ISNA(MATCH($C379,FI!$E$4:$E$999,0)),"",
IF($E379=0,IF(INDEX(FI!$Q$4:$Q$999,MATCH($C379,FI!$E$4:$E$999,0))="","",INDEX(FI!$Q$4:$Q$999,MATCH($C379,FI!$E$4:$E$999,0))),
IF($E379=1,IF(INDEX(FI!$V$4:$V$999,MATCH($C379,FI!$E$4:$E$999,0))="","",INDEX(FI!$V$4:$V$999,MATCH($C379,FI!$E$4:$E$999,0))),
IF($E379=2,IF(INDEX(FI!$AA$4:$AA$999,MATCH($C379,FI!$E$4:$E$999,0))="","",INDEX(FI!$AA$4:$AA$999,MATCH($C379,FI!$E$4:$E$999,0))),
IF($E379=3,IF(INDEX(FI!$AF$4:$AF$999,MATCH($C379,FI!$E$4:$E$999,0))="","",INDEX(FI!$AF$4:$AF$999,MATCH($C379,FI!$E$4:$E$999,0))),
IF($E379=4,IF(INDEX(FI!$AK$4:$AK$999,MATCH($C379,FI!$E$4:$E$999,0))="","",INDEX(FI!$AK$4:$AK$999,MATCH($C379,FI!$E$4:$E$999,0))),
IF($E379=5,IF(INDEX(FI!$AP$4:$AP$999,MATCH($C379,FI!$E$4:$E$999,0))="","",INDEX(FI!$AP$4:$AP$999,MATCH($C379,FI!$E$4:$E$999,0))),"")))))))</f>
        <v/>
      </c>
      <c r="J379" s="459" t="str">
        <f>IF(ISNA(MATCH($C379,FI!$E$4:$E$999,0)),"",
IF($E379=0,IF(INDEX(FI!$R$4:$R$999,MATCH($C379,FI!$E$4:$E$999,0))="","",INDEX(FI!$R$4:$R$999,MATCH($C379,FI!$E$4:$E$999,0))),
IF($E379=1,IF(INDEX(FI!$W$4:$W$999,MATCH($C379,FI!$E$4:$E$999,0))="","",INDEX(FI!$W$4:$W$999,MATCH($C379,FI!$E$4:$E$999,0))),
IF($E379=2,IF(INDEX(FI!$AB$4:$AB$999,MATCH($C379,FI!$E$4:$E$999,0))="","",INDEX(FI!$AB$4:$AB$999,MATCH($C379,FI!$E$4:$E$999,0))),
IF($E379=3,IF(INDEX(FI!$AG$4:$AG$999,MATCH($C379,FI!$E$4:$E$999,0))="","",INDEX(FI!$AG$4:$AG$999,MATCH($C379,FI!$E$4:$E$999,0))),
IF($E379=4,IF(INDEX(FI!$AL$4:$AL$999,MATCH($C379,FI!$E$4:$E$999,0))="","",INDEX(FI!$AL$4:$AL$999,MATCH($C379,FI!$E$4:$E$999,0))),
IF($E379=5,IF(INDEX(FI!$AQ$4:$AQ$999,MATCH($C379,FI!$E$4:$E$999,0))="","",INDEX(FI!$AQ$4:$AQ$999,MATCH($C379,FI!$E$4:$E$999,0))),"")))))))</f>
        <v/>
      </c>
      <c r="K379" s="459">
        <f>FI!J30</f>
        <v>0</v>
      </c>
      <c r="L379" s="460" t="e" cm="1">
        <f t="array" aca="1" ref="L379" ca="1">_xlfn.IFS(AND($E379&lt;&gt;"",$M379="Pending",$K379="CTA"),TODAY()-$G379,AND($E379&lt;&gt;"",$M379="Pending",$K379="AUR"),TODAY()-$H379,AND($E379&lt;&gt;"",$M379="Pending",$K379="STT"),TODAY()-$I379,OR(K379="Closed",K379=""),"")</f>
        <v>#N/A</v>
      </c>
      <c r="M379" s="461">
        <f>VLOOKUP(C379,FI!$E$4:$AC$620,7,0)</f>
        <v>0</v>
      </c>
      <c r="N379" s="461" t="str">
        <f t="shared" si="17"/>
        <v/>
      </c>
      <c r="O379" s="739" t="str">
        <f>FI!M32</f>
        <v>GC</v>
      </c>
      <c r="P379" s="746" t="str">
        <v>NO</v>
      </c>
    </row>
    <row r="380" spans="1:16" s="385" customFormat="1" ht="24.75" hidden="1" customHeight="1">
      <c r="A380" s="399">
        <v>30</v>
      </c>
      <c r="B380" s="455" t="s">
        <v>21</v>
      </c>
      <c r="C380" s="454" t="s">
        <v>1568</v>
      </c>
      <c r="D380" s="456" t="str">
        <f>_xlfn.XLOOKUP(C380,FI!$E$4:$E$248,FI!$D$4:$D$248)</f>
        <v>Pump Room Detail Sheet 2</v>
      </c>
      <c r="E380" s="488" t="str">
        <f>IF(VLOOKUP(C380,FI!$E$4:$AC$486,5,0)="","",VLOOKUP(C380,FI!$E$4:$AC$985,5,0))</f>
        <v/>
      </c>
      <c r="F380" s="457"/>
      <c r="G380" s="490" t="str">
        <f>IF(VLOOKUP(C380,FI!$E$4:$AC$486,3,0)="","",VLOOKUP(C380,FI!$E$4:$AC$486,3,0))</f>
        <v/>
      </c>
      <c r="H380" s="459" t="str">
        <f>IF(ISNA(MATCH($C380,FI!$E$4:$E$999,0)),"",
IF($E380=0,IF(INDEX(FI!$P$4:$P$999,MATCH($C380,FI!$E$4:$E$999,0))="","",INDEX(FI!$P$4:$P$999,MATCH($C380,FI!$E$4:$E$999,0))),
IF($E380=1,IF(INDEX(FI!$U$4:$U$999,MATCH($C380,FI!$E$4:$E$999,0))="","",INDEX(FI!$U$4:$U$999,MATCH($C380,FI!$E$4:$E$999,0))),
IF($E380=2,IF(INDEX(FI!$Z$4:$Z$999,MATCH($C380,FI!$E$4:$E$999,0))="","",INDEX(FI!$Z$4:$Z$999,MATCH($C380,FI!$E$4:$E$999,0))),
IF($E380=3,IF(INDEX(FI!$AE$4:$AE$999,MATCH($C380,FI!$E$4:$E$999,0))="","",INDEX(FI!$AE$4:$AE$999,MATCH($C380,FI!$E$4:$E$999,0))),
IF($E380=4,IF(INDEX(FI!$AJ$4:$AJ$999,MATCH($C380,FI!$E$4:$E$999,0))="","",INDEX(FI!$AJ$4:$AJ$999,MATCH($C380,FI!$E$4:$E$999,0))),
IF($E380=5,IF(INDEX(FI!$AO$4:$AO$999,MATCH($C380,FI!$E$4:$E$999,0))="","",INDEX(FI!$AO$4:$AO$999,MATCH($C380,FI!$E$4:$E$999,0))),"")))))))</f>
        <v/>
      </c>
      <c r="I380" s="459" t="str">
        <f>IF(ISNA(MATCH($C380,FI!$E$4:$E$999,0)),"",
IF($E380=0,IF(INDEX(FI!$Q$4:$Q$999,MATCH($C380,FI!$E$4:$E$999,0))="","",INDEX(FI!$Q$4:$Q$999,MATCH($C380,FI!$E$4:$E$999,0))),
IF($E380=1,IF(INDEX(FI!$V$4:$V$999,MATCH($C380,FI!$E$4:$E$999,0))="","",INDEX(FI!$V$4:$V$999,MATCH($C380,FI!$E$4:$E$999,0))),
IF($E380=2,IF(INDEX(FI!$AA$4:$AA$999,MATCH($C380,FI!$E$4:$E$999,0))="","",INDEX(FI!$AA$4:$AA$999,MATCH($C380,FI!$E$4:$E$999,0))),
IF($E380=3,IF(INDEX(FI!$AF$4:$AF$999,MATCH($C380,FI!$E$4:$E$999,0))="","",INDEX(FI!$AF$4:$AF$999,MATCH($C380,FI!$E$4:$E$999,0))),
IF($E380=4,IF(INDEX(FI!$AK$4:$AK$999,MATCH($C380,FI!$E$4:$E$999,0))="","",INDEX(FI!$AK$4:$AK$999,MATCH($C380,FI!$E$4:$E$999,0))),
IF($E380=5,IF(INDEX(FI!$AP$4:$AP$999,MATCH($C380,FI!$E$4:$E$999,0))="","",INDEX(FI!$AP$4:$AP$999,MATCH($C380,FI!$E$4:$E$999,0))),"")))))))</f>
        <v/>
      </c>
      <c r="J380" s="459" t="str">
        <f>IF(ISNA(MATCH($C380,FI!$E$4:$E$999,0)),"",
IF($E380=0,IF(INDEX(FI!$R$4:$R$999,MATCH($C380,FI!$E$4:$E$999,0))="","",INDEX(FI!$R$4:$R$999,MATCH($C380,FI!$E$4:$E$999,0))),
IF($E380=1,IF(INDEX(FI!$W$4:$W$999,MATCH($C380,FI!$E$4:$E$999,0))="","",INDEX(FI!$W$4:$W$999,MATCH($C380,FI!$E$4:$E$999,0))),
IF($E380=2,IF(INDEX(FI!$AB$4:$AB$999,MATCH($C380,FI!$E$4:$E$999,0))="","",INDEX(FI!$AB$4:$AB$999,MATCH($C380,FI!$E$4:$E$999,0))),
IF($E380=3,IF(INDEX(FI!$AG$4:$AG$999,MATCH($C380,FI!$E$4:$E$999,0))="","",INDEX(FI!$AG$4:$AG$999,MATCH($C380,FI!$E$4:$E$999,0))),
IF($E380=4,IF(INDEX(FI!$AL$4:$AL$999,MATCH($C380,FI!$E$4:$E$999,0))="","",INDEX(FI!$AL$4:$AL$999,MATCH($C380,FI!$E$4:$E$999,0))),
IF($E380=5,IF(INDEX(FI!$AQ$4:$AQ$999,MATCH($C380,FI!$E$4:$E$999,0))="","",INDEX(FI!$AQ$4:$AQ$999,MATCH($C380,FI!$E$4:$E$999,0))),"")))))))</f>
        <v/>
      </c>
      <c r="K380" s="459">
        <f>FI!J31</f>
        <v>0</v>
      </c>
      <c r="L380" s="460" t="e" cm="1">
        <f t="array" aca="1" ref="L380" ca="1">_xlfn.IFS(AND($E380&lt;&gt;"",$M380="Pending",$K380="CTA"),TODAY()-$G380,AND($E380&lt;&gt;"",$M380="Pending",$K380="AUR"),TODAY()-$H380,AND($E380&lt;&gt;"",$M380="Pending",$K380="STT"),TODAY()-$I380,OR(K380="Closed",K380=""),"")</f>
        <v>#N/A</v>
      </c>
      <c r="M380" s="461">
        <f>VLOOKUP(C380,FI!$E$4:$AC$620,7,0)</f>
        <v>0</v>
      </c>
      <c r="N380" s="461" t="str">
        <f t="shared" si="17"/>
        <v/>
      </c>
      <c r="O380" s="739" t="str">
        <f>FI!M33</f>
        <v>GC</v>
      </c>
      <c r="P380" s="746" t="str">
        <v>NO</v>
      </c>
    </row>
    <row r="381" spans="1:16" s="385" customFormat="1" ht="24.75" hidden="1" customHeight="1">
      <c r="A381" s="399">
        <v>31</v>
      </c>
      <c r="B381" s="455" t="s">
        <v>21</v>
      </c>
      <c r="C381" s="454" t="s">
        <v>1571</v>
      </c>
      <c r="D381" s="456" t="str">
        <f>_xlfn.XLOOKUP(C381,FI!$E$4:$E$248,FI!$D$4:$D$248)</f>
        <v>Fire Service Room Detail Sheet 1</v>
      </c>
      <c r="E381" s="488" t="str">
        <f>IF(VLOOKUP(C381,FI!$E$4:$AC$486,5,0)="","",VLOOKUP(C381,FI!$E$4:$AC$985,5,0))</f>
        <v/>
      </c>
      <c r="F381" s="457"/>
      <c r="G381" s="490" t="str">
        <f>IF(VLOOKUP(C381,FI!$E$4:$AC$486,3,0)="","",VLOOKUP(C381,FI!$E$4:$AC$486,3,0))</f>
        <v/>
      </c>
      <c r="H381" s="459" t="str">
        <f>IF(ISNA(MATCH($C381,FI!$E$4:$E$999,0)),"",
IF($E381=0,IF(INDEX(FI!$P$4:$P$999,MATCH($C381,FI!$E$4:$E$999,0))="","",INDEX(FI!$P$4:$P$999,MATCH($C381,FI!$E$4:$E$999,0))),
IF($E381=1,IF(INDEX(FI!$U$4:$U$999,MATCH($C381,FI!$E$4:$E$999,0))="","",INDEX(FI!$U$4:$U$999,MATCH($C381,FI!$E$4:$E$999,0))),
IF($E381=2,IF(INDEX(FI!$Z$4:$Z$999,MATCH($C381,FI!$E$4:$E$999,0))="","",INDEX(FI!$Z$4:$Z$999,MATCH($C381,FI!$E$4:$E$999,0))),
IF($E381=3,IF(INDEX(FI!$AE$4:$AE$999,MATCH($C381,FI!$E$4:$E$999,0))="","",INDEX(FI!$AE$4:$AE$999,MATCH($C381,FI!$E$4:$E$999,0))),
IF($E381=4,IF(INDEX(FI!$AJ$4:$AJ$999,MATCH($C381,FI!$E$4:$E$999,0))="","",INDEX(FI!$AJ$4:$AJ$999,MATCH($C381,FI!$E$4:$E$999,0))),
IF($E381=5,IF(INDEX(FI!$AO$4:$AO$999,MATCH($C381,FI!$E$4:$E$999,0))="","",INDEX(FI!$AO$4:$AO$999,MATCH($C381,FI!$E$4:$E$999,0))),"")))))))</f>
        <v/>
      </c>
      <c r="I381" s="459" t="str">
        <f>IF(ISNA(MATCH($C381,FI!$E$4:$E$999,0)),"",
IF($E381=0,IF(INDEX(FI!$Q$4:$Q$999,MATCH($C381,FI!$E$4:$E$999,0))="","",INDEX(FI!$Q$4:$Q$999,MATCH($C381,FI!$E$4:$E$999,0))),
IF($E381=1,IF(INDEX(FI!$V$4:$V$999,MATCH($C381,FI!$E$4:$E$999,0))="","",INDEX(FI!$V$4:$V$999,MATCH($C381,FI!$E$4:$E$999,0))),
IF($E381=2,IF(INDEX(FI!$AA$4:$AA$999,MATCH($C381,FI!$E$4:$E$999,0))="","",INDEX(FI!$AA$4:$AA$999,MATCH($C381,FI!$E$4:$E$999,0))),
IF($E381=3,IF(INDEX(FI!$AF$4:$AF$999,MATCH($C381,FI!$E$4:$E$999,0))="","",INDEX(FI!$AF$4:$AF$999,MATCH($C381,FI!$E$4:$E$999,0))),
IF($E381=4,IF(INDEX(FI!$AK$4:$AK$999,MATCH($C381,FI!$E$4:$E$999,0))="","",INDEX(FI!$AK$4:$AK$999,MATCH($C381,FI!$E$4:$E$999,0))),
IF($E381=5,IF(INDEX(FI!$AP$4:$AP$999,MATCH($C381,FI!$E$4:$E$999,0))="","",INDEX(FI!$AP$4:$AP$999,MATCH($C381,FI!$E$4:$E$999,0))),"")))))))</f>
        <v/>
      </c>
      <c r="J381" s="459" t="str">
        <f>IF(ISNA(MATCH($C381,FI!$E$4:$E$999,0)),"",
IF($E381=0,IF(INDEX(FI!$R$4:$R$999,MATCH($C381,FI!$E$4:$E$999,0))="","",INDEX(FI!$R$4:$R$999,MATCH($C381,FI!$E$4:$E$999,0))),
IF($E381=1,IF(INDEX(FI!$W$4:$W$999,MATCH($C381,FI!$E$4:$E$999,0))="","",INDEX(FI!$W$4:$W$999,MATCH($C381,FI!$E$4:$E$999,0))),
IF($E381=2,IF(INDEX(FI!$AB$4:$AB$999,MATCH($C381,FI!$E$4:$E$999,0))="","",INDEX(FI!$AB$4:$AB$999,MATCH($C381,FI!$E$4:$E$999,0))),
IF($E381=3,IF(INDEX(FI!$AG$4:$AG$999,MATCH($C381,FI!$E$4:$E$999,0))="","",INDEX(FI!$AG$4:$AG$999,MATCH($C381,FI!$E$4:$E$999,0))),
IF($E381=4,IF(INDEX(FI!$AL$4:$AL$999,MATCH($C381,FI!$E$4:$E$999,0))="","",INDEX(FI!$AL$4:$AL$999,MATCH($C381,FI!$E$4:$E$999,0))),
IF($E381=5,IF(INDEX(FI!$AQ$4:$AQ$999,MATCH($C381,FI!$E$4:$E$999,0))="","",INDEX(FI!$AQ$4:$AQ$999,MATCH($C381,FI!$E$4:$E$999,0))),"")))))))</f>
        <v/>
      </c>
      <c r="K381" s="459">
        <f>FI!J32</f>
        <v>0</v>
      </c>
      <c r="L381" s="460" t="e" cm="1">
        <f t="array" aca="1" ref="L381" ca="1">_xlfn.IFS(AND($E381&lt;&gt;"",$M381="Pending",$K381="CTA"),TODAY()-$G381,AND($E381&lt;&gt;"",$M381="Pending",$K381="AUR"),TODAY()-$H381,AND($E381&lt;&gt;"",$M381="Pending",$K381="STT"),TODAY()-$I381,OR(K381="Closed",K381=""),"")</f>
        <v>#N/A</v>
      </c>
      <c r="M381" s="461">
        <f>VLOOKUP(C381,FI!$E$4:$AC$620,7,0)</f>
        <v>0</v>
      </c>
      <c r="N381" s="461" t="str">
        <f t="shared" si="17"/>
        <v/>
      </c>
      <c r="O381" s="739" t="str">
        <f>FI!M34</f>
        <v>GC</v>
      </c>
      <c r="P381" s="746" t="str">
        <v>NO</v>
      </c>
    </row>
    <row r="382" spans="1:16" s="385" customFormat="1" ht="24.75" hidden="1" customHeight="1">
      <c r="A382" s="399">
        <v>32</v>
      </c>
      <c r="B382" s="455" t="s">
        <v>21</v>
      </c>
      <c r="C382" s="454" t="s">
        <v>1574</v>
      </c>
      <c r="D382" s="456" t="str">
        <f>_xlfn.XLOOKUP(C382,FI!$E$4:$E$248,FI!$D$4:$D$248)</f>
        <v>Fire Service Room Detail Sheet 2</v>
      </c>
      <c r="E382" s="488" t="str">
        <f>IF(VLOOKUP(C382,FI!$E$4:$AC$486,5,0)="","",VLOOKUP(C382,FI!$E$4:$AC$985,5,0))</f>
        <v/>
      </c>
      <c r="F382" s="457"/>
      <c r="G382" s="490" t="str">
        <f>IF(VLOOKUP(C382,FI!$E$4:$AC$486,3,0)="","",VLOOKUP(C382,FI!$E$4:$AC$486,3,0))</f>
        <v/>
      </c>
      <c r="H382" s="459" t="str">
        <f>IF(ISNA(MATCH($C382,FI!$E$4:$E$999,0)),"",
IF($E382=0,IF(INDEX(FI!$P$4:$P$999,MATCH($C382,FI!$E$4:$E$999,0))="","",INDEX(FI!$P$4:$P$999,MATCH($C382,FI!$E$4:$E$999,0))),
IF($E382=1,IF(INDEX(FI!$U$4:$U$999,MATCH($C382,FI!$E$4:$E$999,0))="","",INDEX(FI!$U$4:$U$999,MATCH($C382,FI!$E$4:$E$999,0))),
IF($E382=2,IF(INDEX(FI!$Z$4:$Z$999,MATCH($C382,FI!$E$4:$E$999,0))="","",INDEX(FI!$Z$4:$Z$999,MATCH($C382,FI!$E$4:$E$999,0))),
IF($E382=3,IF(INDEX(FI!$AE$4:$AE$999,MATCH($C382,FI!$E$4:$E$999,0))="","",INDEX(FI!$AE$4:$AE$999,MATCH($C382,FI!$E$4:$E$999,0))),
IF($E382=4,IF(INDEX(FI!$AJ$4:$AJ$999,MATCH($C382,FI!$E$4:$E$999,0))="","",INDEX(FI!$AJ$4:$AJ$999,MATCH($C382,FI!$E$4:$E$999,0))),
IF($E382=5,IF(INDEX(FI!$AO$4:$AO$999,MATCH($C382,FI!$E$4:$E$999,0))="","",INDEX(FI!$AO$4:$AO$999,MATCH($C382,FI!$E$4:$E$999,0))),"")))))))</f>
        <v/>
      </c>
      <c r="I382" s="459" t="str">
        <f>IF(ISNA(MATCH($C382,FI!$E$4:$E$999,0)),"",
IF($E382=0,IF(INDEX(FI!$Q$4:$Q$999,MATCH($C382,FI!$E$4:$E$999,0))="","",INDEX(FI!$Q$4:$Q$999,MATCH($C382,FI!$E$4:$E$999,0))),
IF($E382=1,IF(INDEX(FI!$V$4:$V$999,MATCH($C382,FI!$E$4:$E$999,0))="","",INDEX(FI!$V$4:$V$999,MATCH($C382,FI!$E$4:$E$999,0))),
IF($E382=2,IF(INDEX(FI!$AA$4:$AA$999,MATCH($C382,FI!$E$4:$E$999,0))="","",INDEX(FI!$AA$4:$AA$999,MATCH($C382,FI!$E$4:$E$999,0))),
IF($E382=3,IF(INDEX(FI!$AF$4:$AF$999,MATCH($C382,FI!$E$4:$E$999,0))="","",INDEX(FI!$AF$4:$AF$999,MATCH($C382,FI!$E$4:$E$999,0))),
IF($E382=4,IF(INDEX(FI!$AK$4:$AK$999,MATCH($C382,FI!$E$4:$E$999,0))="","",INDEX(FI!$AK$4:$AK$999,MATCH($C382,FI!$E$4:$E$999,0))),
IF($E382=5,IF(INDEX(FI!$AP$4:$AP$999,MATCH($C382,FI!$E$4:$E$999,0))="","",INDEX(FI!$AP$4:$AP$999,MATCH($C382,FI!$E$4:$E$999,0))),"")))))))</f>
        <v/>
      </c>
      <c r="J382" s="459" t="str">
        <f>IF(ISNA(MATCH($C382,FI!$E$4:$E$999,0)),"",
IF($E382=0,IF(INDEX(FI!$R$4:$R$999,MATCH($C382,FI!$E$4:$E$999,0))="","",INDEX(FI!$R$4:$R$999,MATCH($C382,FI!$E$4:$E$999,0))),
IF($E382=1,IF(INDEX(FI!$W$4:$W$999,MATCH($C382,FI!$E$4:$E$999,0))="","",INDEX(FI!$W$4:$W$999,MATCH($C382,FI!$E$4:$E$999,0))),
IF($E382=2,IF(INDEX(FI!$AB$4:$AB$999,MATCH($C382,FI!$E$4:$E$999,0))="","",INDEX(FI!$AB$4:$AB$999,MATCH($C382,FI!$E$4:$E$999,0))),
IF($E382=3,IF(INDEX(FI!$AG$4:$AG$999,MATCH($C382,FI!$E$4:$E$999,0))="","",INDEX(FI!$AG$4:$AG$999,MATCH($C382,FI!$E$4:$E$999,0))),
IF($E382=4,IF(INDEX(FI!$AL$4:$AL$999,MATCH($C382,FI!$E$4:$E$999,0))="","",INDEX(FI!$AL$4:$AL$999,MATCH($C382,FI!$E$4:$E$999,0))),
IF($E382=5,IF(INDEX(FI!$AQ$4:$AQ$999,MATCH($C382,FI!$E$4:$E$999,0))="","",INDEX(FI!$AQ$4:$AQ$999,MATCH($C382,FI!$E$4:$E$999,0))),"")))))))</f>
        <v/>
      </c>
      <c r="K382" s="459">
        <f>FI!J33</f>
        <v>0</v>
      </c>
      <c r="L382" s="460" t="e" cm="1">
        <f t="array" aca="1" ref="L382" ca="1">_xlfn.IFS(AND($E382&lt;&gt;"",$M382="Pending",$K382="CTA"),TODAY()-$G382,AND($E382&lt;&gt;"",$M382="Pending",$K382="AUR"),TODAY()-$H382,AND($E382&lt;&gt;"",$M382="Pending",$K382="STT"),TODAY()-$I382,OR(K382="Closed",K382=""),"")</f>
        <v>#N/A</v>
      </c>
      <c r="M382" s="461">
        <f>VLOOKUP(C382,FI!$E$4:$AC$620,7,0)</f>
        <v>0</v>
      </c>
      <c r="N382" s="461" t="str">
        <f t="shared" si="17"/>
        <v/>
      </c>
      <c r="O382" s="739" t="str">
        <f>FI!M35</f>
        <v>GC</v>
      </c>
      <c r="P382" s="746" t="str">
        <v>NO</v>
      </c>
    </row>
    <row r="383" spans="1:16" s="385" customFormat="1" ht="24.75" hidden="1" customHeight="1">
      <c r="A383" s="399">
        <v>33</v>
      </c>
      <c r="B383" s="455" t="s">
        <v>21</v>
      </c>
      <c r="C383" s="454" t="s">
        <v>1577</v>
      </c>
      <c r="D383" s="456" t="str">
        <f>_xlfn.XLOOKUP(C383,FI!$E$4:$E$248,FI!$D$4:$D$248)</f>
        <v>Fire Service Room Detail Sheet 3</v>
      </c>
      <c r="E383" s="488" t="str">
        <f>IF(VLOOKUP(C383,FI!$E$4:$AC$486,5,0)="","",VLOOKUP(C383,FI!$E$4:$AC$985,5,0))</f>
        <v/>
      </c>
      <c r="F383" s="457"/>
      <c r="G383" s="490" t="str">
        <f>IF(VLOOKUP(C383,FI!$E$4:$AC$486,3,0)="","",VLOOKUP(C383,FI!$E$4:$AC$486,3,0))</f>
        <v/>
      </c>
      <c r="H383" s="459" t="str">
        <f>IF(ISNA(MATCH($C383,FI!$E$4:$E$999,0)),"",
IF($E383=0,IF(INDEX(FI!$P$4:$P$999,MATCH($C383,FI!$E$4:$E$999,0))="","",INDEX(FI!$P$4:$P$999,MATCH($C383,FI!$E$4:$E$999,0))),
IF($E383=1,IF(INDEX(FI!$U$4:$U$999,MATCH($C383,FI!$E$4:$E$999,0))="","",INDEX(FI!$U$4:$U$999,MATCH($C383,FI!$E$4:$E$999,0))),
IF($E383=2,IF(INDEX(FI!$Z$4:$Z$999,MATCH($C383,FI!$E$4:$E$999,0))="","",INDEX(FI!$Z$4:$Z$999,MATCH($C383,FI!$E$4:$E$999,0))),
IF($E383=3,IF(INDEX(FI!$AE$4:$AE$999,MATCH($C383,FI!$E$4:$E$999,0))="","",INDEX(FI!$AE$4:$AE$999,MATCH($C383,FI!$E$4:$E$999,0))),
IF($E383=4,IF(INDEX(FI!$AJ$4:$AJ$999,MATCH($C383,FI!$E$4:$E$999,0))="","",INDEX(FI!$AJ$4:$AJ$999,MATCH($C383,FI!$E$4:$E$999,0))),
IF($E383=5,IF(INDEX(FI!$AO$4:$AO$999,MATCH($C383,FI!$E$4:$E$999,0))="","",INDEX(FI!$AO$4:$AO$999,MATCH($C383,FI!$E$4:$E$999,0))),"")))))))</f>
        <v/>
      </c>
      <c r="I383" s="459" t="str">
        <f>IF(ISNA(MATCH($C383,FI!$E$4:$E$999,0)),"",
IF($E383=0,IF(INDEX(FI!$Q$4:$Q$999,MATCH($C383,FI!$E$4:$E$999,0))="","",INDEX(FI!$Q$4:$Q$999,MATCH($C383,FI!$E$4:$E$999,0))),
IF($E383=1,IF(INDEX(FI!$V$4:$V$999,MATCH($C383,FI!$E$4:$E$999,0))="","",INDEX(FI!$V$4:$V$999,MATCH($C383,FI!$E$4:$E$999,0))),
IF($E383=2,IF(INDEX(FI!$AA$4:$AA$999,MATCH($C383,FI!$E$4:$E$999,0))="","",INDEX(FI!$AA$4:$AA$999,MATCH($C383,FI!$E$4:$E$999,0))),
IF($E383=3,IF(INDEX(FI!$AF$4:$AF$999,MATCH($C383,FI!$E$4:$E$999,0))="","",INDEX(FI!$AF$4:$AF$999,MATCH($C383,FI!$E$4:$E$999,0))),
IF($E383=4,IF(INDEX(FI!$AK$4:$AK$999,MATCH($C383,FI!$E$4:$E$999,0))="","",INDEX(FI!$AK$4:$AK$999,MATCH($C383,FI!$E$4:$E$999,0))),
IF($E383=5,IF(INDEX(FI!$AP$4:$AP$999,MATCH($C383,FI!$E$4:$E$999,0))="","",INDEX(FI!$AP$4:$AP$999,MATCH($C383,FI!$E$4:$E$999,0))),"")))))))</f>
        <v/>
      </c>
      <c r="J383" s="459" t="str">
        <f>IF(ISNA(MATCH($C383,FI!$E$4:$E$999,0)),"",
IF($E383=0,IF(INDEX(FI!$R$4:$R$999,MATCH($C383,FI!$E$4:$E$999,0))="","",INDEX(FI!$R$4:$R$999,MATCH($C383,FI!$E$4:$E$999,0))),
IF($E383=1,IF(INDEX(FI!$W$4:$W$999,MATCH($C383,FI!$E$4:$E$999,0))="","",INDEX(FI!$W$4:$W$999,MATCH($C383,FI!$E$4:$E$999,0))),
IF($E383=2,IF(INDEX(FI!$AB$4:$AB$999,MATCH($C383,FI!$E$4:$E$999,0))="","",INDEX(FI!$AB$4:$AB$999,MATCH($C383,FI!$E$4:$E$999,0))),
IF($E383=3,IF(INDEX(FI!$AG$4:$AG$999,MATCH($C383,FI!$E$4:$E$999,0))="","",INDEX(FI!$AG$4:$AG$999,MATCH($C383,FI!$E$4:$E$999,0))),
IF($E383=4,IF(INDEX(FI!$AL$4:$AL$999,MATCH($C383,FI!$E$4:$E$999,0))="","",INDEX(FI!$AL$4:$AL$999,MATCH($C383,FI!$E$4:$E$999,0))),
IF($E383=5,IF(INDEX(FI!$AQ$4:$AQ$999,MATCH($C383,FI!$E$4:$E$999,0))="","",INDEX(FI!$AQ$4:$AQ$999,MATCH($C383,FI!$E$4:$E$999,0))),"")))))))</f>
        <v/>
      </c>
      <c r="K383" s="459">
        <f>FI!J34</f>
        <v>0</v>
      </c>
      <c r="L383" s="460" t="e" cm="1">
        <f t="array" aca="1" ref="L383" ca="1">_xlfn.IFS(AND($E383&lt;&gt;"",$M383="Pending",$K383="CTA"),TODAY()-$G383,AND($E383&lt;&gt;"",$M383="Pending",$K383="AUR"),TODAY()-$H383,AND($E383&lt;&gt;"",$M383="Pending",$K383="STT"),TODAY()-$I383,OR(K383="Closed",K383=""),"")</f>
        <v>#N/A</v>
      </c>
      <c r="M383" s="461">
        <f>VLOOKUP(C383,FI!$E$4:$AC$620,7,0)</f>
        <v>0</v>
      </c>
      <c r="N383" s="461" t="str">
        <f t="shared" si="17"/>
        <v/>
      </c>
      <c r="O383" s="739" t="str">
        <f>FI!M36</f>
        <v>GC</v>
      </c>
      <c r="P383" s="746" t="str">
        <v>NO</v>
      </c>
    </row>
    <row r="384" spans="1:16" s="385" customFormat="1" ht="24.75" hidden="1" customHeight="1">
      <c r="A384" s="399">
        <v>34</v>
      </c>
      <c r="B384" s="455" t="s">
        <v>21</v>
      </c>
      <c r="C384" s="454" t="s">
        <v>1580</v>
      </c>
      <c r="D384" s="456" t="str">
        <f>_xlfn.XLOOKUP(C384,FI!$E$4:$E$248,FI!$D$4:$D$248)</f>
        <v>Fire Scope Demarcation</v>
      </c>
      <c r="E384" s="488" t="str">
        <f>IF(VLOOKUP(C384,FI!$E$4:$AC$486,5,0)="","",VLOOKUP(C384,FI!$E$4:$AC$985,5,0))</f>
        <v/>
      </c>
      <c r="F384" s="457"/>
      <c r="G384" s="490" t="str">
        <f>IF(VLOOKUP(C384,FI!$E$4:$AC$486,3,0)="","",VLOOKUP(C384,FI!$E$4:$AC$486,3,0))</f>
        <v/>
      </c>
      <c r="H384" s="459" t="str">
        <f>IF(ISNA(MATCH($C384,FI!$E$4:$E$999,0)),"",
IF($E384=0,IF(INDEX(FI!$P$4:$P$999,MATCH($C384,FI!$E$4:$E$999,0))="","",INDEX(FI!$P$4:$P$999,MATCH($C384,FI!$E$4:$E$999,0))),
IF($E384=1,IF(INDEX(FI!$U$4:$U$999,MATCH($C384,FI!$E$4:$E$999,0))="","",INDEX(FI!$U$4:$U$999,MATCH($C384,FI!$E$4:$E$999,0))),
IF($E384=2,IF(INDEX(FI!$Z$4:$Z$999,MATCH($C384,FI!$E$4:$E$999,0))="","",INDEX(FI!$Z$4:$Z$999,MATCH($C384,FI!$E$4:$E$999,0))),
IF($E384=3,IF(INDEX(FI!$AE$4:$AE$999,MATCH($C384,FI!$E$4:$E$999,0))="","",INDEX(FI!$AE$4:$AE$999,MATCH($C384,FI!$E$4:$E$999,0))),
IF($E384=4,IF(INDEX(FI!$AJ$4:$AJ$999,MATCH($C384,FI!$E$4:$E$999,0))="","",INDEX(FI!$AJ$4:$AJ$999,MATCH($C384,FI!$E$4:$E$999,0))),
IF($E384=5,IF(INDEX(FI!$AO$4:$AO$999,MATCH($C384,FI!$E$4:$E$999,0))="","",INDEX(FI!$AO$4:$AO$999,MATCH($C384,FI!$E$4:$E$999,0))),"")))))))</f>
        <v/>
      </c>
      <c r="I384" s="459" t="str">
        <f>IF(ISNA(MATCH($C384,FI!$E$4:$E$999,0)),"",
IF($E384=0,IF(INDEX(FI!$Q$4:$Q$999,MATCH($C384,FI!$E$4:$E$999,0))="","",INDEX(FI!$Q$4:$Q$999,MATCH($C384,FI!$E$4:$E$999,0))),
IF($E384=1,IF(INDEX(FI!$V$4:$V$999,MATCH($C384,FI!$E$4:$E$999,0))="","",INDEX(FI!$V$4:$V$999,MATCH($C384,FI!$E$4:$E$999,0))),
IF($E384=2,IF(INDEX(FI!$AA$4:$AA$999,MATCH($C384,FI!$E$4:$E$999,0))="","",INDEX(FI!$AA$4:$AA$999,MATCH($C384,FI!$E$4:$E$999,0))),
IF($E384=3,IF(INDEX(FI!$AF$4:$AF$999,MATCH($C384,FI!$E$4:$E$999,0))="","",INDEX(FI!$AF$4:$AF$999,MATCH($C384,FI!$E$4:$E$999,0))),
IF($E384=4,IF(INDEX(FI!$AK$4:$AK$999,MATCH($C384,FI!$E$4:$E$999,0))="","",INDEX(FI!$AK$4:$AK$999,MATCH($C384,FI!$E$4:$E$999,0))),
IF($E384=5,IF(INDEX(FI!$AP$4:$AP$999,MATCH($C384,FI!$E$4:$E$999,0))="","",INDEX(FI!$AP$4:$AP$999,MATCH($C384,FI!$E$4:$E$999,0))),"")))))))</f>
        <v/>
      </c>
      <c r="J384" s="459" t="str">
        <f>IF(ISNA(MATCH($C384,FI!$E$4:$E$999,0)),"",
IF($E384=0,IF(INDEX(FI!$R$4:$R$999,MATCH($C384,FI!$E$4:$E$999,0))="","",INDEX(FI!$R$4:$R$999,MATCH($C384,FI!$E$4:$E$999,0))),
IF($E384=1,IF(INDEX(FI!$W$4:$W$999,MATCH($C384,FI!$E$4:$E$999,0))="","",INDEX(FI!$W$4:$W$999,MATCH($C384,FI!$E$4:$E$999,0))),
IF($E384=2,IF(INDEX(FI!$AB$4:$AB$999,MATCH($C384,FI!$E$4:$E$999,0))="","",INDEX(FI!$AB$4:$AB$999,MATCH($C384,FI!$E$4:$E$999,0))),
IF($E384=3,IF(INDEX(FI!$AG$4:$AG$999,MATCH($C384,FI!$E$4:$E$999,0))="","",INDEX(FI!$AG$4:$AG$999,MATCH($C384,FI!$E$4:$E$999,0))),
IF($E384=4,IF(INDEX(FI!$AL$4:$AL$999,MATCH($C384,FI!$E$4:$E$999,0))="","",INDEX(FI!$AL$4:$AL$999,MATCH($C384,FI!$E$4:$E$999,0))),
IF($E384=5,IF(INDEX(FI!$AQ$4:$AQ$999,MATCH($C384,FI!$E$4:$E$999,0))="","",INDEX(FI!$AQ$4:$AQ$999,MATCH($C384,FI!$E$4:$E$999,0))),"")))))))</f>
        <v/>
      </c>
      <c r="K384" s="459">
        <f>FI!J35</f>
        <v>0</v>
      </c>
      <c r="L384" s="460" t="e" cm="1">
        <f t="array" aca="1" ref="L384" ca="1">_xlfn.IFS(AND($E384&lt;&gt;"",$M384="Pending",$K384="CTA"),TODAY()-$G384,AND($E384&lt;&gt;"",$M384="Pending",$K384="AUR"),TODAY()-$H384,AND($E384&lt;&gt;"",$M384="Pending",$K384="STT"),TODAY()-$I384,OR(K384="Closed",K384=""),"")</f>
        <v>#N/A</v>
      </c>
      <c r="M384" s="461">
        <f>VLOOKUP(C384,FI!$E$4:$AC$620,7,0)</f>
        <v>0</v>
      </c>
      <c r="N384" s="461" t="str">
        <f t="shared" si="17"/>
        <v/>
      </c>
      <c r="O384" s="739" t="str">
        <f>FI!M37</f>
        <v>GC</v>
      </c>
      <c r="P384" s="746" t="str">
        <v>NO</v>
      </c>
    </row>
    <row r="385" spans="1:16" s="385" customFormat="1" ht="24.75" hidden="1" customHeight="1">
      <c r="A385" s="399">
        <v>35</v>
      </c>
      <c r="B385" s="455" t="s">
        <v>21</v>
      </c>
      <c r="C385" s="454" t="s">
        <v>1582</v>
      </c>
      <c r="D385" s="456" t="str">
        <f>_xlfn.XLOOKUP(C385,FI!$E$4:$E$248,FI!$D$4:$D$248)</f>
        <v>Typical Details Sheet 1</v>
      </c>
      <c r="E385" s="488" t="str">
        <f>IF(VLOOKUP(C385,FI!$E$4:$AC$486,5,0)="","",VLOOKUP(C385,FI!$E$4:$AC$985,5,0))</f>
        <v/>
      </c>
      <c r="F385" s="457"/>
      <c r="G385" s="490" t="str">
        <f>IF(VLOOKUP(C385,FI!$E$4:$AC$486,3,0)="","",VLOOKUP(C385,FI!$E$4:$AC$486,3,0))</f>
        <v/>
      </c>
      <c r="H385" s="459" t="str">
        <f>IF(ISNA(MATCH($C385,FI!$E$4:$E$999,0)),"",
IF($E385=0,IF(INDEX(FI!$P$4:$P$999,MATCH($C385,FI!$E$4:$E$999,0))="","",INDEX(FI!$P$4:$P$999,MATCH($C385,FI!$E$4:$E$999,0))),
IF($E385=1,IF(INDEX(FI!$U$4:$U$999,MATCH($C385,FI!$E$4:$E$999,0))="","",INDEX(FI!$U$4:$U$999,MATCH($C385,FI!$E$4:$E$999,0))),
IF($E385=2,IF(INDEX(FI!$Z$4:$Z$999,MATCH($C385,FI!$E$4:$E$999,0))="","",INDEX(FI!$Z$4:$Z$999,MATCH($C385,FI!$E$4:$E$999,0))),
IF($E385=3,IF(INDEX(FI!$AE$4:$AE$999,MATCH($C385,FI!$E$4:$E$999,0))="","",INDEX(FI!$AE$4:$AE$999,MATCH($C385,FI!$E$4:$E$999,0))),
IF($E385=4,IF(INDEX(FI!$AJ$4:$AJ$999,MATCH($C385,FI!$E$4:$E$999,0))="","",INDEX(FI!$AJ$4:$AJ$999,MATCH($C385,FI!$E$4:$E$999,0))),
IF($E385=5,IF(INDEX(FI!$AO$4:$AO$999,MATCH($C385,FI!$E$4:$E$999,0))="","",INDEX(FI!$AO$4:$AO$999,MATCH($C385,FI!$E$4:$E$999,0))),"")))))))</f>
        <v/>
      </c>
      <c r="I385" s="459" t="str">
        <f>IF(ISNA(MATCH($C385,FI!$E$4:$E$999,0)),"",
IF($E385=0,IF(INDEX(FI!$Q$4:$Q$999,MATCH($C385,FI!$E$4:$E$999,0))="","",INDEX(FI!$Q$4:$Q$999,MATCH($C385,FI!$E$4:$E$999,0))),
IF($E385=1,IF(INDEX(FI!$V$4:$V$999,MATCH($C385,FI!$E$4:$E$999,0))="","",INDEX(FI!$V$4:$V$999,MATCH($C385,FI!$E$4:$E$999,0))),
IF($E385=2,IF(INDEX(FI!$AA$4:$AA$999,MATCH($C385,FI!$E$4:$E$999,0))="","",INDEX(FI!$AA$4:$AA$999,MATCH($C385,FI!$E$4:$E$999,0))),
IF($E385=3,IF(INDEX(FI!$AF$4:$AF$999,MATCH($C385,FI!$E$4:$E$999,0))="","",INDEX(FI!$AF$4:$AF$999,MATCH($C385,FI!$E$4:$E$999,0))),
IF($E385=4,IF(INDEX(FI!$AK$4:$AK$999,MATCH($C385,FI!$E$4:$E$999,0))="","",INDEX(FI!$AK$4:$AK$999,MATCH($C385,FI!$E$4:$E$999,0))),
IF($E385=5,IF(INDEX(FI!$AP$4:$AP$999,MATCH($C385,FI!$E$4:$E$999,0))="","",INDEX(FI!$AP$4:$AP$999,MATCH($C385,FI!$E$4:$E$999,0))),"")))))))</f>
        <v/>
      </c>
      <c r="J385" s="459" t="str">
        <f>IF(ISNA(MATCH($C385,FI!$E$4:$E$999,0)),"",
IF($E385=0,IF(INDEX(FI!$R$4:$R$999,MATCH($C385,FI!$E$4:$E$999,0))="","",INDEX(FI!$R$4:$R$999,MATCH($C385,FI!$E$4:$E$999,0))),
IF($E385=1,IF(INDEX(FI!$W$4:$W$999,MATCH($C385,FI!$E$4:$E$999,0))="","",INDEX(FI!$W$4:$W$999,MATCH($C385,FI!$E$4:$E$999,0))),
IF($E385=2,IF(INDEX(FI!$AB$4:$AB$999,MATCH($C385,FI!$E$4:$E$999,0))="","",INDEX(FI!$AB$4:$AB$999,MATCH($C385,FI!$E$4:$E$999,0))),
IF($E385=3,IF(INDEX(FI!$AG$4:$AG$999,MATCH($C385,FI!$E$4:$E$999,0))="","",INDEX(FI!$AG$4:$AG$999,MATCH($C385,FI!$E$4:$E$999,0))),
IF($E385=4,IF(INDEX(FI!$AL$4:$AL$999,MATCH($C385,FI!$E$4:$E$999,0))="","",INDEX(FI!$AL$4:$AL$999,MATCH($C385,FI!$E$4:$E$999,0))),
IF($E385=5,IF(INDEX(FI!$AQ$4:$AQ$999,MATCH($C385,FI!$E$4:$E$999,0))="","",INDEX(FI!$AQ$4:$AQ$999,MATCH($C385,FI!$E$4:$E$999,0))),"")))))))</f>
        <v/>
      </c>
      <c r="K385" s="459">
        <f>FI!J36</f>
        <v>0</v>
      </c>
      <c r="L385" s="460" t="e" cm="1">
        <f t="array" aca="1" ref="L385" ca="1">_xlfn.IFS(AND($E385&lt;&gt;"",$M385="Pending",$K385="CTA"),TODAY()-$G385,AND($E385&lt;&gt;"",$M385="Pending",$K385="AUR"),TODAY()-$H385,AND($E385&lt;&gt;"",$M385="Pending",$K385="STT"),TODAY()-$I385,OR(K385="Closed",K385=""),"")</f>
        <v>#N/A</v>
      </c>
      <c r="M385" s="461">
        <f>VLOOKUP(C385,FI!$E$4:$AC$620,7,0)</f>
        <v>0</v>
      </c>
      <c r="N385" s="461" t="str">
        <f t="shared" si="17"/>
        <v/>
      </c>
      <c r="O385" s="739" t="str">
        <f>FI!M38</f>
        <v>GC</v>
      </c>
      <c r="P385" s="746" t="str">
        <v>NO</v>
      </c>
    </row>
    <row r="386" spans="1:16" s="385" customFormat="1" ht="24.75" hidden="1" customHeight="1">
      <c r="A386" s="399">
        <v>36</v>
      </c>
      <c r="B386" s="455" t="s">
        <v>21</v>
      </c>
      <c r="C386" s="454" t="s">
        <v>1584</v>
      </c>
      <c r="D386" s="456" t="str">
        <f>_xlfn.XLOOKUP(C386,FI!$E$4:$E$248,FI!$D$4:$D$248)</f>
        <v>Typical Details Sheet 2</v>
      </c>
      <c r="E386" s="488" t="str">
        <f>IF(VLOOKUP(C386,FI!$E$4:$AC$486,5,0)="","",VLOOKUP(C386,FI!$E$4:$AC$985,5,0))</f>
        <v/>
      </c>
      <c r="F386" s="457"/>
      <c r="G386" s="490" t="str">
        <f>IF(VLOOKUP(C386,FI!$E$4:$AC$486,3,0)="","",VLOOKUP(C386,FI!$E$4:$AC$486,3,0))</f>
        <v/>
      </c>
      <c r="H386" s="459" t="str">
        <f>IF(ISNA(MATCH($C386,FI!$E$4:$E$999,0)),"",
IF($E386=0,IF(INDEX(FI!$P$4:$P$999,MATCH($C386,FI!$E$4:$E$999,0))="","",INDEX(FI!$P$4:$P$999,MATCH($C386,FI!$E$4:$E$999,0))),
IF($E386=1,IF(INDEX(FI!$U$4:$U$999,MATCH($C386,FI!$E$4:$E$999,0))="","",INDEX(FI!$U$4:$U$999,MATCH($C386,FI!$E$4:$E$999,0))),
IF($E386=2,IF(INDEX(FI!$Z$4:$Z$999,MATCH($C386,FI!$E$4:$E$999,0))="","",INDEX(FI!$Z$4:$Z$999,MATCH($C386,FI!$E$4:$E$999,0))),
IF($E386=3,IF(INDEX(FI!$AE$4:$AE$999,MATCH($C386,FI!$E$4:$E$999,0))="","",INDEX(FI!$AE$4:$AE$999,MATCH($C386,FI!$E$4:$E$999,0))),
IF($E386=4,IF(INDEX(FI!$AJ$4:$AJ$999,MATCH($C386,FI!$E$4:$E$999,0))="","",INDEX(FI!$AJ$4:$AJ$999,MATCH($C386,FI!$E$4:$E$999,0))),
IF($E386=5,IF(INDEX(FI!$AO$4:$AO$999,MATCH($C386,FI!$E$4:$E$999,0))="","",INDEX(FI!$AO$4:$AO$999,MATCH($C386,FI!$E$4:$E$999,0))),"")))))))</f>
        <v/>
      </c>
      <c r="I386" s="459" t="str">
        <f>IF(ISNA(MATCH($C386,FI!$E$4:$E$999,0)),"",
IF($E386=0,IF(INDEX(FI!$Q$4:$Q$999,MATCH($C386,FI!$E$4:$E$999,0))="","",INDEX(FI!$Q$4:$Q$999,MATCH($C386,FI!$E$4:$E$999,0))),
IF($E386=1,IF(INDEX(FI!$V$4:$V$999,MATCH($C386,FI!$E$4:$E$999,0))="","",INDEX(FI!$V$4:$V$999,MATCH($C386,FI!$E$4:$E$999,0))),
IF($E386=2,IF(INDEX(FI!$AA$4:$AA$999,MATCH($C386,FI!$E$4:$E$999,0))="","",INDEX(FI!$AA$4:$AA$999,MATCH($C386,FI!$E$4:$E$999,0))),
IF($E386=3,IF(INDEX(FI!$AF$4:$AF$999,MATCH($C386,FI!$E$4:$E$999,0))="","",INDEX(FI!$AF$4:$AF$999,MATCH($C386,FI!$E$4:$E$999,0))),
IF($E386=4,IF(INDEX(FI!$AK$4:$AK$999,MATCH($C386,FI!$E$4:$E$999,0))="","",INDEX(FI!$AK$4:$AK$999,MATCH($C386,FI!$E$4:$E$999,0))),
IF($E386=5,IF(INDEX(FI!$AP$4:$AP$999,MATCH($C386,FI!$E$4:$E$999,0))="","",INDEX(FI!$AP$4:$AP$999,MATCH($C386,FI!$E$4:$E$999,0))),"")))))))</f>
        <v/>
      </c>
      <c r="J386" s="459" t="str">
        <f>IF(ISNA(MATCH($C386,FI!$E$4:$E$999,0)),"",
IF($E386=0,IF(INDEX(FI!$R$4:$R$999,MATCH($C386,FI!$E$4:$E$999,0))="","",INDEX(FI!$R$4:$R$999,MATCH($C386,FI!$E$4:$E$999,0))),
IF($E386=1,IF(INDEX(FI!$W$4:$W$999,MATCH($C386,FI!$E$4:$E$999,0))="","",INDEX(FI!$W$4:$W$999,MATCH($C386,FI!$E$4:$E$999,0))),
IF($E386=2,IF(INDEX(FI!$AB$4:$AB$999,MATCH($C386,FI!$E$4:$E$999,0))="","",INDEX(FI!$AB$4:$AB$999,MATCH($C386,FI!$E$4:$E$999,0))),
IF($E386=3,IF(INDEX(FI!$AG$4:$AG$999,MATCH($C386,FI!$E$4:$E$999,0))="","",INDEX(FI!$AG$4:$AG$999,MATCH($C386,FI!$E$4:$E$999,0))),
IF($E386=4,IF(INDEX(FI!$AL$4:$AL$999,MATCH($C386,FI!$E$4:$E$999,0))="","",INDEX(FI!$AL$4:$AL$999,MATCH($C386,FI!$E$4:$E$999,0))),
IF($E386=5,IF(INDEX(FI!$AQ$4:$AQ$999,MATCH($C386,FI!$E$4:$E$999,0))="","",INDEX(FI!$AQ$4:$AQ$999,MATCH($C386,FI!$E$4:$E$999,0))),"")))))))</f>
        <v/>
      </c>
      <c r="K386" s="459">
        <f>FI!J37</f>
        <v>0</v>
      </c>
      <c r="L386" s="460" t="e" cm="1">
        <f t="array" aca="1" ref="L386" ca="1">_xlfn.IFS(AND($E386&lt;&gt;"",$M386="Pending",$K386="CTA"),TODAY()-$G386,AND($E386&lt;&gt;"",$M386="Pending",$K386="AUR"),TODAY()-$H386,AND($E386&lt;&gt;"",$M386="Pending",$K386="STT"),TODAY()-$I386,OR(K386="Closed",K386=""),"")</f>
        <v>#N/A</v>
      </c>
      <c r="M386" s="461">
        <f>VLOOKUP(C386,FI!$E$4:$AC$620,7,0)</f>
        <v>0</v>
      </c>
      <c r="N386" s="461" t="str">
        <f t="shared" si="17"/>
        <v/>
      </c>
      <c r="O386" s="739" t="str">
        <f>FI!M39</f>
        <v>GC</v>
      </c>
      <c r="P386" s="746" t="str">
        <v>NO</v>
      </c>
    </row>
    <row r="387" spans="1:16" s="385" customFormat="1" ht="24.75" hidden="1" customHeight="1">
      <c r="A387" s="399">
        <v>37</v>
      </c>
      <c r="B387" s="455" t="s">
        <v>21</v>
      </c>
      <c r="C387" s="454" t="s">
        <v>1586</v>
      </c>
      <c r="D387" s="456" t="str">
        <f>_xlfn.XLOOKUP(C387,FI!$E$4:$E$248,FI!$D$4:$D$248)</f>
        <v>Typical Details Sheet 3</v>
      </c>
      <c r="E387" s="488" t="str">
        <f>IF(VLOOKUP(C387,FI!$E$4:$AC$486,5,0)="","",VLOOKUP(C387,FI!$E$4:$AC$985,5,0))</f>
        <v/>
      </c>
      <c r="F387" s="457"/>
      <c r="G387" s="490" t="str">
        <f>IF(VLOOKUP(C387,FI!$E$4:$AC$486,3,0)="","",VLOOKUP(C387,FI!$E$4:$AC$486,3,0))</f>
        <v/>
      </c>
      <c r="H387" s="459" t="str">
        <f>IF(ISNA(MATCH($C387,FI!$E$4:$E$999,0)),"",
IF($E387=0,IF(INDEX(FI!$P$4:$P$999,MATCH($C387,FI!$E$4:$E$999,0))="","",INDEX(FI!$P$4:$P$999,MATCH($C387,FI!$E$4:$E$999,0))),
IF($E387=1,IF(INDEX(FI!$U$4:$U$999,MATCH($C387,FI!$E$4:$E$999,0))="","",INDEX(FI!$U$4:$U$999,MATCH($C387,FI!$E$4:$E$999,0))),
IF($E387=2,IF(INDEX(FI!$Z$4:$Z$999,MATCH($C387,FI!$E$4:$E$999,0))="","",INDEX(FI!$Z$4:$Z$999,MATCH($C387,FI!$E$4:$E$999,0))),
IF($E387=3,IF(INDEX(FI!$AE$4:$AE$999,MATCH($C387,FI!$E$4:$E$999,0))="","",INDEX(FI!$AE$4:$AE$999,MATCH($C387,FI!$E$4:$E$999,0))),
IF($E387=4,IF(INDEX(FI!$AJ$4:$AJ$999,MATCH($C387,FI!$E$4:$E$999,0))="","",INDEX(FI!$AJ$4:$AJ$999,MATCH($C387,FI!$E$4:$E$999,0))),
IF($E387=5,IF(INDEX(FI!$AO$4:$AO$999,MATCH($C387,FI!$E$4:$E$999,0))="","",INDEX(FI!$AO$4:$AO$999,MATCH($C387,FI!$E$4:$E$999,0))),"")))))))</f>
        <v/>
      </c>
      <c r="I387" s="459" t="str">
        <f>IF(ISNA(MATCH($C387,FI!$E$4:$E$999,0)),"",
IF($E387=0,IF(INDEX(FI!$Q$4:$Q$999,MATCH($C387,FI!$E$4:$E$999,0))="","",INDEX(FI!$Q$4:$Q$999,MATCH($C387,FI!$E$4:$E$999,0))),
IF($E387=1,IF(INDEX(FI!$V$4:$V$999,MATCH($C387,FI!$E$4:$E$999,0))="","",INDEX(FI!$V$4:$V$999,MATCH($C387,FI!$E$4:$E$999,0))),
IF($E387=2,IF(INDEX(FI!$AA$4:$AA$999,MATCH($C387,FI!$E$4:$E$999,0))="","",INDEX(FI!$AA$4:$AA$999,MATCH($C387,FI!$E$4:$E$999,0))),
IF($E387=3,IF(INDEX(FI!$AF$4:$AF$999,MATCH($C387,FI!$E$4:$E$999,0))="","",INDEX(FI!$AF$4:$AF$999,MATCH($C387,FI!$E$4:$E$999,0))),
IF($E387=4,IF(INDEX(FI!$AK$4:$AK$999,MATCH($C387,FI!$E$4:$E$999,0))="","",INDEX(FI!$AK$4:$AK$999,MATCH($C387,FI!$E$4:$E$999,0))),
IF($E387=5,IF(INDEX(FI!$AP$4:$AP$999,MATCH($C387,FI!$E$4:$E$999,0))="","",INDEX(FI!$AP$4:$AP$999,MATCH($C387,FI!$E$4:$E$999,0))),"")))))))</f>
        <v/>
      </c>
      <c r="J387" s="459" t="str">
        <f>IF(ISNA(MATCH($C387,FI!$E$4:$E$999,0)),"",
IF($E387=0,IF(INDEX(FI!$R$4:$R$999,MATCH($C387,FI!$E$4:$E$999,0))="","",INDEX(FI!$R$4:$R$999,MATCH($C387,FI!$E$4:$E$999,0))),
IF($E387=1,IF(INDEX(FI!$W$4:$W$999,MATCH($C387,FI!$E$4:$E$999,0))="","",INDEX(FI!$W$4:$W$999,MATCH($C387,FI!$E$4:$E$999,0))),
IF($E387=2,IF(INDEX(FI!$AB$4:$AB$999,MATCH($C387,FI!$E$4:$E$999,0))="","",INDEX(FI!$AB$4:$AB$999,MATCH($C387,FI!$E$4:$E$999,0))),
IF($E387=3,IF(INDEX(FI!$AG$4:$AG$999,MATCH($C387,FI!$E$4:$E$999,0))="","",INDEX(FI!$AG$4:$AG$999,MATCH($C387,FI!$E$4:$E$999,0))),
IF($E387=4,IF(INDEX(FI!$AL$4:$AL$999,MATCH($C387,FI!$E$4:$E$999,0))="","",INDEX(FI!$AL$4:$AL$999,MATCH($C387,FI!$E$4:$E$999,0))),
IF($E387=5,IF(INDEX(FI!$AQ$4:$AQ$999,MATCH($C387,FI!$E$4:$E$999,0))="","",INDEX(FI!$AQ$4:$AQ$999,MATCH($C387,FI!$E$4:$E$999,0))),"")))))))</f>
        <v/>
      </c>
      <c r="K387" s="459">
        <f>FI!J38</f>
        <v>0</v>
      </c>
      <c r="L387" s="460" t="e" cm="1">
        <f t="array" aca="1" ref="L387" ca="1">_xlfn.IFS(AND($E387&lt;&gt;"",$M387="Pending",$K387="CTA"),TODAY()-$G387,AND($E387&lt;&gt;"",$M387="Pending",$K387="AUR"),TODAY()-$H387,AND($E387&lt;&gt;"",$M387="Pending",$K387="STT"),TODAY()-$I387,OR(K387="Closed",K387=""),"")</f>
        <v>#N/A</v>
      </c>
      <c r="M387" s="461">
        <f>VLOOKUP(C387,FI!$E$4:$AC$620,7,0)</f>
        <v>0</v>
      </c>
      <c r="N387" s="461" t="str">
        <f t="shared" si="17"/>
        <v/>
      </c>
      <c r="O387" s="739" t="str">
        <f>FI!M40</f>
        <v>GC</v>
      </c>
      <c r="P387" s="746" t="str">
        <v>NO</v>
      </c>
    </row>
    <row r="388" spans="1:16" s="385" customFormat="1" ht="24.75" hidden="1" customHeight="1">
      <c r="A388" s="399">
        <v>38</v>
      </c>
      <c r="B388" s="455" t="s">
        <v>21</v>
      </c>
      <c r="C388" s="454" t="s">
        <v>1588</v>
      </c>
      <c r="D388" s="456" t="str">
        <f>_xlfn.XLOOKUP(C388,FI!$E$4:$E$248,FI!$D$4:$D$248)</f>
        <v>Typical Details Sheet 4</v>
      </c>
      <c r="E388" s="488" t="str">
        <f>IF(VLOOKUP(C388,FI!$E$4:$AC$486,5,0)="","",VLOOKUP(C388,FI!$E$4:$AC$985,5,0))</f>
        <v/>
      </c>
      <c r="F388" s="457"/>
      <c r="G388" s="490" t="str">
        <f>IF(VLOOKUP(C388,FI!$E$4:$AC$486,3,0)="","",VLOOKUP(C388,FI!$E$4:$AC$486,3,0))</f>
        <v/>
      </c>
      <c r="H388" s="459" t="str">
        <f>IF(ISNA(MATCH($C388,FI!$E$4:$E$999,0)),"",
IF($E388=0,IF(INDEX(FI!$P$4:$P$999,MATCH($C388,FI!$E$4:$E$999,0))="","",INDEX(FI!$P$4:$P$999,MATCH($C388,FI!$E$4:$E$999,0))),
IF($E388=1,IF(INDEX(FI!$U$4:$U$999,MATCH($C388,FI!$E$4:$E$999,0))="","",INDEX(FI!$U$4:$U$999,MATCH($C388,FI!$E$4:$E$999,0))),
IF($E388=2,IF(INDEX(FI!$Z$4:$Z$999,MATCH($C388,FI!$E$4:$E$999,0))="","",INDEX(FI!$Z$4:$Z$999,MATCH($C388,FI!$E$4:$E$999,0))),
IF($E388=3,IF(INDEX(FI!$AE$4:$AE$999,MATCH($C388,FI!$E$4:$E$999,0))="","",INDEX(FI!$AE$4:$AE$999,MATCH($C388,FI!$E$4:$E$999,0))),
IF($E388=4,IF(INDEX(FI!$AJ$4:$AJ$999,MATCH($C388,FI!$E$4:$E$999,0))="","",INDEX(FI!$AJ$4:$AJ$999,MATCH($C388,FI!$E$4:$E$999,0))),
IF($E388=5,IF(INDEX(FI!$AO$4:$AO$999,MATCH($C388,FI!$E$4:$E$999,0))="","",INDEX(FI!$AO$4:$AO$999,MATCH($C388,FI!$E$4:$E$999,0))),"")))))))</f>
        <v/>
      </c>
      <c r="I388" s="459" t="str">
        <f>IF(ISNA(MATCH($C388,FI!$E$4:$E$999,0)),"",
IF($E388=0,IF(INDEX(FI!$Q$4:$Q$999,MATCH($C388,FI!$E$4:$E$999,0))="","",INDEX(FI!$Q$4:$Q$999,MATCH($C388,FI!$E$4:$E$999,0))),
IF($E388=1,IF(INDEX(FI!$V$4:$V$999,MATCH($C388,FI!$E$4:$E$999,0))="","",INDEX(FI!$V$4:$V$999,MATCH($C388,FI!$E$4:$E$999,0))),
IF($E388=2,IF(INDEX(FI!$AA$4:$AA$999,MATCH($C388,FI!$E$4:$E$999,0))="","",INDEX(FI!$AA$4:$AA$999,MATCH($C388,FI!$E$4:$E$999,0))),
IF($E388=3,IF(INDEX(FI!$AF$4:$AF$999,MATCH($C388,FI!$E$4:$E$999,0))="","",INDEX(FI!$AF$4:$AF$999,MATCH($C388,FI!$E$4:$E$999,0))),
IF($E388=4,IF(INDEX(FI!$AK$4:$AK$999,MATCH($C388,FI!$E$4:$E$999,0))="","",INDEX(FI!$AK$4:$AK$999,MATCH($C388,FI!$E$4:$E$999,0))),
IF($E388=5,IF(INDEX(FI!$AP$4:$AP$999,MATCH($C388,FI!$E$4:$E$999,0))="","",INDEX(FI!$AP$4:$AP$999,MATCH($C388,FI!$E$4:$E$999,0))),"")))))))</f>
        <v/>
      </c>
      <c r="J388" s="459" t="str">
        <f>IF(ISNA(MATCH($C388,FI!$E$4:$E$999,0)),"",
IF($E388=0,IF(INDEX(FI!$R$4:$R$999,MATCH($C388,FI!$E$4:$E$999,0))="","",INDEX(FI!$R$4:$R$999,MATCH($C388,FI!$E$4:$E$999,0))),
IF($E388=1,IF(INDEX(FI!$W$4:$W$999,MATCH($C388,FI!$E$4:$E$999,0))="","",INDEX(FI!$W$4:$W$999,MATCH($C388,FI!$E$4:$E$999,0))),
IF($E388=2,IF(INDEX(FI!$AB$4:$AB$999,MATCH($C388,FI!$E$4:$E$999,0))="","",INDEX(FI!$AB$4:$AB$999,MATCH($C388,FI!$E$4:$E$999,0))),
IF($E388=3,IF(INDEX(FI!$AG$4:$AG$999,MATCH($C388,FI!$E$4:$E$999,0))="","",INDEX(FI!$AG$4:$AG$999,MATCH($C388,FI!$E$4:$E$999,0))),
IF($E388=4,IF(INDEX(FI!$AL$4:$AL$999,MATCH($C388,FI!$E$4:$E$999,0))="","",INDEX(FI!$AL$4:$AL$999,MATCH($C388,FI!$E$4:$E$999,0))),
IF($E388=5,IF(INDEX(FI!$AQ$4:$AQ$999,MATCH($C388,FI!$E$4:$E$999,0))="","",INDEX(FI!$AQ$4:$AQ$999,MATCH($C388,FI!$E$4:$E$999,0))),"")))))))</f>
        <v/>
      </c>
      <c r="K388" s="459">
        <f>FI!J39</f>
        <v>0</v>
      </c>
      <c r="L388" s="460" t="e" cm="1">
        <f t="array" aca="1" ref="L388" ca="1">_xlfn.IFS(AND($E388&lt;&gt;"",$M388="Pending",$K388="CTA"),TODAY()-$G388,AND($E388&lt;&gt;"",$M388="Pending",$K388="AUR"),TODAY()-$H388,AND($E388&lt;&gt;"",$M388="Pending",$K388="STT"),TODAY()-$I388,OR(K388="Closed",K388=""),"")</f>
        <v>#N/A</v>
      </c>
      <c r="M388" s="461">
        <f>VLOOKUP(C388,FI!$E$4:$AC$620,7,0)</f>
        <v>0</v>
      </c>
      <c r="N388" s="461" t="str">
        <f t="shared" si="17"/>
        <v/>
      </c>
      <c r="O388" s="739" t="str">
        <f>FI!M41</f>
        <v>GC</v>
      </c>
      <c r="P388" s="746" t="str">
        <v>NO</v>
      </c>
    </row>
    <row r="389" spans="1:16" s="385" customFormat="1" ht="24.75" hidden="1" customHeight="1">
      <c r="A389" s="399">
        <v>39</v>
      </c>
      <c r="B389" s="455" t="s">
        <v>21</v>
      </c>
      <c r="C389" s="454" t="s">
        <v>1590</v>
      </c>
      <c r="D389" s="456" t="str">
        <f>_xlfn.XLOOKUP(C389,FI!$E$4:$E$248,FI!$D$4:$D$248)</f>
        <v>Typical Details Sheet 5</v>
      </c>
      <c r="E389" s="488" t="str">
        <f>IF(VLOOKUP(C389,FI!$E$4:$AC$486,5,0)="","",VLOOKUP(C389,FI!$E$4:$AC$985,5,0))</f>
        <v/>
      </c>
      <c r="F389" s="457"/>
      <c r="G389" s="490" t="str">
        <f>IF(VLOOKUP(C389,FI!$E$4:$AC$486,3,0)="","",VLOOKUP(C389,FI!$E$4:$AC$486,3,0))</f>
        <v/>
      </c>
      <c r="H389" s="459" t="str">
        <f>IF(ISNA(MATCH($C389,FI!$E$4:$E$999,0)),"",
IF($E389=0,IF(INDEX(FI!$P$4:$P$999,MATCH($C389,FI!$E$4:$E$999,0))="","",INDEX(FI!$P$4:$P$999,MATCH($C389,FI!$E$4:$E$999,0))),
IF($E389=1,IF(INDEX(FI!$U$4:$U$999,MATCH($C389,FI!$E$4:$E$999,0))="","",INDEX(FI!$U$4:$U$999,MATCH($C389,FI!$E$4:$E$999,0))),
IF($E389=2,IF(INDEX(FI!$Z$4:$Z$999,MATCH($C389,FI!$E$4:$E$999,0))="","",INDEX(FI!$Z$4:$Z$999,MATCH($C389,FI!$E$4:$E$999,0))),
IF($E389=3,IF(INDEX(FI!$AE$4:$AE$999,MATCH($C389,FI!$E$4:$E$999,0))="","",INDEX(FI!$AE$4:$AE$999,MATCH($C389,FI!$E$4:$E$999,0))),
IF($E389=4,IF(INDEX(FI!$AJ$4:$AJ$999,MATCH($C389,FI!$E$4:$E$999,0))="","",INDEX(FI!$AJ$4:$AJ$999,MATCH($C389,FI!$E$4:$E$999,0))),
IF($E389=5,IF(INDEX(FI!$AO$4:$AO$999,MATCH($C389,FI!$E$4:$E$999,0))="","",INDEX(FI!$AO$4:$AO$999,MATCH($C389,FI!$E$4:$E$999,0))),"")))))))</f>
        <v/>
      </c>
      <c r="I389" s="459" t="str">
        <f>IF(ISNA(MATCH($C389,FI!$E$4:$E$999,0)),"",
IF($E389=0,IF(INDEX(FI!$Q$4:$Q$999,MATCH($C389,FI!$E$4:$E$999,0))="","",INDEX(FI!$Q$4:$Q$999,MATCH($C389,FI!$E$4:$E$999,0))),
IF($E389=1,IF(INDEX(FI!$V$4:$V$999,MATCH($C389,FI!$E$4:$E$999,0))="","",INDEX(FI!$V$4:$V$999,MATCH($C389,FI!$E$4:$E$999,0))),
IF($E389=2,IF(INDEX(FI!$AA$4:$AA$999,MATCH($C389,FI!$E$4:$E$999,0))="","",INDEX(FI!$AA$4:$AA$999,MATCH($C389,FI!$E$4:$E$999,0))),
IF($E389=3,IF(INDEX(FI!$AF$4:$AF$999,MATCH($C389,FI!$E$4:$E$999,0))="","",INDEX(FI!$AF$4:$AF$999,MATCH($C389,FI!$E$4:$E$999,0))),
IF($E389=4,IF(INDEX(FI!$AK$4:$AK$999,MATCH($C389,FI!$E$4:$E$999,0))="","",INDEX(FI!$AK$4:$AK$999,MATCH($C389,FI!$E$4:$E$999,0))),
IF($E389=5,IF(INDEX(FI!$AP$4:$AP$999,MATCH($C389,FI!$E$4:$E$999,0))="","",INDEX(FI!$AP$4:$AP$999,MATCH($C389,FI!$E$4:$E$999,0))),"")))))))</f>
        <v/>
      </c>
      <c r="J389" s="459" t="str">
        <f>IF(ISNA(MATCH($C389,FI!$E$4:$E$999,0)),"",
IF($E389=0,IF(INDEX(FI!$R$4:$R$999,MATCH($C389,FI!$E$4:$E$999,0))="","",INDEX(FI!$R$4:$R$999,MATCH($C389,FI!$E$4:$E$999,0))),
IF($E389=1,IF(INDEX(FI!$W$4:$W$999,MATCH($C389,FI!$E$4:$E$999,0))="","",INDEX(FI!$W$4:$W$999,MATCH($C389,FI!$E$4:$E$999,0))),
IF($E389=2,IF(INDEX(FI!$AB$4:$AB$999,MATCH($C389,FI!$E$4:$E$999,0))="","",INDEX(FI!$AB$4:$AB$999,MATCH($C389,FI!$E$4:$E$999,0))),
IF($E389=3,IF(INDEX(FI!$AG$4:$AG$999,MATCH($C389,FI!$E$4:$E$999,0))="","",INDEX(FI!$AG$4:$AG$999,MATCH($C389,FI!$E$4:$E$999,0))),
IF($E389=4,IF(INDEX(FI!$AL$4:$AL$999,MATCH($C389,FI!$E$4:$E$999,0))="","",INDEX(FI!$AL$4:$AL$999,MATCH($C389,FI!$E$4:$E$999,0))),
IF($E389=5,IF(INDEX(FI!$AQ$4:$AQ$999,MATCH($C389,FI!$E$4:$E$999,0))="","",INDEX(FI!$AQ$4:$AQ$999,MATCH($C389,FI!$E$4:$E$999,0))),"")))))))</f>
        <v/>
      </c>
      <c r="K389" s="459">
        <f>FI!J40</f>
        <v>0</v>
      </c>
      <c r="L389" s="460" t="e" cm="1">
        <f t="array" aca="1" ref="L389" ca="1">_xlfn.IFS(AND($E389&lt;&gt;"",$M389="Pending",$K389="CTA"),TODAY()-$G389,AND($E389&lt;&gt;"",$M389="Pending",$K389="AUR"),TODAY()-$H389,AND($E389&lt;&gt;"",$M389="Pending",$K389="STT"),TODAY()-$I389,OR(K389="Closed",K389=""),"")</f>
        <v>#N/A</v>
      </c>
      <c r="M389" s="461">
        <f>VLOOKUP(C389,FI!$E$4:$AC$620,7,0)</f>
        <v>0</v>
      </c>
      <c r="N389" s="461" t="str">
        <f t="shared" si="17"/>
        <v/>
      </c>
      <c r="O389" s="739" t="str">
        <f>FI!M42</f>
        <v>GC</v>
      </c>
      <c r="P389" s="746" t="str">
        <v>NO</v>
      </c>
    </row>
    <row r="390" spans="1:16" s="385" customFormat="1" ht="24.75" hidden="1" customHeight="1">
      <c r="A390" s="399">
        <v>40</v>
      </c>
      <c r="B390" s="455" t="s">
        <v>21</v>
      </c>
      <c r="C390" s="454" t="s">
        <v>1592</v>
      </c>
      <c r="D390" s="456" t="str">
        <f>_xlfn.XLOOKUP(C390,FI!$E$4:$E$248,FI!$D$4:$D$248)</f>
        <v>Typical Details Sheet 6</v>
      </c>
      <c r="E390" s="488" t="str">
        <f>IF(VLOOKUP(C390,FI!$E$4:$AC$486,5,0)="","",VLOOKUP(C390,FI!$E$4:$AC$985,5,0))</f>
        <v/>
      </c>
      <c r="F390" s="457"/>
      <c r="G390" s="490" t="str">
        <f>IF(VLOOKUP(C390,FI!$E$4:$AC$486,3,0)="","",VLOOKUP(C390,FI!$E$4:$AC$486,3,0))</f>
        <v/>
      </c>
      <c r="H390" s="459" t="str">
        <f>IF(ISNA(MATCH($C390,FI!$E$4:$E$999,0)),"",
IF($E390=0,IF(INDEX(FI!$P$4:$P$999,MATCH($C390,FI!$E$4:$E$999,0))="","",INDEX(FI!$P$4:$P$999,MATCH($C390,FI!$E$4:$E$999,0))),
IF($E390=1,IF(INDEX(FI!$U$4:$U$999,MATCH($C390,FI!$E$4:$E$999,0))="","",INDEX(FI!$U$4:$U$999,MATCH($C390,FI!$E$4:$E$999,0))),
IF($E390=2,IF(INDEX(FI!$Z$4:$Z$999,MATCH($C390,FI!$E$4:$E$999,0))="","",INDEX(FI!$Z$4:$Z$999,MATCH($C390,FI!$E$4:$E$999,0))),
IF($E390=3,IF(INDEX(FI!$AE$4:$AE$999,MATCH($C390,FI!$E$4:$E$999,0))="","",INDEX(FI!$AE$4:$AE$999,MATCH($C390,FI!$E$4:$E$999,0))),
IF($E390=4,IF(INDEX(FI!$AJ$4:$AJ$999,MATCH($C390,FI!$E$4:$E$999,0))="","",INDEX(FI!$AJ$4:$AJ$999,MATCH($C390,FI!$E$4:$E$999,0))),
IF($E390=5,IF(INDEX(FI!$AO$4:$AO$999,MATCH($C390,FI!$E$4:$E$999,0))="","",INDEX(FI!$AO$4:$AO$999,MATCH($C390,FI!$E$4:$E$999,0))),"")))))))</f>
        <v/>
      </c>
      <c r="I390" s="459" t="str">
        <f>IF(ISNA(MATCH($C390,FI!$E$4:$E$999,0)),"",
IF($E390=0,IF(INDEX(FI!$Q$4:$Q$999,MATCH($C390,FI!$E$4:$E$999,0))="","",INDEX(FI!$Q$4:$Q$999,MATCH($C390,FI!$E$4:$E$999,0))),
IF($E390=1,IF(INDEX(FI!$V$4:$V$999,MATCH($C390,FI!$E$4:$E$999,0))="","",INDEX(FI!$V$4:$V$999,MATCH($C390,FI!$E$4:$E$999,0))),
IF($E390=2,IF(INDEX(FI!$AA$4:$AA$999,MATCH($C390,FI!$E$4:$E$999,0))="","",INDEX(FI!$AA$4:$AA$999,MATCH($C390,FI!$E$4:$E$999,0))),
IF($E390=3,IF(INDEX(FI!$AF$4:$AF$999,MATCH($C390,FI!$E$4:$E$999,0))="","",INDEX(FI!$AF$4:$AF$999,MATCH($C390,FI!$E$4:$E$999,0))),
IF($E390=4,IF(INDEX(FI!$AK$4:$AK$999,MATCH($C390,FI!$E$4:$E$999,0))="","",INDEX(FI!$AK$4:$AK$999,MATCH($C390,FI!$E$4:$E$999,0))),
IF($E390=5,IF(INDEX(FI!$AP$4:$AP$999,MATCH($C390,FI!$E$4:$E$999,0))="","",INDEX(FI!$AP$4:$AP$999,MATCH($C390,FI!$E$4:$E$999,0))),"")))))))</f>
        <v/>
      </c>
      <c r="J390" s="459" t="str">
        <f>IF(ISNA(MATCH($C390,FI!$E$4:$E$999,0)),"",
IF($E390=0,IF(INDEX(FI!$R$4:$R$999,MATCH($C390,FI!$E$4:$E$999,0))="","",INDEX(FI!$R$4:$R$999,MATCH($C390,FI!$E$4:$E$999,0))),
IF($E390=1,IF(INDEX(FI!$W$4:$W$999,MATCH($C390,FI!$E$4:$E$999,0))="","",INDEX(FI!$W$4:$W$999,MATCH($C390,FI!$E$4:$E$999,0))),
IF($E390=2,IF(INDEX(FI!$AB$4:$AB$999,MATCH($C390,FI!$E$4:$E$999,0))="","",INDEX(FI!$AB$4:$AB$999,MATCH($C390,FI!$E$4:$E$999,0))),
IF($E390=3,IF(INDEX(FI!$AG$4:$AG$999,MATCH($C390,FI!$E$4:$E$999,0))="","",INDEX(FI!$AG$4:$AG$999,MATCH($C390,FI!$E$4:$E$999,0))),
IF($E390=4,IF(INDEX(FI!$AL$4:$AL$999,MATCH($C390,FI!$E$4:$E$999,0))="","",INDEX(FI!$AL$4:$AL$999,MATCH($C390,FI!$E$4:$E$999,0))),
IF($E390=5,IF(INDEX(FI!$AQ$4:$AQ$999,MATCH($C390,FI!$E$4:$E$999,0))="","",INDEX(FI!$AQ$4:$AQ$999,MATCH($C390,FI!$E$4:$E$999,0))),"")))))))</f>
        <v/>
      </c>
      <c r="K390" s="459">
        <f>FI!J41</f>
        <v>0</v>
      </c>
      <c r="L390" s="460" t="e" cm="1">
        <f t="array" aca="1" ref="L390" ca="1">_xlfn.IFS(AND($E390&lt;&gt;"",$M390="Pending",$K390="CTA"),TODAY()-$G390,AND($E390&lt;&gt;"",$M390="Pending",$K390="AUR"),TODAY()-$H390,AND($E390&lt;&gt;"",$M390="Pending",$K390="STT"),TODAY()-$I390,OR(K390="Closed",K390=""),"")</f>
        <v>#N/A</v>
      </c>
      <c r="M390" s="461">
        <f>VLOOKUP(C390,FI!$E$4:$AC$620,7,0)</f>
        <v>0</v>
      </c>
      <c r="N390" s="461" t="str">
        <f t="shared" si="17"/>
        <v/>
      </c>
      <c r="O390" s="739" t="str">
        <f>FI!M43</f>
        <v>GC</v>
      </c>
      <c r="P390" s="746" t="str">
        <v>NO</v>
      </c>
    </row>
    <row r="391" spans="1:16" s="385" customFormat="1" ht="24.75" hidden="1" customHeight="1">
      <c r="A391" s="399">
        <v>41</v>
      </c>
      <c r="B391" s="455" t="s">
        <v>21</v>
      </c>
      <c r="C391" s="454" t="s">
        <v>1698</v>
      </c>
      <c r="D391" s="456" t="e">
        <f>_xlfn.XLOOKUP(C391,FI!$E$4:$E$248,FI!$D$4:$D$248)</f>
        <v>#N/A</v>
      </c>
      <c r="E391" s="488" t="e">
        <f>IF(VLOOKUP(C391,FI!$E$4:$AC$486,5,0)="","",VLOOKUP(C391,FI!$E$4:$AC$985,5,0))</f>
        <v>#N/A</v>
      </c>
      <c r="F391" s="457"/>
      <c r="G391" s="490" t="e">
        <f>IF(VLOOKUP(C391,FI!$E$4:$AC$486,3,0)="","",VLOOKUP(C391,FI!$E$4:$AC$486,3,0))</f>
        <v>#N/A</v>
      </c>
      <c r="H391" s="459" t="str">
        <f>IF(ISNA(MATCH($C391,FI!$E$4:$E$999,0)),"",
IF($E391=0,IF(INDEX(FI!$P$4:$P$999,MATCH($C391,FI!$E$4:$E$999,0))="","",INDEX(FI!$P$4:$P$999,MATCH($C391,FI!$E$4:$E$999,0))),
IF($E391=1,IF(INDEX(FI!$U$4:$U$999,MATCH($C391,FI!$E$4:$E$999,0))="","",INDEX(FI!$U$4:$U$999,MATCH($C391,FI!$E$4:$E$999,0))),
IF($E391=2,IF(INDEX(FI!$Z$4:$Z$999,MATCH($C391,FI!$E$4:$E$999,0))="","",INDEX(FI!$Z$4:$Z$999,MATCH($C391,FI!$E$4:$E$999,0))),
IF($E391=3,IF(INDEX(FI!$AE$4:$AE$999,MATCH($C391,FI!$E$4:$E$999,0))="","",INDEX(FI!$AE$4:$AE$999,MATCH($C391,FI!$E$4:$E$999,0))),
IF($E391=4,IF(INDEX(FI!$AJ$4:$AJ$999,MATCH($C391,FI!$E$4:$E$999,0))="","",INDEX(FI!$AJ$4:$AJ$999,MATCH($C391,FI!$E$4:$E$999,0))),
IF($E391=5,IF(INDEX(FI!$AO$4:$AO$999,MATCH($C391,FI!$E$4:$E$999,0))="","",INDEX(FI!$AO$4:$AO$999,MATCH($C391,FI!$E$4:$E$999,0))),"")))))))</f>
        <v/>
      </c>
      <c r="I391" s="459" t="str">
        <f>IF(ISNA(MATCH($C391,FI!$E$4:$E$999,0)),"",
IF($E391=0,IF(INDEX(FI!$Q$4:$Q$999,MATCH($C391,FI!$E$4:$E$999,0))="","",INDEX(FI!$Q$4:$Q$999,MATCH($C391,FI!$E$4:$E$999,0))),
IF($E391=1,IF(INDEX(FI!$V$4:$V$999,MATCH($C391,FI!$E$4:$E$999,0))="","",INDEX(FI!$V$4:$V$999,MATCH($C391,FI!$E$4:$E$999,0))),
IF($E391=2,IF(INDEX(FI!$AA$4:$AA$999,MATCH($C391,FI!$E$4:$E$999,0))="","",INDEX(FI!$AA$4:$AA$999,MATCH($C391,FI!$E$4:$E$999,0))),
IF($E391=3,IF(INDEX(FI!$AF$4:$AF$999,MATCH($C391,FI!$E$4:$E$999,0))="","",INDEX(FI!$AF$4:$AF$999,MATCH($C391,FI!$E$4:$E$999,0))),
IF($E391=4,IF(INDEX(FI!$AK$4:$AK$999,MATCH($C391,FI!$E$4:$E$999,0))="","",INDEX(FI!$AK$4:$AK$999,MATCH($C391,FI!$E$4:$E$999,0))),
IF($E391=5,IF(INDEX(FI!$AP$4:$AP$999,MATCH($C391,FI!$E$4:$E$999,0))="","",INDEX(FI!$AP$4:$AP$999,MATCH($C391,FI!$E$4:$E$999,0))),"")))))))</f>
        <v/>
      </c>
      <c r="J391" s="459" t="str">
        <f>IF(ISNA(MATCH($C391,FI!$E$4:$E$999,0)),"",
IF($E391=0,IF(INDEX(FI!$R$4:$R$999,MATCH($C391,FI!$E$4:$E$999,0))="","",INDEX(FI!$R$4:$R$999,MATCH($C391,FI!$E$4:$E$999,0))),
IF($E391=1,IF(INDEX(FI!$W$4:$W$999,MATCH($C391,FI!$E$4:$E$999,0))="","",INDEX(FI!$W$4:$W$999,MATCH($C391,FI!$E$4:$E$999,0))),
IF($E391=2,IF(INDEX(FI!$AB$4:$AB$999,MATCH($C391,FI!$E$4:$E$999,0))="","",INDEX(FI!$AB$4:$AB$999,MATCH($C391,FI!$E$4:$E$999,0))),
IF($E391=3,IF(INDEX(FI!$AG$4:$AG$999,MATCH($C391,FI!$E$4:$E$999,0))="","",INDEX(FI!$AG$4:$AG$999,MATCH($C391,FI!$E$4:$E$999,0))),
IF($E391=4,IF(INDEX(FI!$AL$4:$AL$999,MATCH($C391,FI!$E$4:$E$999,0))="","",INDEX(FI!$AL$4:$AL$999,MATCH($C391,FI!$E$4:$E$999,0))),
IF($E391=5,IF(INDEX(FI!$AQ$4:$AQ$999,MATCH($C391,FI!$E$4:$E$999,0))="","",INDEX(FI!$AQ$4:$AQ$999,MATCH($C391,FI!$E$4:$E$999,0))),"")))))))</f>
        <v/>
      </c>
      <c r="K391" s="459">
        <f>FI!J42</f>
        <v>0</v>
      </c>
      <c r="L391" s="460" t="e" cm="1">
        <f t="array" aca="1" ref="L391" ca="1">_xlfn.IFS(AND($E391&lt;&gt;"",$M391="Pending",$K391="CTA"),TODAY()-$G391,AND($E391&lt;&gt;"",$M391="Pending",$K391="AUR"),TODAY()-$H391,AND($E391&lt;&gt;"",$M391="Pending",$K391="STT"),TODAY()-$I391,OR(K391="Closed",K391=""),"")</f>
        <v>#N/A</v>
      </c>
      <c r="M391" s="461" t="e">
        <f>VLOOKUP(C391,FI!$E$4:$AC$620,7,0)</f>
        <v>#N/A</v>
      </c>
      <c r="N391" s="461" t="e">
        <f t="shared" si="17"/>
        <v>#N/A</v>
      </c>
      <c r="O391" s="739">
        <f>FI!M44</f>
        <v>0</v>
      </c>
      <c r="P391" s="746"/>
    </row>
    <row r="392" spans="1:16" s="385" customFormat="1" ht="24.75" hidden="1" customHeight="1">
      <c r="A392" s="399">
        <v>42</v>
      </c>
      <c r="B392" s="455" t="s">
        <v>21</v>
      </c>
      <c r="C392" s="454" t="s">
        <v>1699</v>
      </c>
      <c r="D392" s="456" t="e">
        <f>_xlfn.XLOOKUP(C392,FI!$E$4:$E$248,FI!$D$4:$D$248)</f>
        <v>#N/A</v>
      </c>
      <c r="E392" s="488" t="e">
        <f>IF(VLOOKUP(C392,FI!$E$4:$AC$486,5,0)="","",VLOOKUP(C392,FI!$E$4:$AC$985,5,0))</f>
        <v>#N/A</v>
      </c>
      <c r="F392" s="457"/>
      <c r="G392" s="490" t="e">
        <f>IF(VLOOKUP(C392,FI!$E$4:$AC$486,3,0)="","",VLOOKUP(C392,FI!$E$4:$AC$486,3,0))</f>
        <v>#N/A</v>
      </c>
      <c r="H392" s="459" t="str">
        <f>IF(ISNA(MATCH($C392,FI!$E$4:$E$999,0)),"",
IF($E392=0,IF(INDEX(FI!$P$4:$P$999,MATCH($C392,FI!$E$4:$E$999,0))="","",INDEX(FI!$P$4:$P$999,MATCH($C392,FI!$E$4:$E$999,0))),
IF($E392=1,IF(INDEX(FI!$U$4:$U$999,MATCH($C392,FI!$E$4:$E$999,0))="","",INDEX(FI!$U$4:$U$999,MATCH($C392,FI!$E$4:$E$999,0))),
IF($E392=2,IF(INDEX(FI!$Z$4:$Z$999,MATCH($C392,FI!$E$4:$E$999,0))="","",INDEX(FI!$Z$4:$Z$999,MATCH($C392,FI!$E$4:$E$999,0))),
IF($E392=3,IF(INDEX(FI!$AE$4:$AE$999,MATCH($C392,FI!$E$4:$E$999,0))="","",INDEX(FI!$AE$4:$AE$999,MATCH($C392,FI!$E$4:$E$999,0))),
IF($E392=4,IF(INDEX(FI!$AJ$4:$AJ$999,MATCH($C392,FI!$E$4:$E$999,0))="","",INDEX(FI!$AJ$4:$AJ$999,MATCH($C392,FI!$E$4:$E$999,0))),
IF($E392=5,IF(INDEX(FI!$AO$4:$AO$999,MATCH($C392,FI!$E$4:$E$999,0))="","",INDEX(FI!$AO$4:$AO$999,MATCH($C392,FI!$E$4:$E$999,0))),"")))))))</f>
        <v/>
      </c>
      <c r="I392" s="459" t="str">
        <f>IF(ISNA(MATCH($C392,FI!$E$4:$E$999,0)),"",
IF($E392=0,IF(INDEX(FI!$Q$4:$Q$999,MATCH($C392,FI!$E$4:$E$999,0))="","",INDEX(FI!$Q$4:$Q$999,MATCH($C392,FI!$E$4:$E$999,0))),
IF($E392=1,IF(INDEX(FI!$V$4:$V$999,MATCH($C392,FI!$E$4:$E$999,0))="","",INDEX(FI!$V$4:$V$999,MATCH($C392,FI!$E$4:$E$999,0))),
IF($E392=2,IF(INDEX(FI!$AA$4:$AA$999,MATCH($C392,FI!$E$4:$E$999,0))="","",INDEX(FI!$AA$4:$AA$999,MATCH($C392,FI!$E$4:$E$999,0))),
IF($E392=3,IF(INDEX(FI!$AF$4:$AF$999,MATCH($C392,FI!$E$4:$E$999,0))="","",INDEX(FI!$AF$4:$AF$999,MATCH($C392,FI!$E$4:$E$999,0))),
IF($E392=4,IF(INDEX(FI!$AK$4:$AK$999,MATCH($C392,FI!$E$4:$E$999,0))="","",INDEX(FI!$AK$4:$AK$999,MATCH($C392,FI!$E$4:$E$999,0))),
IF($E392=5,IF(INDEX(FI!$AP$4:$AP$999,MATCH($C392,FI!$E$4:$E$999,0))="","",INDEX(FI!$AP$4:$AP$999,MATCH($C392,FI!$E$4:$E$999,0))),"")))))))</f>
        <v/>
      </c>
      <c r="J392" s="459" t="str">
        <f>IF(ISNA(MATCH($C392,FI!$E$4:$E$999,0)),"",
IF($E392=0,IF(INDEX(FI!$R$4:$R$999,MATCH($C392,FI!$E$4:$E$999,0))="","",INDEX(FI!$R$4:$R$999,MATCH($C392,FI!$E$4:$E$999,0))),
IF($E392=1,IF(INDEX(FI!$W$4:$W$999,MATCH($C392,FI!$E$4:$E$999,0))="","",INDEX(FI!$W$4:$W$999,MATCH($C392,FI!$E$4:$E$999,0))),
IF($E392=2,IF(INDEX(FI!$AB$4:$AB$999,MATCH($C392,FI!$E$4:$E$999,0))="","",INDEX(FI!$AB$4:$AB$999,MATCH($C392,FI!$E$4:$E$999,0))),
IF($E392=3,IF(INDEX(FI!$AG$4:$AG$999,MATCH($C392,FI!$E$4:$E$999,0))="","",INDEX(FI!$AG$4:$AG$999,MATCH($C392,FI!$E$4:$E$999,0))),
IF($E392=4,IF(INDEX(FI!$AL$4:$AL$999,MATCH($C392,FI!$E$4:$E$999,0))="","",INDEX(FI!$AL$4:$AL$999,MATCH($C392,FI!$E$4:$E$999,0))),
IF($E392=5,IF(INDEX(FI!$AQ$4:$AQ$999,MATCH($C392,FI!$E$4:$E$999,0))="","",INDEX(FI!$AQ$4:$AQ$999,MATCH($C392,FI!$E$4:$E$999,0))),"")))))))</f>
        <v/>
      </c>
      <c r="K392" s="459">
        <f>FI!J43</f>
        <v>0</v>
      </c>
      <c r="L392" s="460" t="e" cm="1">
        <f t="array" aca="1" ref="L392" ca="1">_xlfn.IFS(AND($E392&lt;&gt;"",$M392="Pending",$K392="CTA"),TODAY()-$G392,AND($E392&lt;&gt;"",$M392="Pending",$K392="AUR"),TODAY()-$H392,AND($E392&lt;&gt;"",$M392="Pending",$K392="STT"),TODAY()-$I392,OR(K392="Closed",K392=""),"")</f>
        <v>#N/A</v>
      </c>
      <c r="M392" s="461" t="e">
        <f>VLOOKUP(C392,FI!$E$4:$AC$620,7,0)</f>
        <v>#N/A</v>
      </c>
      <c r="N392" s="461" t="e">
        <f t="shared" si="17"/>
        <v>#N/A</v>
      </c>
      <c r="O392" s="739">
        <f>FI!M45</f>
        <v>0</v>
      </c>
      <c r="P392" s="746"/>
    </row>
    <row r="393" spans="1:16" s="385" customFormat="1" ht="24.75" hidden="1" customHeight="1">
      <c r="A393" s="399">
        <v>43</v>
      </c>
      <c r="B393" s="455" t="s">
        <v>21</v>
      </c>
      <c r="C393" s="454" t="s">
        <v>1700</v>
      </c>
      <c r="D393" s="456" t="e">
        <f>_xlfn.XLOOKUP(C393,FI!$E$4:$E$248,FI!$D$4:$D$248)</f>
        <v>#N/A</v>
      </c>
      <c r="E393" s="488" t="e">
        <f>IF(VLOOKUP(C393,FI!$E$4:$AC$486,5,0)="","",VLOOKUP(C393,FI!$E$4:$AC$985,5,0))</f>
        <v>#N/A</v>
      </c>
      <c r="F393" s="457"/>
      <c r="G393" s="490" t="e">
        <f>IF(VLOOKUP(C393,FI!$E$4:$AC$486,3,0)="","",VLOOKUP(C393,FI!$E$4:$AC$486,3,0))</f>
        <v>#N/A</v>
      </c>
      <c r="H393" s="459" t="str">
        <f>IF(ISNA(MATCH($C393,FI!$E$4:$E$999,0)),"",
IF($E393=0,IF(INDEX(FI!$P$4:$P$999,MATCH($C393,FI!$E$4:$E$999,0))="","",INDEX(FI!$P$4:$P$999,MATCH($C393,FI!$E$4:$E$999,0))),
IF($E393=1,IF(INDEX(FI!$U$4:$U$999,MATCH($C393,FI!$E$4:$E$999,0))="","",INDEX(FI!$U$4:$U$999,MATCH($C393,FI!$E$4:$E$999,0))),
IF($E393=2,IF(INDEX(FI!$Z$4:$Z$999,MATCH($C393,FI!$E$4:$E$999,0))="","",INDEX(FI!$Z$4:$Z$999,MATCH($C393,FI!$E$4:$E$999,0))),
IF($E393=3,IF(INDEX(FI!$AE$4:$AE$999,MATCH($C393,FI!$E$4:$E$999,0))="","",INDEX(FI!$AE$4:$AE$999,MATCH($C393,FI!$E$4:$E$999,0))),
IF($E393=4,IF(INDEX(FI!$AJ$4:$AJ$999,MATCH($C393,FI!$E$4:$E$999,0))="","",INDEX(FI!$AJ$4:$AJ$999,MATCH($C393,FI!$E$4:$E$999,0))),
IF($E393=5,IF(INDEX(FI!$AO$4:$AO$999,MATCH($C393,FI!$E$4:$E$999,0))="","",INDEX(FI!$AO$4:$AO$999,MATCH($C393,FI!$E$4:$E$999,0))),"")))))))</f>
        <v/>
      </c>
      <c r="I393" s="459" t="str">
        <f>IF(ISNA(MATCH($C393,FI!$E$4:$E$999,0)),"",
IF($E393=0,IF(INDEX(FI!$Q$4:$Q$999,MATCH($C393,FI!$E$4:$E$999,0))="","",INDEX(FI!$Q$4:$Q$999,MATCH($C393,FI!$E$4:$E$999,0))),
IF($E393=1,IF(INDEX(FI!$V$4:$V$999,MATCH($C393,FI!$E$4:$E$999,0))="","",INDEX(FI!$V$4:$V$999,MATCH($C393,FI!$E$4:$E$999,0))),
IF($E393=2,IF(INDEX(FI!$AA$4:$AA$999,MATCH($C393,FI!$E$4:$E$999,0))="","",INDEX(FI!$AA$4:$AA$999,MATCH($C393,FI!$E$4:$E$999,0))),
IF($E393=3,IF(INDEX(FI!$AF$4:$AF$999,MATCH($C393,FI!$E$4:$E$999,0))="","",INDEX(FI!$AF$4:$AF$999,MATCH($C393,FI!$E$4:$E$999,0))),
IF($E393=4,IF(INDEX(FI!$AK$4:$AK$999,MATCH($C393,FI!$E$4:$E$999,0))="","",INDEX(FI!$AK$4:$AK$999,MATCH($C393,FI!$E$4:$E$999,0))),
IF($E393=5,IF(INDEX(FI!$AP$4:$AP$999,MATCH($C393,FI!$E$4:$E$999,0))="","",INDEX(FI!$AP$4:$AP$999,MATCH($C393,FI!$E$4:$E$999,0))),"")))))))</f>
        <v/>
      </c>
      <c r="J393" s="459" t="str">
        <f>IF(ISNA(MATCH($C393,FI!$E$4:$E$999,0)),"",
IF($E393=0,IF(INDEX(FI!$R$4:$R$999,MATCH($C393,FI!$E$4:$E$999,0))="","",INDEX(FI!$R$4:$R$999,MATCH($C393,FI!$E$4:$E$999,0))),
IF($E393=1,IF(INDEX(FI!$W$4:$W$999,MATCH($C393,FI!$E$4:$E$999,0))="","",INDEX(FI!$W$4:$W$999,MATCH($C393,FI!$E$4:$E$999,0))),
IF($E393=2,IF(INDEX(FI!$AB$4:$AB$999,MATCH($C393,FI!$E$4:$E$999,0))="","",INDEX(FI!$AB$4:$AB$999,MATCH($C393,FI!$E$4:$E$999,0))),
IF($E393=3,IF(INDEX(FI!$AG$4:$AG$999,MATCH($C393,FI!$E$4:$E$999,0))="","",INDEX(FI!$AG$4:$AG$999,MATCH($C393,FI!$E$4:$E$999,0))),
IF($E393=4,IF(INDEX(FI!$AL$4:$AL$999,MATCH($C393,FI!$E$4:$E$999,0))="","",INDEX(FI!$AL$4:$AL$999,MATCH($C393,FI!$E$4:$E$999,0))),
IF($E393=5,IF(INDEX(FI!$AQ$4:$AQ$999,MATCH($C393,FI!$E$4:$E$999,0))="","",INDEX(FI!$AQ$4:$AQ$999,MATCH($C393,FI!$E$4:$E$999,0))),"")))))))</f>
        <v/>
      </c>
      <c r="K393" s="459" t="e">
        <f>FI!#REF!</f>
        <v>#REF!</v>
      </c>
      <c r="L393" s="460" t="e" cm="1">
        <f t="array" aca="1" ref="L393" ca="1">_xlfn.IFS(AND($E393&lt;&gt;"",$M393="Pending",$K393="CTA"),TODAY()-$G393,AND($E393&lt;&gt;"",$M393="Pending",$K393="AUR"),TODAY()-$H393,AND($E393&lt;&gt;"",$M393="Pending",$K393="STT"),TODAY()-$I393,OR(K393="Closed",K393=""),"")</f>
        <v>#N/A</v>
      </c>
      <c r="M393" s="461" t="e">
        <f>VLOOKUP(C393,FI!$E$4:$AC$620,7,0)</f>
        <v>#N/A</v>
      </c>
      <c r="N393" s="461" t="e">
        <f t="shared" si="17"/>
        <v>#N/A</v>
      </c>
      <c r="O393" s="739">
        <f>FI!M46</f>
        <v>0</v>
      </c>
      <c r="P393" s="746"/>
    </row>
    <row r="394" spans="1:16" s="385" customFormat="1" ht="24.75" hidden="1" customHeight="1">
      <c r="A394" s="399">
        <v>44</v>
      </c>
      <c r="B394" s="455" t="s">
        <v>21</v>
      </c>
      <c r="C394" s="454" t="s">
        <v>1701</v>
      </c>
      <c r="D394" s="456" t="e">
        <f>_xlfn.XLOOKUP(C394,FI!$E$4:$E$248,FI!$D$4:$D$248)</f>
        <v>#N/A</v>
      </c>
      <c r="E394" s="488" t="e">
        <f>IF(VLOOKUP(C394,FI!$E$4:$AC$486,5,0)="","",VLOOKUP(C394,FI!$E$4:$AC$985,5,0))</f>
        <v>#N/A</v>
      </c>
      <c r="F394" s="457"/>
      <c r="G394" s="490" t="e">
        <f>IF(VLOOKUP(C394,FI!$E$4:$AC$486,3,0)="","",VLOOKUP(C394,FI!$E$4:$AC$486,3,0))</f>
        <v>#N/A</v>
      </c>
      <c r="H394" s="459" t="str">
        <f>IF(ISNA(MATCH($C394,FI!$E$4:$E$999,0)),"",
IF($E394=0,IF(INDEX(FI!$P$4:$P$999,MATCH($C394,FI!$E$4:$E$999,0))="","",INDEX(FI!$P$4:$P$999,MATCH($C394,FI!$E$4:$E$999,0))),
IF($E394=1,IF(INDEX(FI!$U$4:$U$999,MATCH($C394,FI!$E$4:$E$999,0))="","",INDEX(FI!$U$4:$U$999,MATCH($C394,FI!$E$4:$E$999,0))),
IF($E394=2,IF(INDEX(FI!$Z$4:$Z$999,MATCH($C394,FI!$E$4:$E$999,0))="","",INDEX(FI!$Z$4:$Z$999,MATCH($C394,FI!$E$4:$E$999,0))),
IF($E394=3,IF(INDEX(FI!$AE$4:$AE$999,MATCH($C394,FI!$E$4:$E$999,0))="","",INDEX(FI!$AE$4:$AE$999,MATCH($C394,FI!$E$4:$E$999,0))),
IF($E394=4,IF(INDEX(FI!$AJ$4:$AJ$999,MATCH($C394,FI!$E$4:$E$999,0))="","",INDEX(FI!$AJ$4:$AJ$999,MATCH($C394,FI!$E$4:$E$999,0))),
IF($E394=5,IF(INDEX(FI!$AO$4:$AO$999,MATCH($C394,FI!$E$4:$E$999,0))="","",INDEX(FI!$AO$4:$AO$999,MATCH($C394,FI!$E$4:$E$999,0))),"")))))))</f>
        <v/>
      </c>
      <c r="I394" s="459" t="str">
        <f>IF(ISNA(MATCH($C394,FI!$E$4:$E$999,0)),"",
IF($E394=0,IF(INDEX(FI!$Q$4:$Q$999,MATCH($C394,FI!$E$4:$E$999,0))="","",INDEX(FI!$Q$4:$Q$999,MATCH($C394,FI!$E$4:$E$999,0))),
IF($E394=1,IF(INDEX(FI!$V$4:$V$999,MATCH($C394,FI!$E$4:$E$999,0))="","",INDEX(FI!$V$4:$V$999,MATCH($C394,FI!$E$4:$E$999,0))),
IF($E394=2,IF(INDEX(FI!$AA$4:$AA$999,MATCH($C394,FI!$E$4:$E$999,0))="","",INDEX(FI!$AA$4:$AA$999,MATCH($C394,FI!$E$4:$E$999,0))),
IF($E394=3,IF(INDEX(FI!$AF$4:$AF$999,MATCH($C394,FI!$E$4:$E$999,0))="","",INDEX(FI!$AF$4:$AF$999,MATCH($C394,FI!$E$4:$E$999,0))),
IF($E394=4,IF(INDEX(FI!$AK$4:$AK$999,MATCH($C394,FI!$E$4:$E$999,0))="","",INDEX(FI!$AK$4:$AK$999,MATCH($C394,FI!$E$4:$E$999,0))),
IF($E394=5,IF(INDEX(FI!$AP$4:$AP$999,MATCH($C394,FI!$E$4:$E$999,0))="","",INDEX(FI!$AP$4:$AP$999,MATCH($C394,FI!$E$4:$E$999,0))),"")))))))</f>
        <v/>
      </c>
      <c r="J394" s="459" t="str">
        <f>IF(ISNA(MATCH($C394,FI!$E$4:$E$999,0)),"",
IF($E394=0,IF(INDEX(FI!$R$4:$R$999,MATCH($C394,FI!$E$4:$E$999,0))="","",INDEX(FI!$R$4:$R$999,MATCH($C394,FI!$E$4:$E$999,0))),
IF($E394=1,IF(INDEX(FI!$W$4:$W$999,MATCH($C394,FI!$E$4:$E$999,0))="","",INDEX(FI!$W$4:$W$999,MATCH($C394,FI!$E$4:$E$999,0))),
IF($E394=2,IF(INDEX(FI!$AB$4:$AB$999,MATCH($C394,FI!$E$4:$E$999,0))="","",INDEX(FI!$AB$4:$AB$999,MATCH($C394,FI!$E$4:$E$999,0))),
IF($E394=3,IF(INDEX(FI!$AG$4:$AG$999,MATCH($C394,FI!$E$4:$E$999,0))="","",INDEX(FI!$AG$4:$AG$999,MATCH($C394,FI!$E$4:$E$999,0))),
IF($E394=4,IF(INDEX(FI!$AL$4:$AL$999,MATCH($C394,FI!$E$4:$E$999,0))="","",INDEX(FI!$AL$4:$AL$999,MATCH($C394,FI!$E$4:$E$999,0))),
IF($E394=5,IF(INDEX(FI!$AQ$4:$AQ$999,MATCH($C394,FI!$E$4:$E$999,0))="","",INDEX(FI!$AQ$4:$AQ$999,MATCH($C394,FI!$E$4:$E$999,0))),"")))))))</f>
        <v/>
      </c>
      <c r="K394" s="459" t="e">
        <f>FI!#REF!</f>
        <v>#REF!</v>
      </c>
      <c r="L394" s="460" t="e" cm="1">
        <f t="array" aca="1" ref="L394" ca="1">_xlfn.IFS(AND($E394&lt;&gt;"",$M394="Pending",$K394="CTA"),TODAY()-$G394,AND($E394&lt;&gt;"",$M394="Pending",$K394="AUR"),TODAY()-$H394,AND($E394&lt;&gt;"",$M394="Pending",$K394="STT"),TODAY()-$I394,OR(K394="Closed",K394=""),"")</f>
        <v>#N/A</v>
      </c>
      <c r="M394" s="461" t="e">
        <f>VLOOKUP(C394,FI!$E$4:$AC$620,7,0)</f>
        <v>#N/A</v>
      </c>
      <c r="N394" s="461" t="e">
        <f t="shared" si="17"/>
        <v>#N/A</v>
      </c>
      <c r="O394" s="739">
        <f>FI!M47</f>
        <v>0</v>
      </c>
      <c r="P394" s="746"/>
    </row>
    <row r="395" spans="1:16" s="385" customFormat="1" ht="24.75" hidden="1" customHeight="1">
      <c r="A395" s="399">
        <v>45</v>
      </c>
      <c r="B395" s="455" t="s">
        <v>21</v>
      </c>
      <c r="C395" s="454" t="s">
        <v>1702</v>
      </c>
      <c r="D395" s="456" t="e">
        <f>_xlfn.XLOOKUP(C395,FI!$E$4:$E$248,FI!$D$4:$D$248)</f>
        <v>#N/A</v>
      </c>
      <c r="E395" s="488" t="e">
        <f>IF(VLOOKUP(C395,FI!$E$4:$AC$486,5,0)="","",VLOOKUP(C395,FI!$E$4:$AC$985,5,0))</f>
        <v>#N/A</v>
      </c>
      <c r="F395" s="457"/>
      <c r="G395" s="490" t="e">
        <f>IF(VLOOKUP(C395,FI!$E$4:$AC$486,3,0)="","",VLOOKUP(C395,FI!$E$4:$AC$486,3,0))</f>
        <v>#N/A</v>
      </c>
      <c r="H395" s="459" t="str">
        <f>IF(ISNA(MATCH($C395,FI!$E$4:$E$999,0)),"",
IF($E395=0,IF(INDEX(FI!$P$4:$P$999,MATCH($C395,FI!$E$4:$E$999,0))="","",INDEX(FI!$P$4:$P$999,MATCH($C395,FI!$E$4:$E$999,0))),
IF($E395=1,IF(INDEX(FI!$U$4:$U$999,MATCH($C395,FI!$E$4:$E$999,0))="","",INDEX(FI!$U$4:$U$999,MATCH($C395,FI!$E$4:$E$999,0))),
IF($E395=2,IF(INDEX(FI!$Z$4:$Z$999,MATCH($C395,FI!$E$4:$E$999,0))="","",INDEX(FI!$Z$4:$Z$999,MATCH($C395,FI!$E$4:$E$999,0))),
IF($E395=3,IF(INDEX(FI!$AE$4:$AE$999,MATCH($C395,FI!$E$4:$E$999,0))="","",INDEX(FI!$AE$4:$AE$999,MATCH($C395,FI!$E$4:$E$999,0))),
IF($E395=4,IF(INDEX(FI!$AJ$4:$AJ$999,MATCH($C395,FI!$E$4:$E$999,0))="","",INDEX(FI!$AJ$4:$AJ$999,MATCH($C395,FI!$E$4:$E$999,0))),
IF($E395=5,IF(INDEX(FI!$AO$4:$AO$999,MATCH($C395,FI!$E$4:$E$999,0))="","",INDEX(FI!$AO$4:$AO$999,MATCH($C395,FI!$E$4:$E$999,0))),"")))))))</f>
        <v/>
      </c>
      <c r="I395" s="459" t="str">
        <f>IF(ISNA(MATCH($C395,FI!$E$4:$E$999,0)),"",
IF($E395=0,IF(INDEX(FI!$Q$4:$Q$999,MATCH($C395,FI!$E$4:$E$999,0))="","",INDEX(FI!$Q$4:$Q$999,MATCH($C395,FI!$E$4:$E$999,0))),
IF($E395=1,IF(INDEX(FI!$V$4:$V$999,MATCH($C395,FI!$E$4:$E$999,0))="","",INDEX(FI!$V$4:$V$999,MATCH($C395,FI!$E$4:$E$999,0))),
IF($E395=2,IF(INDEX(FI!$AA$4:$AA$999,MATCH($C395,FI!$E$4:$E$999,0))="","",INDEX(FI!$AA$4:$AA$999,MATCH($C395,FI!$E$4:$E$999,0))),
IF($E395=3,IF(INDEX(FI!$AF$4:$AF$999,MATCH($C395,FI!$E$4:$E$999,0))="","",INDEX(FI!$AF$4:$AF$999,MATCH($C395,FI!$E$4:$E$999,0))),
IF($E395=4,IF(INDEX(FI!$AK$4:$AK$999,MATCH($C395,FI!$E$4:$E$999,0))="","",INDEX(FI!$AK$4:$AK$999,MATCH($C395,FI!$E$4:$E$999,0))),
IF($E395=5,IF(INDEX(FI!$AP$4:$AP$999,MATCH($C395,FI!$E$4:$E$999,0))="","",INDEX(FI!$AP$4:$AP$999,MATCH($C395,FI!$E$4:$E$999,0))),"")))))))</f>
        <v/>
      </c>
      <c r="J395" s="459" t="str">
        <f>IF(ISNA(MATCH($C395,FI!$E$4:$E$999,0)),"",
IF($E395=0,IF(INDEX(FI!$R$4:$R$999,MATCH($C395,FI!$E$4:$E$999,0))="","",INDEX(FI!$R$4:$R$999,MATCH($C395,FI!$E$4:$E$999,0))),
IF($E395=1,IF(INDEX(FI!$W$4:$W$999,MATCH($C395,FI!$E$4:$E$999,0))="","",INDEX(FI!$W$4:$W$999,MATCH($C395,FI!$E$4:$E$999,0))),
IF($E395=2,IF(INDEX(FI!$AB$4:$AB$999,MATCH($C395,FI!$E$4:$E$999,0))="","",INDEX(FI!$AB$4:$AB$999,MATCH($C395,FI!$E$4:$E$999,0))),
IF($E395=3,IF(INDEX(FI!$AG$4:$AG$999,MATCH($C395,FI!$E$4:$E$999,0))="","",INDEX(FI!$AG$4:$AG$999,MATCH($C395,FI!$E$4:$E$999,0))),
IF($E395=4,IF(INDEX(FI!$AL$4:$AL$999,MATCH($C395,FI!$E$4:$E$999,0))="","",INDEX(FI!$AL$4:$AL$999,MATCH($C395,FI!$E$4:$E$999,0))),
IF($E395=5,IF(INDEX(FI!$AQ$4:$AQ$999,MATCH($C395,FI!$E$4:$E$999,0))="","",INDEX(FI!$AQ$4:$AQ$999,MATCH($C395,FI!$E$4:$E$999,0))),"")))))))</f>
        <v/>
      </c>
      <c r="K395" s="459" t="e">
        <f>FI!#REF!</f>
        <v>#REF!</v>
      </c>
      <c r="L395" s="460" t="e" cm="1">
        <f t="array" aca="1" ref="L395" ca="1">_xlfn.IFS(AND($E395&lt;&gt;"",$M395="Pending",$K395="CTA"),TODAY()-$G395,AND($E395&lt;&gt;"",$M395="Pending",$K395="AUR"),TODAY()-$H395,AND($E395&lt;&gt;"",$M395="Pending",$K395="STT"),TODAY()-$I395,OR(K395="Closed",K395=""),"")</f>
        <v>#N/A</v>
      </c>
      <c r="M395" s="461" t="e">
        <f>VLOOKUP(C395,FI!$E$4:$AC$620,7,0)</f>
        <v>#N/A</v>
      </c>
      <c r="N395" s="461" t="e">
        <f t="shared" si="17"/>
        <v>#N/A</v>
      </c>
      <c r="O395" s="739">
        <f>FI!M48</f>
        <v>0</v>
      </c>
      <c r="P395" s="746"/>
    </row>
    <row r="396" spans="1:16" s="385" customFormat="1" ht="24.75" hidden="1" customHeight="1">
      <c r="A396" s="399">
        <v>46</v>
      </c>
      <c r="B396" s="455" t="s">
        <v>21</v>
      </c>
      <c r="C396" s="454" t="s">
        <v>1703</v>
      </c>
      <c r="D396" s="456" t="e">
        <f>_xlfn.XLOOKUP(C396,FI!$E$4:$E$248,FI!$D$4:$D$248)</f>
        <v>#N/A</v>
      </c>
      <c r="E396" s="488" t="e">
        <f>IF(VLOOKUP(C396,FI!$E$4:$AC$486,5,0)="","",VLOOKUP(C396,FI!$E$4:$AC$985,5,0))</f>
        <v>#N/A</v>
      </c>
      <c r="F396" s="457"/>
      <c r="G396" s="490" t="e">
        <f>IF(VLOOKUP(C396,FI!$E$4:$AC$486,3,0)="","",VLOOKUP(C396,FI!$E$4:$AC$486,3,0))</f>
        <v>#N/A</v>
      </c>
      <c r="H396" s="459" t="str">
        <f>IF(ISNA(MATCH($C396,FI!$E$4:$E$999,0)),"",
IF($E396=0,IF(INDEX(FI!$P$4:$P$999,MATCH($C396,FI!$E$4:$E$999,0))="","",INDEX(FI!$P$4:$P$999,MATCH($C396,FI!$E$4:$E$999,0))),
IF($E396=1,IF(INDEX(FI!$U$4:$U$999,MATCH($C396,FI!$E$4:$E$999,0))="","",INDEX(FI!$U$4:$U$999,MATCH($C396,FI!$E$4:$E$999,0))),
IF($E396=2,IF(INDEX(FI!$Z$4:$Z$999,MATCH($C396,FI!$E$4:$E$999,0))="","",INDEX(FI!$Z$4:$Z$999,MATCH($C396,FI!$E$4:$E$999,0))),
IF($E396=3,IF(INDEX(FI!$AE$4:$AE$999,MATCH($C396,FI!$E$4:$E$999,0))="","",INDEX(FI!$AE$4:$AE$999,MATCH($C396,FI!$E$4:$E$999,0))),
IF($E396=4,IF(INDEX(FI!$AJ$4:$AJ$999,MATCH($C396,FI!$E$4:$E$999,0))="","",INDEX(FI!$AJ$4:$AJ$999,MATCH($C396,FI!$E$4:$E$999,0))),
IF($E396=5,IF(INDEX(FI!$AO$4:$AO$999,MATCH($C396,FI!$E$4:$E$999,0))="","",INDEX(FI!$AO$4:$AO$999,MATCH($C396,FI!$E$4:$E$999,0))),"")))))))</f>
        <v/>
      </c>
      <c r="I396" s="459" t="str">
        <f>IF(ISNA(MATCH($C396,FI!$E$4:$E$999,0)),"",
IF($E396=0,IF(INDEX(FI!$Q$4:$Q$999,MATCH($C396,FI!$E$4:$E$999,0))="","",INDEX(FI!$Q$4:$Q$999,MATCH($C396,FI!$E$4:$E$999,0))),
IF($E396=1,IF(INDEX(FI!$V$4:$V$999,MATCH($C396,FI!$E$4:$E$999,0))="","",INDEX(FI!$V$4:$V$999,MATCH($C396,FI!$E$4:$E$999,0))),
IF($E396=2,IF(INDEX(FI!$AA$4:$AA$999,MATCH($C396,FI!$E$4:$E$999,0))="","",INDEX(FI!$AA$4:$AA$999,MATCH($C396,FI!$E$4:$E$999,0))),
IF($E396=3,IF(INDEX(FI!$AF$4:$AF$999,MATCH($C396,FI!$E$4:$E$999,0))="","",INDEX(FI!$AF$4:$AF$999,MATCH($C396,FI!$E$4:$E$999,0))),
IF($E396=4,IF(INDEX(FI!$AK$4:$AK$999,MATCH($C396,FI!$E$4:$E$999,0))="","",INDEX(FI!$AK$4:$AK$999,MATCH($C396,FI!$E$4:$E$999,0))),
IF($E396=5,IF(INDEX(FI!$AP$4:$AP$999,MATCH($C396,FI!$E$4:$E$999,0))="","",INDEX(FI!$AP$4:$AP$999,MATCH($C396,FI!$E$4:$E$999,0))),"")))))))</f>
        <v/>
      </c>
      <c r="J396" s="459" t="str">
        <f>IF(ISNA(MATCH($C396,FI!$E$4:$E$999,0)),"",
IF($E396=0,IF(INDEX(FI!$R$4:$R$999,MATCH($C396,FI!$E$4:$E$999,0))="","",INDEX(FI!$R$4:$R$999,MATCH($C396,FI!$E$4:$E$999,0))),
IF($E396=1,IF(INDEX(FI!$W$4:$W$999,MATCH($C396,FI!$E$4:$E$999,0))="","",INDEX(FI!$W$4:$W$999,MATCH($C396,FI!$E$4:$E$999,0))),
IF($E396=2,IF(INDEX(FI!$AB$4:$AB$999,MATCH($C396,FI!$E$4:$E$999,0))="","",INDEX(FI!$AB$4:$AB$999,MATCH($C396,FI!$E$4:$E$999,0))),
IF($E396=3,IF(INDEX(FI!$AG$4:$AG$999,MATCH($C396,FI!$E$4:$E$999,0))="","",INDEX(FI!$AG$4:$AG$999,MATCH($C396,FI!$E$4:$E$999,0))),
IF($E396=4,IF(INDEX(FI!$AL$4:$AL$999,MATCH($C396,FI!$E$4:$E$999,0))="","",INDEX(FI!$AL$4:$AL$999,MATCH($C396,FI!$E$4:$E$999,0))),
IF($E396=5,IF(INDEX(FI!$AQ$4:$AQ$999,MATCH($C396,FI!$E$4:$E$999,0))="","",INDEX(FI!$AQ$4:$AQ$999,MATCH($C396,FI!$E$4:$E$999,0))),"")))))))</f>
        <v/>
      </c>
      <c r="K396" s="459" t="e">
        <f>FI!#REF!</f>
        <v>#REF!</v>
      </c>
      <c r="L396" s="460" t="e" cm="1">
        <f t="array" aca="1" ref="L396" ca="1">_xlfn.IFS(AND($E396&lt;&gt;"",$M396="Pending",$K396="CTA"),TODAY()-$G396,AND($E396&lt;&gt;"",$M396="Pending",$K396="AUR"),TODAY()-$H396,AND($E396&lt;&gt;"",$M396="Pending",$K396="STT"),TODAY()-$I396,OR(K396="Closed",K396=""),"")</f>
        <v>#N/A</v>
      </c>
      <c r="M396" s="461" t="e">
        <f>VLOOKUP(C396,FI!$E$4:$AC$620,7,0)</f>
        <v>#N/A</v>
      </c>
      <c r="N396" s="461" t="e">
        <f t="shared" si="17"/>
        <v>#N/A</v>
      </c>
      <c r="O396" s="739">
        <f>FI!M49</f>
        <v>0</v>
      </c>
      <c r="P396" s="746"/>
    </row>
    <row r="397" spans="1:16" s="385" customFormat="1" ht="24.75" hidden="1" customHeight="1">
      <c r="A397" s="399">
        <v>47</v>
      </c>
      <c r="B397" s="455" t="s">
        <v>21</v>
      </c>
      <c r="C397" s="454" t="s">
        <v>1704</v>
      </c>
      <c r="D397" s="456" t="e">
        <f>_xlfn.XLOOKUP(C397,FI!$E$4:$E$248,FI!$D$4:$D$248)</f>
        <v>#N/A</v>
      </c>
      <c r="E397" s="488" t="e">
        <f>IF(VLOOKUP(C397,FI!$E$4:$AC$486,5,0)="","",VLOOKUP(C397,FI!$E$4:$AC$985,5,0))</f>
        <v>#N/A</v>
      </c>
      <c r="F397" s="457"/>
      <c r="G397" s="490" t="e">
        <f>IF(VLOOKUP(C397,FI!$E$4:$AC$486,3,0)="","",VLOOKUP(C397,FI!$E$4:$AC$486,3,0))</f>
        <v>#N/A</v>
      </c>
      <c r="H397" s="459" t="str">
        <f>IF(ISNA(MATCH($C397,FI!$E$4:$E$999,0)),"",
IF($E397=0,IF(INDEX(FI!$P$4:$P$999,MATCH($C397,FI!$E$4:$E$999,0))="","",INDEX(FI!$P$4:$P$999,MATCH($C397,FI!$E$4:$E$999,0))),
IF($E397=1,IF(INDEX(FI!$U$4:$U$999,MATCH($C397,FI!$E$4:$E$999,0))="","",INDEX(FI!$U$4:$U$999,MATCH($C397,FI!$E$4:$E$999,0))),
IF($E397=2,IF(INDEX(FI!$Z$4:$Z$999,MATCH($C397,FI!$E$4:$E$999,0))="","",INDEX(FI!$Z$4:$Z$999,MATCH($C397,FI!$E$4:$E$999,0))),
IF($E397=3,IF(INDEX(FI!$AE$4:$AE$999,MATCH($C397,FI!$E$4:$E$999,0))="","",INDEX(FI!$AE$4:$AE$999,MATCH($C397,FI!$E$4:$E$999,0))),
IF($E397=4,IF(INDEX(FI!$AJ$4:$AJ$999,MATCH($C397,FI!$E$4:$E$999,0))="","",INDEX(FI!$AJ$4:$AJ$999,MATCH($C397,FI!$E$4:$E$999,0))),
IF($E397=5,IF(INDEX(FI!$AO$4:$AO$999,MATCH($C397,FI!$E$4:$E$999,0))="","",INDEX(FI!$AO$4:$AO$999,MATCH($C397,FI!$E$4:$E$999,0))),"")))))))</f>
        <v/>
      </c>
      <c r="I397" s="459" t="str">
        <f>IF(ISNA(MATCH($C397,FI!$E$4:$E$999,0)),"",
IF($E397=0,IF(INDEX(FI!$Q$4:$Q$999,MATCH($C397,FI!$E$4:$E$999,0))="","",INDEX(FI!$Q$4:$Q$999,MATCH($C397,FI!$E$4:$E$999,0))),
IF($E397=1,IF(INDEX(FI!$V$4:$V$999,MATCH($C397,FI!$E$4:$E$999,0))="","",INDEX(FI!$V$4:$V$999,MATCH($C397,FI!$E$4:$E$999,0))),
IF($E397=2,IF(INDEX(FI!$AA$4:$AA$999,MATCH($C397,FI!$E$4:$E$999,0))="","",INDEX(FI!$AA$4:$AA$999,MATCH($C397,FI!$E$4:$E$999,0))),
IF($E397=3,IF(INDEX(FI!$AF$4:$AF$999,MATCH($C397,FI!$E$4:$E$999,0))="","",INDEX(FI!$AF$4:$AF$999,MATCH($C397,FI!$E$4:$E$999,0))),
IF($E397=4,IF(INDEX(FI!$AK$4:$AK$999,MATCH($C397,FI!$E$4:$E$999,0))="","",INDEX(FI!$AK$4:$AK$999,MATCH($C397,FI!$E$4:$E$999,0))),
IF($E397=5,IF(INDEX(FI!$AP$4:$AP$999,MATCH($C397,FI!$E$4:$E$999,0))="","",INDEX(FI!$AP$4:$AP$999,MATCH($C397,FI!$E$4:$E$999,0))),"")))))))</f>
        <v/>
      </c>
      <c r="J397" s="459" t="str">
        <f>IF(ISNA(MATCH($C397,FI!$E$4:$E$999,0)),"",
IF($E397=0,IF(INDEX(FI!$R$4:$R$999,MATCH($C397,FI!$E$4:$E$999,0))="","",INDEX(FI!$R$4:$R$999,MATCH($C397,FI!$E$4:$E$999,0))),
IF($E397=1,IF(INDEX(FI!$W$4:$W$999,MATCH($C397,FI!$E$4:$E$999,0))="","",INDEX(FI!$W$4:$W$999,MATCH($C397,FI!$E$4:$E$999,0))),
IF($E397=2,IF(INDEX(FI!$AB$4:$AB$999,MATCH($C397,FI!$E$4:$E$999,0))="","",INDEX(FI!$AB$4:$AB$999,MATCH($C397,FI!$E$4:$E$999,0))),
IF($E397=3,IF(INDEX(FI!$AG$4:$AG$999,MATCH($C397,FI!$E$4:$E$999,0))="","",INDEX(FI!$AG$4:$AG$999,MATCH($C397,FI!$E$4:$E$999,0))),
IF($E397=4,IF(INDEX(FI!$AL$4:$AL$999,MATCH($C397,FI!$E$4:$E$999,0))="","",INDEX(FI!$AL$4:$AL$999,MATCH($C397,FI!$E$4:$E$999,0))),
IF($E397=5,IF(INDEX(FI!$AQ$4:$AQ$999,MATCH($C397,FI!$E$4:$E$999,0))="","",INDEX(FI!$AQ$4:$AQ$999,MATCH($C397,FI!$E$4:$E$999,0))),"")))))))</f>
        <v/>
      </c>
      <c r="K397" s="459" t="e">
        <f>FI!#REF!</f>
        <v>#REF!</v>
      </c>
      <c r="L397" s="460" t="e" cm="1">
        <f t="array" aca="1" ref="L397" ca="1">_xlfn.IFS(AND($E397&lt;&gt;"",$M397="Pending",$K397="CTA"),TODAY()-$G397,AND($E397&lt;&gt;"",$M397="Pending",$K397="AUR"),TODAY()-$H397,AND($E397&lt;&gt;"",$M397="Pending",$K397="STT"),TODAY()-$I397,OR(K397="Closed",K397=""),"")</f>
        <v>#N/A</v>
      </c>
      <c r="M397" s="461" t="e">
        <f>VLOOKUP(C397,FI!$E$4:$AC$620,7,0)</f>
        <v>#N/A</v>
      </c>
      <c r="N397" s="461" t="e">
        <f t="shared" si="17"/>
        <v>#N/A</v>
      </c>
      <c r="O397" s="739">
        <f>FI!M50</f>
        <v>0</v>
      </c>
      <c r="P397" s="746"/>
    </row>
    <row r="398" spans="1:16" s="385" customFormat="1" ht="24.75" hidden="1" customHeight="1">
      <c r="A398" s="399">
        <v>48</v>
      </c>
      <c r="B398" s="455" t="s">
        <v>21</v>
      </c>
      <c r="C398" s="454" t="s">
        <v>1705</v>
      </c>
      <c r="D398" s="456" t="e">
        <f>_xlfn.XLOOKUP(C398,FI!$E$4:$E$248,FI!$D$4:$D$248)</f>
        <v>#N/A</v>
      </c>
      <c r="E398" s="488" t="e">
        <f>IF(VLOOKUP(C398,FI!$E$4:$AC$486,5,0)="","",VLOOKUP(C398,FI!$E$4:$AC$985,5,0))</f>
        <v>#N/A</v>
      </c>
      <c r="F398" s="457"/>
      <c r="G398" s="490" t="e">
        <f>IF(VLOOKUP(C398,FI!$E$4:$AC$486,3,0)="","",VLOOKUP(C398,FI!$E$4:$AC$486,3,0))</f>
        <v>#N/A</v>
      </c>
      <c r="H398" s="459" t="str">
        <f>IF(ISNA(MATCH($C398,FI!$E$4:$E$999,0)),"",
IF($E398=0,IF(INDEX(FI!$P$4:$P$999,MATCH($C398,FI!$E$4:$E$999,0))="","",INDEX(FI!$P$4:$P$999,MATCH($C398,FI!$E$4:$E$999,0))),
IF($E398=1,IF(INDEX(FI!$U$4:$U$999,MATCH($C398,FI!$E$4:$E$999,0))="","",INDEX(FI!$U$4:$U$999,MATCH($C398,FI!$E$4:$E$999,0))),
IF($E398=2,IF(INDEX(FI!$Z$4:$Z$999,MATCH($C398,FI!$E$4:$E$999,0))="","",INDEX(FI!$Z$4:$Z$999,MATCH($C398,FI!$E$4:$E$999,0))),
IF($E398=3,IF(INDEX(FI!$AE$4:$AE$999,MATCH($C398,FI!$E$4:$E$999,0))="","",INDEX(FI!$AE$4:$AE$999,MATCH($C398,FI!$E$4:$E$999,0))),
IF($E398=4,IF(INDEX(FI!$AJ$4:$AJ$999,MATCH($C398,FI!$E$4:$E$999,0))="","",INDEX(FI!$AJ$4:$AJ$999,MATCH($C398,FI!$E$4:$E$999,0))),
IF($E398=5,IF(INDEX(FI!$AO$4:$AO$999,MATCH($C398,FI!$E$4:$E$999,0))="","",INDEX(FI!$AO$4:$AO$999,MATCH($C398,FI!$E$4:$E$999,0))),"")))))))</f>
        <v/>
      </c>
      <c r="I398" s="459" t="str">
        <f>IF(ISNA(MATCH($C398,FI!$E$4:$E$999,0)),"",
IF($E398=0,IF(INDEX(FI!$Q$4:$Q$999,MATCH($C398,FI!$E$4:$E$999,0))="","",INDEX(FI!$Q$4:$Q$999,MATCH($C398,FI!$E$4:$E$999,0))),
IF($E398=1,IF(INDEX(FI!$V$4:$V$999,MATCH($C398,FI!$E$4:$E$999,0))="","",INDEX(FI!$V$4:$V$999,MATCH($C398,FI!$E$4:$E$999,0))),
IF($E398=2,IF(INDEX(FI!$AA$4:$AA$999,MATCH($C398,FI!$E$4:$E$999,0))="","",INDEX(FI!$AA$4:$AA$999,MATCH($C398,FI!$E$4:$E$999,0))),
IF($E398=3,IF(INDEX(FI!$AF$4:$AF$999,MATCH($C398,FI!$E$4:$E$999,0))="","",INDEX(FI!$AF$4:$AF$999,MATCH($C398,FI!$E$4:$E$999,0))),
IF($E398=4,IF(INDEX(FI!$AK$4:$AK$999,MATCH($C398,FI!$E$4:$E$999,0))="","",INDEX(FI!$AK$4:$AK$999,MATCH($C398,FI!$E$4:$E$999,0))),
IF($E398=5,IF(INDEX(FI!$AP$4:$AP$999,MATCH($C398,FI!$E$4:$E$999,0))="","",INDEX(FI!$AP$4:$AP$999,MATCH($C398,FI!$E$4:$E$999,0))),"")))))))</f>
        <v/>
      </c>
      <c r="J398" s="459" t="str">
        <f>IF(ISNA(MATCH($C398,FI!$E$4:$E$999,0)),"",
IF($E398=0,IF(INDEX(FI!$R$4:$R$999,MATCH($C398,FI!$E$4:$E$999,0))="","",INDEX(FI!$R$4:$R$999,MATCH($C398,FI!$E$4:$E$999,0))),
IF($E398=1,IF(INDEX(FI!$W$4:$W$999,MATCH($C398,FI!$E$4:$E$999,0))="","",INDEX(FI!$W$4:$W$999,MATCH($C398,FI!$E$4:$E$999,0))),
IF($E398=2,IF(INDEX(FI!$AB$4:$AB$999,MATCH($C398,FI!$E$4:$E$999,0))="","",INDEX(FI!$AB$4:$AB$999,MATCH($C398,FI!$E$4:$E$999,0))),
IF($E398=3,IF(INDEX(FI!$AG$4:$AG$999,MATCH($C398,FI!$E$4:$E$999,0))="","",INDEX(FI!$AG$4:$AG$999,MATCH($C398,FI!$E$4:$E$999,0))),
IF($E398=4,IF(INDEX(FI!$AL$4:$AL$999,MATCH($C398,FI!$E$4:$E$999,0))="","",INDEX(FI!$AL$4:$AL$999,MATCH($C398,FI!$E$4:$E$999,0))),
IF($E398=5,IF(INDEX(FI!$AQ$4:$AQ$999,MATCH($C398,FI!$E$4:$E$999,0))="","",INDEX(FI!$AQ$4:$AQ$999,MATCH($C398,FI!$E$4:$E$999,0))),"")))))))</f>
        <v/>
      </c>
      <c r="K398" s="459" t="e">
        <f>FI!#REF!</f>
        <v>#REF!</v>
      </c>
      <c r="L398" s="460" t="e" cm="1">
        <f t="array" aca="1" ref="L398" ca="1">_xlfn.IFS(AND($E398&lt;&gt;"",$M398="Pending",$K398="CTA"),TODAY()-$G398,AND($E398&lt;&gt;"",$M398="Pending",$K398="AUR"),TODAY()-$H398,AND($E398&lt;&gt;"",$M398="Pending",$K398="STT"),TODAY()-$I398,OR(K398="Closed",K398=""),"")</f>
        <v>#N/A</v>
      </c>
      <c r="M398" s="461" t="e">
        <f>VLOOKUP(C398,FI!$E$4:$AC$620,7,0)</f>
        <v>#N/A</v>
      </c>
      <c r="N398" s="461" t="e">
        <f t="shared" si="17"/>
        <v>#N/A</v>
      </c>
      <c r="O398" s="739">
        <f>FI!M51</f>
        <v>0</v>
      </c>
      <c r="P398" s="746"/>
    </row>
    <row r="399" spans="1:16" s="385" customFormat="1" ht="24.75" hidden="1" customHeight="1">
      <c r="A399" s="399">
        <v>49</v>
      </c>
      <c r="B399" s="455" t="s">
        <v>21</v>
      </c>
      <c r="C399" s="454" t="s">
        <v>1706</v>
      </c>
      <c r="D399" s="456" t="e">
        <f>_xlfn.XLOOKUP(C399,FI!$E$4:$E$248,FI!$D$4:$D$248)</f>
        <v>#N/A</v>
      </c>
      <c r="E399" s="488" t="e">
        <f>IF(VLOOKUP(C399,FI!$E$4:$AC$486,5,0)="","",VLOOKUP(C399,FI!$E$4:$AC$985,5,0))</f>
        <v>#N/A</v>
      </c>
      <c r="F399" s="457"/>
      <c r="G399" s="490" t="e">
        <f>IF(VLOOKUP(C399,FI!$E$4:$AC$486,3,0)="","",VLOOKUP(C399,FI!$E$4:$AC$486,3,0))</f>
        <v>#N/A</v>
      </c>
      <c r="H399" s="459" t="str">
        <f>IF(ISNA(MATCH($C399,FI!$E$4:$E$999,0)),"",
IF($E399=0,IF(INDEX(FI!$P$4:$P$999,MATCH($C399,FI!$E$4:$E$999,0))="","",INDEX(FI!$P$4:$P$999,MATCH($C399,FI!$E$4:$E$999,0))),
IF($E399=1,IF(INDEX(FI!$U$4:$U$999,MATCH($C399,FI!$E$4:$E$999,0))="","",INDEX(FI!$U$4:$U$999,MATCH($C399,FI!$E$4:$E$999,0))),
IF($E399=2,IF(INDEX(FI!$Z$4:$Z$999,MATCH($C399,FI!$E$4:$E$999,0))="","",INDEX(FI!$Z$4:$Z$999,MATCH($C399,FI!$E$4:$E$999,0))),
IF($E399=3,IF(INDEX(FI!$AE$4:$AE$999,MATCH($C399,FI!$E$4:$E$999,0))="","",INDEX(FI!$AE$4:$AE$999,MATCH($C399,FI!$E$4:$E$999,0))),
IF($E399=4,IF(INDEX(FI!$AJ$4:$AJ$999,MATCH($C399,FI!$E$4:$E$999,0))="","",INDEX(FI!$AJ$4:$AJ$999,MATCH($C399,FI!$E$4:$E$999,0))),
IF($E399=5,IF(INDEX(FI!$AO$4:$AO$999,MATCH($C399,FI!$E$4:$E$999,0))="","",INDEX(FI!$AO$4:$AO$999,MATCH($C399,FI!$E$4:$E$999,0))),"")))))))</f>
        <v/>
      </c>
      <c r="I399" s="459" t="str">
        <f>IF(ISNA(MATCH($C399,FI!$E$4:$E$999,0)),"",
IF($E399=0,IF(INDEX(FI!$Q$4:$Q$999,MATCH($C399,FI!$E$4:$E$999,0))="","",INDEX(FI!$Q$4:$Q$999,MATCH($C399,FI!$E$4:$E$999,0))),
IF($E399=1,IF(INDEX(FI!$V$4:$V$999,MATCH($C399,FI!$E$4:$E$999,0))="","",INDEX(FI!$V$4:$V$999,MATCH($C399,FI!$E$4:$E$999,0))),
IF($E399=2,IF(INDEX(FI!$AA$4:$AA$999,MATCH($C399,FI!$E$4:$E$999,0))="","",INDEX(FI!$AA$4:$AA$999,MATCH($C399,FI!$E$4:$E$999,0))),
IF($E399=3,IF(INDEX(FI!$AF$4:$AF$999,MATCH($C399,FI!$E$4:$E$999,0))="","",INDEX(FI!$AF$4:$AF$999,MATCH($C399,FI!$E$4:$E$999,0))),
IF($E399=4,IF(INDEX(FI!$AK$4:$AK$999,MATCH($C399,FI!$E$4:$E$999,0))="","",INDEX(FI!$AK$4:$AK$999,MATCH($C399,FI!$E$4:$E$999,0))),
IF($E399=5,IF(INDEX(FI!$AP$4:$AP$999,MATCH($C399,FI!$E$4:$E$999,0))="","",INDEX(FI!$AP$4:$AP$999,MATCH($C399,FI!$E$4:$E$999,0))),"")))))))</f>
        <v/>
      </c>
      <c r="J399" s="459" t="str">
        <f>IF(ISNA(MATCH($C399,FI!$E$4:$E$999,0)),"",
IF($E399=0,IF(INDEX(FI!$R$4:$R$999,MATCH($C399,FI!$E$4:$E$999,0))="","",INDEX(FI!$R$4:$R$999,MATCH($C399,FI!$E$4:$E$999,0))),
IF($E399=1,IF(INDEX(FI!$W$4:$W$999,MATCH($C399,FI!$E$4:$E$999,0))="","",INDEX(FI!$W$4:$W$999,MATCH($C399,FI!$E$4:$E$999,0))),
IF($E399=2,IF(INDEX(FI!$AB$4:$AB$999,MATCH($C399,FI!$E$4:$E$999,0))="","",INDEX(FI!$AB$4:$AB$999,MATCH($C399,FI!$E$4:$E$999,0))),
IF($E399=3,IF(INDEX(FI!$AG$4:$AG$999,MATCH($C399,FI!$E$4:$E$999,0))="","",INDEX(FI!$AG$4:$AG$999,MATCH($C399,FI!$E$4:$E$999,0))),
IF($E399=4,IF(INDEX(FI!$AL$4:$AL$999,MATCH($C399,FI!$E$4:$E$999,0))="","",INDEX(FI!$AL$4:$AL$999,MATCH($C399,FI!$E$4:$E$999,0))),
IF($E399=5,IF(INDEX(FI!$AQ$4:$AQ$999,MATCH($C399,FI!$E$4:$E$999,0))="","",INDEX(FI!$AQ$4:$AQ$999,MATCH($C399,FI!$E$4:$E$999,0))),"")))))))</f>
        <v/>
      </c>
      <c r="K399" s="459" t="e">
        <f>FI!#REF!</f>
        <v>#REF!</v>
      </c>
      <c r="L399" s="460" t="e" cm="1">
        <f t="array" aca="1" ref="L399" ca="1">_xlfn.IFS(AND($E399&lt;&gt;"",$M399="Pending",$K399="CTA"),TODAY()-$G399,AND($E399&lt;&gt;"",$M399="Pending",$K399="AUR"),TODAY()-$H399,AND($E399&lt;&gt;"",$M399="Pending",$K399="STT"),TODAY()-$I399,OR(K399="Closed",K399=""),"")</f>
        <v>#N/A</v>
      </c>
      <c r="M399" s="461" t="e">
        <f>VLOOKUP(C399,FI!$E$4:$AC$620,7,0)</f>
        <v>#N/A</v>
      </c>
      <c r="N399" s="461" t="e">
        <f t="shared" si="17"/>
        <v>#N/A</v>
      </c>
      <c r="O399" s="739">
        <f>FI!M52</f>
        <v>0</v>
      </c>
      <c r="P399" s="746"/>
    </row>
    <row r="400" spans="1:16" s="385" customFormat="1" ht="24.75" hidden="1" customHeight="1">
      <c r="A400" s="399">
        <v>50</v>
      </c>
      <c r="B400" s="455" t="s">
        <v>21</v>
      </c>
      <c r="C400" s="454" t="s">
        <v>1707</v>
      </c>
      <c r="D400" s="456" t="e">
        <f>_xlfn.XLOOKUP(C400,FI!$E$4:$E$248,FI!$D$4:$D$248)</f>
        <v>#N/A</v>
      </c>
      <c r="E400" s="488" t="e">
        <f>IF(VLOOKUP(C400,FI!$E$4:$AC$486,5,0)="","",VLOOKUP(C400,FI!$E$4:$AC$985,5,0))</f>
        <v>#N/A</v>
      </c>
      <c r="F400" s="457"/>
      <c r="G400" s="490" t="e">
        <f>IF(VLOOKUP(C400,FI!$E$4:$AC$486,3,0)="","",VLOOKUP(C400,FI!$E$4:$AC$486,3,0))</f>
        <v>#N/A</v>
      </c>
      <c r="H400" s="459" t="str">
        <f>IF(ISNA(MATCH($C400,FI!$E$4:$E$999,0)),"",
IF($E400=0,IF(INDEX(FI!$P$4:$P$999,MATCH($C400,FI!$E$4:$E$999,0))="","",INDEX(FI!$P$4:$P$999,MATCH($C400,FI!$E$4:$E$999,0))),
IF($E400=1,IF(INDEX(FI!$U$4:$U$999,MATCH($C400,FI!$E$4:$E$999,0))="","",INDEX(FI!$U$4:$U$999,MATCH($C400,FI!$E$4:$E$999,0))),
IF($E400=2,IF(INDEX(FI!$Z$4:$Z$999,MATCH($C400,FI!$E$4:$E$999,0))="","",INDEX(FI!$Z$4:$Z$999,MATCH($C400,FI!$E$4:$E$999,0))),
IF($E400=3,IF(INDEX(FI!$AE$4:$AE$999,MATCH($C400,FI!$E$4:$E$999,0))="","",INDEX(FI!$AE$4:$AE$999,MATCH($C400,FI!$E$4:$E$999,0))),
IF($E400=4,IF(INDEX(FI!$AJ$4:$AJ$999,MATCH($C400,FI!$E$4:$E$999,0))="","",INDEX(FI!$AJ$4:$AJ$999,MATCH($C400,FI!$E$4:$E$999,0))),
IF($E400=5,IF(INDEX(FI!$AO$4:$AO$999,MATCH($C400,FI!$E$4:$E$999,0))="","",INDEX(FI!$AO$4:$AO$999,MATCH($C400,FI!$E$4:$E$999,0))),"")))))))</f>
        <v/>
      </c>
      <c r="I400" s="459" t="str">
        <f>IF(ISNA(MATCH($C400,FI!$E$4:$E$999,0)),"",
IF($E400=0,IF(INDEX(FI!$Q$4:$Q$999,MATCH($C400,FI!$E$4:$E$999,0))="","",INDEX(FI!$Q$4:$Q$999,MATCH($C400,FI!$E$4:$E$999,0))),
IF($E400=1,IF(INDEX(FI!$V$4:$V$999,MATCH($C400,FI!$E$4:$E$999,0))="","",INDEX(FI!$V$4:$V$999,MATCH($C400,FI!$E$4:$E$999,0))),
IF($E400=2,IF(INDEX(FI!$AA$4:$AA$999,MATCH($C400,FI!$E$4:$E$999,0))="","",INDEX(FI!$AA$4:$AA$999,MATCH($C400,FI!$E$4:$E$999,0))),
IF($E400=3,IF(INDEX(FI!$AF$4:$AF$999,MATCH($C400,FI!$E$4:$E$999,0))="","",INDEX(FI!$AF$4:$AF$999,MATCH($C400,FI!$E$4:$E$999,0))),
IF($E400=4,IF(INDEX(FI!$AK$4:$AK$999,MATCH($C400,FI!$E$4:$E$999,0))="","",INDEX(FI!$AK$4:$AK$999,MATCH($C400,FI!$E$4:$E$999,0))),
IF($E400=5,IF(INDEX(FI!$AP$4:$AP$999,MATCH($C400,FI!$E$4:$E$999,0))="","",INDEX(FI!$AP$4:$AP$999,MATCH($C400,FI!$E$4:$E$999,0))),"")))))))</f>
        <v/>
      </c>
      <c r="J400" s="459" t="str">
        <f>IF(ISNA(MATCH($C400,FI!$E$4:$E$999,0)),"",
IF($E400=0,IF(INDEX(FI!$R$4:$R$999,MATCH($C400,FI!$E$4:$E$999,0))="","",INDEX(FI!$R$4:$R$999,MATCH($C400,FI!$E$4:$E$999,0))),
IF($E400=1,IF(INDEX(FI!$W$4:$W$999,MATCH($C400,FI!$E$4:$E$999,0))="","",INDEX(FI!$W$4:$W$999,MATCH($C400,FI!$E$4:$E$999,0))),
IF($E400=2,IF(INDEX(FI!$AB$4:$AB$999,MATCH($C400,FI!$E$4:$E$999,0))="","",INDEX(FI!$AB$4:$AB$999,MATCH($C400,FI!$E$4:$E$999,0))),
IF($E400=3,IF(INDEX(FI!$AG$4:$AG$999,MATCH($C400,FI!$E$4:$E$999,0))="","",INDEX(FI!$AG$4:$AG$999,MATCH($C400,FI!$E$4:$E$999,0))),
IF($E400=4,IF(INDEX(FI!$AL$4:$AL$999,MATCH($C400,FI!$E$4:$E$999,0))="","",INDEX(FI!$AL$4:$AL$999,MATCH($C400,FI!$E$4:$E$999,0))),
IF($E400=5,IF(INDEX(FI!$AQ$4:$AQ$999,MATCH($C400,FI!$E$4:$E$999,0))="","",INDEX(FI!$AQ$4:$AQ$999,MATCH($C400,FI!$E$4:$E$999,0))),"")))))))</f>
        <v/>
      </c>
      <c r="K400" s="459" t="e">
        <f>FI!#REF!</f>
        <v>#REF!</v>
      </c>
      <c r="L400" s="460" t="e" cm="1">
        <f t="array" aca="1" ref="L400" ca="1">_xlfn.IFS(AND($E400&lt;&gt;"",$M400="Pending",$K400="CTA"),TODAY()-$G400,AND($E400&lt;&gt;"",$M400="Pending",$K400="AUR"),TODAY()-$H400,AND($E400&lt;&gt;"",$M400="Pending",$K400="STT"),TODAY()-$I400,OR(K400="Closed",K400=""),"")</f>
        <v>#N/A</v>
      </c>
      <c r="M400" s="461" t="e">
        <f>VLOOKUP(C400,FI!$E$4:$AC$620,7,0)</f>
        <v>#N/A</v>
      </c>
      <c r="N400" s="461" t="e">
        <f t="shared" si="17"/>
        <v>#N/A</v>
      </c>
      <c r="O400" s="739">
        <f>FI!M53</f>
        <v>0</v>
      </c>
      <c r="P400" s="746"/>
    </row>
    <row r="401" spans="1:16" s="385" customFormat="1" ht="24.75" hidden="1" customHeight="1">
      <c r="A401" s="399">
        <v>51</v>
      </c>
      <c r="B401" s="455" t="s">
        <v>21</v>
      </c>
      <c r="C401" s="454" t="s">
        <v>1708</v>
      </c>
      <c r="D401" s="456" t="e">
        <f>_xlfn.XLOOKUP(C401,FI!$E$4:$E$248,FI!$D$4:$D$248)</f>
        <v>#N/A</v>
      </c>
      <c r="E401" s="488" t="e">
        <f>IF(VLOOKUP(C401,FI!$E$4:$AC$486,5,0)="","",VLOOKUP(C401,FI!$E$4:$AC$985,5,0))</f>
        <v>#N/A</v>
      </c>
      <c r="F401" s="457"/>
      <c r="G401" s="490" t="e">
        <f>IF(VLOOKUP(C401,FI!$E$4:$AC$486,3,0)="","",VLOOKUP(C401,FI!$E$4:$AC$486,3,0))</f>
        <v>#N/A</v>
      </c>
      <c r="H401" s="459" t="str">
        <f>IF(ISNA(MATCH($C401,FI!$E$4:$E$999,0)),"",
IF($E401=0,IF(INDEX(FI!$P$4:$P$999,MATCH($C401,FI!$E$4:$E$999,0))="","",INDEX(FI!$P$4:$P$999,MATCH($C401,FI!$E$4:$E$999,0))),
IF($E401=1,IF(INDEX(FI!$U$4:$U$999,MATCH($C401,FI!$E$4:$E$999,0))="","",INDEX(FI!$U$4:$U$999,MATCH($C401,FI!$E$4:$E$999,0))),
IF($E401=2,IF(INDEX(FI!$Z$4:$Z$999,MATCH($C401,FI!$E$4:$E$999,0))="","",INDEX(FI!$Z$4:$Z$999,MATCH($C401,FI!$E$4:$E$999,0))),
IF($E401=3,IF(INDEX(FI!$AE$4:$AE$999,MATCH($C401,FI!$E$4:$E$999,0))="","",INDEX(FI!$AE$4:$AE$999,MATCH($C401,FI!$E$4:$E$999,0))),
IF($E401=4,IF(INDEX(FI!$AJ$4:$AJ$999,MATCH($C401,FI!$E$4:$E$999,0))="","",INDEX(FI!$AJ$4:$AJ$999,MATCH($C401,FI!$E$4:$E$999,0))),
IF($E401=5,IF(INDEX(FI!$AO$4:$AO$999,MATCH($C401,FI!$E$4:$E$999,0))="","",INDEX(FI!$AO$4:$AO$999,MATCH($C401,FI!$E$4:$E$999,0))),"")))))))</f>
        <v/>
      </c>
      <c r="I401" s="459" t="str">
        <f>IF(ISNA(MATCH($C401,FI!$E$4:$E$999,0)),"",
IF($E401=0,IF(INDEX(FI!$Q$4:$Q$999,MATCH($C401,FI!$E$4:$E$999,0))="","",INDEX(FI!$Q$4:$Q$999,MATCH($C401,FI!$E$4:$E$999,0))),
IF($E401=1,IF(INDEX(FI!$V$4:$V$999,MATCH($C401,FI!$E$4:$E$999,0))="","",INDEX(FI!$V$4:$V$999,MATCH($C401,FI!$E$4:$E$999,0))),
IF($E401=2,IF(INDEX(FI!$AA$4:$AA$999,MATCH($C401,FI!$E$4:$E$999,0))="","",INDEX(FI!$AA$4:$AA$999,MATCH($C401,FI!$E$4:$E$999,0))),
IF($E401=3,IF(INDEX(FI!$AF$4:$AF$999,MATCH($C401,FI!$E$4:$E$999,0))="","",INDEX(FI!$AF$4:$AF$999,MATCH($C401,FI!$E$4:$E$999,0))),
IF($E401=4,IF(INDEX(FI!$AK$4:$AK$999,MATCH($C401,FI!$E$4:$E$999,0))="","",INDEX(FI!$AK$4:$AK$999,MATCH($C401,FI!$E$4:$E$999,0))),
IF($E401=5,IF(INDEX(FI!$AP$4:$AP$999,MATCH($C401,FI!$E$4:$E$999,0))="","",INDEX(FI!$AP$4:$AP$999,MATCH($C401,FI!$E$4:$E$999,0))),"")))))))</f>
        <v/>
      </c>
      <c r="J401" s="459" t="str">
        <f>IF(ISNA(MATCH($C401,FI!$E$4:$E$999,0)),"",
IF($E401=0,IF(INDEX(FI!$R$4:$R$999,MATCH($C401,FI!$E$4:$E$999,0))="","",INDEX(FI!$R$4:$R$999,MATCH($C401,FI!$E$4:$E$999,0))),
IF($E401=1,IF(INDEX(FI!$W$4:$W$999,MATCH($C401,FI!$E$4:$E$999,0))="","",INDEX(FI!$W$4:$W$999,MATCH($C401,FI!$E$4:$E$999,0))),
IF($E401=2,IF(INDEX(FI!$AB$4:$AB$999,MATCH($C401,FI!$E$4:$E$999,0))="","",INDEX(FI!$AB$4:$AB$999,MATCH($C401,FI!$E$4:$E$999,0))),
IF($E401=3,IF(INDEX(FI!$AG$4:$AG$999,MATCH($C401,FI!$E$4:$E$999,0))="","",INDEX(FI!$AG$4:$AG$999,MATCH($C401,FI!$E$4:$E$999,0))),
IF($E401=4,IF(INDEX(FI!$AL$4:$AL$999,MATCH($C401,FI!$E$4:$E$999,0))="","",INDEX(FI!$AL$4:$AL$999,MATCH($C401,FI!$E$4:$E$999,0))),
IF($E401=5,IF(INDEX(FI!$AQ$4:$AQ$999,MATCH($C401,FI!$E$4:$E$999,0))="","",INDEX(FI!$AQ$4:$AQ$999,MATCH($C401,FI!$E$4:$E$999,0))),"")))))))</f>
        <v/>
      </c>
      <c r="K401" s="459" t="e">
        <f>FI!#REF!</f>
        <v>#REF!</v>
      </c>
      <c r="L401" s="460" t="e" cm="1">
        <f t="array" aca="1" ref="L401" ca="1">_xlfn.IFS(AND($E401&lt;&gt;"",$M401="Pending",$K401="CTA"),TODAY()-$G401,AND($E401&lt;&gt;"",$M401="Pending",$K401="AUR"),TODAY()-$H401,AND($E401&lt;&gt;"",$M401="Pending",$K401="STT"),TODAY()-$I401,OR(K401="Closed",K401=""),"")</f>
        <v>#N/A</v>
      </c>
      <c r="M401" s="461" t="e">
        <f>VLOOKUP(C401,FI!$E$4:$AC$620,7,0)</f>
        <v>#N/A</v>
      </c>
      <c r="N401" s="461" t="e">
        <f t="shared" si="17"/>
        <v>#N/A</v>
      </c>
      <c r="O401" s="739">
        <f>FI!M54</f>
        <v>0</v>
      </c>
      <c r="P401" s="746"/>
    </row>
    <row r="402" spans="1:16" s="385" customFormat="1" ht="24.75" hidden="1" customHeight="1">
      <c r="A402" s="399">
        <v>52</v>
      </c>
      <c r="B402" s="455" t="s">
        <v>21</v>
      </c>
      <c r="C402" s="454" t="s">
        <v>1709</v>
      </c>
      <c r="D402" s="456" t="e">
        <f>_xlfn.XLOOKUP(C402,FI!$E$4:$E$248,FI!$D$4:$D$248)</f>
        <v>#N/A</v>
      </c>
      <c r="E402" s="488" t="e">
        <f>IF(VLOOKUP(C402,FI!$E$4:$AC$486,5,0)="","",VLOOKUP(C402,FI!$E$4:$AC$985,5,0))</f>
        <v>#N/A</v>
      </c>
      <c r="F402" s="457"/>
      <c r="G402" s="490" t="e">
        <f>IF(VLOOKUP(C402,FI!$E$4:$AC$486,3,0)="","",VLOOKUP(C402,FI!$E$4:$AC$486,3,0))</f>
        <v>#N/A</v>
      </c>
      <c r="H402" s="459" t="str">
        <f>IF(ISNA(MATCH($C402,FI!$E$4:$E$999,0)),"",
IF($E402=0,IF(INDEX(FI!$P$4:$P$999,MATCH($C402,FI!$E$4:$E$999,0))="","",INDEX(FI!$P$4:$P$999,MATCH($C402,FI!$E$4:$E$999,0))),
IF($E402=1,IF(INDEX(FI!$U$4:$U$999,MATCH($C402,FI!$E$4:$E$999,0))="","",INDEX(FI!$U$4:$U$999,MATCH($C402,FI!$E$4:$E$999,0))),
IF($E402=2,IF(INDEX(FI!$Z$4:$Z$999,MATCH($C402,FI!$E$4:$E$999,0))="","",INDEX(FI!$Z$4:$Z$999,MATCH($C402,FI!$E$4:$E$999,0))),
IF($E402=3,IF(INDEX(FI!$AE$4:$AE$999,MATCH($C402,FI!$E$4:$E$999,0))="","",INDEX(FI!$AE$4:$AE$999,MATCH($C402,FI!$E$4:$E$999,0))),
IF($E402=4,IF(INDEX(FI!$AJ$4:$AJ$999,MATCH($C402,FI!$E$4:$E$999,0))="","",INDEX(FI!$AJ$4:$AJ$999,MATCH($C402,FI!$E$4:$E$999,0))),
IF($E402=5,IF(INDEX(FI!$AO$4:$AO$999,MATCH($C402,FI!$E$4:$E$999,0))="","",INDEX(FI!$AO$4:$AO$999,MATCH($C402,FI!$E$4:$E$999,0))),"")))))))</f>
        <v/>
      </c>
      <c r="I402" s="459" t="str">
        <f>IF(ISNA(MATCH($C402,FI!$E$4:$E$999,0)),"",
IF($E402=0,IF(INDEX(FI!$Q$4:$Q$999,MATCH($C402,FI!$E$4:$E$999,0))="","",INDEX(FI!$Q$4:$Q$999,MATCH($C402,FI!$E$4:$E$999,0))),
IF($E402=1,IF(INDEX(FI!$V$4:$V$999,MATCH($C402,FI!$E$4:$E$999,0))="","",INDEX(FI!$V$4:$V$999,MATCH($C402,FI!$E$4:$E$999,0))),
IF($E402=2,IF(INDEX(FI!$AA$4:$AA$999,MATCH($C402,FI!$E$4:$E$999,0))="","",INDEX(FI!$AA$4:$AA$999,MATCH($C402,FI!$E$4:$E$999,0))),
IF($E402=3,IF(INDEX(FI!$AF$4:$AF$999,MATCH($C402,FI!$E$4:$E$999,0))="","",INDEX(FI!$AF$4:$AF$999,MATCH($C402,FI!$E$4:$E$999,0))),
IF($E402=4,IF(INDEX(FI!$AK$4:$AK$999,MATCH($C402,FI!$E$4:$E$999,0))="","",INDEX(FI!$AK$4:$AK$999,MATCH($C402,FI!$E$4:$E$999,0))),
IF($E402=5,IF(INDEX(FI!$AP$4:$AP$999,MATCH($C402,FI!$E$4:$E$999,0))="","",INDEX(FI!$AP$4:$AP$999,MATCH($C402,FI!$E$4:$E$999,0))),"")))))))</f>
        <v/>
      </c>
      <c r="J402" s="459" t="str">
        <f>IF(ISNA(MATCH($C402,FI!$E$4:$E$999,0)),"",
IF($E402=0,IF(INDEX(FI!$R$4:$R$999,MATCH($C402,FI!$E$4:$E$999,0))="","",INDEX(FI!$R$4:$R$999,MATCH($C402,FI!$E$4:$E$999,0))),
IF($E402=1,IF(INDEX(FI!$W$4:$W$999,MATCH($C402,FI!$E$4:$E$999,0))="","",INDEX(FI!$W$4:$W$999,MATCH($C402,FI!$E$4:$E$999,0))),
IF($E402=2,IF(INDEX(FI!$AB$4:$AB$999,MATCH($C402,FI!$E$4:$E$999,0))="","",INDEX(FI!$AB$4:$AB$999,MATCH($C402,FI!$E$4:$E$999,0))),
IF($E402=3,IF(INDEX(FI!$AG$4:$AG$999,MATCH($C402,FI!$E$4:$E$999,0))="","",INDEX(FI!$AG$4:$AG$999,MATCH($C402,FI!$E$4:$E$999,0))),
IF($E402=4,IF(INDEX(FI!$AL$4:$AL$999,MATCH($C402,FI!$E$4:$E$999,0))="","",INDEX(FI!$AL$4:$AL$999,MATCH($C402,FI!$E$4:$E$999,0))),
IF($E402=5,IF(INDEX(FI!$AQ$4:$AQ$999,MATCH($C402,FI!$E$4:$E$999,0))="","",INDEX(FI!$AQ$4:$AQ$999,MATCH($C402,FI!$E$4:$E$999,0))),"")))))))</f>
        <v/>
      </c>
      <c r="K402" s="459" t="e">
        <f>FI!#REF!</f>
        <v>#REF!</v>
      </c>
      <c r="L402" s="460" t="e" cm="1">
        <f t="array" aca="1" ref="L402" ca="1">_xlfn.IFS(AND($E402&lt;&gt;"",$M402="Pending",$K402="CTA"),TODAY()-$G402,AND($E402&lt;&gt;"",$M402="Pending",$K402="AUR"),TODAY()-$H402,AND($E402&lt;&gt;"",$M402="Pending",$K402="STT"),TODAY()-$I402,OR(K402="Closed",K402=""),"")</f>
        <v>#N/A</v>
      </c>
      <c r="M402" s="461" t="e">
        <f>VLOOKUP(C402,FI!$E$4:$AC$620,7,0)</f>
        <v>#N/A</v>
      </c>
      <c r="N402" s="461" t="e">
        <f t="shared" si="17"/>
        <v>#N/A</v>
      </c>
      <c r="O402" s="739">
        <f>FI!M55</f>
        <v>0</v>
      </c>
      <c r="P402" s="746"/>
    </row>
    <row r="403" spans="1:16" s="385" customFormat="1" ht="24.75" hidden="1" customHeight="1">
      <c r="A403" s="399">
        <v>53</v>
      </c>
      <c r="B403" s="455" t="s">
        <v>21</v>
      </c>
      <c r="C403" s="454"/>
      <c r="D403" s="492"/>
      <c r="E403" s="488"/>
      <c r="F403" s="457"/>
      <c r="G403" s="490" t="e">
        <f>IF(VLOOKUP(C403,FI!$E$4:$AC$486,3,0)="","",VLOOKUP(C403,FI!$E$4:$AC$486,3,0))</f>
        <v>#N/A</v>
      </c>
      <c r="H403" s="459" t="str">
        <f>IF(ISNA(MATCH($C403,FI!$E$4:$E$999,0)),"",
IF($E403=0,IF(INDEX(FI!$P$4:$P$999,MATCH($C403,FI!$E$4:$E$999,0))="","",INDEX(FI!$P$4:$P$999,MATCH($C403,FI!$E$4:$E$999,0))),
IF($E403=1,IF(INDEX(FI!$U$4:$U$999,MATCH($C403,FI!$E$4:$E$999,0))="","",INDEX(FI!$U$4:$U$999,MATCH($C403,FI!$E$4:$E$999,0))),
IF($E403=2,IF(INDEX(FI!$Z$4:$Z$999,MATCH($C403,FI!$E$4:$E$999,0))="","",INDEX(FI!$Z$4:$Z$999,MATCH($C403,FI!$E$4:$E$999,0))),
IF($E403=3,IF(INDEX(FI!$AE$4:$AE$999,MATCH($C403,FI!$E$4:$E$999,0))="","",INDEX(FI!$AE$4:$AE$999,MATCH($C403,FI!$E$4:$E$999,0))),
IF($E403=4,IF(INDEX(FI!$AJ$4:$AJ$999,MATCH($C403,FI!$E$4:$E$999,0))="","",INDEX(FI!$AJ$4:$AJ$999,MATCH($C403,FI!$E$4:$E$999,0))),
IF($E403=5,IF(INDEX(FI!$AO$4:$AO$999,MATCH($C403,FI!$E$4:$E$999,0))="","",INDEX(FI!$AO$4:$AO$999,MATCH($C403,FI!$E$4:$E$999,0))),"")))))))</f>
        <v/>
      </c>
      <c r="I403" s="459" t="str">
        <f>IF(ISNA(MATCH($C403,FI!$E$4:$E$999,0)),"",
IF($E403=0,IF(INDEX(FI!$Q$4:$Q$999,MATCH($C403,FI!$E$4:$E$999,0))="","",INDEX(FI!$Q$4:$Q$999,MATCH($C403,FI!$E$4:$E$999,0))),
IF($E403=1,IF(INDEX(FI!$V$4:$V$999,MATCH($C403,FI!$E$4:$E$999,0))="","",INDEX(FI!$V$4:$V$999,MATCH($C403,FI!$E$4:$E$999,0))),
IF($E403=2,IF(INDEX(FI!$AA$4:$AA$999,MATCH($C403,FI!$E$4:$E$999,0))="","",INDEX(FI!$AA$4:$AA$999,MATCH($C403,FI!$E$4:$E$999,0))),
IF($E403=3,IF(INDEX(FI!$AF$4:$AF$999,MATCH($C403,FI!$E$4:$E$999,0))="","",INDEX(FI!$AF$4:$AF$999,MATCH($C403,FI!$E$4:$E$999,0))),
IF($E403=4,IF(INDEX(FI!$AK$4:$AK$999,MATCH($C403,FI!$E$4:$E$999,0))="","",INDEX(FI!$AK$4:$AK$999,MATCH($C403,FI!$E$4:$E$999,0))),
IF($E403=5,IF(INDEX(FI!$AP$4:$AP$999,MATCH($C403,FI!$E$4:$E$999,0))="","",INDEX(FI!$AP$4:$AP$999,MATCH($C403,FI!$E$4:$E$999,0))),"")))))))</f>
        <v/>
      </c>
      <c r="J403" s="459" t="str">
        <f>IF(ISNA(MATCH($C403,FI!$E$4:$E$999,0)),"",
IF($E403=0,IF(INDEX(FI!$R$4:$R$999,MATCH($C403,FI!$E$4:$E$999,0))="","",INDEX(FI!$R$4:$R$999,MATCH($C403,FI!$E$4:$E$999,0))),
IF($E403=1,IF(INDEX(FI!$W$4:$W$999,MATCH($C403,FI!$E$4:$E$999,0))="","",INDEX(FI!$W$4:$W$999,MATCH($C403,FI!$E$4:$E$999,0))),
IF($E403=2,IF(INDEX(FI!$AB$4:$AB$999,MATCH($C403,FI!$E$4:$E$999,0))="","",INDEX(FI!$AB$4:$AB$999,MATCH($C403,FI!$E$4:$E$999,0))),
IF($E403=3,IF(INDEX(FI!$AG$4:$AG$999,MATCH($C403,FI!$E$4:$E$999,0))="","",INDEX(FI!$AG$4:$AG$999,MATCH($C403,FI!$E$4:$E$999,0))),
IF($E403=4,IF(INDEX(FI!$AL$4:$AL$999,MATCH($C403,FI!$E$4:$E$999,0))="","",INDEX(FI!$AL$4:$AL$999,MATCH($C403,FI!$E$4:$E$999,0))),
IF($E403=5,IF(INDEX(FI!$AQ$4:$AQ$999,MATCH($C403,FI!$E$4:$E$999,0))="","",INDEX(FI!$AQ$4:$AQ$999,MATCH($C403,FI!$E$4:$E$999,0))),"")))))))</f>
        <v/>
      </c>
      <c r="K403" s="459">
        <f>FI!J44</f>
        <v>0</v>
      </c>
      <c r="L403" s="460" t="e" cm="1">
        <f t="array" aca="1" ref="L403" ca="1">_xlfn.IFS(AND($E403&lt;&gt;"",$M403="Pending",$K403="CTA"),TODAY()-$G403,AND($E403&lt;&gt;"",$M403="Pending",$K403="AUR"),TODAY()-$H403,AND($E403&lt;&gt;"",$M403="Pending",$K403="STT"),TODAY()-$I403,OR(K403="Closed",K403=""),"")</f>
        <v>#N/A</v>
      </c>
      <c r="M403" s="461" t="e">
        <f>VLOOKUP(C403,FI!$E$4:$AC$620,7,0)</f>
        <v>#N/A</v>
      </c>
      <c r="N403" s="461" t="e">
        <f t="shared" si="17"/>
        <v>#N/A</v>
      </c>
      <c r="O403" s="739">
        <f>FI!M56</f>
        <v>0</v>
      </c>
      <c r="P403" s="746"/>
    </row>
    <row r="404" spans="1:16" s="385" customFormat="1" ht="24.75" hidden="1" customHeight="1">
      <c r="A404" s="399">
        <v>54</v>
      </c>
      <c r="B404" s="455" t="s">
        <v>21</v>
      </c>
      <c r="C404" s="454"/>
      <c r="D404" s="492"/>
      <c r="E404" s="488"/>
      <c r="F404" s="457"/>
      <c r="G404" s="490" t="e">
        <f>IF(VLOOKUP(C404,FI!$E$4:$AC$486,3,0)="","",VLOOKUP(C404,FI!$E$4:$AC$486,3,0))</f>
        <v>#N/A</v>
      </c>
      <c r="H404" s="459" t="str">
        <f>IF(ISNA(MATCH($C404,FI!$E$4:$E$999,0)),"",
IF($E404=0,IF(INDEX(FI!$P$4:$P$999,MATCH($C404,FI!$E$4:$E$999,0))="","",INDEX(FI!$P$4:$P$999,MATCH($C404,FI!$E$4:$E$999,0))),
IF($E404=1,IF(INDEX(FI!$U$4:$U$999,MATCH($C404,FI!$E$4:$E$999,0))="","",INDEX(FI!$U$4:$U$999,MATCH($C404,FI!$E$4:$E$999,0))),
IF($E404=2,IF(INDEX(FI!$Z$4:$Z$999,MATCH($C404,FI!$E$4:$E$999,0))="","",INDEX(FI!$Z$4:$Z$999,MATCH($C404,FI!$E$4:$E$999,0))),
IF($E404=3,IF(INDEX(FI!$AE$4:$AE$999,MATCH($C404,FI!$E$4:$E$999,0))="","",INDEX(FI!$AE$4:$AE$999,MATCH($C404,FI!$E$4:$E$999,0))),
IF($E404=4,IF(INDEX(FI!$AJ$4:$AJ$999,MATCH($C404,FI!$E$4:$E$999,0))="","",INDEX(FI!$AJ$4:$AJ$999,MATCH($C404,FI!$E$4:$E$999,0))),
IF($E404=5,IF(INDEX(FI!$AO$4:$AO$999,MATCH($C404,FI!$E$4:$E$999,0))="","",INDEX(FI!$AO$4:$AO$999,MATCH($C404,FI!$E$4:$E$999,0))),"")))))))</f>
        <v/>
      </c>
      <c r="I404" s="459" t="str">
        <f>IF(ISNA(MATCH($C404,FI!$E$4:$E$999,0)),"",
IF($E404=0,IF(INDEX(FI!$Q$4:$Q$999,MATCH($C404,FI!$E$4:$E$999,0))="","",INDEX(FI!$Q$4:$Q$999,MATCH($C404,FI!$E$4:$E$999,0))),
IF($E404=1,IF(INDEX(FI!$V$4:$V$999,MATCH($C404,FI!$E$4:$E$999,0))="","",INDEX(FI!$V$4:$V$999,MATCH($C404,FI!$E$4:$E$999,0))),
IF($E404=2,IF(INDEX(FI!$AA$4:$AA$999,MATCH($C404,FI!$E$4:$E$999,0))="","",INDEX(FI!$AA$4:$AA$999,MATCH($C404,FI!$E$4:$E$999,0))),
IF($E404=3,IF(INDEX(FI!$AF$4:$AF$999,MATCH($C404,FI!$E$4:$E$999,0))="","",INDEX(FI!$AF$4:$AF$999,MATCH($C404,FI!$E$4:$E$999,0))),
IF($E404=4,IF(INDEX(FI!$AK$4:$AK$999,MATCH($C404,FI!$E$4:$E$999,0))="","",INDEX(FI!$AK$4:$AK$999,MATCH($C404,FI!$E$4:$E$999,0))),
IF($E404=5,IF(INDEX(FI!$AP$4:$AP$999,MATCH($C404,FI!$E$4:$E$999,0))="","",INDEX(FI!$AP$4:$AP$999,MATCH($C404,FI!$E$4:$E$999,0))),"")))))))</f>
        <v/>
      </c>
      <c r="J404" s="459" t="str">
        <f>IF(ISNA(MATCH($C404,FI!$E$4:$E$999,0)),"",
IF($E404=0,IF(INDEX(FI!$R$4:$R$999,MATCH($C404,FI!$E$4:$E$999,0))="","",INDEX(FI!$R$4:$R$999,MATCH($C404,FI!$E$4:$E$999,0))),
IF($E404=1,IF(INDEX(FI!$W$4:$W$999,MATCH($C404,FI!$E$4:$E$999,0))="","",INDEX(FI!$W$4:$W$999,MATCH($C404,FI!$E$4:$E$999,0))),
IF($E404=2,IF(INDEX(FI!$AB$4:$AB$999,MATCH($C404,FI!$E$4:$E$999,0))="","",INDEX(FI!$AB$4:$AB$999,MATCH($C404,FI!$E$4:$E$999,0))),
IF($E404=3,IF(INDEX(FI!$AG$4:$AG$999,MATCH($C404,FI!$E$4:$E$999,0))="","",INDEX(FI!$AG$4:$AG$999,MATCH($C404,FI!$E$4:$E$999,0))),
IF($E404=4,IF(INDEX(FI!$AL$4:$AL$999,MATCH($C404,FI!$E$4:$E$999,0))="","",INDEX(FI!$AL$4:$AL$999,MATCH($C404,FI!$E$4:$E$999,0))),
IF($E404=5,IF(INDEX(FI!$AQ$4:$AQ$999,MATCH($C404,FI!$E$4:$E$999,0))="","",INDEX(FI!$AQ$4:$AQ$999,MATCH($C404,FI!$E$4:$E$999,0))),"")))))))</f>
        <v/>
      </c>
      <c r="K404" s="459">
        <f>FI!J45</f>
        <v>0</v>
      </c>
      <c r="L404" s="460" t="e" cm="1">
        <f t="array" aca="1" ref="L404" ca="1">_xlfn.IFS(AND($E404&lt;&gt;"",$M404="Pending",$K404="CTA"),TODAY()-$G404,AND($E404&lt;&gt;"",$M404="Pending",$K404="AUR"),TODAY()-$H404,AND($E404&lt;&gt;"",$M404="Pending",$K404="STT"),TODAY()-$I404,OR(K404="Closed",K404=""),"")</f>
        <v>#N/A</v>
      </c>
      <c r="M404" s="461" t="e">
        <f>VLOOKUP(C404,FI!$E$4:$AC$620,7,0)</f>
        <v>#N/A</v>
      </c>
      <c r="N404" s="461" t="e">
        <f t="shared" si="17"/>
        <v>#N/A</v>
      </c>
      <c r="O404" s="739">
        <f>FI!M57</f>
        <v>0</v>
      </c>
      <c r="P404" s="746"/>
    </row>
    <row r="405" spans="1:16" s="385" customFormat="1" ht="24.75" hidden="1" customHeight="1">
      <c r="A405" s="399">
        <v>55</v>
      </c>
      <c r="B405" s="455" t="s">
        <v>21</v>
      </c>
      <c r="C405" s="454"/>
      <c r="D405" s="492"/>
      <c r="E405" s="488"/>
      <c r="F405" s="457"/>
      <c r="G405" s="490" t="e">
        <f>IF(VLOOKUP(C405,FI!$E$4:$AC$486,3,0)="","",VLOOKUP(C405,FI!$E$4:$AC$486,3,0))</f>
        <v>#N/A</v>
      </c>
      <c r="H405" s="459" t="str">
        <f>IF(ISNA(MATCH($C405,FI!$E$4:$E$999,0)),"",
IF($E405=0,IF(INDEX(FI!$P$4:$P$999,MATCH($C405,FI!$E$4:$E$999,0))="","",INDEX(FI!$P$4:$P$999,MATCH($C405,FI!$E$4:$E$999,0))),
IF($E405=1,IF(INDEX(FI!$U$4:$U$999,MATCH($C405,FI!$E$4:$E$999,0))="","",INDEX(FI!$U$4:$U$999,MATCH($C405,FI!$E$4:$E$999,0))),
IF($E405=2,IF(INDEX(FI!$Z$4:$Z$999,MATCH($C405,FI!$E$4:$E$999,0))="","",INDEX(FI!$Z$4:$Z$999,MATCH($C405,FI!$E$4:$E$999,0))),
IF($E405=3,IF(INDEX(FI!$AE$4:$AE$999,MATCH($C405,FI!$E$4:$E$999,0))="","",INDEX(FI!$AE$4:$AE$999,MATCH($C405,FI!$E$4:$E$999,0))),
IF($E405=4,IF(INDEX(FI!$AJ$4:$AJ$999,MATCH($C405,FI!$E$4:$E$999,0))="","",INDEX(FI!$AJ$4:$AJ$999,MATCH($C405,FI!$E$4:$E$999,0))),
IF($E405=5,IF(INDEX(FI!$AO$4:$AO$999,MATCH($C405,FI!$E$4:$E$999,0))="","",INDEX(FI!$AO$4:$AO$999,MATCH($C405,FI!$E$4:$E$999,0))),"")))))))</f>
        <v/>
      </c>
      <c r="I405" s="459" t="str">
        <f>IF(ISNA(MATCH($C405,FI!$E$4:$E$999,0)),"",
IF($E405=0,IF(INDEX(FI!$Q$4:$Q$999,MATCH($C405,FI!$E$4:$E$999,0))="","",INDEX(FI!$Q$4:$Q$999,MATCH($C405,FI!$E$4:$E$999,0))),
IF($E405=1,IF(INDEX(FI!$V$4:$V$999,MATCH($C405,FI!$E$4:$E$999,0))="","",INDEX(FI!$V$4:$V$999,MATCH($C405,FI!$E$4:$E$999,0))),
IF($E405=2,IF(INDEX(FI!$AA$4:$AA$999,MATCH($C405,FI!$E$4:$E$999,0))="","",INDEX(FI!$AA$4:$AA$999,MATCH($C405,FI!$E$4:$E$999,0))),
IF($E405=3,IF(INDEX(FI!$AF$4:$AF$999,MATCH($C405,FI!$E$4:$E$999,0))="","",INDEX(FI!$AF$4:$AF$999,MATCH($C405,FI!$E$4:$E$999,0))),
IF($E405=4,IF(INDEX(FI!$AK$4:$AK$999,MATCH($C405,FI!$E$4:$E$999,0))="","",INDEX(FI!$AK$4:$AK$999,MATCH($C405,FI!$E$4:$E$999,0))),
IF($E405=5,IF(INDEX(FI!$AP$4:$AP$999,MATCH($C405,FI!$E$4:$E$999,0))="","",INDEX(FI!$AP$4:$AP$999,MATCH($C405,FI!$E$4:$E$999,0))),"")))))))</f>
        <v/>
      </c>
      <c r="J405" s="459" t="str">
        <f>IF(ISNA(MATCH($C405,FI!$E$4:$E$999,0)),"",
IF($E405=0,IF(INDEX(FI!$R$4:$R$999,MATCH($C405,FI!$E$4:$E$999,0))="","",INDEX(FI!$R$4:$R$999,MATCH($C405,FI!$E$4:$E$999,0))),
IF($E405=1,IF(INDEX(FI!$W$4:$W$999,MATCH($C405,FI!$E$4:$E$999,0))="","",INDEX(FI!$W$4:$W$999,MATCH($C405,FI!$E$4:$E$999,0))),
IF($E405=2,IF(INDEX(FI!$AB$4:$AB$999,MATCH($C405,FI!$E$4:$E$999,0))="","",INDEX(FI!$AB$4:$AB$999,MATCH($C405,FI!$E$4:$E$999,0))),
IF($E405=3,IF(INDEX(FI!$AG$4:$AG$999,MATCH($C405,FI!$E$4:$E$999,0))="","",INDEX(FI!$AG$4:$AG$999,MATCH($C405,FI!$E$4:$E$999,0))),
IF($E405=4,IF(INDEX(FI!$AL$4:$AL$999,MATCH($C405,FI!$E$4:$E$999,0))="","",INDEX(FI!$AL$4:$AL$999,MATCH($C405,FI!$E$4:$E$999,0))),
IF($E405=5,IF(INDEX(FI!$AQ$4:$AQ$999,MATCH($C405,FI!$E$4:$E$999,0))="","",INDEX(FI!$AQ$4:$AQ$999,MATCH($C405,FI!$E$4:$E$999,0))),"")))))))</f>
        <v/>
      </c>
      <c r="K405" s="459">
        <f>FI!J46</f>
        <v>0</v>
      </c>
      <c r="L405" s="460" t="e" cm="1">
        <f t="array" aca="1" ref="L405" ca="1">_xlfn.IFS(AND($E405&lt;&gt;"",$M405="Pending",$K405="CTA"),TODAY()-$G405,AND($E405&lt;&gt;"",$M405="Pending",$K405="AUR"),TODAY()-$H405,AND($E405&lt;&gt;"",$M405="Pending",$K405="STT"),TODAY()-$I405,OR(K405="Closed",K405=""),"")</f>
        <v>#N/A</v>
      </c>
      <c r="M405" s="461" t="e">
        <f>VLOOKUP(C405,FI!$E$4:$AC$620,7,0)</f>
        <v>#N/A</v>
      </c>
      <c r="N405" s="461" t="e">
        <f t="shared" si="17"/>
        <v>#N/A</v>
      </c>
      <c r="O405" s="739">
        <f>FI!M58</f>
        <v>0</v>
      </c>
      <c r="P405" s="746"/>
    </row>
    <row r="406" spans="1:16" s="385" customFormat="1" ht="24.75" hidden="1" customHeight="1">
      <c r="A406" s="399"/>
      <c r="B406" s="455"/>
      <c r="C406" s="454"/>
      <c r="D406" s="492"/>
      <c r="E406" s="454"/>
      <c r="F406" s="457"/>
      <c r="G406" s="459"/>
      <c r="H406" s="459"/>
      <c r="I406" s="459"/>
      <c r="J406" s="459"/>
      <c r="K406" s="459"/>
      <c r="L406" s="460"/>
      <c r="M406" s="461"/>
      <c r="N406" s="461"/>
      <c r="O406" s="741"/>
      <c r="P406" s="748"/>
    </row>
    <row r="407" spans="1:16" s="385" customFormat="1" ht="24.95" hidden="1" customHeight="1">
      <c r="A407" s="391" t="s">
        <v>1710</v>
      </c>
      <c r="B407" s="471"/>
      <c r="C407" s="472"/>
      <c r="D407" s="472"/>
      <c r="E407" s="472"/>
      <c r="F407" s="474" t="s">
        <v>1693</v>
      </c>
      <c r="G407" s="472"/>
      <c r="H407" s="475"/>
      <c r="I407" s="475"/>
      <c r="J407" s="475"/>
      <c r="K407" s="475"/>
      <c r="L407" s="475"/>
      <c r="M407" s="459"/>
      <c r="N407" s="475"/>
      <c r="O407" s="475"/>
      <c r="P407" s="475"/>
    </row>
    <row r="408" spans="1:16" s="385" customFormat="1" ht="24.75" hidden="1" customHeight="1">
      <c r="A408" s="399">
        <v>1</v>
      </c>
      <c r="B408" s="455" t="s">
        <v>22</v>
      </c>
      <c r="C408" s="454" t="s">
        <v>1382</v>
      </c>
      <c r="D408" s="456" t="str">
        <f>_xlfn.XLOOKUP(C408,HY!$E$4:$E$256,HY!$D$4:$D$256)</f>
        <v>Hydraulic Drawing Index</v>
      </c>
      <c r="E408" s="454" t="str">
        <f>IF(VLOOKUP(C408,HY!$E$4:$AC$495,5,0)="","",VLOOKUP(C408,HY!$E$4:$AC$994,5,0))</f>
        <v/>
      </c>
      <c r="F408" s="457"/>
      <c r="G408" s="459" t="str">
        <f>IF(VLOOKUP(C408,HY!$E$4:$AC$495,3,0)="","",VLOOKUP(C408,HY!$E$4:$AC$495,3,0))</f>
        <v/>
      </c>
      <c r="H408" s="459" t="str">
        <f>IF(ISNA(MATCH($C408,HY!$E$5:$E$1006,0)),"",
IF($E408=0,IF(INDEX(HY!$P$5:$P$1006,MATCH($C408,HY!$E$5:$E$1006,0))="","",INDEX(HY!$P$5:$P$1006,MATCH($C408,HY!$E$5:$E$1006,0))),
IF($E408=1,IF(INDEX(HY!$U$5:$U$1006,MATCH($C408,HY!$E$5:$E$1006,0))="","",INDEX(HY!$U$5:$U$1006,MATCH($C408,HY!$E$5:$E$1006,0))),
IF($E408=2,IF(INDEX(HY!$Z$5:$Z$1006,MATCH($C408,HY!$E$5:$E$1006,0))="","",INDEX(HY!$Z$5:$Z$1006,MATCH($C408,HY!$E$5:$E$1006,0))),
IF($E408=3,IF(INDEX(HY!$AE$5:$AE$1006,MATCH($C408,HY!$E$5:$E$1006,0))="","",INDEX(HY!$AE$5:$AE$1006,MATCH($C408,HY!$E$5:$E$1006,0))),
IF($E408=4,IF(INDEX(HY!$AJ$5:$AJ$1006,MATCH($C408,HY!$E$5:$E$1006,0))="","",INDEX(HY!$AJ$5:$AJ$1006,MATCH($C408,HY!$E$5:$E$1006,0))),
IF($E408=5,IF(INDEX(HY!$AO$5:$AO$1006,MATCH($C408,HY!$E$5:$E$1006,0))="","",INDEX(HY!$AO$5:$AO$1006,MATCH($C408,HY!$E$5:$E$1006,0))),"")))))))</f>
        <v/>
      </c>
      <c r="I408" s="459" t="str">
        <f>IF(ISNA(MATCH($C408,HY!$E$5:$E$1006,0)),"",
IF($E408=0,IF(INDEX(HY!$Q$5:$Q$1006,MATCH($C408,HY!$E$5:$E$1006,0))="","",INDEX(HY!$Q$5:$Q$1006,MATCH($C408,HY!$E$5:$E$1006,0))),
IF($E408=1,IF(INDEX(HY!$V$5:$V$1006,MATCH($C408,HY!$E$5:$E$1006,0))="","",INDEX(HY!$V$5:$V$1006,MATCH($C408,HY!$E$5:$E$1006,0))),
IF($E408=2,IF(INDEX(HY!$AA$5:$AA$1006,MATCH($C408,HY!$E$5:$E$1006,0))="","",INDEX(HY!$AA$5:$AA$1006,MATCH($C408,HY!$E$5:$E$1006,0))),
IF($E408=3,IF(INDEX(HY!$AF$5:$AF$1006,MATCH($C408,HY!$E$5:$E$1006,0))="","",INDEX(HY!$AF$5:$AF$1006,MATCH($C408,HY!$E$5:$E$1006,0))),
IF($E408=4,IF(INDEX(HY!$AK$5:$AK$1006,MATCH($C408,HY!$E$5:$E$1006,0))="","",INDEX(HY!$AK$5:$AK$1006,MATCH($C408,HY!$E$5:$E$1006,0))),
IF($E408=5,IF(INDEX(HY!$AP$5:$AP$1006,MATCH($C408,HY!$E$5:$E$1006,0))="","",INDEX(HY!$AP$5:$AP$1006,MATCH($C408,HY!$E$5:$E$1006,0))),"")))))))</f>
        <v/>
      </c>
      <c r="J408" s="459" t="str">
        <f>IF(ISNA(MATCH($C408,HY!$E$5:$E$1006,0)),"",
IF($E408=0,IF(INDEX(HY!$R$5:$R$1006,MATCH($C408,HY!$E$5:$E$1006,0))="","",INDEX(HY!$R$5:$R$1006,MATCH($C408,HY!$E$5:$E$1006,0))),
IF($E408=1,IF(INDEX(HY!$W$5:$W$1006,MATCH($C408,HY!$E$5:$E$1006,0))="","",INDEX(HY!$W$5:$W$1006,MATCH($C408,HY!$E$5:$E$1006,0))),
IF($E408=2,IF(INDEX(HY!$AB$5:$AB$1006,MATCH($C408,HY!$E$5:$E$1006,0))="","",INDEX(HY!$AB$5:$AB$1006,MATCH($C408,HY!$E$5:$E$1006,0))),
IF($E408=3,IF(INDEX(HY!$AG$5:$AG$1006,MATCH($C408,HY!$E$5:$E$1006,0))="","",INDEX(HY!$AG$5:$AG$1006,MATCH($C408,HY!$E$5:$E$1006,0))),
IF($E408=4,IF(INDEX(HY!$AL$5:$AL$1006,MATCH($C408,HY!$E$5:$E$1006,0))="","",INDEX(HY!$AL$5:$AL$1006,MATCH($C408,HY!$E$5:$E$1006,0))),
IF($E408=5,IF(INDEX(HY!$AQ$5:$AQ$1006,MATCH($C408,HY!$E$5:$E$1006,0))="","",INDEX(HY!$AQ$5:$AQ$1006,MATCH($C408,HY!$E$5:$E$1006,0))),"")))))))</f>
        <v/>
      </c>
      <c r="K408" s="459">
        <f>HY!J4</f>
        <v>0</v>
      </c>
      <c r="L408" s="460" t="e" cm="1">
        <f t="array" aca="1" ref="L408" ca="1">_xlfn.IFS(AND($E408&lt;&gt;"",$M408="Pending",$K408="CTA"),TODAY()-$G408,AND($E408&lt;&gt;"",$M408="Pending",$K408="AUR"),TODAY()-$H408,AND($E408&lt;&gt;"",$M408="Pending",$K408="STT"),TODAY()-$I408,OR(K408="Closed",K408=""),"")</f>
        <v>#N/A</v>
      </c>
      <c r="M408" s="461">
        <f>VLOOKUP(C408,HY!$E$4:$AC$618,7,0)</f>
        <v>0</v>
      </c>
      <c r="N408" s="461" t="str">
        <f t="shared" si="17"/>
        <v/>
      </c>
      <c r="O408" s="739" t="str">
        <f>HY!M4</f>
        <v>GC</v>
      </c>
      <c r="P408" s="746" t="str" cm="1">
        <f t="array" ref="P408:P439">HY!AS4:AS35</f>
        <v>NO</v>
      </c>
    </row>
    <row r="409" spans="1:16" s="385" customFormat="1" ht="24.75" customHeight="1">
      <c r="A409" s="399">
        <v>2</v>
      </c>
      <c r="B409" s="607" t="s">
        <v>22</v>
      </c>
      <c r="C409" s="454" t="s">
        <v>1385</v>
      </c>
      <c r="D409" s="456" t="str">
        <f>_xlfn.XLOOKUP(C409,HY!$E$5:$E$256,HY!$D$5:$D$256)</f>
        <v>Hydraulic Legend &amp; Abbreviation</v>
      </c>
      <c r="E409" s="454">
        <f>IF(VLOOKUP(C409,HY!$E$5:$AC$495,5,0)="","",VLOOKUP(C409,HY!$E$5:$AC$994,5,0))</f>
        <v>0</v>
      </c>
      <c r="F409" s="457">
        <v>46034</v>
      </c>
      <c r="G409" s="459">
        <f>IF(VLOOKUP(C409,HY!$E$5:$AC$495,3,0)="","",VLOOKUP(C409,HY!$E$5:$AC$495,3,0))</f>
        <v>46034</v>
      </c>
      <c r="H409" s="459">
        <f>IF(ISNA(MATCH($C409,HY!$E$5:$E$1006,0)),"",
IF($E409=0,IF(INDEX(HY!$P$5:$P$1006,MATCH($C409,HY!$E$5:$E$1006,0))="","",INDEX(HY!$P$5:$P$1006,MATCH($C409,HY!$E$5:$E$1006,0))),
IF($E409=1,IF(INDEX(HY!$U$5:$U$1006,MATCH($C409,HY!$E$5:$E$1006,0))="","",INDEX(HY!$U$5:$U$1006,MATCH($C409,HY!$E$5:$E$1006,0))),
IF($E409=2,IF(INDEX(HY!$Z$5:$Z$1006,MATCH($C409,HY!$E$5:$E$1006,0))="","",INDEX(HY!$Z$5:$Z$1006,MATCH($C409,HY!$E$5:$E$1006,0))),
IF($E409=3,IF(INDEX(HY!$AE$5:$AE$1006,MATCH($C409,HY!$E$5:$E$1006,0))="","",INDEX(HY!$AE$5:$AE$1006,MATCH($C409,HY!$E$5:$E$1006,0))),
IF($E409=4,IF(INDEX(HY!$AJ$5:$AJ$1006,MATCH($C409,HY!$E$5:$E$1006,0))="","",INDEX(HY!$AJ$5:$AJ$1006,MATCH($C409,HY!$E$5:$E$1006,0))),
IF($E409=5,IF(INDEX(HY!$AO$5:$AO$1006,MATCH($C409,HY!$E$5:$E$1006,0))="","",INDEX(HY!$AO$5:$AO$1006,MATCH($C409,HY!$E$5:$E$1006,0))),"")))))))</f>
        <v>46055</v>
      </c>
      <c r="I409" s="459" t="str">
        <f>IF(ISNA(MATCH($C409,HY!$E$5:$E$1006,0)),"",
IF($E409=0,IF(INDEX(HY!$Q$5:$Q$1006,MATCH($C409,HY!$E$5:$E$1006,0))="","",INDEX(HY!$Q$5:$Q$1006,MATCH($C409,HY!$E$5:$E$1006,0))),
IF($E409=1,IF(INDEX(HY!$V$5:$V$1006,MATCH($C409,HY!$E$5:$E$1006,0))="","",INDEX(HY!$V$5:$V$1006,MATCH($C409,HY!$E$5:$E$1006,0))),
IF($E409=2,IF(INDEX(HY!$AA$5:$AA$1006,MATCH($C409,HY!$E$5:$E$1006,0))="","",INDEX(HY!$AA$5:$AA$1006,MATCH($C409,HY!$E$5:$E$1006,0))),
IF($E409=3,IF(INDEX(HY!$AF$5:$AF$1006,MATCH($C409,HY!$E$5:$E$1006,0))="","",INDEX(HY!$AF$5:$AF$1006,MATCH($C409,HY!$E$5:$E$1006,0))),
IF($E409=4,IF(INDEX(HY!$AK$5:$AK$1006,MATCH($C409,HY!$E$5:$E$1006,0))="","",INDEX(HY!$AK$5:$AK$1006,MATCH($C409,HY!$E$5:$E$1006,0))),
IF($E409=5,IF(INDEX(HY!$AP$5:$AP$1006,MATCH($C409,HY!$E$5:$E$1006,0))="","",INDEX(HY!$AP$5:$AP$1006,MATCH($C409,HY!$E$5:$E$1006,0))),"")))))))</f>
        <v/>
      </c>
      <c r="J409" s="459" t="str">
        <f>IF(ISNA(MATCH($C409,HY!$E$5:$E$1006,0)),"",
IF($E409=0,IF(INDEX(HY!$R$5:$R$1006,MATCH($C409,HY!$E$5:$E$1006,0))="","",INDEX(HY!$R$5:$R$1006,MATCH($C409,HY!$E$5:$E$1006,0))),
IF($E409=1,IF(INDEX(HY!$W$5:$W$1006,MATCH($C409,HY!$E$5:$E$1006,0))="","",INDEX(HY!$W$5:$W$1006,MATCH($C409,HY!$E$5:$E$1006,0))),
IF($E409=2,IF(INDEX(HY!$AB$5:$AB$1006,MATCH($C409,HY!$E$5:$E$1006,0))="","",INDEX(HY!$AB$5:$AB$1006,MATCH($C409,HY!$E$5:$E$1006,0))),
IF($E409=3,IF(INDEX(HY!$AG$5:$AG$1006,MATCH($C409,HY!$E$5:$E$1006,0))="","",INDEX(HY!$AG$5:$AG$1006,MATCH($C409,HY!$E$5:$E$1006,0))),
IF($E409=4,IF(INDEX(HY!$AL$5:$AL$1006,MATCH($C409,HY!$E$5:$E$1006,0))="","",INDEX(HY!$AL$5:$AL$1006,MATCH($C409,HY!$E$5:$E$1006,0))),
IF($E409=5,IF(INDEX(HY!$AQ$5:$AQ$1006,MATCH($C409,HY!$E$5:$E$1006,0))="","",INDEX(HY!$AQ$5:$AQ$1006,MATCH($C409,HY!$E$5:$E$1006,0))),"")))))))</f>
        <v/>
      </c>
      <c r="K409" s="459" t="str">
        <f>HY!J5</f>
        <v>AUR</v>
      </c>
      <c r="L409" s="460" cm="1">
        <f t="array" aca="1" ref="L409" ca="1">_xlfn.IFS(AND($E409&lt;&gt;"",$M409="Pending",$K409="CTA"),TODAY()-$G409,AND($E409&lt;&gt;"",$M409="Pending",$K409="AUR"),TODAY()-$H409,AND($E409&lt;&gt;"",$M409="Pending",$K409="STT"),TODAY()-$I409,OR(K409="Closed",K409=""),"")</f>
        <v>11</v>
      </c>
      <c r="M409" s="461" t="str">
        <f>VLOOKUP(C409,HY!$E$4:$AC$618,7,0)</f>
        <v>Pending</v>
      </c>
      <c r="N409" s="454" t="str">
        <f t="shared" ca="1" si="17"/>
        <v>Overdue</v>
      </c>
      <c r="O409" s="739" t="str">
        <f>HY!M5</f>
        <v>GC</v>
      </c>
      <c r="P409" s="746" t="str">
        <v>NO</v>
      </c>
    </row>
    <row r="410" spans="1:16" s="385" customFormat="1" ht="24.75" customHeight="1">
      <c r="A410" s="399">
        <v>3</v>
      </c>
      <c r="B410" s="607" t="s">
        <v>22</v>
      </c>
      <c r="C410" s="454" t="s">
        <v>1388</v>
      </c>
      <c r="D410" s="456" t="str">
        <f>_xlfn.XLOOKUP(C410,HY!$E$5:$E$256,HY!$D$5:$D$256)</f>
        <v>Make Up Water Schematic Diagram</v>
      </c>
      <c r="E410" s="454">
        <f>IF(VLOOKUP(C410,HY!$E$5:$AC$495,5,0)="","",VLOOKUP(C410,HY!$E$5:$AC$994,5,0))</f>
        <v>0</v>
      </c>
      <c r="F410" s="457"/>
      <c r="G410" s="459">
        <f>IF(VLOOKUP(C410,HY!$E$5:$AC$495,3,0)="","",VLOOKUP(C410,HY!$E$5:$AC$495,3,0))</f>
        <v>46035</v>
      </c>
      <c r="H410" s="459">
        <f>IF(ISNA(MATCH($C410,HY!$E$5:$E$1006,0)),"",
IF($E410=0,IF(INDEX(HY!$P$5:$P$1006,MATCH($C410,HY!$E$5:$E$1006,0))="","",INDEX(HY!$P$5:$P$1006,MATCH($C410,HY!$E$5:$E$1006,0))),
IF($E410=1,IF(INDEX(HY!$U$5:$U$1006,MATCH($C410,HY!$E$5:$E$1006,0))="","",INDEX(HY!$U$5:$U$1006,MATCH($C410,HY!$E$5:$E$1006,0))),
IF($E410=2,IF(INDEX(HY!$Z$5:$Z$1006,MATCH($C410,HY!$E$5:$E$1006,0))="","",INDEX(HY!$Z$5:$Z$1006,MATCH($C410,HY!$E$5:$E$1006,0))),
IF($E410=3,IF(INDEX(HY!$AE$5:$AE$1006,MATCH($C410,HY!$E$5:$E$1006,0))="","",INDEX(HY!$AE$5:$AE$1006,MATCH($C410,HY!$E$5:$E$1006,0))),
IF($E410=4,IF(INDEX(HY!$AJ$5:$AJ$1006,MATCH($C410,HY!$E$5:$E$1006,0))="","",INDEX(HY!$AJ$5:$AJ$1006,MATCH($C410,HY!$E$5:$E$1006,0))),
IF($E410=5,IF(INDEX(HY!$AO$5:$AO$1006,MATCH($C410,HY!$E$5:$E$1006,0))="","",INDEX(HY!$AO$5:$AO$1006,MATCH($C410,HY!$E$5:$E$1006,0))),"")))))))</f>
        <v>46055</v>
      </c>
      <c r="I410" s="459" t="str">
        <f>IF(ISNA(MATCH($C410,HY!$E$5:$E$1006,0)),"",
IF($E410=0,IF(INDEX(HY!$Q$5:$Q$1006,MATCH($C410,HY!$E$5:$E$1006,0))="","",INDEX(HY!$Q$5:$Q$1006,MATCH($C410,HY!$E$5:$E$1006,0))),
IF($E410=1,IF(INDEX(HY!$V$5:$V$1006,MATCH($C410,HY!$E$5:$E$1006,0))="","",INDEX(HY!$V$5:$V$1006,MATCH($C410,HY!$E$5:$E$1006,0))),
IF($E410=2,IF(INDEX(HY!$AA$5:$AA$1006,MATCH($C410,HY!$E$5:$E$1006,0))="","",INDEX(HY!$AA$5:$AA$1006,MATCH($C410,HY!$E$5:$E$1006,0))),
IF($E410=3,IF(INDEX(HY!$AF$5:$AF$1006,MATCH($C410,HY!$E$5:$E$1006,0))="","",INDEX(HY!$AF$5:$AF$1006,MATCH($C410,HY!$E$5:$E$1006,0))),
IF($E410=4,IF(INDEX(HY!$AK$5:$AK$1006,MATCH($C410,HY!$E$5:$E$1006,0))="","",INDEX(HY!$AK$5:$AK$1006,MATCH($C410,HY!$E$5:$E$1006,0))),
IF($E410=5,IF(INDEX(HY!$AP$5:$AP$1006,MATCH($C410,HY!$E$5:$E$1006,0))="","",INDEX(HY!$AP$5:$AP$1006,MATCH($C410,HY!$E$5:$E$1006,0))),"")))))))</f>
        <v/>
      </c>
      <c r="J410" s="459" t="str">
        <f>IF(ISNA(MATCH($C410,HY!$E$5:$E$1006,0)),"",
IF($E410=0,IF(INDEX(HY!$R$5:$R$1006,MATCH($C410,HY!$E$5:$E$1006,0))="","",INDEX(HY!$R$5:$R$1006,MATCH($C410,HY!$E$5:$E$1006,0))),
IF($E410=1,IF(INDEX(HY!$W$5:$W$1006,MATCH($C410,HY!$E$5:$E$1006,0))="","",INDEX(HY!$W$5:$W$1006,MATCH($C410,HY!$E$5:$E$1006,0))),
IF($E410=2,IF(INDEX(HY!$AB$5:$AB$1006,MATCH($C410,HY!$E$5:$E$1006,0))="","",INDEX(HY!$AB$5:$AB$1006,MATCH($C410,HY!$E$5:$E$1006,0))),
IF($E410=3,IF(INDEX(HY!$AG$5:$AG$1006,MATCH($C410,HY!$E$5:$E$1006,0))="","",INDEX(HY!$AG$5:$AG$1006,MATCH($C410,HY!$E$5:$E$1006,0))),
IF($E410=4,IF(INDEX(HY!$AL$5:$AL$1006,MATCH($C410,HY!$E$5:$E$1006,0))="","",INDEX(HY!$AL$5:$AL$1006,MATCH($C410,HY!$E$5:$E$1006,0))),
IF($E410=5,IF(INDEX(HY!$AQ$5:$AQ$1006,MATCH($C410,HY!$E$5:$E$1006,0))="","",INDEX(HY!$AQ$5:$AQ$1006,MATCH($C410,HY!$E$5:$E$1006,0))),"")))))))</f>
        <v/>
      </c>
      <c r="K410" s="459" t="str">
        <f>HY!J6</f>
        <v>AUR</v>
      </c>
      <c r="L410" s="460" cm="1">
        <f t="array" aca="1" ref="L410" ca="1">_xlfn.IFS(AND($E410&lt;&gt;"",$M410="Pending",$K410="CTA"),TODAY()-$G410,AND($E410&lt;&gt;"",$M410="Pending",$K410="AUR"),TODAY()-$H410,AND($E410&lt;&gt;"",$M410="Pending",$K410="STT"),TODAY()-$I410,OR(K410="Closed",K410=""),"")</f>
        <v>11</v>
      </c>
      <c r="M410" s="461" t="str">
        <f>VLOOKUP(C410,HY!$E$4:$AC$618,7,0)</f>
        <v>Pending</v>
      </c>
      <c r="N410" s="454" t="str">
        <f t="shared" ca="1" si="17"/>
        <v>Overdue</v>
      </c>
      <c r="O410" s="739" t="str">
        <f>HY!M6</f>
        <v>GC</v>
      </c>
      <c r="P410" s="746" t="str">
        <v>YES</v>
      </c>
    </row>
    <row r="411" spans="1:16" s="385" customFormat="1" ht="24.75" customHeight="1">
      <c r="A411" s="399">
        <v>4</v>
      </c>
      <c r="B411" s="607" t="s">
        <v>22</v>
      </c>
      <c r="C411" s="454" t="s">
        <v>1391</v>
      </c>
      <c r="D411" s="456" t="str">
        <f>_xlfn.XLOOKUP(C411,HY!$E$5:$E$256,HY!$D$5:$D$256)</f>
        <v>Domestic Water Schematic Diagram</v>
      </c>
      <c r="E411" s="454">
        <f>IF(VLOOKUP(C411,HY!$E$5:$AC$495,5,0)="","",VLOOKUP(C411,HY!$E$5:$AC$994,5,0))</f>
        <v>0</v>
      </c>
      <c r="F411" s="457">
        <v>46034</v>
      </c>
      <c r="G411" s="459">
        <f>IF(VLOOKUP(C411,HY!$E$5:$AC$495,3,0)="","",VLOOKUP(C411,HY!$E$5:$AC$495,3,0))</f>
        <v>46034</v>
      </c>
      <c r="H411" s="459">
        <f>IF(ISNA(MATCH($C411,HY!$E$5:$E$1006,0)),"",
IF($E411=0,IF(INDEX(HY!$P$5:$P$1006,MATCH($C411,HY!$E$5:$E$1006,0))="","",INDEX(HY!$P$5:$P$1006,MATCH($C411,HY!$E$5:$E$1006,0))),
IF($E411=1,IF(INDEX(HY!$U$5:$U$1006,MATCH($C411,HY!$E$5:$E$1006,0))="","",INDEX(HY!$U$5:$U$1006,MATCH($C411,HY!$E$5:$E$1006,0))),
IF($E411=2,IF(INDEX(HY!$Z$5:$Z$1006,MATCH($C411,HY!$E$5:$E$1006,0))="","",INDEX(HY!$Z$5:$Z$1006,MATCH($C411,HY!$E$5:$E$1006,0))),
IF($E411=3,IF(INDEX(HY!$AE$5:$AE$1006,MATCH($C411,HY!$E$5:$E$1006,0))="","",INDEX(HY!$AE$5:$AE$1006,MATCH($C411,HY!$E$5:$E$1006,0))),
IF($E411=4,IF(INDEX(HY!$AJ$5:$AJ$1006,MATCH($C411,HY!$E$5:$E$1006,0))="","",INDEX(HY!$AJ$5:$AJ$1006,MATCH($C411,HY!$E$5:$E$1006,0))),
IF($E411=5,IF(INDEX(HY!$AO$5:$AO$1006,MATCH($C411,HY!$E$5:$E$1006,0))="","",INDEX(HY!$AO$5:$AO$1006,MATCH($C411,HY!$E$5:$E$1006,0))),"")))))))</f>
        <v>46055</v>
      </c>
      <c r="I411" s="459" t="str">
        <f>IF(ISNA(MATCH($C411,HY!$E$5:$E$1006,0)),"",
IF($E411=0,IF(INDEX(HY!$Q$5:$Q$1006,MATCH($C411,HY!$E$5:$E$1006,0))="","",INDEX(HY!$Q$5:$Q$1006,MATCH($C411,HY!$E$5:$E$1006,0))),
IF($E411=1,IF(INDEX(HY!$V$5:$V$1006,MATCH($C411,HY!$E$5:$E$1006,0))="","",INDEX(HY!$V$5:$V$1006,MATCH($C411,HY!$E$5:$E$1006,0))),
IF($E411=2,IF(INDEX(HY!$AA$5:$AA$1006,MATCH($C411,HY!$E$5:$E$1006,0))="","",INDEX(HY!$AA$5:$AA$1006,MATCH($C411,HY!$E$5:$E$1006,0))),
IF($E411=3,IF(INDEX(HY!$AF$5:$AF$1006,MATCH($C411,HY!$E$5:$E$1006,0))="","",INDEX(HY!$AF$5:$AF$1006,MATCH($C411,HY!$E$5:$E$1006,0))),
IF($E411=4,IF(INDEX(HY!$AK$5:$AK$1006,MATCH($C411,HY!$E$5:$E$1006,0))="","",INDEX(HY!$AK$5:$AK$1006,MATCH($C411,HY!$E$5:$E$1006,0))),
IF($E411=5,IF(INDEX(HY!$AP$5:$AP$1006,MATCH($C411,HY!$E$5:$E$1006,0))="","",INDEX(HY!$AP$5:$AP$1006,MATCH($C411,HY!$E$5:$E$1006,0))),"")))))))</f>
        <v/>
      </c>
      <c r="J411" s="459" t="str">
        <f>IF(ISNA(MATCH($C411,HY!$E$5:$E$1006,0)),"",
IF($E411=0,IF(INDEX(HY!$R$5:$R$1006,MATCH($C411,HY!$E$5:$E$1006,0))="","",INDEX(HY!$R$5:$R$1006,MATCH($C411,HY!$E$5:$E$1006,0))),
IF($E411=1,IF(INDEX(HY!$W$5:$W$1006,MATCH($C411,HY!$E$5:$E$1006,0))="","",INDEX(HY!$W$5:$W$1006,MATCH($C411,HY!$E$5:$E$1006,0))),
IF($E411=2,IF(INDEX(HY!$AB$5:$AB$1006,MATCH($C411,HY!$E$5:$E$1006,0))="","",INDEX(HY!$AB$5:$AB$1006,MATCH($C411,HY!$E$5:$E$1006,0))),
IF($E411=3,IF(INDEX(HY!$AG$5:$AG$1006,MATCH($C411,HY!$E$5:$E$1006,0))="","",INDEX(HY!$AG$5:$AG$1006,MATCH($C411,HY!$E$5:$E$1006,0))),
IF($E411=4,IF(INDEX(HY!$AL$5:$AL$1006,MATCH($C411,HY!$E$5:$E$1006,0))="","",INDEX(HY!$AL$5:$AL$1006,MATCH($C411,HY!$E$5:$E$1006,0))),
IF($E411=5,IF(INDEX(HY!$AQ$5:$AQ$1006,MATCH($C411,HY!$E$5:$E$1006,0))="","",INDEX(HY!$AQ$5:$AQ$1006,MATCH($C411,HY!$E$5:$E$1006,0))),"")))))))</f>
        <v/>
      </c>
      <c r="K411" s="459" t="str">
        <f>HY!J7</f>
        <v>AUR</v>
      </c>
      <c r="L411" s="460" cm="1">
        <f t="array" aca="1" ref="L411" ca="1">_xlfn.IFS(AND($E411&lt;&gt;"",$M411="Pending",$K411="CTA"),TODAY()-$G411,AND($E411&lt;&gt;"",$M411="Pending",$K411="AUR"),TODAY()-$H411,AND($E411&lt;&gt;"",$M411="Pending",$K411="STT"),TODAY()-$I411,OR(K411="Closed",K411=""),"")</f>
        <v>11</v>
      </c>
      <c r="M411" s="461" t="str">
        <f>VLOOKUP(C411,HY!$E$4:$AC$618,7,0)</f>
        <v>Pending</v>
      </c>
      <c r="N411" s="454" t="str">
        <f t="shared" ca="1" si="17"/>
        <v>Overdue</v>
      </c>
      <c r="O411" s="739" t="str">
        <f>HY!M7</f>
        <v>GC</v>
      </c>
      <c r="P411" s="746" t="str">
        <v>NO</v>
      </c>
    </row>
    <row r="412" spans="1:16" s="385" customFormat="1" ht="24.75" customHeight="1">
      <c r="A412" s="399">
        <v>5</v>
      </c>
      <c r="B412" s="607" t="s">
        <v>22</v>
      </c>
      <c r="C412" s="454" t="s">
        <v>1394</v>
      </c>
      <c r="D412" s="456" t="str">
        <f>_xlfn.XLOOKUP(C412,HY!$E$5:$E$256,HY!$D$5:$D$256)</f>
        <v>Waste water System Schematic Diagram</v>
      </c>
      <c r="E412" s="454">
        <f>IF(VLOOKUP(C412,HY!$E$5:$AC$495,5,0)="","",VLOOKUP(C412,HY!$E$5:$AC$994,5,0))</f>
        <v>0</v>
      </c>
      <c r="F412" s="457">
        <v>46034</v>
      </c>
      <c r="G412" s="459">
        <f>IF(VLOOKUP(C412,HY!$E$5:$AC$495,3,0)="","",VLOOKUP(C412,HY!$E$5:$AC$495,3,0))</f>
        <v>46034</v>
      </c>
      <c r="H412" s="459">
        <f>IF(ISNA(MATCH($C412,HY!$E$5:$E$1006,0)),"",
IF($E412=0,IF(INDEX(HY!$P$5:$P$1006,MATCH($C412,HY!$E$5:$E$1006,0))="","",INDEX(HY!$P$5:$P$1006,MATCH($C412,HY!$E$5:$E$1006,0))),
IF($E412=1,IF(INDEX(HY!$U$5:$U$1006,MATCH($C412,HY!$E$5:$E$1006,0))="","",INDEX(HY!$U$5:$U$1006,MATCH($C412,HY!$E$5:$E$1006,0))),
IF($E412=2,IF(INDEX(HY!$Z$5:$Z$1006,MATCH($C412,HY!$E$5:$E$1006,0))="","",INDEX(HY!$Z$5:$Z$1006,MATCH($C412,HY!$E$5:$E$1006,0))),
IF($E412=3,IF(INDEX(HY!$AE$5:$AE$1006,MATCH($C412,HY!$E$5:$E$1006,0))="","",INDEX(HY!$AE$5:$AE$1006,MATCH($C412,HY!$E$5:$E$1006,0))),
IF($E412=4,IF(INDEX(HY!$AJ$5:$AJ$1006,MATCH($C412,HY!$E$5:$E$1006,0))="","",INDEX(HY!$AJ$5:$AJ$1006,MATCH($C412,HY!$E$5:$E$1006,0))),
IF($E412=5,IF(INDEX(HY!$AO$5:$AO$1006,MATCH($C412,HY!$E$5:$E$1006,0))="","",INDEX(HY!$AO$5:$AO$1006,MATCH($C412,HY!$E$5:$E$1006,0))),"")))))))</f>
        <v>46055</v>
      </c>
      <c r="I412" s="459" t="str">
        <f>IF(ISNA(MATCH($C412,HY!$E$5:$E$1006,0)),"",
IF($E412=0,IF(INDEX(HY!$Q$5:$Q$1006,MATCH($C412,HY!$E$5:$E$1006,0))="","",INDEX(HY!$Q$5:$Q$1006,MATCH($C412,HY!$E$5:$E$1006,0))),
IF($E412=1,IF(INDEX(HY!$V$5:$V$1006,MATCH($C412,HY!$E$5:$E$1006,0))="","",INDEX(HY!$V$5:$V$1006,MATCH($C412,HY!$E$5:$E$1006,0))),
IF($E412=2,IF(INDEX(HY!$AA$5:$AA$1006,MATCH($C412,HY!$E$5:$E$1006,0))="","",INDEX(HY!$AA$5:$AA$1006,MATCH($C412,HY!$E$5:$E$1006,0))),
IF($E412=3,IF(INDEX(HY!$AF$5:$AF$1006,MATCH($C412,HY!$E$5:$E$1006,0))="","",INDEX(HY!$AF$5:$AF$1006,MATCH($C412,HY!$E$5:$E$1006,0))),
IF($E412=4,IF(INDEX(HY!$AK$5:$AK$1006,MATCH($C412,HY!$E$5:$E$1006,0))="","",INDEX(HY!$AK$5:$AK$1006,MATCH($C412,HY!$E$5:$E$1006,0))),
IF($E412=5,IF(INDEX(HY!$AP$5:$AP$1006,MATCH($C412,HY!$E$5:$E$1006,0))="","",INDEX(HY!$AP$5:$AP$1006,MATCH($C412,HY!$E$5:$E$1006,0))),"")))))))</f>
        <v/>
      </c>
      <c r="J412" s="459" t="str">
        <f>IF(ISNA(MATCH($C412,HY!$E$5:$E$1006,0)),"",
IF($E412=0,IF(INDEX(HY!$R$5:$R$1006,MATCH($C412,HY!$E$5:$E$1006,0))="","",INDEX(HY!$R$5:$R$1006,MATCH($C412,HY!$E$5:$E$1006,0))),
IF($E412=1,IF(INDEX(HY!$W$5:$W$1006,MATCH($C412,HY!$E$5:$E$1006,0))="","",INDEX(HY!$W$5:$W$1006,MATCH($C412,HY!$E$5:$E$1006,0))),
IF($E412=2,IF(INDEX(HY!$AB$5:$AB$1006,MATCH($C412,HY!$E$5:$E$1006,0))="","",INDEX(HY!$AB$5:$AB$1006,MATCH($C412,HY!$E$5:$E$1006,0))),
IF($E412=3,IF(INDEX(HY!$AG$5:$AG$1006,MATCH($C412,HY!$E$5:$E$1006,0))="","",INDEX(HY!$AG$5:$AG$1006,MATCH($C412,HY!$E$5:$E$1006,0))),
IF($E412=4,IF(INDEX(HY!$AL$5:$AL$1006,MATCH($C412,HY!$E$5:$E$1006,0))="","",INDEX(HY!$AL$5:$AL$1006,MATCH($C412,HY!$E$5:$E$1006,0))),
IF($E412=5,IF(INDEX(HY!$AQ$5:$AQ$1006,MATCH($C412,HY!$E$5:$E$1006,0))="","",INDEX(HY!$AQ$5:$AQ$1006,MATCH($C412,HY!$E$5:$E$1006,0))),"")))))))</f>
        <v/>
      </c>
      <c r="K412" s="459" t="str">
        <f>HY!J8</f>
        <v>AUR</v>
      </c>
      <c r="L412" s="460" cm="1">
        <f t="array" aca="1" ref="L412" ca="1">_xlfn.IFS(AND($E412&lt;&gt;"",$M412="Pending",$K412="CTA"),TODAY()-$G412,AND($E412&lt;&gt;"",$M412="Pending",$K412="AUR"),TODAY()-$H412,AND($E412&lt;&gt;"",$M412="Pending",$K412="STT"),TODAY()-$I412,OR(K412="Closed",K412=""),"")</f>
        <v>11</v>
      </c>
      <c r="M412" s="461" t="str">
        <f>VLOOKUP(C412,HY!$E$4:$AC$618,7,0)</f>
        <v>Pending</v>
      </c>
      <c r="N412" s="454" t="str">
        <f t="shared" ca="1" si="17"/>
        <v>Overdue</v>
      </c>
      <c r="O412" s="739" t="str">
        <f>HY!M8</f>
        <v>GC</v>
      </c>
      <c r="P412" s="746" t="str">
        <v>YES</v>
      </c>
    </row>
    <row r="413" spans="1:16" s="385" customFormat="1" ht="24.75" customHeight="1">
      <c r="A413" s="399">
        <v>6</v>
      </c>
      <c r="B413" s="607" t="s">
        <v>22</v>
      </c>
      <c r="C413" s="454" t="s">
        <v>1397</v>
      </c>
      <c r="D413" s="456" t="str">
        <f>_xlfn.XLOOKUP(C413,HY!$E$5:$E$256,HY!$D$5:$D$256)</f>
        <v>Storm Water Drainage Schematic Diagram</v>
      </c>
      <c r="E413" s="454">
        <f>IF(VLOOKUP(C413,HY!$E$5:$AC$495,5,0)="","",VLOOKUP(C413,HY!$E$5:$AC$994,5,0))</f>
        <v>0</v>
      </c>
      <c r="F413" s="457">
        <v>46034</v>
      </c>
      <c r="G413" s="459">
        <f>IF(VLOOKUP(C413,HY!$E$5:$AC$495,3,0)="","",VLOOKUP(C413,HY!$E$5:$AC$495,3,0))</f>
        <v>46034</v>
      </c>
      <c r="H413" s="459">
        <f>IF(ISNA(MATCH($C413,HY!$E$5:$E$1006,0)),"",
IF($E413=0,IF(INDEX(HY!$P$5:$P$1006,MATCH($C413,HY!$E$5:$E$1006,0))="","",INDEX(HY!$P$5:$P$1006,MATCH($C413,HY!$E$5:$E$1006,0))),
IF($E413=1,IF(INDEX(HY!$U$5:$U$1006,MATCH($C413,HY!$E$5:$E$1006,0))="","",INDEX(HY!$U$5:$U$1006,MATCH($C413,HY!$E$5:$E$1006,0))),
IF($E413=2,IF(INDEX(HY!$Z$5:$Z$1006,MATCH($C413,HY!$E$5:$E$1006,0))="","",INDEX(HY!$Z$5:$Z$1006,MATCH($C413,HY!$E$5:$E$1006,0))),
IF($E413=3,IF(INDEX(HY!$AE$5:$AE$1006,MATCH($C413,HY!$E$5:$E$1006,0))="","",INDEX(HY!$AE$5:$AE$1006,MATCH($C413,HY!$E$5:$E$1006,0))),
IF($E413=4,IF(INDEX(HY!$AJ$5:$AJ$1006,MATCH($C413,HY!$E$5:$E$1006,0))="","",INDEX(HY!$AJ$5:$AJ$1006,MATCH($C413,HY!$E$5:$E$1006,0))),
IF($E413=5,IF(INDEX(HY!$AO$5:$AO$1006,MATCH($C413,HY!$E$5:$E$1006,0))="","",INDEX(HY!$AO$5:$AO$1006,MATCH($C413,HY!$E$5:$E$1006,0))),"")))))))</f>
        <v>46055</v>
      </c>
      <c r="I413" s="459" t="str">
        <f>IF(ISNA(MATCH($C413,HY!$E$5:$E$1006,0)),"",
IF($E413=0,IF(INDEX(HY!$Q$5:$Q$1006,MATCH($C413,HY!$E$5:$E$1006,0))="","",INDEX(HY!$Q$5:$Q$1006,MATCH($C413,HY!$E$5:$E$1006,0))),
IF($E413=1,IF(INDEX(HY!$V$5:$V$1006,MATCH($C413,HY!$E$5:$E$1006,0))="","",INDEX(HY!$V$5:$V$1006,MATCH($C413,HY!$E$5:$E$1006,0))),
IF($E413=2,IF(INDEX(HY!$AA$5:$AA$1006,MATCH($C413,HY!$E$5:$E$1006,0))="","",INDEX(HY!$AA$5:$AA$1006,MATCH($C413,HY!$E$5:$E$1006,0))),
IF($E413=3,IF(INDEX(HY!$AF$5:$AF$1006,MATCH($C413,HY!$E$5:$E$1006,0))="","",INDEX(HY!$AF$5:$AF$1006,MATCH($C413,HY!$E$5:$E$1006,0))),
IF($E413=4,IF(INDEX(HY!$AK$5:$AK$1006,MATCH($C413,HY!$E$5:$E$1006,0))="","",INDEX(HY!$AK$5:$AK$1006,MATCH($C413,HY!$E$5:$E$1006,0))),
IF($E413=5,IF(INDEX(HY!$AP$5:$AP$1006,MATCH($C413,HY!$E$5:$E$1006,0))="","",INDEX(HY!$AP$5:$AP$1006,MATCH($C413,HY!$E$5:$E$1006,0))),"")))))))</f>
        <v/>
      </c>
      <c r="J413" s="459" t="str">
        <f>IF(ISNA(MATCH($C413,HY!$E$5:$E$1006,0)),"",
IF($E413=0,IF(INDEX(HY!$R$5:$R$1006,MATCH($C413,HY!$E$5:$E$1006,0))="","",INDEX(HY!$R$5:$R$1006,MATCH($C413,HY!$E$5:$E$1006,0))),
IF($E413=1,IF(INDEX(HY!$W$5:$W$1006,MATCH($C413,HY!$E$5:$E$1006,0))="","",INDEX(HY!$W$5:$W$1006,MATCH($C413,HY!$E$5:$E$1006,0))),
IF($E413=2,IF(INDEX(HY!$AB$5:$AB$1006,MATCH($C413,HY!$E$5:$E$1006,0))="","",INDEX(HY!$AB$5:$AB$1006,MATCH($C413,HY!$E$5:$E$1006,0))),
IF($E413=3,IF(INDEX(HY!$AG$5:$AG$1006,MATCH($C413,HY!$E$5:$E$1006,0))="","",INDEX(HY!$AG$5:$AG$1006,MATCH($C413,HY!$E$5:$E$1006,0))),
IF($E413=4,IF(INDEX(HY!$AL$5:$AL$1006,MATCH($C413,HY!$E$5:$E$1006,0))="","",INDEX(HY!$AL$5:$AL$1006,MATCH($C413,HY!$E$5:$E$1006,0))),
IF($E413=5,IF(INDEX(HY!$AQ$5:$AQ$1006,MATCH($C413,HY!$E$5:$E$1006,0))="","",INDEX(HY!$AQ$5:$AQ$1006,MATCH($C413,HY!$E$5:$E$1006,0))),"")))))))</f>
        <v/>
      </c>
      <c r="K413" s="459" t="str">
        <f>HY!J9</f>
        <v>AUR</v>
      </c>
      <c r="L413" s="460" cm="1">
        <f t="array" aca="1" ref="L413" ca="1">_xlfn.IFS(AND($E413&lt;&gt;"",$M413="Pending",$K413="CTA"),TODAY()-$G413,AND($E413&lt;&gt;"",$M413="Pending",$K413="AUR"),TODAY()-$H413,AND($E413&lt;&gt;"",$M413="Pending",$K413="STT"),TODAY()-$I413,OR(K413="Closed",K413=""),"")</f>
        <v>11</v>
      </c>
      <c r="M413" s="461" t="str">
        <f>VLOOKUP(C413,HY!$E$4:$AC$618,7,0)</f>
        <v>Pending</v>
      </c>
      <c r="N413" s="454" t="str">
        <f t="shared" ca="1" si="17"/>
        <v>Overdue</v>
      </c>
      <c r="O413" s="739" t="str">
        <f>HY!M9</f>
        <v>GC</v>
      </c>
      <c r="P413" s="746" t="str">
        <v>NO</v>
      </c>
    </row>
    <row r="414" spans="1:16" s="385" customFormat="1" ht="24.75" customHeight="1">
      <c r="A414" s="399">
        <v>7</v>
      </c>
      <c r="B414" s="607" t="s">
        <v>22</v>
      </c>
      <c r="C414" s="454" t="s">
        <v>1400</v>
      </c>
      <c r="D414" s="456" t="str">
        <f>_xlfn.XLOOKUP(C414,HY!$E$5:$E$256,HY!$D$5:$D$256)</f>
        <v>Fuel Supply Schematic Diagram</v>
      </c>
      <c r="E414" s="454">
        <f>IF(VLOOKUP(C414,HY!$E$5:$AC$495,5,0)="","",VLOOKUP(C414,HY!$E$5:$AC$994,5,0))</f>
        <v>0</v>
      </c>
      <c r="F414" s="457"/>
      <c r="G414" s="459">
        <f>IF(VLOOKUP(C414,HY!$E$5:$AC$495,3,0)="","",VLOOKUP(C414,HY!$E$5:$AC$495,3,0))</f>
        <v>46035</v>
      </c>
      <c r="H414" s="459">
        <f>IF(ISNA(MATCH($C414,HY!$E$5:$E$1006,0)),"",
IF($E414=0,IF(INDEX(HY!$P$5:$P$1006,MATCH($C414,HY!$E$5:$E$1006,0))="","",INDEX(HY!$P$5:$P$1006,MATCH($C414,HY!$E$5:$E$1006,0))),
IF($E414=1,IF(INDEX(HY!$U$5:$U$1006,MATCH($C414,HY!$E$5:$E$1006,0))="","",INDEX(HY!$U$5:$U$1006,MATCH($C414,HY!$E$5:$E$1006,0))),
IF($E414=2,IF(INDEX(HY!$Z$5:$Z$1006,MATCH($C414,HY!$E$5:$E$1006,0))="","",INDEX(HY!$Z$5:$Z$1006,MATCH($C414,HY!$E$5:$E$1006,0))),
IF($E414=3,IF(INDEX(HY!$AE$5:$AE$1006,MATCH($C414,HY!$E$5:$E$1006,0))="","",INDEX(HY!$AE$5:$AE$1006,MATCH($C414,HY!$E$5:$E$1006,0))),
IF($E414=4,IF(INDEX(HY!$AJ$5:$AJ$1006,MATCH($C414,HY!$E$5:$E$1006,0))="","",INDEX(HY!$AJ$5:$AJ$1006,MATCH($C414,HY!$E$5:$E$1006,0))),
IF($E414=5,IF(INDEX(HY!$AO$5:$AO$1006,MATCH($C414,HY!$E$5:$E$1006,0))="","",INDEX(HY!$AO$5:$AO$1006,MATCH($C414,HY!$E$5:$E$1006,0))),"")))))))</f>
        <v>46055</v>
      </c>
      <c r="I414" s="459" t="str">
        <f>IF(ISNA(MATCH($C414,HY!$E$5:$E$1006,0)),"",
IF($E414=0,IF(INDEX(HY!$Q$5:$Q$1006,MATCH($C414,HY!$E$5:$E$1006,0))="","",INDEX(HY!$Q$5:$Q$1006,MATCH($C414,HY!$E$5:$E$1006,0))),
IF($E414=1,IF(INDEX(HY!$V$5:$V$1006,MATCH($C414,HY!$E$5:$E$1006,0))="","",INDEX(HY!$V$5:$V$1006,MATCH($C414,HY!$E$5:$E$1006,0))),
IF($E414=2,IF(INDEX(HY!$AA$5:$AA$1006,MATCH($C414,HY!$E$5:$E$1006,0))="","",INDEX(HY!$AA$5:$AA$1006,MATCH($C414,HY!$E$5:$E$1006,0))),
IF($E414=3,IF(INDEX(HY!$AF$5:$AF$1006,MATCH($C414,HY!$E$5:$E$1006,0))="","",INDEX(HY!$AF$5:$AF$1006,MATCH($C414,HY!$E$5:$E$1006,0))),
IF($E414=4,IF(INDEX(HY!$AK$5:$AK$1006,MATCH($C414,HY!$E$5:$E$1006,0))="","",INDEX(HY!$AK$5:$AK$1006,MATCH($C414,HY!$E$5:$E$1006,0))),
IF($E414=5,IF(INDEX(HY!$AP$5:$AP$1006,MATCH($C414,HY!$E$5:$E$1006,0))="","",INDEX(HY!$AP$5:$AP$1006,MATCH($C414,HY!$E$5:$E$1006,0))),"")))))))</f>
        <v/>
      </c>
      <c r="J414" s="459" t="str">
        <f>IF(ISNA(MATCH($C414,HY!$E$5:$E$1006,0)),"",
IF($E414=0,IF(INDEX(HY!$R$5:$R$1006,MATCH($C414,HY!$E$5:$E$1006,0))="","",INDEX(HY!$R$5:$R$1006,MATCH($C414,HY!$E$5:$E$1006,0))),
IF($E414=1,IF(INDEX(HY!$W$5:$W$1006,MATCH($C414,HY!$E$5:$E$1006,0))="","",INDEX(HY!$W$5:$W$1006,MATCH($C414,HY!$E$5:$E$1006,0))),
IF($E414=2,IF(INDEX(HY!$AB$5:$AB$1006,MATCH($C414,HY!$E$5:$E$1006,0))="","",INDEX(HY!$AB$5:$AB$1006,MATCH($C414,HY!$E$5:$E$1006,0))),
IF($E414=3,IF(INDEX(HY!$AG$5:$AG$1006,MATCH($C414,HY!$E$5:$E$1006,0))="","",INDEX(HY!$AG$5:$AG$1006,MATCH($C414,HY!$E$5:$E$1006,0))),
IF($E414=4,IF(INDEX(HY!$AL$5:$AL$1006,MATCH($C414,HY!$E$5:$E$1006,0))="","",INDEX(HY!$AL$5:$AL$1006,MATCH($C414,HY!$E$5:$E$1006,0))),
IF($E414=5,IF(INDEX(HY!$AQ$5:$AQ$1006,MATCH($C414,HY!$E$5:$E$1006,0))="","",INDEX(HY!$AQ$5:$AQ$1006,MATCH($C414,HY!$E$5:$E$1006,0))),"")))))))</f>
        <v/>
      </c>
      <c r="K414" s="459" t="str">
        <f>HY!J10</f>
        <v>AUR</v>
      </c>
      <c r="L414" s="460" cm="1">
        <f t="array" aca="1" ref="L414" ca="1">_xlfn.IFS(AND($E414&lt;&gt;"",$M414="Pending",$K414="CTA"),TODAY()-$G414,AND($E414&lt;&gt;"",$M414="Pending",$K414="AUR"),TODAY()-$H414,AND($E414&lt;&gt;"",$M414="Pending",$K414="STT"),TODAY()-$I414,OR(K414="Closed",K414=""),"")</f>
        <v>11</v>
      </c>
      <c r="M414" s="461" t="str">
        <f>VLOOKUP(C414,HY!$E$4:$AC$618,7,0)</f>
        <v>Pending</v>
      </c>
      <c r="N414" s="454" t="str">
        <f t="shared" ca="1" si="17"/>
        <v>Overdue</v>
      </c>
      <c r="O414" s="739" t="str">
        <f>HY!M10</f>
        <v>GC</v>
      </c>
      <c r="P414" s="746" t="str">
        <v>YES</v>
      </c>
    </row>
    <row r="415" spans="1:16" s="385" customFormat="1" ht="24.75" customHeight="1">
      <c r="A415" s="399">
        <v>8</v>
      </c>
      <c r="B415" s="607" t="s">
        <v>22</v>
      </c>
      <c r="C415" s="454" t="s">
        <v>1403</v>
      </c>
      <c r="D415" s="456" t="str">
        <f>_xlfn.XLOOKUP(C415,HY!$E$5:$E$256,HY!$D$5:$D$256)</f>
        <v>Equipment Schedule</v>
      </c>
      <c r="E415" s="454">
        <f>IF(VLOOKUP(C415,HY!$E$5:$AC$495,5,0)="","",VLOOKUP(C415,HY!$E$5:$AC$994,5,0))</f>
        <v>0</v>
      </c>
      <c r="F415" s="457"/>
      <c r="G415" s="459">
        <f>IF(VLOOKUP(C415,HY!$E$5:$AC$495,3,0)="","",VLOOKUP(C415,HY!$E$5:$AC$495,3,0))</f>
        <v>46035</v>
      </c>
      <c r="H415" s="459">
        <f>IF(ISNA(MATCH($C415,HY!$E$5:$E$1006,0)),"",
IF($E415=0,IF(INDEX(HY!$P$5:$P$1006,MATCH($C415,HY!$E$5:$E$1006,0))="","",INDEX(HY!$P$5:$P$1006,MATCH($C415,HY!$E$5:$E$1006,0))),
IF($E415=1,IF(INDEX(HY!$U$5:$U$1006,MATCH($C415,HY!$E$5:$E$1006,0))="","",INDEX(HY!$U$5:$U$1006,MATCH($C415,HY!$E$5:$E$1006,0))),
IF($E415=2,IF(INDEX(HY!$Z$5:$Z$1006,MATCH($C415,HY!$E$5:$E$1006,0))="","",INDEX(HY!$Z$5:$Z$1006,MATCH($C415,HY!$E$5:$E$1006,0))),
IF($E415=3,IF(INDEX(HY!$AE$5:$AE$1006,MATCH($C415,HY!$E$5:$E$1006,0))="","",INDEX(HY!$AE$5:$AE$1006,MATCH($C415,HY!$E$5:$E$1006,0))),
IF($E415=4,IF(INDEX(HY!$AJ$5:$AJ$1006,MATCH($C415,HY!$E$5:$E$1006,0))="","",INDEX(HY!$AJ$5:$AJ$1006,MATCH($C415,HY!$E$5:$E$1006,0))),
IF($E415=5,IF(INDEX(HY!$AO$5:$AO$1006,MATCH($C415,HY!$E$5:$E$1006,0))="","",INDEX(HY!$AO$5:$AO$1006,MATCH($C415,HY!$E$5:$E$1006,0))),"")))))))</f>
        <v>46055</v>
      </c>
      <c r="I415" s="459" t="str">
        <f>IF(ISNA(MATCH($C415,HY!$E$5:$E$1006,0)),"",
IF($E415=0,IF(INDEX(HY!$Q$5:$Q$1006,MATCH($C415,HY!$E$5:$E$1006,0))="","",INDEX(HY!$Q$5:$Q$1006,MATCH($C415,HY!$E$5:$E$1006,0))),
IF($E415=1,IF(INDEX(HY!$V$5:$V$1006,MATCH($C415,HY!$E$5:$E$1006,0))="","",INDEX(HY!$V$5:$V$1006,MATCH($C415,HY!$E$5:$E$1006,0))),
IF($E415=2,IF(INDEX(HY!$AA$5:$AA$1006,MATCH($C415,HY!$E$5:$E$1006,0))="","",INDEX(HY!$AA$5:$AA$1006,MATCH($C415,HY!$E$5:$E$1006,0))),
IF($E415=3,IF(INDEX(HY!$AF$5:$AF$1006,MATCH($C415,HY!$E$5:$E$1006,0))="","",INDEX(HY!$AF$5:$AF$1006,MATCH($C415,HY!$E$5:$E$1006,0))),
IF($E415=4,IF(INDEX(HY!$AK$5:$AK$1006,MATCH($C415,HY!$E$5:$E$1006,0))="","",INDEX(HY!$AK$5:$AK$1006,MATCH($C415,HY!$E$5:$E$1006,0))),
IF($E415=5,IF(INDEX(HY!$AP$5:$AP$1006,MATCH($C415,HY!$E$5:$E$1006,0))="","",INDEX(HY!$AP$5:$AP$1006,MATCH($C415,HY!$E$5:$E$1006,0))),"")))))))</f>
        <v/>
      </c>
      <c r="J415" s="459" t="str">
        <f>IF(ISNA(MATCH($C415,HY!$E$5:$E$1006,0)),"",
IF($E415=0,IF(INDEX(HY!$R$5:$R$1006,MATCH($C415,HY!$E$5:$E$1006,0))="","",INDEX(HY!$R$5:$R$1006,MATCH($C415,HY!$E$5:$E$1006,0))),
IF($E415=1,IF(INDEX(HY!$W$5:$W$1006,MATCH($C415,HY!$E$5:$E$1006,0))="","",INDEX(HY!$W$5:$W$1006,MATCH($C415,HY!$E$5:$E$1006,0))),
IF($E415=2,IF(INDEX(HY!$AB$5:$AB$1006,MATCH($C415,HY!$E$5:$E$1006,0))="","",INDEX(HY!$AB$5:$AB$1006,MATCH($C415,HY!$E$5:$E$1006,0))),
IF($E415=3,IF(INDEX(HY!$AG$5:$AG$1006,MATCH($C415,HY!$E$5:$E$1006,0))="","",INDEX(HY!$AG$5:$AG$1006,MATCH($C415,HY!$E$5:$E$1006,0))),
IF($E415=4,IF(INDEX(HY!$AL$5:$AL$1006,MATCH($C415,HY!$E$5:$E$1006,0))="","",INDEX(HY!$AL$5:$AL$1006,MATCH($C415,HY!$E$5:$E$1006,0))),
IF($E415=5,IF(INDEX(HY!$AQ$5:$AQ$1006,MATCH($C415,HY!$E$5:$E$1006,0))="","",INDEX(HY!$AQ$5:$AQ$1006,MATCH($C415,HY!$E$5:$E$1006,0))),"")))))))</f>
        <v/>
      </c>
      <c r="K415" s="459" t="str">
        <f>HY!J11</f>
        <v>AUR</v>
      </c>
      <c r="L415" s="460" cm="1">
        <f t="array" aca="1" ref="L415" ca="1">_xlfn.IFS(AND($E415&lt;&gt;"",$M415="Pending",$K415="CTA"),TODAY()-$G415,AND($E415&lt;&gt;"",$M415="Pending",$K415="AUR"),TODAY()-$H415,AND($E415&lt;&gt;"",$M415="Pending",$K415="STT"),TODAY()-$I415,OR(K415="Closed",K415=""),"")</f>
        <v>11</v>
      </c>
      <c r="M415" s="461" t="str">
        <f>VLOOKUP(C415,HY!$E$4:$AC$618,7,0)</f>
        <v>Pending</v>
      </c>
      <c r="N415" s="454" t="str">
        <f t="shared" ca="1" si="17"/>
        <v>Overdue</v>
      </c>
      <c r="O415" s="739" t="str">
        <f>HY!M11</f>
        <v>GC</v>
      </c>
      <c r="P415" s="746" t="str">
        <v>YES</v>
      </c>
    </row>
    <row r="416" spans="1:16" s="385" customFormat="1" ht="24.75" customHeight="1">
      <c r="A416" s="399">
        <v>9</v>
      </c>
      <c r="B416" s="607" t="s">
        <v>22</v>
      </c>
      <c r="C416" s="454" t="s">
        <v>1406</v>
      </c>
      <c r="D416" s="456" t="str">
        <f>_xlfn.XLOOKUP(C416,HY!$E$5:$E$256,HY!$D$5:$D$256)</f>
        <v>Electrical Single Line Diagram</v>
      </c>
      <c r="E416" s="454">
        <f>IF(VLOOKUP(C416,HY!$E$5:$AC$495,5,0)="","",VLOOKUP(C416,HY!$E$5:$AC$994,5,0))</f>
        <v>0</v>
      </c>
      <c r="F416" s="457"/>
      <c r="G416" s="459">
        <f>IF(VLOOKUP(C416,HY!$E$5:$AC$495,3,0)="","",VLOOKUP(C416,HY!$E$5:$AC$495,3,0))</f>
        <v>46036</v>
      </c>
      <c r="H416" s="459">
        <f>IF(ISNA(MATCH($C416,HY!$E$5:$E$1006,0)),"",
IF($E416=0,IF(INDEX(HY!$P$5:$P$1006,MATCH($C416,HY!$E$5:$E$1006,0))="","",INDEX(HY!$P$5:$P$1006,MATCH($C416,HY!$E$5:$E$1006,0))),
IF($E416=1,IF(INDEX(HY!$U$5:$U$1006,MATCH($C416,HY!$E$5:$E$1006,0))="","",INDEX(HY!$U$5:$U$1006,MATCH($C416,HY!$E$5:$E$1006,0))),
IF($E416=2,IF(INDEX(HY!$Z$5:$Z$1006,MATCH($C416,HY!$E$5:$E$1006,0))="","",INDEX(HY!$Z$5:$Z$1006,MATCH($C416,HY!$E$5:$E$1006,0))),
IF($E416=3,IF(INDEX(HY!$AE$5:$AE$1006,MATCH($C416,HY!$E$5:$E$1006,0))="","",INDEX(HY!$AE$5:$AE$1006,MATCH($C416,HY!$E$5:$E$1006,0))),
IF($E416=4,IF(INDEX(HY!$AJ$5:$AJ$1006,MATCH($C416,HY!$E$5:$E$1006,0))="","",INDEX(HY!$AJ$5:$AJ$1006,MATCH($C416,HY!$E$5:$E$1006,0))),
IF($E416=5,IF(INDEX(HY!$AO$5:$AO$1006,MATCH($C416,HY!$E$5:$E$1006,0))="","",INDEX(HY!$AO$5:$AO$1006,MATCH($C416,HY!$E$5:$E$1006,0))),"")))))))</f>
        <v>46055</v>
      </c>
      <c r="I416" s="459" t="str">
        <f>IF(ISNA(MATCH($C416,HY!$E$5:$E$1006,0)),"",
IF($E416=0,IF(INDEX(HY!$Q$5:$Q$1006,MATCH($C416,HY!$E$5:$E$1006,0))="","",INDEX(HY!$Q$5:$Q$1006,MATCH($C416,HY!$E$5:$E$1006,0))),
IF($E416=1,IF(INDEX(HY!$V$5:$V$1006,MATCH($C416,HY!$E$5:$E$1006,0))="","",INDEX(HY!$V$5:$V$1006,MATCH($C416,HY!$E$5:$E$1006,0))),
IF($E416=2,IF(INDEX(HY!$AA$5:$AA$1006,MATCH($C416,HY!$E$5:$E$1006,0))="","",INDEX(HY!$AA$5:$AA$1006,MATCH($C416,HY!$E$5:$E$1006,0))),
IF($E416=3,IF(INDEX(HY!$AF$5:$AF$1006,MATCH($C416,HY!$E$5:$E$1006,0))="","",INDEX(HY!$AF$5:$AF$1006,MATCH($C416,HY!$E$5:$E$1006,0))),
IF($E416=4,IF(INDEX(HY!$AK$5:$AK$1006,MATCH($C416,HY!$E$5:$E$1006,0))="","",INDEX(HY!$AK$5:$AK$1006,MATCH($C416,HY!$E$5:$E$1006,0))),
IF($E416=5,IF(INDEX(HY!$AP$5:$AP$1006,MATCH($C416,HY!$E$5:$E$1006,0))="","",INDEX(HY!$AP$5:$AP$1006,MATCH($C416,HY!$E$5:$E$1006,0))),"")))))))</f>
        <v/>
      </c>
      <c r="J416" s="459" t="str">
        <f>IF(ISNA(MATCH($C416,HY!$E$5:$E$1006,0)),"",
IF($E416=0,IF(INDEX(HY!$R$5:$R$1006,MATCH($C416,HY!$E$5:$E$1006,0))="","",INDEX(HY!$R$5:$R$1006,MATCH($C416,HY!$E$5:$E$1006,0))),
IF($E416=1,IF(INDEX(HY!$W$5:$W$1006,MATCH($C416,HY!$E$5:$E$1006,0))="","",INDEX(HY!$W$5:$W$1006,MATCH($C416,HY!$E$5:$E$1006,0))),
IF($E416=2,IF(INDEX(HY!$AB$5:$AB$1006,MATCH($C416,HY!$E$5:$E$1006,0))="","",INDEX(HY!$AB$5:$AB$1006,MATCH($C416,HY!$E$5:$E$1006,0))),
IF($E416=3,IF(INDEX(HY!$AG$5:$AG$1006,MATCH($C416,HY!$E$5:$E$1006,0))="","",INDEX(HY!$AG$5:$AG$1006,MATCH($C416,HY!$E$5:$E$1006,0))),
IF($E416=4,IF(INDEX(HY!$AL$5:$AL$1006,MATCH($C416,HY!$E$5:$E$1006,0))="","",INDEX(HY!$AL$5:$AL$1006,MATCH($C416,HY!$E$5:$E$1006,0))),
IF($E416=5,IF(INDEX(HY!$AQ$5:$AQ$1006,MATCH($C416,HY!$E$5:$E$1006,0))="","",INDEX(HY!$AQ$5:$AQ$1006,MATCH($C416,HY!$E$5:$E$1006,0))),"")))))))</f>
        <v/>
      </c>
      <c r="K416" s="459" t="str">
        <f>HY!J12</f>
        <v>AUR</v>
      </c>
      <c r="L416" s="460" cm="1">
        <f t="array" aca="1" ref="L416" ca="1">_xlfn.IFS(AND($E416&lt;&gt;"",$M416="Pending",$K416="CTA"),TODAY()-$G416,AND($E416&lt;&gt;"",$M416="Pending",$K416="AUR"),TODAY()-$H416,AND($E416&lt;&gt;"",$M416="Pending",$K416="STT"),TODAY()-$I416,OR(K416="Closed",K416=""),"")</f>
        <v>11</v>
      </c>
      <c r="M416" s="461" t="str">
        <f>VLOOKUP(C416,HY!$E$4:$AC$618,7,0)</f>
        <v>Pending</v>
      </c>
      <c r="N416" s="454" t="str">
        <f t="shared" ref="N416:N445" ca="1" si="19">IF(AND(E416&lt;&gt;"",M416="Pending"),IF(L416&gt;=5,"Overdue",IF(L416&gt;=3,"High","")),"")</f>
        <v>Overdue</v>
      </c>
      <c r="O416" s="739" t="str">
        <f>HY!M12</f>
        <v>GC</v>
      </c>
      <c r="P416" s="746" t="str">
        <v>NO</v>
      </c>
    </row>
    <row r="417" spans="1:16" s="385" customFormat="1" ht="24.75" hidden="1" customHeight="1">
      <c r="A417" s="399">
        <v>10</v>
      </c>
      <c r="B417" s="455" t="s">
        <v>22</v>
      </c>
      <c r="C417" s="454" t="s">
        <v>1409</v>
      </c>
      <c r="D417" s="456" t="str">
        <f>_xlfn.XLOOKUP(C417,HY!$E$5:$E$256,HY!$D$5:$D$256)</f>
        <v>Site Plan - Water Supply System Layout</v>
      </c>
      <c r="E417" s="454" t="str">
        <f>IF(VLOOKUP(C417,HY!$E$5:$AC$495,5,0)="","",VLOOKUP(C417,HY!$E$5:$AC$994,5,0))</f>
        <v/>
      </c>
      <c r="F417" s="457"/>
      <c r="G417" s="459" t="str">
        <f>IF(VLOOKUP(C417,HY!$E$5:$AC$495,3,0)="","",VLOOKUP(C417,HY!$E$5:$AC$495,3,0))</f>
        <v/>
      </c>
      <c r="H417" s="459" t="str">
        <f>IF(ISNA(MATCH($C417,HY!$E$5:$E$1006,0)),"",
IF($E417=0,IF(INDEX(HY!$P$5:$P$1006,MATCH($C417,HY!$E$5:$E$1006,0))="","",INDEX(HY!$P$5:$P$1006,MATCH($C417,HY!$E$5:$E$1006,0))),
IF($E417=1,IF(INDEX(HY!$U$5:$U$1006,MATCH($C417,HY!$E$5:$E$1006,0))="","",INDEX(HY!$U$5:$U$1006,MATCH($C417,HY!$E$5:$E$1006,0))),
IF($E417=2,IF(INDEX(HY!$Z$5:$Z$1006,MATCH($C417,HY!$E$5:$E$1006,0))="","",INDEX(HY!$Z$5:$Z$1006,MATCH($C417,HY!$E$5:$E$1006,0))),
IF($E417=3,IF(INDEX(HY!$AE$5:$AE$1006,MATCH($C417,HY!$E$5:$E$1006,0))="","",INDEX(HY!$AE$5:$AE$1006,MATCH($C417,HY!$E$5:$E$1006,0))),
IF($E417=4,IF(INDEX(HY!$AJ$5:$AJ$1006,MATCH($C417,HY!$E$5:$E$1006,0))="","",INDEX(HY!$AJ$5:$AJ$1006,MATCH($C417,HY!$E$5:$E$1006,0))),
IF($E417=5,IF(INDEX(HY!$AO$5:$AO$1006,MATCH($C417,HY!$E$5:$E$1006,0))="","",INDEX(HY!$AO$5:$AO$1006,MATCH($C417,HY!$E$5:$E$1006,0))),"")))))))</f>
        <v/>
      </c>
      <c r="I417" s="459" t="str">
        <f>IF(ISNA(MATCH($C417,HY!$E$5:$E$1006,0)),"",
IF($E417=0,IF(INDEX(HY!$Q$5:$Q$1006,MATCH($C417,HY!$E$5:$E$1006,0))="","",INDEX(HY!$Q$5:$Q$1006,MATCH($C417,HY!$E$5:$E$1006,0))),
IF($E417=1,IF(INDEX(HY!$V$5:$V$1006,MATCH($C417,HY!$E$5:$E$1006,0))="","",INDEX(HY!$V$5:$V$1006,MATCH($C417,HY!$E$5:$E$1006,0))),
IF($E417=2,IF(INDEX(HY!$AA$5:$AA$1006,MATCH($C417,HY!$E$5:$E$1006,0))="","",INDEX(HY!$AA$5:$AA$1006,MATCH($C417,HY!$E$5:$E$1006,0))),
IF($E417=3,IF(INDEX(HY!$AF$5:$AF$1006,MATCH($C417,HY!$E$5:$E$1006,0))="","",INDEX(HY!$AF$5:$AF$1006,MATCH($C417,HY!$E$5:$E$1006,0))),
IF($E417=4,IF(INDEX(HY!$AK$5:$AK$1006,MATCH($C417,HY!$E$5:$E$1006,0))="","",INDEX(HY!$AK$5:$AK$1006,MATCH($C417,HY!$E$5:$E$1006,0))),
IF($E417=5,IF(INDEX(HY!$AP$5:$AP$1006,MATCH($C417,HY!$E$5:$E$1006,0))="","",INDEX(HY!$AP$5:$AP$1006,MATCH($C417,HY!$E$5:$E$1006,0))),"")))))))</f>
        <v/>
      </c>
      <c r="J417" s="459" t="str">
        <f>IF(ISNA(MATCH($C417,HY!$E$5:$E$1006,0)),"",
IF($E417=0,IF(INDEX(HY!$R$5:$R$1006,MATCH($C417,HY!$E$5:$E$1006,0))="","",INDEX(HY!$R$5:$R$1006,MATCH($C417,HY!$E$5:$E$1006,0))),
IF($E417=1,IF(INDEX(HY!$W$5:$W$1006,MATCH($C417,HY!$E$5:$E$1006,0))="","",INDEX(HY!$W$5:$W$1006,MATCH($C417,HY!$E$5:$E$1006,0))),
IF($E417=2,IF(INDEX(HY!$AB$5:$AB$1006,MATCH($C417,HY!$E$5:$E$1006,0))="","",INDEX(HY!$AB$5:$AB$1006,MATCH($C417,HY!$E$5:$E$1006,0))),
IF($E417=3,IF(INDEX(HY!$AG$5:$AG$1006,MATCH($C417,HY!$E$5:$E$1006,0))="","",INDEX(HY!$AG$5:$AG$1006,MATCH($C417,HY!$E$5:$E$1006,0))),
IF($E417=4,IF(INDEX(HY!$AL$5:$AL$1006,MATCH($C417,HY!$E$5:$E$1006,0))="","",INDEX(HY!$AL$5:$AL$1006,MATCH($C417,HY!$E$5:$E$1006,0))),
IF($E417=5,IF(INDEX(HY!$AQ$5:$AQ$1006,MATCH($C417,HY!$E$5:$E$1006,0))="","",INDEX(HY!$AQ$5:$AQ$1006,MATCH($C417,HY!$E$5:$E$1006,0))),"")))))))</f>
        <v/>
      </c>
      <c r="K417" s="459">
        <f>HY!J13</f>
        <v>0</v>
      </c>
      <c r="L417" s="460" t="e" cm="1">
        <f t="array" aca="1" ref="L417" ca="1">_xlfn.IFS(AND($E417&lt;&gt;"",$M417="Pending",$K417="CTA"),TODAY()-$G417,AND($E417&lt;&gt;"",$M417="Pending",$K417="AUR"),TODAY()-$H417,AND($E417&lt;&gt;"",$M417="Pending",$K417="STT"),TODAY()-$I417,OR(K417="Closed",K417=""),"")</f>
        <v>#N/A</v>
      </c>
      <c r="M417" s="461">
        <f>VLOOKUP(C417,HY!$E$4:$AC$618,7,0)</f>
        <v>0</v>
      </c>
      <c r="N417" s="454" t="str">
        <f t="shared" si="19"/>
        <v/>
      </c>
      <c r="O417" s="739" t="str">
        <f>HY!M13</f>
        <v>GC</v>
      </c>
      <c r="P417" s="746" t="str">
        <v>NO</v>
      </c>
    </row>
    <row r="418" spans="1:16" s="385" customFormat="1" ht="24.75" hidden="1" customHeight="1">
      <c r="A418" s="399">
        <v>11</v>
      </c>
      <c r="B418" s="455" t="s">
        <v>22</v>
      </c>
      <c r="C418" s="454" t="s">
        <v>1412</v>
      </c>
      <c r="D418" s="456" t="str">
        <f>_xlfn.XLOOKUP(C418,HY!$E$5:$E$256,HY!$D$5:$D$256)</f>
        <v>Level 1 - Water Supply System Layout Plan</v>
      </c>
      <c r="E418" s="454" t="str">
        <f>IF(VLOOKUP(C418,HY!$E$5:$AC$495,5,0)="","",VLOOKUP(C418,HY!$E$5:$AC$994,5,0))</f>
        <v/>
      </c>
      <c r="F418" s="457"/>
      <c r="G418" s="459" t="str">
        <f>IF(VLOOKUP(C418,HY!$E$5:$AC$495,3,0)="","",VLOOKUP(C418,HY!$E$5:$AC$495,3,0))</f>
        <v/>
      </c>
      <c r="H418" s="459" t="str">
        <f>IF(ISNA(MATCH($C418,HY!$E$5:$E$1006,0)),"",
IF($E418=0,IF(INDEX(HY!$P$5:$P$1006,MATCH($C418,HY!$E$5:$E$1006,0))="","",INDEX(HY!$P$5:$P$1006,MATCH($C418,HY!$E$5:$E$1006,0))),
IF($E418=1,IF(INDEX(HY!$U$5:$U$1006,MATCH($C418,HY!$E$5:$E$1006,0))="","",INDEX(HY!$U$5:$U$1006,MATCH($C418,HY!$E$5:$E$1006,0))),
IF($E418=2,IF(INDEX(HY!$Z$5:$Z$1006,MATCH($C418,HY!$E$5:$E$1006,0))="","",INDEX(HY!$Z$5:$Z$1006,MATCH($C418,HY!$E$5:$E$1006,0))),
IF($E418=3,IF(INDEX(HY!$AE$5:$AE$1006,MATCH($C418,HY!$E$5:$E$1006,0))="","",INDEX(HY!$AE$5:$AE$1006,MATCH($C418,HY!$E$5:$E$1006,0))),
IF($E418=4,IF(INDEX(HY!$AJ$5:$AJ$1006,MATCH($C418,HY!$E$5:$E$1006,0))="","",INDEX(HY!$AJ$5:$AJ$1006,MATCH($C418,HY!$E$5:$E$1006,0))),
IF($E418=5,IF(INDEX(HY!$AO$5:$AO$1006,MATCH($C418,HY!$E$5:$E$1006,0))="","",INDEX(HY!$AO$5:$AO$1006,MATCH($C418,HY!$E$5:$E$1006,0))),"")))))))</f>
        <v/>
      </c>
      <c r="I418" s="459" t="str">
        <f>IF(ISNA(MATCH($C418,HY!$E$5:$E$1006,0)),"",
IF($E418=0,IF(INDEX(HY!$Q$5:$Q$1006,MATCH($C418,HY!$E$5:$E$1006,0))="","",INDEX(HY!$Q$5:$Q$1006,MATCH($C418,HY!$E$5:$E$1006,0))),
IF($E418=1,IF(INDEX(HY!$V$5:$V$1006,MATCH($C418,HY!$E$5:$E$1006,0))="","",INDEX(HY!$V$5:$V$1006,MATCH($C418,HY!$E$5:$E$1006,0))),
IF($E418=2,IF(INDEX(HY!$AA$5:$AA$1006,MATCH($C418,HY!$E$5:$E$1006,0))="","",INDEX(HY!$AA$5:$AA$1006,MATCH($C418,HY!$E$5:$E$1006,0))),
IF($E418=3,IF(INDEX(HY!$AF$5:$AF$1006,MATCH($C418,HY!$E$5:$E$1006,0))="","",INDEX(HY!$AF$5:$AF$1006,MATCH($C418,HY!$E$5:$E$1006,0))),
IF($E418=4,IF(INDEX(HY!$AK$5:$AK$1006,MATCH($C418,HY!$E$5:$E$1006,0))="","",INDEX(HY!$AK$5:$AK$1006,MATCH($C418,HY!$E$5:$E$1006,0))),
IF($E418=5,IF(INDEX(HY!$AP$5:$AP$1006,MATCH($C418,HY!$E$5:$E$1006,0))="","",INDEX(HY!$AP$5:$AP$1006,MATCH($C418,HY!$E$5:$E$1006,0))),"")))))))</f>
        <v/>
      </c>
      <c r="J418" s="459" t="str">
        <f>IF(ISNA(MATCH($C418,HY!$E$5:$E$1006,0)),"",
IF($E418=0,IF(INDEX(HY!$R$5:$R$1006,MATCH($C418,HY!$E$5:$E$1006,0))="","",INDEX(HY!$R$5:$R$1006,MATCH($C418,HY!$E$5:$E$1006,0))),
IF($E418=1,IF(INDEX(HY!$W$5:$W$1006,MATCH($C418,HY!$E$5:$E$1006,0))="","",INDEX(HY!$W$5:$W$1006,MATCH($C418,HY!$E$5:$E$1006,0))),
IF($E418=2,IF(INDEX(HY!$AB$5:$AB$1006,MATCH($C418,HY!$E$5:$E$1006,0))="","",INDEX(HY!$AB$5:$AB$1006,MATCH($C418,HY!$E$5:$E$1006,0))),
IF($E418=3,IF(INDEX(HY!$AG$5:$AG$1006,MATCH($C418,HY!$E$5:$E$1006,0))="","",INDEX(HY!$AG$5:$AG$1006,MATCH($C418,HY!$E$5:$E$1006,0))),
IF($E418=4,IF(INDEX(HY!$AL$5:$AL$1006,MATCH($C418,HY!$E$5:$E$1006,0))="","",INDEX(HY!$AL$5:$AL$1006,MATCH($C418,HY!$E$5:$E$1006,0))),
IF($E418=5,IF(INDEX(HY!$AQ$5:$AQ$1006,MATCH($C418,HY!$E$5:$E$1006,0))="","",INDEX(HY!$AQ$5:$AQ$1006,MATCH($C418,HY!$E$5:$E$1006,0))),"")))))))</f>
        <v/>
      </c>
      <c r="K418" s="459">
        <f>HY!J14</f>
        <v>0</v>
      </c>
      <c r="L418" s="460" t="e" cm="1">
        <f t="array" aca="1" ref="L418" ca="1">_xlfn.IFS(AND($E418&lt;&gt;"",$M418="Pending",$K418="CTA"),TODAY()-$G418,AND($E418&lt;&gt;"",$M418="Pending",$K418="AUR"),TODAY()-$H418,AND($E418&lt;&gt;"",$M418="Pending",$K418="STT"),TODAY()-$I418,OR(K418="Closed",K418=""),"")</f>
        <v>#N/A</v>
      </c>
      <c r="M418" s="461">
        <f>VLOOKUP(C418,HY!$E$4:$AC$618,7,0)</f>
        <v>0</v>
      </c>
      <c r="N418" s="454" t="str">
        <f t="shared" si="19"/>
        <v/>
      </c>
      <c r="O418" s="739" t="str">
        <f>HY!M14</f>
        <v>GC</v>
      </c>
      <c r="P418" s="746" t="str">
        <v>NO</v>
      </c>
    </row>
    <row r="419" spans="1:16" s="385" customFormat="1" ht="24.75" hidden="1" customHeight="1">
      <c r="A419" s="399">
        <v>12</v>
      </c>
      <c r="B419" s="455" t="s">
        <v>22</v>
      </c>
      <c r="C419" s="454" t="s">
        <v>1415</v>
      </c>
      <c r="D419" s="456" t="str">
        <f>_xlfn.XLOOKUP(C419,HY!$E$5:$E$256,HY!$D$5:$D$256)</f>
        <v>Level 2 - Water Supply System Layout Plan</v>
      </c>
      <c r="E419" s="454" t="str">
        <f>IF(VLOOKUP(C419,HY!$E$5:$AC$495,5,0)="","",VLOOKUP(C419,HY!$E$5:$AC$994,5,0))</f>
        <v/>
      </c>
      <c r="F419" s="457"/>
      <c r="G419" s="459" t="str">
        <f>IF(VLOOKUP(C419,HY!$E$5:$AC$495,3,0)="","",VLOOKUP(C419,HY!$E$5:$AC$495,3,0))</f>
        <v/>
      </c>
      <c r="H419" s="459" t="str">
        <f>IF(ISNA(MATCH($C419,HY!$E$5:$E$1006,0)),"",
IF($E419=0,IF(INDEX(HY!$P$5:$P$1006,MATCH($C419,HY!$E$5:$E$1006,0))="","",INDEX(HY!$P$5:$P$1006,MATCH($C419,HY!$E$5:$E$1006,0))),
IF($E419=1,IF(INDEX(HY!$U$5:$U$1006,MATCH($C419,HY!$E$5:$E$1006,0))="","",INDEX(HY!$U$5:$U$1006,MATCH($C419,HY!$E$5:$E$1006,0))),
IF($E419=2,IF(INDEX(HY!$Z$5:$Z$1006,MATCH($C419,HY!$E$5:$E$1006,0))="","",INDEX(HY!$Z$5:$Z$1006,MATCH($C419,HY!$E$5:$E$1006,0))),
IF($E419=3,IF(INDEX(HY!$AE$5:$AE$1006,MATCH($C419,HY!$E$5:$E$1006,0))="","",INDEX(HY!$AE$5:$AE$1006,MATCH($C419,HY!$E$5:$E$1006,0))),
IF($E419=4,IF(INDEX(HY!$AJ$5:$AJ$1006,MATCH($C419,HY!$E$5:$E$1006,0))="","",INDEX(HY!$AJ$5:$AJ$1006,MATCH($C419,HY!$E$5:$E$1006,0))),
IF($E419=5,IF(INDEX(HY!$AO$5:$AO$1006,MATCH($C419,HY!$E$5:$E$1006,0))="","",INDEX(HY!$AO$5:$AO$1006,MATCH($C419,HY!$E$5:$E$1006,0))),"")))))))</f>
        <v/>
      </c>
      <c r="I419" s="459" t="str">
        <f>IF(ISNA(MATCH($C419,HY!$E$5:$E$1006,0)),"",
IF($E419=0,IF(INDEX(HY!$Q$5:$Q$1006,MATCH($C419,HY!$E$5:$E$1006,0))="","",INDEX(HY!$Q$5:$Q$1006,MATCH($C419,HY!$E$5:$E$1006,0))),
IF($E419=1,IF(INDEX(HY!$V$5:$V$1006,MATCH($C419,HY!$E$5:$E$1006,0))="","",INDEX(HY!$V$5:$V$1006,MATCH($C419,HY!$E$5:$E$1006,0))),
IF($E419=2,IF(INDEX(HY!$AA$5:$AA$1006,MATCH($C419,HY!$E$5:$E$1006,0))="","",INDEX(HY!$AA$5:$AA$1006,MATCH($C419,HY!$E$5:$E$1006,0))),
IF($E419=3,IF(INDEX(HY!$AF$5:$AF$1006,MATCH($C419,HY!$E$5:$E$1006,0))="","",INDEX(HY!$AF$5:$AF$1006,MATCH($C419,HY!$E$5:$E$1006,0))),
IF($E419=4,IF(INDEX(HY!$AK$5:$AK$1006,MATCH($C419,HY!$E$5:$E$1006,0))="","",INDEX(HY!$AK$5:$AK$1006,MATCH($C419,HY!$E$5:$E$1006,0))),
IF($E419=5,IF(INDEX(HY!$AP$5:$AP$1006,MATCH($C419,HY!$E$5:$E$1006,0))="","",INDEX(HY!$AP$5:$AP$1006,MATCH($C419,HY!$E$5:$E$1006,0))),"")))))))</f>
        <v/>
      </c>
      <c r="J419" s="459" t="str">
        <f>IF(ISNA(MATCH($C419,HY!$E$5:$E$1006,0)),"",
IF($E419=0,IF(INDEX(HY!$R$5:$R$1006,MATCH($C419,HY!$E$5:$E$1006,0))="","",INDEX(HY!$R$5:$R$1006,MATCH($C419,HY!$E$5:$E$1006,0))),
IF($E419=1,IF(INDEX(HY!$W$5:$W$1006,MATCH($C419,HY!$E$5:$E$1006,0))="","",INDEX(HY!$W$5:$W$1006,MATCH($C419,HY!$E$5:$E$1006,0))),
IF($E419=2,IF(INDEX(HY!$AB$5:$AB$1006,MATCH($C419,HY!$E$5:$E$1006,0))="","",INDEX(HY!$AB$5:$AB$1006,MATCH($C419,HY!$E$5:$E$1006,0))),
IF($E419=3,IF(INDEX(HY!$AG$5:$AG$1006,MATCH($C419,HY!$E$5:$E$1006,0))="","",INDEX(HY!$AG$5:$AG$1006,MATCH($C419,HY!$E$5:$E$1006,0))),
IF($E419=4,IF(INDEX(HY!$AL$5:$AL$1006,MATCH($C419,HY!$E$5:$E$1006,0))="","",INDEX(HY!$AL$5:$AL$1006,MATCH($C419,HY!$E$5:$E$1006,0))),
IF($E419=5,IF(INDEX(HY!$AQ$5:$AQ$1006,MATCH($C419,HY!$E$5:$E$1006,0))="","",INDEX(HY!$AQ$5:$AQ$1006,MATCH($C419,HY!$E$5:$E$1006,0))),"")))))))</f>
        <v/>
      </c>
      <c r="K419" s="459">
        <f>HY!J15</f>
        <v>0</v>
      </c>
      <c r="L419" s="460" t="e" cm="1">
        <f t="array" aca="1" ref="L419" ca="1">_xlfn.IFS(AND($E419&lt;&gt;"",$M419="Pending",$K419="CTA"),TODAY()-$G419,AND($E419&lt;&gt;"",$M419="Pending",$K419="AUR"),TODAY()-$H419,AND($E419&lt;&gt;"",$M419="Pending",$K419="STT"),TODAY()-$I419,OR(K419="Closed",K419=""),"")</f>
        <v>#N/A</v>
      </c>
      <c r="M419" s="461">
        <f>VLOOKUP(C419,HY!$E$4:$AC$618,7,0)</f>
        <v>0</v>
      </c>
      <c r="N419" s="454" t="str">
        <f t="shared" si="19"/>
        <v/>
      </c>
      <c r="O419" s="739" t="str">
        <f>HY!M15</f>
        <v>GC</v>
      </c>
      <c r="P419" s="746" t="str">
        <v>NO</v>
      </c>
    </row>
    <row r="420" spans="1:16" s="385" customFormat="1" ht="24.75" hidden="1" customHeight="1">
      <c r="A420" s="399">
        <v>13</v>
      </c>
      <c r="B420" s="455" t="s">
        <v>22</v>
      </c>
      <c r="C420" s="454" t="s">
        <v>1419</v>
      </c>
      <c r="D420" s="456" t="str">
        <f>_xlfn.XLOOKUP(C420,HY!$E$5:$E$256,HY!$D$5:$D$256)</f>
        <v>Level 6 - Water Supply System Layout Plan</v>
      </c>
      <c r="E420" s="454" t="str">
        <f>IF(VLOOKUP(C420,HY!$E$5:$AC$495,5,0)="","",VLOOKUP(C420,HY!$E$5:$AC$994,5,0))</f>
        <v/>
      </c>
      <c r="F420" s="457"/>
      <c r="G420" s="459" t="str">
        <f>IF(VLOOKUP(C420,HY!$E$5:$AC$495,3,0)="","",VLOOKUP(C420,HY!$E$5:$AC$495,3,0))</f>
        <v/>
      </c>
      <c r="H420" s="459" t="str">
        <f>IF(ISNA(MATCH($C420,HY!$E$5:$E$1006,0)),"",
IF($E420=0,IF(INDEX(HY!$P$5:$P$1006,MATCH($C420,HY!$E$5:$E$1006,0))="","",INDEX(HY!$P$5:$P$1006,MATCH($C420,HY!$E$5:$E$1006,0))),
IF($E420=1,IF(INDEX(HY!$U$5:$U$1006,MATCH($C420,HY!$E$5:$E$1006,0))="","",INDEX(HY!$U$5:$U$1006,MATCH($C420,HY!$E$5:$E$1006,0))),
IF($E420=2,IF(INDEX(HY!$Z$5:$Z$1006,MATCH($C420,HY!$E$5:$E$1006,0))="","",INDEX(HY!$Z$5:$Z$1006,MATCH($C420,HY!$E$5:$E$1006,0))),
IF($E420=3,IF(INDEX(HY!$AE$5:$AE$1006,MATCH($C420,HY!$E$5:$E$1006,0))="","",INDEX(HY!$AE$5:$AE$1006,MATCH($C420,HY!$E$5:$E$1006,0))),
IF($E420=4,IF(INDEX(HY!$AJ$5:$AJ$1006,MATCH($C420,HY!$E$5:$E$1006,0))="","",INDEX(HY!$AJ$5:$AJ$1006,MATCH($C420,HY!$E$5:$E$1006,0))),
IF($E420=5,IF(INDEX(HY!$AO$5:$AO$1006,MATCH($C420,HY!$E$5:$E$1006,0))="","",INDEX(HY!$AO$5:$AO$1006,MATCH($C420,HY!$E$5:$E$1006,0))),"")))))))</f>
        <v/>
      </c>
      <c r="I420" s="459" t="str">
        <f>IF(ISNA(MATCH($C420,HY!$E$5:$E$1006,0)),"",
IF($E420=0,IF(INDEX(HY!$Q$5:$Q$1006,MATCH($C420,HY!$E$5:$E$1006,0))="","",INDEX(HY!$Q$5:$Q$1006,MATCH($C420,HY!$E$5:$E$1006,0))),
IF($E420=1,IF(INDEX(HY!$V$5:$V$1006,MATCH($C420,HY!$E$5:$E$1006,0))="","",INDEX(HY!$V$5:$V$1006,MATCH($C420,HY!$E$5:$E$1006,0))),
IF($E420=2,IF(INDEX(HY!$AA$5:$AA$1006,MATCH($C420,HY!$E$5:$E$1006,0))="","",INDEX(HY!$AA$5:$AA$1006,MATCH($C420,HY!$E$5:$E$1006,0))),
IF($E420=3,IF(INDEX(HY!$AF$5:$AF$1006,MATCH($C420,HY!$E$5:$E$1006,0))="","",INDEX(HY!$AF$5:$AF$1006,MATCH($C420,HY!$E$5:$E$1006,0))),
IF($E420=4,IF(INDEX(HY!$AK$5:$AK$1006,MATCH($C420,HY!$E$5:$E$1006,0))="","",INDEX(HY!$AK$5:$AK$1006,MATCH($C420,HY!$E$5:$E$1006,0))),
IF($E420=5,IF(INDEX(HY!$AP$5:$AP$1006,MATCH($C420,HY!$E$5:$E$1006,0))="","",INDEX(HY!$AP$5:$AP$1006,MATCH($C420,HY!$E$5:$E$1006,0))),"")))))))</f>
        <v/>
      </c>
      <c r="J420" s="459" t="str">
        <f>IF(ISNA(MATCH($C420,HY!$E$5:$E$1006,0)),"",
IF($E420=0,IF(INDEX(HY!$R$5:$R$1006,MATCH($C420,HY!$E$5:$E$1006,0))="","",INDEX(HY!$R$5:$R$1006,MATCH($C420,HY!$E$5:$E$1006,0))),
IF($E420=1,IF(INDEX(HY!$W$5:$W$1006,MATCH($C420,HY!$E$5:$E$1006,0))="","",INDEX(HY!$W$5:$W$1006,MATCH($C420,HY!$E$5:$E$1006,0))),
IF($E420=2,IF(INDEX(HY!$AB$5:$AB$1006,MATCH($C420,HY!$E$5:$E$1006,0))="","",INDEX(HY!$AB$5:$AB$1006,MATCH($C420,HY!$E$5:$E$1006,0))),
IF($E420=3,IF(INDEX(HY!$AG$5:$AG$1006,MATCH($C420,HY!$E$5:$E$1006,0))="","",INDEX(HY!$AG$5:$AG$1006,MATCH($C420,HY!$E$5:$E$1006,0))),
IF($E420=4,IF(INDEX(HY!$AL$5:$AL$1006,MATCH($C420,HY!$E$5:$E$1006,0))="","",INDEX(HY!$AL$5:$AL$1006,MATCH($C420,HY!$E$5:$E$1006,0))),
IF($E420=5,IF(INDEX(HY!$AQ$5:$AQ$1006,MATCH($C420,HY!$E$5:$E$1006,0))="","",INDEX(HY!$AQ$5:$AQ$1006,MATCH($C420,HY!$E$5:$E$1006,0))),"")))))))</f>
        <v/>
      </c>
      <c r="K420" s="459">
        <f>HY!J16</f>
        <v>0</v>
      </c>
      <c r="L420" s="460" t="e" cm="1">
        <f t="array" aca="1" ref="L420" ca="1">_xlfn.IFS(AND($E420&lt;&gt;"",$M420="Pending",$K420="CTA"),TODAY()-$G420,AND($E420&lt;&gt;"",$M420="Pending",$K420="AUR"),TODAY()-$H420,AND($E420&lt;&gt;"",$M420="Pending",$K420="STT"),TODAY()-$I420,OR(K420="Closed",K420=""),"")</f>
        <v>#N/A</v>
      </c>
      <c r="M420" s="461">
        <f>VLOOKUP(C420,HY!$E$4:$AC$618,7,0)</f>
        <v>0</v>
      </c>
      <c r="N420" s="454" t="str">
        <f t="shared" si="19"/>
        <v/>
      </c>
      <c r="O420" s="739" t="str">
        <f>HY!M16</f>
        <v>GC</v>
      </c>
      <c r="P420" s="746" t="str">
        <v>NO</v>
      </c>
    </row>
    <row r="421" spans="1:16" s="385" customFormat="1" ht="24.75" hidden="1" customHeight="1">
      <c r="A421" s="399">
        <v>14</v>
      </c>
      <c r="B421" s="455" t="s">
        <v>22</v>
      </c>
      <c r="C421" s="454" t="s">
        <v>1422</v>
      </c>
      <c r="D421" s="456" t="str">
        <f>_xlfn.XLOOKUP(C421,HY!$E$5:$E$256,HY!$D$5:$D$256)</f>
        <v>Level Roof - Water Supply System Layout Plan</v>
      </c>
      <c r="E421" s="454" t="str">
        <f>IF(VLOOKUP(C421,HY!$E$5:$AC$495,5,0)="","",VLOOKUP(C421,HY!$E$5:$AC$994,5,0))</f>
        <v/>
      </c>
      <c r="F421" s="457"/>
      <c r="G421" s="459" t="str">
        <f>IF(VLOOKUP(C421,HY!$E$5:$AC$495,3,0)="","",VLOOKUP(C421,HY!$E$5:$AC$495,3,0))</f>
        <v/>
      </c>
      <c r="H421" s="459" t="str">
        <f>IF(ISNA(MATCH($C421,HY!$E$5:$E$1006,0)),"",
IF($E421=0,IF(INDEX(HY!$P$5:$P$1006,MATCH($C421,HY!$E$5:$E$1006,0))="","",INDEX(HY!$P$5:$P$1006,MATCH($C421,HY!$E$5:$E$1006,0))),
IF($E421=1,IF(INDEX(HY!$U$5:$U$1006,MATCH($C421,HY!$E$5:$E$1006,0))="","",INDEX(HY!$U$5:$U$1006,MATCH($C421,HY!$E$5:$E$1006,0))),
IF($E421=2,IF(INDEX(HY!$Z$5:$Z$1006,MATCH($C421,HY!$E$5:$E$1006,0))="","",INDEX(HY!$Z$5:$Z$1006,MATCH($C421,HY!$E$5:$E$1006,0))),
IF($E421=3,IF(INDEX(HY!$AE$5:$AE$1006,MATCH($C421,HY!$E$5:$E$1006,0))="","",INDEX(HY!$AE$5:$AE$1006,MATCH($C421,HY!$E$5:$E$1006,0))),
IF($E421=4,IF(INDEX(HY!$AJ$5:$AJ$1006,MATCH($C421,HY!$E$5:$E$1006,0))="","",INDEX(HY!$AJ$5:$AJ$1006,MATCH($C421,HY!$E$5:$E$1006,0))),
IF($E421=5,IF(INDEX(HY!$AO$5:$AO$1006,MATCH($C421,HY!$E$5:$E$1006,0))="","",INDEX(HY!$AO$5:$AO$1006,MATCH($C421,HY!$E$5:$E$1006,0))),"")))))))</f>
        <v/>
      </c>
      <c r="I421" s="459" t="str">
        <f>IF(ISNA(MATCH($C421,HY!$E$5:$E$1006,0)),"",
IF($E421=0,IF(INDEX(HY!$Q$5:$Q$1006,MATCH($C421,HY!$E$5:$E$1006,0))="","",INDEX(HY!$Q$5:$Q$1006,MATCH($C421,HY!$E$5:$E$1006,0))),
IF($E421=1,IF(INDEX(HY!$V$5:$V$1006,MATCH($C421,HY!$E$5:$E$1006,0))="","",INDEX(HY!$V$5:$V$1006,MATCH($C421,HY!$E$5:$E$1006,0))),
IF($E421=2,IF(INDEX(HY!$AA$5:$AA$1006,MATCH($C421,HY!$E$5:$E$1006,0))="","",INDEX(HY!$AA$5:$AA$1006,MATCH($C421,HY!$E$5:$E$1006,0))),
IF($E421=3,IF(INDEX(HY!$AF$5:$AF$1006,MATCH($C421,HY!$E$5:$E$1006,0))="","",INDEX(HY!$AF$5:$AF$1006,MATCH($C421,HY!$E$5:$E$1006,0))),
IF($E421=4,IF(INDEX(HY!$AK$5:$AK$1006,MATCH($C421,HY!$E$5:$E$1006,0))="","",INDEX(HY!$AK$5:$AK$1006,MATCH($C421,HY!$E$5:$E$1006,0))),
IF($E421=5,IF(INDEX(HY!$AP$5:$AP$1006,MATCH($C421,HY!$E$5:$E$1006,0))="","",INDEX(HY!$AP$5:$AP$1006,MATCH($C421,HY!$E$5:$E$1006,0))),"")))))))</f>
        <v/>
      </c>
      <c r="J421" s="459" t="str">
        <f>IF(ISNA(MATCH($C421,HY!$E$5:$E$1006,0)),"",
IF($E421=0,IF(INDEX(HY!$R$5:$R$1006,MATCH($C421,HY!$E$5:$E$1006,0))="","",INDEX(HY!$R$5:$R$1006,MATCH($C421,HY!$E$5:$E$1006,0))),
IF($E421=1,IF(INDEX(HY!$W$5:$W$1006,MATCH($C421,HY!$E$5:$E$1006,0))="","",INDEX(HY!$W$5:$W$1006,MATCH($C421,HY!$E$5:$E$1006,0))),
IF($E421=2,IF(INDEX(HY!$AB$5:$AB$1006,MATCH($C421,HY!$E$5:$E$1006,0))="","",INDEX(HY!$AB$5:$AB$1006,MATCH($C421,HY!$E$5:$E$1006,0))),
IF($E421=3,IF(INDEX(HY!$AG$5:$AG$1006,MATCH($C421,HY!$E$5:$E$1006,0))="","",INDEX(HY!$AG$5:$AG$1006,MATCH($C421,HY!$E$5:$E$1006,0))),
IF($E421=4,IF(INDEX(HY!$AL$5:$AL$1006,MATCH($C421,HY!$E$5:$E$1006,0))="","",INDEX(HY!$AL$5:$AL$1006,MATCH($C421,HY!$E$5:$E$1006,0))),
IF($E421=5,IF(INDEX(HY!$AQ$5:$AQ$1006,MATCH($C421,HY!$E$5:$E$1006,0))="","",INDEX(HY!$AQ$5:$AQ$1006,MATCH($C421,HY!$E$5:$E$1006,0))),"")))))))</f>
        <v/>
      </c>
      <c r="K421" s="459">
        <f>HY!J17</f>
        <v>0</v>
      </c>
      <c r="L421" s="460" t="e" cm="1">
        <f t="array" aca="1" ref="L421" ca="1">_xlfn.IFS(AND($E421&lt;&gt;"",$M421="Pending",$K421="CTA"),TODAY()-$G421,AND($E421&lt;&gt;"",$M421="Pending",$K421="AUR"),TODAY()-$H421,AND($E421&lt;&gt;"",$M421="Pending",$K421="STT"),TODAY()-$I421,OR(K421="Closed",K421=""),"")</f>
        <v>#N/A</v>
      </c>
      <c r="M421" s="461">
        <f>VLOOKUP(C421,HY!$E$4:$AC$618,7,0)</f>
        <v>0</v>
      </c>
      <c r="N421" s="454" t="str">
        <f t="shared" si="19"/>
        <v/>
      </c>
      <c r="O421" s="739" t="str">
        <f>HY!M17</f>
        <v>GC</v>
      </c>
      <c r="P421" s="746" t="str">
        <v>NO</v>
      </c>
    </row>
    <row r="422" spans="1:16" s="385" customFormat="1" ht="24.75" hidden="1" customHeight="1">
      <c r="A422" s="399">
        <v>15</v>
      </c>
      <c r="B422" s="455" t="s">
        <v>22</v>
      </c>
      <c r="C422" s="454" t="s">
        <v>1425</v>
      </c>
      <c r="D422" s="456" t="str">
        <f>_xlfn.XLOOKUP(C422,HY!$E$5:$E$256,HY!$D$5:$D$256)</f>
        <v>Site Plan - Wastewater And Stromwater System Layout  Plan</v>
      </c>
      <c r="E422" s="454" t="str">
        <f>IF(VLOOKUP(C422,HY!$E$5:$AC$495,5,0)="","",VLOOKUP(C422,HY!$E$5:$AC$994,5,0))</f>
        <v/>
      </c>
      <c r="F422" s="457"/>
      <c r="G422" s="459" t="str">
        <f>IF(VLOOKUP(C422,HY!$E$5:$AC$495,3,0)="","",VLOOKUP(C422,HY!$E$5:$AC$495,3,0))</f>
        <v/>
      </c>
      <c r="H422" s="459" t="str">
        <f>IF(ISNA(MATCH($C422,HY!$E$5:$E$1006,0)),"",
IF($E422=0,IF(INDEX(HY!$P$5:$P$1006,MATCH($C422,HY!$E$5:$E$1006,0))="","",INDEX(HY!$P$5:$P$1006,MATCH($C422,HY!$E$5:$E$1006,0))),
IF($E422=1,IF(INDEX(HY!$U$5:$U$1006,MATCH($C422,HY!$E$5:$E$1006,0))="","",INDEX(HY!$U$5:$U$1006,MATCH($C422,HY!$E$5:$E$1006,0))),
IF($E422=2,IF(INDEX(HY!$Z$5:$Z$1006,MATCH($C422,HY!$E$5:$E$1006,0))="","",INDEX(HY!$Z$5:$Z$1006,MATCH($C422,HY!$E$5:$E$1006,0))),
IF($E422=3,IF(INDEX(HY!$AE$5:$AE$1006,MATCH($C422,HY!$E$5:$E$1006,0))="","",INDEX(HY!$AE$5:$AE$1006,MATCH($C422,HY!$E$5:$E$1006,0))),
IF($E422=4,IF(INDEX(HY!$AJ$5:$AJ$1006,MATCH($C422,HY!$E$5:$E$1006,0))="","",INDEX(HY!$AJ$5:$AJ$1006,MATCH($C422,HY!$E$5:$E$1006,0))),
IF($E422=5,IF(INDEX(HY!$AO$5:$AO$1006,MATCH($C422,HY!$E$5:$E$1006,0))="","",INDEX(HY!$AO$5:$AO$1006,MATCH($C422,HY!$E$5:$E$1006,0))),"")))))))</f>
        <v/>
      </c>
      <c r="I422" s="459" t="str">
        <f>IF(ISNA(MATCH($C422,HY!$E$5:$E$1006,0)),"",
IF($E422=0,IF(INDEX(HY!$Q$5:$Q$1006,MATCH($C422,HY!$E$5:$E$1006,0))="","",INDEX(HY!$Q$5:$Q$1006,MATCH($C422,HY!$E$5:$E$1006,0))),
IF($E422=1,IF(INDEX(HY!$V$5:$V$1006,MATCH($C422,HY!$E$5:$E$1006,0))="","",INDEX(HY!$V$5:$V$1006,MATCH($C422,HY!$E$5:$E$1006,0))),
IF($E422=2,IF(INDEX(HY!$AA$5:$AA$1006,MATCH($C422,HY!$E$5:$E$1006,0))="","",INDEX(HY!$AA$5:$AA$1006,MATCH($C422,HY!$E$5:$E$1006,0))),
IF($E422=3,IF(INDEX(HY!$AF$5:$AF$1006,MATCH($C422,HY!$E$5:$E$1006,0))="","",INDEX(HY!$AF$5:$AF$1006,MATCH($C422,HY!$E$5:$E$1006,0))),
IF($E422=4,IF(INDEX(HY!$AK$5:$AK$1006,MATCH($C422,HY!$E$5:$E$1006,0))="","",INDEX(HY!$AK$5:$AK$1006,MATCH($C422,HY!$E$5:$E$1006,0))),
IF($E422=5,IF(INDEX(HY!$AP$5:$AP$1006,MATCH($C422,HY!$E$5:$E$1006,0))="","",INDEX(HY!$AP$5:$AP$1006,MATCH($C422,HY!$E$5:$E$1006,0))),"")))))))</f>
        <v/>
      </c>
      <c r="J422" s="459" t="str">
        <f>IF(ISNA(MATCH($C422,HY!$E$5:$E$1006,0)),"",
IF($E422=0,IF(INDEX(HY!$R$5:$R$1006,MATCH($C422,HY!$E$5:$E$1006,0))="","",INDEX(HY!$R$5:$R$1006,MATCH($C422,HY!$E$5:$E$1006,0))),
IF($E422=1,IF(INDEX(HY!$W$5:$W$1006,MATCH($C422,HY!$E$5:$E$1006,0))="","",INDEX(HY!$W$5:$W$1006,MATCH($C422,HY!$E$5:$E$1006,0))),
IF($E422=2,IF(INDEX(HY!$AB$5:$AB$1006,MATCH($C422,HY!$E$5:$E$1006,0))="","",INDEX(HY!$AB$5:$AB$1006,MATCH($C422,HY!$E$5:$E$1006,0))),
IF($E422=3,IF(INDEX(HY!$AG$5:$AG$1006,MATCH($C422,HY!$E$5:$E$1006,0))="","",INDEX(HY!$AG$5:$AG$1006,MATCH($C422,HY!$E$5:$E$1006,0))),
IF($E422=4,IF(INDEX(HY!$AL$5:$AL$1006,MATCH($C422,HY!$E$5:$E$1006,0))="","",INDEX(HY!$AL$5:$AL$1006,MATCH($C422,HY!$E$5:$E$1006,0))),
IF($E422=5,IF(INDEX(HY!$AQ$5:$AQ$1006,MATCH($C422,HY!$E$5:$E$1006,0))="","",INDEX(HY!$AQ$5:$AQ$1006,MATCH($C422,HY!$E$5:$E$1006,0))),"")))))))</f>
        <v/>
      </c>
      <c r="K422" s="459">
        <f>HY!J18</f>
        <v>0</v>
      </c>
      <c r="L422" s="460" t="e" cm="1">
        <f t="array" aca="1" ref="L422" ca="1">_xlfn.IFS(AND($E422&lt;&gt;"",$M422="Pending",$K422="CTA"),TODAY()-$G422,AND($E422&lt;&gt;"",$M422="Pending",$K422="AUR"),TODAY()-$H422,AND($E422&lt;&gt;"",$M422="Pending",$K422="STT"),TODAY()-$I422,OR(K422="Closed",K422=""),"")</f>
        <v>#N/A</v>
      </c>
      <c r="M422" s="461">
        <f>VLOOKUP(C422,HY!$E$4:$AC$618,7,0)</f>
        <v>0</v>
      </c>
      <c r="N422" s="454" t="str">
        <f t="shared" si="19"/>
        <v/>
      </c>
      <c r="O422" s="739" t="str">
        <f>HY!M18</f>
        <v>GC</v>
      </c>
      <c r="P422" s="746" t="str">
        <v>NO</v>
      </c>
    </row>
    <row r="423" spans="1:16" s="385" customFormat="1" ht="24.75" hidden="1" customHeight="1">
      <c r="A423" s="399">
        <v>16</v>
      </c>
      <c r="B423" s="455" t="s">
        <v>22</v>
      </c>
      <c r="C423" s="454" t="s">
        <v>1428</v>
      </c>
      <c r="D423" s="456" t="str">
        <f>_xlfn.XLOOKUP(C423,HY!$E$5:$E$256,HY!$D$5:$D$256)</f>
        <v>Level 1 - Wastewater And Stormwater System Layout</v>
      </c>
      <c r="E423" s="454" t="str">
        <f>IF(VLOOKUP(C423,HY!$E$5:$AC$495,5,0)="","",VLOOKUP(C423,HY!$E$5:$AC$994,5,0))</f>
        <v/>
      </c>
      <c r="F423" s="457"/>
      <c r="G423" s="459" t="str">
        <f>IF(VLOOKUP(C423,HY!$E$5:$AC$495,3,0)="","",VLOOKUP(C423,HY!$E$5:$AC$495,3,0))</f>
        <v/>
      </c>
      <c r="H423" s="459" t="str">
        <f>IF(ISNA(MATCH($C423,HY!$E$5:$E$1006,0)),"",
IF($E423=0,IF(INDEX(HY!$P$5:$P$1006,MATCH($C423,HY!$E$5:$E$1006,0))="","",INDEX(HY!$P$5:$P$1006,MATCH($C423,HY!$E$5:$E$1006,0))),
IF($E423=1,IF(INDEX(HY!$U$5:$U$1006,MATCH($C423,HY!$E$5:$E$1006,0))="","",INDEX(HY!$U$5:$U$1006,MATCH($C423,HY!$E$5:$E$1006,0))),
IF($E423=2,IF(INDEX(HY!$Z$5:$Z$1006,MATCH($C423,HY!$E$5:$E$1006,0))="","",INDEX(HY!$Z$5:$Z$1006,MATCH($C423,HY!$E$5:$E$1006,0))),
IF($E423=3,IF(INDEX(HY!$AE$5:$AE$1006,MATCH($C423,HY!$E$5:$E$1006,0))="","",INDEX(HY!$AE$5:$AE$1006,MATCH($C423,HY!$E$5:$E$1006,0))),
IF($E423=4,IF(INDEX(HY!$AJ$5:$AJ$1006,MATCH($C423,HY!$E$5:$E$1006,0))="","",INDEX(HY!$AJ$5:$AJ$1006,MATCH($C423,HY!$E$5:$E$1006,0))),
IF($E423=5,IF(INDEX(HY!$AO$5:$AO$1006,MATCH($C423,HY!$E$5:$E$1006,0))="","",INDEX(HY!$AO$5:$AO$1006,MATCH($C423,HY!$E$5:$E$1006,0))),"")))))))</f>
        <v/>
      </c>
      <c r="I423" s="459" t="str">
        <f>IF(ISNA(MATCH($C423,HY!$E$5:$E$1006,0)),"",
IF($E423=0,IF(INDEX(HY!$Q$5:$Q$1006,MATCH($C423,HY!$E$5:$E$1006,0))="","",INDEX(HY!$Q$5:$Q$1006,MATCH($C423,HY!$E$5:$E$1006,0))),
IF($E423=1,IF(INDEX(HY!$V$5:$V$1006,MATCH($C423,HY!$E$5:$E$1006,0))="","",INDEX(HY!$V$5:$V$1006,MATCH($C423,HY!$E$5:$E$1006,0))),
IF($E423=2,IF(INDEX(HY!$AA$5:$AA$1006,MATCH($C423,HY!$E$5:$E$1006,0))="","",INDEX(HY!$AA$5:$AA$1006,MATCH($C423,HY!$E$5:$E$1006,0))),
IF($E423=3,IF(INDEX(HY!$AF$5:$AF$1006,MATCH($C423,HY!$E$5:$E$1006,0))="","",INDEX(HY!$AF$5:$AF$1006,MATCH($C423,HY!$E$5:$E$1006,0))),
IF($E423=4,IF(INDEX(HY!$AK$5:$AK$1006,MATCH($C423,HY!$E$5:$E$1006,0))="","",INDEX(HY!$AK$5:$AK$1006,MATCH($C423,HY!$E$5:$E$1006,0))),
IF($E423=5,IF(INDEX(HY!$AP$5:$AP$1006,MATCH($C423,HY!$E$5:$E$1006,0))="","",INDEX(HY!$AP$5:$AP$1006,MATCH($C423,HY!$E$5:$E$1006,0))),"")))))))</f>
        <v/>
      </c>
      <c r="J423" s="459" t="str">
        <f>IF(ISNA(MATCH($C423,HY!$E$5:$E$1006,0)),"",
IF($E423=0,IF(INDEX(HY!$R$5:$R$1006,MATCH($C423,HY!$E$5:$E$1006,0))="","",INDEX(HY!$R$5:$R$1006,MATCH($C423,HY!$E$5:$E$1006,0))),
IF($E423=1,IF(INDEX(HY!$W$5:$W$1006,MATCH($C423,HY!$E$5:$E$1006,0))="","",INDEX(HY!$W$5:$W$1006,MATCH($C423,HY!$E$5:$E$1006,0))),
IF($E423=2,IF(INDEX(HY!$AB$5:$AB$1006,MATCH($C423,HY!$E$5:$E$1006,0))="","",INDEX(HY!$AB$5:$AB$1006,MATCH($C423,HY!$E$5:$E$1006,0))),
IF($E423=3,IF(INDEX(HY!$AG$5:$AG$1006,MATCH($C423,HY!$E$5:$E$1006,0))="","",INDEX(HY!$AG$5:$AG$1006,MATCH($C423,HY!$E$5:$E$1006,0))),
IF($E423=4,IF(INDEX(HY!$AL$5:$AL$1006,MATCH($C423,HY!$E$5:$E$1006,0))="","",INDEX(HY!$AL$5:$AL$1006,MATCH($C423,HY!$E$5:$E$1006,0))),
IF($E423=5,IF(INDEX(HY!$AQ$5:$AQ$1006,MATCH($C423,HY!$E$5:$E$1006,0))="","",INDEX(HY!$AQ$5:$AQ$1006,MATCH($C423,HY!$E$5:$E$1006,0))),"")))))))</f>
        <v/>
      </c>
      <c r="K423" s="459">
        <f>HY!J19</f>
        <v>0</v>
      </c>
      <c r="L423" s="460" t="e" cm="1">
        <f t="array" aca="1" ref="L423" ca="1">_xlfn.IFS(AND($E423&lt;&gt;"",$M423="Pending",$K423="CTA"),TODAY()-$G423,AND($E423&lt;&gt;"",$M423="Pending",$K423="AUR"),TODAY()-$H423,AND($E423&lt;&gt;"",$M423="Pending",$K423="STT"),TODAY()-$I423,OR(K423="Closed",K423=""),"")</f>
        <v>#N/A</v>
      </c>
      <c r="M423" s="461">
        <f>VLOOKUP(C423,HY!$E$4:$AC$618,7,0)</f>
        <v>0</v>
      </c>
      <c r="N423" s="454" t="str">
        <f t="shared" si="19"/>
        <v/>
      </c>
      <c r="O423" s="739" t="str">
        <f>HY!M19</f>
        <v>GC</v>
      </c>
      <c r="P423" s="746" t="str">
        <v>NO</v>
      </c>
    </row>
    <row r="424" spans="1:16" s="385" customFormat="1" ht="24.75" hidden="1" customHeight="1">
      <c r="A424" s="399">
        <v>17</v>
      </c>
      <c r="B424" s="455" t="s">
        <v>22</v>
      </c>
      <c r="C424" s="454" t="s">
        <v>1431</v>
      </c>
      <c r="D424" s="456" t="str">
        <f>_xlfn.XLOOKUP(C424,HY!$E$5:$E$256,HY!$D$5:$D$256)</f>
        <v>Level 2 - Wastewater And Stormwater System Layout</v>
      </c>
      <c r="E424" s="454" t="str">
        <f>IF(VLOOKUP(C424,HY!$E$5:$AC$495,5,0)="","",VLOOKUP(C424,HY!$E$5:$AC$994,5,0))</f>
        <v/>
      </c>
      <c r="F424" s="457"/>
      <c r="G424" s="459" t="str">
        <f>IF(VLOOKUP(C424,HY!$E$5:$AC$495,3,0)="","",VLOOKUP(C424,HY!$E$5:$AC$495,3,0))</f>
        <v/>
      </c>
      <c r="H424" s="459" t="str">
        <f>IF(ISNA(MATCH($C424,HY!$E$5:$E$1006,0)),"",
IF($E424=0,IF(INDEX(HY!$P$5:$P$1006,MATCH($C424,HY!$E$5:$E$1006,0))="","",INDEX(HY!$P$5:$P$1006,MATCH($C424,HY!$E$5:$E$1006,0))),
IF($E424=1,IF(INDEX(HY!$U$5:$U$1006,MATCH($C424,HY!$E$5:$E$1006,0))="","",INDEX(HY!$U$5:$U$1006,MATCH($C424,HY!$E$5:$E$1006,0))),
IF($E424=2,IF(INDEX(HY!$Z$5:$Z$1006,MATCH($C424,HY!$E$5:$E$1006,0))="","",INDEX(HY!$Z$5:$Z$1006,MATCH($C424,HY!$E$5:$E$1006,0))),
IF($E424=3,IF(INDEX(HY!$AE$5:$AE$1006,MATCH($C424,HY!$E$5:$E$1006,0))="","",INDEX(HY!$AE$5:$AE$1006,MATCH($C424,HY!$E$5:$E$1006,0))),
IF($E424=4,IF(INDEX(HY!$AJ$5:$AJ$1006,MATCH($C424,HY!$E$5:$E$1006,0))="","",INDEX(HY!$AJ$5:$AJ$1006,MATCH($C424,HY!$E$5:$E$1006,0))),
IF($E424=5,IF(INDEX(HY!$AO$5:$AO$1006,MATCH($C424,HY!$E$5:$E$1006,0))="","",INDEX(HY!$AO$5:$AO$1006,MATCH($C424,HY!$E$5:$E$1006,0))),"")))))))</f>
        <v/>
      </c>
      <c r="I424" s="459" t="str">
        <f>IF(ISNA(MATCH($C424,HY!$E$5:$E$1006,0)),"",
IF($E424=0,IF(INDEX(HY!$Q$5:$Q$1006,MATCH($C424,HY!$E$5:$E$1006,0))="","",INDEX(HY!$Q$5:$Q$1006,MATCH($C424,HY!$E$5:$E$1006,0))),
IF($E424=1,IF(INDEX(HY!$V$5:$V$1006,MATCH($C424,HY!$E$5:$E$1006,0))="","",INDEX(HY!$V$5:$V$1006,MATCH($C424,HY!$E$5:$E$1006,0))),
IF($E424=2,IF(INDEX(HY!$AA$5:$AA$1006,MATCH($C424,HY!$E$5:$E$1006,0))="","",INDEX(HY!$AA$5:$AA$1006,MATCH($C424,HY!$E$5:$E$1006,0))),
IF($E424=3,IF(INDEX(HY!$AF$5:$AF$1006,MATCH($C424,HY!$E$5:$E$1006,0))="","",INDEX(HY!$AF$5:$AF$1006,MATCH($C424,HY!$E$5:$E$1006,0))),
IF($E424=4,IF(INDEX(HY!$AK$5:$AK$1006,MATCH($C424,HY!$E$5:$E$1006,0))="","",INDEX(HY!$AK$5:$AK$1006,MATCH($C424,HY!$E$5:$E$1006,0))),
IF($E424=5,IF(INDEX(HY!$AP$5:$AP$1006,MATCH($C424,HY!$E$5:$E$1006,0))="","",INDEX(HY!$AP$5:$AP$1006,MATCH($C424,HY!$E$5:$E$1006,0))),"")))))))</f>
        <v/>
      </c>
      <c r="J424" s="459" t="str">
        <f>IF(ISNA(MATCH($C424,HY!$E$5:$E$1006,0)),"",
IF($E424=0,IF(INDEX(HY!$R$5:$R$1006,MATCH($C424,HY!$E$5:$E$1006,0))="","",INDEX(HY!$R$5:$R$1006,MATCH($C424,HY!$E$5:$E$1006,0))),
IF($E424=1,IF(INDEX(HY!$W$5:$W$1006,MATCH($C424,HY!$E$5:$E$1006,0))="","",INDEX(HY!$W$5:$W$1006,MATCH($C424,HY!$E$5:$E$1006,0))),
IF($E424=2,IF(INDEX(HY!$AB$5:$AB$1006,MATCH($C424,HY!$E$5:$E$1006,0))="","",INDEX(HY!$AB$5:$AB$1006,MATCH($C424,HY!$E$5:$E$1006,0))),
IF($E424=3,IF(INDEX(HY!$AG$5:$AG$1006,MATCH($C424,HY!$E$5:$E$1006,0))="","",INDEX(HY!$AG$5:$AG$1006,MATCH($C424,HY!$E$5:$E$1006,0))),
IF($E424=4,IF(INDEX(HY!$AL$5:$AL$1006,MATCH($C424,HY!$E$5:$E$1006,0))="","",INDEX(HY!$AL$5:$AL$1006,MATCH($C424,HY!$E$5:$E$1006,0))),
IF($E424=5,IF(INDEX(HY!$AQ$5:$AQ$1006,MATCH($C424,HY!$E$5:$E$1006,0))="","",INDEX(HY!$AQ$5:$AQ$1006,MATCH($C424,HY!$E$5:$E$1006,0))),"")))))))</f>
        <v/>
      </c>
      <c r="K424" s="459">
        <f>HY!J20</f>
        <v>0</v>
      </c>
      <c r="L424" s="460" t="e" cm="1">
        <f t="array" aca="1" ref="L424" ca="1">_xlfn.IFS(AND($E424&lt;&gt;"",$M424="Pending",$K424="CTA"),TODAY()-$G424,AND($E424&lt;&gt;"",$M424="Pending",$K424="AUR"),TODAY()-$H424,AND($E424&lt;&gt;"",$M424="Pending",$K424="STT"),TODAY()-$I424,OR(K424="Closed",K424=""),"")</f>
        <v>#N/A</v>
      </c>
      <c r="M424" s="461">
        <f>VLOOKUP(C424,HY!$E$4:$AC$618,7,0)</f>
        <v>0</v>
      </c>
      <c r="N424" s="454" t="str">
        <f t="shared" si="19"/>
        <v/>
      </c>
      <c r="O424" s="739" t="str">
        <f>HY!M20</f>
        <v>TTI</v>
      </c>
      <c r="P424" s="746" t="str">
        <v>NO</v>
      </c>
    </row>
    <row r="425" spans="1:16" s="385" customFormat="1" ht="24.75" hidden="1" customHeight="1">
      <c r="A425" s="399">
        <v>18</v>
      </c>
      <c r="B425" s="455" t="s">
        <v>22</v>
      </c>
      <c r="C425" s="454" t="s">
        <v>1436</v>
      </c>
      <c r="D425" s="456" t="str">
        <f>_xlfn.XLOOKUP(C425,HY!$E$5:$E$256,HY!$D$5:$D$256)</f>
        <v>Level 6 - Wastewater And Stormwater System Layout</v>
      </c>
      <c r="E425" s="454" t="str">
        <f>IF(VLOOKUP(C425,HY!$E$5:$AC$495,5,0)="","",VLOOKUP(C425,HY!$E$5:$AC$994,5,0))</f>
        <v/>
      </c>
      <c r="F425" s="457"/>
      <c r="G425" s="459" t="str">
        <f>IF(VLOOKUP(C425,HY!$E$5:$AC$495,3,0)="","",VLOOKUP(C425,HY!$E$5:$AC$495,3,0))</f>
        <v/>
      </c>
      <c r="H425" s="459" t="str">
        <f>IF(ISNA(MATCH($C425,HY!$E$5:$E$1006,0)),"",
IF($E425=0,IF(INDEX(HY!$P$5:$P$1006,MATCH($C425,HY!$E$5:$E$1006,0))="","",INDEX(HY!$P$5:$P$1006,MATCH($C425,HY!$E$5:$E$1006,0))),
IF($E425=1,IF(INDEX(HY!$U$5:$U$1006,MATCH($C425,HY!$E$5:$E$1006,0))="","",INDEX(HY!$U$5:$U$1006,MATCH($C425,HY!$E$5:$E$1006,0))),
IF($E425=2,IF(INDEX(HY!$Z$5:$Z$1006,MATCH($C425,HY!$E$5:$E$1006,0))="","",INDEX(HY!$Z$5:$Z$1006,MATCH($C425,HY!$E$5:$E$1006,0))),
IF($E425=3,IF(INDEX(HY!$AE$5:$AE$1006,MATCH($C425,HY!$E$5:$E$1006,0))="","",INDEX(HY!$AE$5:$AE$1006,MATCH($C425,HY!$E$5:$E$1006,0))),
IF($E425=4,IF(INDEX(HY!$AJ$5:$AJ$1006,MATCH($C425,HY!$E$5:$E$1006,0))="","",INDEX(HY!$AJ$5:$AJ$1006,MATCH($C425,HY!$E$5:$E$1006,0))),
IF($E425=5,IF(INDEX(HY!$AO$5:$AO$1006,MATCH($C425,HY!$E$5:$E$1006,0))="","",INDEX(HY!$AO$5:$AO$1006,MATCH($C425,HY!$E$5:$E$1006,0))),"")))))))</f>
        <v/>
      </c>
      <c r="I425" s="459" t="str">
        <f>IF(ISNA(MATCH($C425,HY!$E$5:$E$1006,0)),"",
IF($E425=0,IF(INDEX(HY!$Q$5:$Q$1006,MATCH($C425,HY!$E$5:$E$1006,0))="","",INDEX(HY!$Q$5:$Q$1006,MATCH($C425,HY!$E$5:$E$1006,0))),
IF($E425=1,IF(INDEX(HY!$V$5:$V$1006,MATCH($C425,HY!$E$5:$E$1006,0))="","",INDEX(HY!$V$5:$V$1006,MATCH($C425,HY!$E$5:$E$1006,0))),
IF($E425=2,IF(INDEX(HY!$AA$5:$AA$1006,MATCH($C425,HY!$E$5:$E$1006,0))="","",INDEX(HY!$AA$5:$AA$1006,MATCH($C425,HY!$E$5:$E$1006,0))),
IF($E425=3,IF(INDEX(HY!$AF$5:$AF$1006,MATCH($C425,HY!$E$5:$E$1006,0))="","",INDEX(HY!$AF$5:$AF$1006,MATCH($C425,HY!$E$5:$E$1006,0))),
IF($E425=4,IF(INDEX(HY!$AK$5:$AK$1006,MATCH($C425,HY!$E$5:$E$1006,0))="","",INDEX(HY!$AK$5:$AK$1006,MATCH($C425,HY!$E$5:$E$1006,0))),
IF($E425=5,IF(INDEX(HY!$AP$5:$AP$1006,MATCH($C425,HY!$E$5:$E$1006,0))="","",INDEX(HY!$AP$5:$AP$1006,MATCH($C425,HY!$E$5:$E$1006,0))),"")))))))</f>
        <v/>
      </c>
      <c r="J425" s="459" t="str">
        <f>IF(ISNA(MATCH($C425,HY!$E$5:$E$1006,0)),"",
IF($E425=0,IF(INDEX(HY!$R$5:$R$1006,MATCH($C425,HY!$E$5:$E$1006,0))="","",INDEX(HY!$R$5:$R$1006,MATCH($C425,HY!$E$5:$E$1006,0))),
IF($E425=1,IF(INDEX(HY!$W$5:$W$1006,MATCH($C425,HY!$E$5:$E$1006,0))="","",INDEX(HY!$W$5:$W$1006,MATCH($C425,HY!$E$5:$E$1006,0))),
IF($E425=2,IF(INDEX(HY!$AB$5:$AB$1006,MATCH($C425,HY!$E$5:$E$1006,0))="","",INDEX(HY!$AB$5:$AB$1006,MATCH($C425,HY!$E$5:$E$1006,0))),
IF($E425=3,IF(INDEX(HY!$AG$5:$AG$1006,MATCH($C425,HY!$E$5:$E$1006,0))="","",INDEX(HY!$AG$5:$AG$1006,MATCH($C425,HY!$E$5:$E$1006,0))),
IF($E425=4,IF(INDEX(HY!$AL$5:$AL$1006,MATCH($C425,HY!$E$5:$E$1006,0))="","",INDEX(HY!$AL$5:$AL$1006,MATCH($C425,HY!$E$5:$E$1006,0))),
IF($E425=5,IF(INDEX(HY!$AQ$5:$AQ$1006,MATCH($C425,HY!$E$5:$E$1006,0))="","",INDEX(HY!$AQ$5:$AQ$1006,MATCH($C425,HY!$E$5:$E$1006,0))),"")))))))</f>
        <v/>
      </c>
      <c r="K425" s="459">
        <f>HY!J21</f>
        <v>0</v>
      </c>
      <c r="L425" s="460" t="e" cm="1">
        <f t="array" aca="1" ref="L425" ca="1">_xlfn.IFS(AND($E425&lt;&gt;"",$M425="Pending",$K425="CTA"),TODAY()-$G425,AND($E425&lt;&gt;"",$M425="Pending",$K425="AUR"),TODAY()-$H425,AND($E425&lt;&gt;"",$M425="Pending",$K425="STT"),TODAY()-$I425,OR(K425="Closed",K425=""),"")</f>
        <v>#N/A</v>
      </c>
      <c r="M425" s="461">
        <f>VLOOKUP(C425,HY!$E$4:$AC$618,7,0)</f>
        <v>0</v>
      </c>
      <c r="N425" s="454" t="str">
        <f t="shared" si="19"/>
        <v/>
      </c>
      <c r="O425" s="739" t="str">
        <f>HY!M21</f>
        <v>GC</v>
      </c>
      <c r="P425" s="746" t="str">
        <v>NO</v>
      </c>
    </row>
    <row r="426" spans="1:16" s="385" customFormat="1" ht="24.75" hidden="1" customHeight="1">
      <c r="A426" s="399">
        <v>19</v>
      </c>
      <c r="B426" s="455" t="s">
        <v>22</v>
      </c>
      <c r="C426" s="454" t="s">
        <v>1439</v>
      </c>
      <c r="D426" s="456" t="str">
        <f>_xlfn.XLOOKUP(C426,HY!$E$5:$E$256,HY!$D$5:$D$256)</f>
        <v>Level Roof - Wastewater And Stormwater System Layout</v>
      </c>
      <c r="E426" s="454" t="str">
        <f>IF(VLOOKUP(C426,HY!$E$5:$AC$495,5,0)="","",VLOOKUP(C426,HY!$E$5:$AC$994,5,0))</f>
        <v/>
      </c>
      <c r="F426" s="457"/>
      <c r="G426" s="459" t="str">
        <f>IF(VLOOKUP(C426,HY!$E$5:$AC$495,3,0)="","",VLOOKUP(C426,HY!$E$5:$AC$495,3,0))</f>
        <v/>
      </c>
      <c r="H426" s="459" t="str">
        <f>IF(ISNA(MATCH($C426,HY!$E$5:$E$1006,0)),"",
IF($E426=0,IF(INDEX(HY!$P$5:$P$1006,MATCH($C426,HY!$E$5:$E$1006,0))="","",INDEX(HY!$P$5:$P$1006,MATCH($C426,HY!$E$5:$E$1006,0))),
IF($E426=1,IF(INDEX(HY!$U$5:$U$1006,MATCH($C426,HY!$E$5:$E$1006,0))="","",INDEX(HY!$U$5:$U$1006,MATCH($C426,HY!$E$5:$E$1006,0))),
IF($E426=2,IF(INDEX(HY!$Z$5:$Z$1006,MATCH($C426,HY!$E$5:$E$1006,0))="","",INDEX(HY!$Z$5:$Z$1006,MATCH($C426,HY!$E$5:$E$1006,0))),
IF($E426=3,IF(INDEX(HY!$AE$5:$AE$1006,MATCH($C426,HY!$E$5:$E$1006,0))="","",INDEX(HY!$AE$5:$AE$1006,MATCH($C426,HY!$E$5:$E$1006,0))),
IF($E426=4,IF(INDEX(HY!$AJ$5:$AJ$1006,MATCH($C426,HY!$E$5:$E$1006,0))="","",INDEX(HY!$AJ$5:$AJ$1006,MATCH($C426,HY!$E$5:$E$1006,0))),
IF($E426=5,IF(INDEX(HY!$AO$5:$AO$1006,MATCH($C426,HY!$E$5:$E$1006,0))="","",INDEX(HY!$AO$5:$AO$1006,MATCH($C426,HY!$E$5:$E$1006,0))),"")))))))</f>
        <v/>
      </c>
      <c r="I426" s="459" t="str">
        <f>IF(ISNA(MATCH($C426,HY!$E$5:$E$1006,0)),"",
IF($E426=0,IF(INDEX(HY!$Q$5:$Q$1006,MATCH($C426,HY!$E$5:$E$1006,0))="","",INDEX(HY!$Q$5:$Q$1006,MATCH($C426,HY!$E$5:$E$1006,0))),
IF($E426=1,IF(INDEX(HY!$V$5:$V$1006,MATCH($C426,HY!$E$5:$E$1006,0))="","",INDEX(HY!$V$5:$V$1006,MATCH($C426,HY!$E$5:$E$1006,0))),
IF($E426=2,IF(INDEX(HY!$AA$5:$AA$1006,MATCH($C426,HY!$E$5:$E$1006,0))="","",INDEX(HY!$AA$5:$AA$1006,MATCH($C426,HY!$E$5:$E$1006,0))),
IF($E426=3,IF(INDEX(HY!$AF$5:$AF$1006,MATCH($C426,HY!$E$5:$E$1006,0))="","",INDEX(HY!$AF$5:$AF$1006,MATCH($C426,HY!$E$5:$E$1006,0))),
IF($E426=4,IF(INDEX(HY!$AK$5:$AK$1006,MATCH($C426,HY!$E$5:$E$1006,0))="","",INDEX(HY!$AK$5:$AK$1006,MATCH($C426,HY!$E$5:$E$1006,0))),
IF($E426=5,IF(INDEX(HY!$AP$5:$AP$1006,MATCH($C426,HY!$E$5:$E$1006,0))="","",INDEX(HY!$AP$5:$AP$1006,MATCH($C426,HY!$E$5:$E$1006,0))),"")))))))</f>
        <v/>
      </c>
      <c r="J426" s="459" t="str">
        <f>IF(ISNA(MATCH($C426,HY!$E$5:$E$1006,0)),"",
IF($E426=0,IF(INDEX(HY!$R$5:$R$1006,MATCH($C426,HY!$E$5:$E$1006,0))="","",INDEX(HY!$R$5:$R$1006,MATCH($C426,HY!$E$5:$E$1006,0))),
IF($E426=1,IF(INDEX(HY!$W$5:$W$1006,MATCH($C426,HY!$E$5:$E$1006,0))="","",INDEX(HY!$W$5:$W$1006,MATCH($C426,HY!$E$5:$E$1006,0))),
IF($E426=2,IF(INDEX(HY!$AB$5:$AB$1006,MATCH($C426,HY!$E$5:$E$1006,0))="","",INDEX(HY!$AB$5:$AB$1006,MATCH($C426,HY!$E$5:$E$1006,0))),
IF($E426=3,IF(INDEX(HY!$AG$5:$AG$1006,MATCH($C426,HY!$E$5:$E$1006,0))="","",INDEX(HY!$AG$5:$AG$1006,MATCH($C426,HY!$E$5:$E$1006,0))),
IF($E426=4,IF(INDEX(HY!$AL$5:$AL$1006,MATCH($C426,HY!$E$5:$E$1006,0))="","",INDEX(HY!$AL$5:$AL$1006,MATCH($C426,HY!$E$5:$E$1006,0))),
IF($E426=5,IF(INDEX(HY!$AQ$5:$AQ$1006,MATCH($C426,HY!$E$5:$E$1006,0))="","",INDEX(HY!$AQ$5:$AQ$1006,MATCH($C426,HY!$E$5:$E$1006,0))),"")))))))</f>
        <v/>
      </c>
      <c r="K426" s="459">
        <f>HY!J22</f>
        <v>0</v>
      </c>
      <c r="L426" s="460" t="e" cm="1">
        <f t="array" aca="1" ref="L426" ca="1">_xlfn.IFS(AND($E426&lt;&gt;"",$M426="Pending",$K426="CTA"),TODAY()-$G426,AND($E426&lt;&gt;"",$M426="Pending",$K426="AUR"),TODAY()-$H426,AND($E426&lt;&gt;"",$M426="Pending",$K426="STT"),TODAY()-$I426,OR(K426="Closed",K426=""),"")</f>
        <v>#N/A</v>
      </c>
      <c r="M426" s="461">
        <f>VLOOKUP(C426,HY!$E$4:$AC$618,7,0)</f>
        <v>0</v>
      </c>
      <c r="N426" s="454" t="str">
        <f t="shared" si="19"/>
        <v/>
      </c>
      <c r="O426" s="739" t="str">
        <f>HY!M22</f>
        <v>GC</v>
      </c>
      <c r="P426" s="746" t="str">
        <v>NO</v>
      </c>
    </row>
    <row r="427" spans="1:16" s="385" customFormat="1" ht="24.75" hidden="1" customHeight="1">
      <c r="A427" s="399">
        <v>20</v>
      </c>
      <c r="B427" s="455" t="s">
        <v>22</v>
      </c>
      <c r="C427" s="454" t="s">
        <v>1442</v>
      </c>
      <c r="D427" s="456" t="str">
        <f>_xlfn.XLOOKUP(C427,HY!$E$5:$E$256,HY!$D$5:$D$256)</f>
        <v>Pump Room Details - Sheet 1</v>
      </c>
      <c r="E427" s="454" t="str">
        <f>IF(VLOOKUP(C427,HY!$E$5:$AC$495,5,0)="","",VLOOKUP(C427,HY!$E$5:$AC$994,5,0))</f>
        <v/>
      </c>
      <c r="F427" s="457"/>
      <c r="G427" s="459" t="str">
        <f>IF(VLOOKUP(C427,HY!$E$5:$AC$495,3,0)="","",VLOOKUP(C427,HY!$E$5:$AC$495,3,0))</f>
        <v/>
      </c>
      <c r="H427" s="459" t="str">
        <f>IF(ISNA(MATCH($C427,HY!$E$5:$E$1006,0)),"",
IF($E427=0,IF(INDEX(HY!$P$5:$P$1006,MATCH($C427,HY!$E$5:$E$1006,0))="","",INDEX(HY!$P$5:$P$1006,MATCH($C427,HY!$E$5:$E$1006,0))),
IF($E427=1,IF(INDEX(HY!$U$5:$U$1006,MATCH($C427,HY!$E$5:$E$1006,0))="","",INDEX(HY!$U$5:$U$1006,MATCH($C427,HY!$E$5:$E$1006,0))),
IF($E427=2,IF(INDEX(HY!$Z$5:$Z$1006,MATCH($C427,HY!$E$5:$E$1006,0))="","",INDEX(HY!$Z$5:$Z$1006,MATCH($C427,HY!$E$5:$E$1006,0))),
IF($E427=3,IF(INDEX(HY!$AE$5:$AE$1006,MATCH($C427,HY!$E$5:$E$1006,0))="","",INDEX(HY!$AE$5:$AE$1006,MATCH($C427,HY!$E$5:$E$1006,0))),
IF($E427=4,IF(INDEX(HY!$AJ$5:$AJ$1006,MATCH($C427,HY!$E$5:$E$1006,0))="","",INDEX(HY!$AJ$5:$AJ$1006,MATCH($C427,HY!$E$5:$E$1006,0))),
IF($E427=5,IF(INDEX(HY!$AO$5:$AO$1006,MATCH($C427,HY!$E$5:$E$1006,0))="","",INDEX(HY!$AO$5:$AO$1006,MATCH($C427,HY!$E$5:$E$1006,0))),"")))))))</f>
        <v/>
      </c>
      <c r="I427" s="459" t="str">
        <f>IF(ISNA(MATCH($C427,HY!$E$5:$E$1006,0)),"",
IF($E427=0,IF(INDEX(HY!$Q$5:$Q$1006,MATCH($C427,HY!$E$5:$E$1006,0))="","",INDEX(HY!$Q$5:$Q$1006,MATCH($C427,HY!$E$5:$E$1006,0))),
IF($E427=1,IF(INDEX(HY!$V$5:$V$1006,MATCH($C427,HY!$E$5:$E$1006,0))="","",INDEX(HY!$V$5:$V$1006,MATCH($C427,HY!$E$5:$E$1006,0))),
IF($E427=2,IF(INDEX(HY!$AA$5:$AA$1006,MATCH($C427,HY!$E$5:$E$1006,0))="","",INDEX(HY!$AA$5:$AA$1006,MATCH($C427,HY!$E$5:$E$1006,0))),
IF($E427=3,IF(INDEX(HY!$AF$5:$AF$1006,MATCH($C427,HY!$E$5:$E$1006,0))="","",INDEX(HY!$AF$5:$AF$1006,MATCH($C427,HY!$E$5:$E$1006,0))),
IF($E427=4,IF(INDEX(HY!$AK$5:$AK$1006,MATCH($C427,HY!$E$5:$E$1006,0))="","",INDEX(HY!$AK$5:$AK$1006,MATCH($C427,HY!$E$5:$E$1006,0))),
IF($E427=5,IF(INDEX(HY!$AP$5:$AP$1006,MATCH($C427,HY!$E$5:$E$1006,0))="","",INDEX(HY!$AP$5:$AP$1006,MATCH($C427,HY!$E$5:$E$1006,0))),"")))))))</f>
        <v/>
      </c>
      <c r="J427" s="459" t="str">
        <f>IF(ISNA(MATCH($C427,HY!$E$5:$E$1006,0)),"",
IF($E427=0,IF(INDEX(HY!$R$5:$R$1006,MATCH($C427,HY!$E$5:$E$1006,0))="","",INDEX(HY!$R$5:$R$1006,MATCH($C427,HY!$E$5:$E$1006,0))),
IF($E427=1,IF(INDEX(HY!$W$5:$W$1006,MATCH($C427,HY!$E$5:$E$1006,0))="","",INDEX(HY!$W$5:$W$1006,MATCH($C427,HY!$E$5:$E$1006,0))),
IF($E427=2,IF(INDEX(HY!$AB$5:$AB$1006,MATCH($C427,HY!$E$5:$E$1006,0))="","",INDEX(HY!$AB$5:$AB$1006,MATCH($C427,HY!$E$5:$E$1006,0))),
IF($E427=3,IF(INDEX(HY!$AG$5:$AG$1006,MATCH($C427,HY!$E$5:$E$1006,0))="","",INDEX(HY!$AG$5:$AG$1006,MATCH($C427,HY!$E$5:$E$1006,0))),
IF($E427=4,IF(INDEX(HY!$AL$5:$AL$1006,MATCH($C427,HY!$E$5:$E$1006,0))="","",INDEX(HY!$AL$5:$AL$1006,MATCH($C427,HY!$E$5:$E$1006,0))),
IF($E427=5,IF(INDEX(HY!$AQ$5:$AQ$1006,MATCH($C427,HY!$E$5:$E$1006,0))="","",INDEX(HY!$AQ$5:$AQ$1006,MATCH($C427,HY!$E$5:$E$1006,0))),"")))))))</f>
        <v/>
      </c>
      <c r="K427" s="459">
        <f>HY!J23</f>
        <v>0</v>
      </c>
      <c r="L427" s="460" t="e" cm="1">
        <f t="array" aca="1" ref="L427" ca="1">_xlfn.IFS(AND($E427&lt;&gt;"",$M427="Pending",$K427="CTA"),TODAY()-$G427,AND($E427&lt;&gt;"",$M427="Pending",$K427="AUR"),TODAY()-$H427,AND($E427&lt;&gt;"",$M427="Pending",$K427="STT"),TODAY()-$I427,OR(K427="Closed",K427=""),"")</f>
        <v>#N/A</v>
      </c>
      <c r="M427" s="461">
        <f>VLOOKUP(C427,HY!$E$4:$AC$618,7,0)</f>
        <v>0</v>
      </c>
      <c r="N427" s="454" t="str">
        <f t="shared" si="19"/>
        <v/>
      </c>
      <c r="O427" s="739" t="str">
        <f>HY!M23</f>
        <v>GC</v>
      </c>
      <c r="P427" s="746" t="str">
        <v>NO</v>
      </c>
    </row>
    <row r="428" spans="1:16" s="385" customFormat="1" ht="24.75" hidden="1" customHeight="1">
      <c r="A428" s="399">
        <v>21</v>
      </c>
      <c r="B428" s="455" t="s">
        <v>22</v>
      </c>
      <c r="C428" s="454" t="s">
        <v>1445</v>
      </c>
      <c r="D428" s="456" t="str">
        <f>_xlfn.XLOOKUP(C428,HY!$E$5:$E$256,HY!$D$5:$D$256)</f>
        <v>Pump Room Details - Sheet 2</v>
      </c>
      <c r="E428" s="454" t="str">
        <f>IF(VLOOKUP(C428,HY!$E$5:$AC$495,5,0)="","",VLOOKUP(C428,HY!$E$5:$AC$994,5,0))</f>
        <v/>
      </c>
      <c r="F428" s="457"/>
      <c r="G428" s="459" t="str">
        <f>IF(VLOOKUP(C428,HY!$E$5:$AC$495,3,0)="","",VLOOKUP(C428,HY!$E$5:$AC$495,3,0))</f>
        <v/>
      </c>
      <c r="H428" s="459" t="str">
        <f>IF(ISNA(MATCH($C428,HY!$E$5:$E$1006,0)),"",
IF($E428=0,IF(INDEX(HY!$P$5:$P$1006,MATCH($C428,HY!$E$5:$E$1006,0))="","",INDEX(HY!$P$5:$P$1006,MATCH($C428,HY!$E$5:$E$1006,0))),
IF($E428=1,IF(INDEX(HY!$U$5:$U$1006,MATCH($C428,HY!$E$5:$E$1006,0))="","",INDEX(HY!$U$5:$U$1006,MATCH($C428,HY!$E$5:$E$1006,0))),
IF($E428=2,IF(INDEX(HY!$Z$5:$Z$1006,MATCH($C428,HY!$E$5:$E$1006,0))="","",INDEX(HY!$Z$5:$Z$1006,MATCH($C428,HY!$E$5:$E$1006,0))),
IF($E428=3,IF(INDEX(HY!$AE$5:$AE$1006,MATCH($C428,HY!$E$5:$E$1006,0))="","",INDEX(HY!$AE$5:$AE$1006,MATCH($C428,HY!$E$5:$E$1006,0))),
IF($E428=4,IF(INDEX(HY!$AJ$5:$AJ$1006,MATCH($C428,HY!$E$5:$E$1006,0))="","",INDEX(HY!$AJ$5:$AJ$1006,MATCH($C428,HY!$E$5:$E$1006,0))),
IF($E428=5,IF(INDEX(HY!$AO$5:$AO$1006,MATCH($C428,HY!$E$5:$E$1006,0))="","",INDEX(HY!$AO$5:$AO$1006,MATCH($C428,HY!$E$5:$E$1006,0))),"")))))))</f>
        <v/>
      </c>
      <c r="I428" s="459" t="str">
        <f>IF(ISNA(MATCH($C428,HY!$E$5:$E$1006,0)),"",
IF($E428=0,IF(INDEX(HY!$Q$5:$Q$1006,MATCH($C428,HY!$E$5:$E$1006,0))="","",INDEX(HY!$Q$5:$Q$1006,MATCH($C428,HY!$E$5:$E$1006,0))),
IF($E428=1,IF(INDEX(HY!$V$5:$V$1006,MATCH($C428,HY!$E$5:$E$1006,0))="","",INDEX(HY!$V$5:$V$1006,MATCH($C428,HY!$E$5:$E$1006,0))),
IF($E428=2,IF(INDEX(HY!$AA$5:$AA$1006,MATCH($C428,HY!$E$5:$E$1006,0))="","",INDEX(HY!$AA$5:$AA$1006,MATCH($C428,HY!$E$5:$E$1006,0))),
IF($E428=3,IF(INDEX(HY!$AF$5:$AF$1006,MATCH($C428,HY!$E$5:$E$1006,0))="","",INDEX(HY!$AF$5:$AF$1006,MATCH($C428,HY!$E$5:$E$1006,0))),
IF($E428=4,IF(INDEX(HY!$AK$5:$AK$1006,MATCH($C428,HY!$E$5:$E$1006,0))="","",INDEX(HY!$AK$5:$AK$1006,MATCH($C428,HY!$E$5:$E$1006,0))),
IF($E428=5,IF(INDEX(HY!$AP$5:$AP$1006,MATCH($C428,HY!$E$5:$E$1006,0))="","",INDEX(HY!$AP$5:$AP$1006,MATCH($C428,HY!$E$5:$E$1006,0))),"")))))))</f>
        <v/>
      </c>
      <c r="J428" s="459" t="str">
        <f>IF(ISNA(MATCH($C428,HY!$E$5:$E$1006,0)),"",
IF($E428=0,IF(INDEX(HY!$R$5:$R$1006,MATCH($C428,HY!$E$5:$E$1006,0))="","",INDEX(HY!$R$5:$R$1006,MATCH($C428,HY!$E$5:$E$1006,0))),
IF($E428=1,IF(INDEX(HY!$W$5:$W$1006,MATCH($C428,HY!$E$5:$E$1006,0))="","",INDEX(HY!$W$5:$W$1006,MATCH($C428,HY!$E$5:$E$1006,0))),
IF($E428=2,IF(INDEX(HY!$AB$5:$AB$1006,MATCH($C428,HY!$E$5:$E$1006,0))="","",INDEX(HY!$AB$5:$AB$1006,MATCH($C428,HY!$E$5:$E$1006,0))),
IF($E428=3,IF(INDEX(HY!$AG$5:$AG$1006,MATCH($C428,HY!$E$5:$E$1006,0))="","",INDEX(HY!$AG$5:$AG$1006,MATCH($C428,HY!$E$5:$E$1006,0))),
IF($E428=4,IF(INDEX(HY!$AL$5:$AL$1006,MATCH($C428,HY!$E$5:$E$1006,0))="","",INDEX(HY!$AL$5:$AL$1006,MATCH($C428,HY!$E$5:$E$1006,0))),
IF($E428=5,IF(INDEX(HY!$AQ$5:$AQ$1006,MATCH($C428,HY!$E$5:$E$1006,0))="","",INDEX(HY!$AQ$5:$AQ$1006,MATCH($C428,HY!$E$5:$E$1006,0))),"")))))))</f>
        <v/>
      </c>
      <c r="K428" s="459">
        <f>HY!J24</f>
        <v>0</v>
      </c>
      <c r="L428" s="460" t="e" cm="1">
        <f t="array" aca="1" ref="L428" ca="1">_xlfn.IFS(AND($E428&lt;&gt;"",$M428="Pending",$K428="CTA"),TODAY()-$G428,AND($E428&lt;&gt;"",$M428="Pending",$K428="AUR"),TODAY()-$H428,AND($E428&lt;&gt;"",$M428="Pending",$K428="STT"),TODAY()-$I428,OR(K428="Closed",K428=""),"")</f>
        <v>#N/A</v>
      </c>
      <c r="M428" s="461">
        <f>VLOOKUP(C428,HY!$E$4:$AC$618,7,0)</f>
        <v>0</v>
      </c>
      <c r="N428" s="454" t="str">
        <f t="shared" si="19"/>
        <v/>
      </c>
      <c r="O428" s="739" t="str">
        <f>HY!M24</f>
        <v>GC</v>
      </c>
      <c r="P428" s="746" t="str">
        <v>NO</v>
      </c>
    </row>
    <row r="429" spans="1:16" s="385" customFormat="1" ht="24.75" hidden="1" customHeight="1">
      <c r="A429" s="399">
        <v>22</v>
      </c>
      <c r="B429" s="455" t="s">
        <v>22</v>
      </c>
      <c r="C429" s="454" t="s">
        <v>1448</v>
      </c>
      <c r="D429" s="456" t="str">
        <f>_xlfn.XLOOKUP(C429,HY!$E$5:$E$256,HY!$D$5:$D$256)</f>
        <v>Pump Room Details - Sheet 3</v>
      </c>
      <c r="E429" s="454" t="str">
        <f>IF(VLOOKUP(C429,HY!$E$5:$AC$495,5,0)="","",VLOOKUP(C429,HY!$E$5:$AC$994,5,0))</f>
        <v/>
      </c>
      <c r="F429" s="457"/>
      <c r="G429" s="459" t="str">
        <f>IF(VLOOKUP(C429,HY!$E$5:$AC$495,3,0)="","",VLOOKUP(C429,HY!$E$5:$AC$495,3,0))</f>
        <v/>
      </c>
      <c r="H429" s="459" t="str">
        <f>IF(ISNA(MATCH($C429,HY!$E$5:$E$1006,0)),"",
IF($E429=0,IF(INDEX(HY!$P$5:$P$1006,MATCH($C429,HY!$E$5:$E$1006,0))="","",INDEX(HY!$P$5:$P$1006,MATCH($C429,HY!$E$5:$E$1006,0))),
IF($E429=1,IF(INDEX(HY!$U$5:$U$1006,MATCH($C429,HY!$E$5:$E$1006,0))="","",INDEX(HY!$U$5:$U$1006,MATCH($C429,HY!$E$5:$E$1006,0))),
IF($E429=2,IF(INDEX(HY!$Z$5:$Z$1006,MATCH($C429,HY!$E$5:$E$1006,0))="","",INDEX(HY!$Z$5:$Z$1006,MATCH($C429,HY!$E$5:$E$1006,0))),
IF($E429=3,IF(INDEX(HY!$AE$5:$AE$1006,MATCH($C429,HY!$E$5:$E$1006,0))="","",INDEX(HY!$AE$5:$AE$1006,MATCH($C429,HY!$E$5:$E$1006,0))),
IF($E429=4,IF(INDEX(HY!$AJ$5:$AJ$1006,MATCH($C429,HY!$E$5:$E$1006,0))="","",INDEX(HY!$AJ$5:$AJ$1006,MATCH($C429,HY!$E$5:$E$1006,0))),
IF($E429=5,IF(INDEX(HY!$AO$5:$AO$1006,MATCH($C429,HY!$E$5:$E$1006,0))="","",INDEX(HY!$AO$5:$AO$1006,MATCH($C429,HY!$E$5:$E$1006,0))),"")))))))</f>
        <v/>
      </c>
      <c r="I429" s="459" t="str">
        <f>IF(ISNA(MATCH($C429,HY!$E$5:$E$1006,0)),"",
IF($E429=0,IF(INDEX(HY!$Q$5:$Q$1006,MATCH($C429,HY!$E$5:$E$1006,0))="","",INDEX(HY!$Q$5:$Q$1006,MATCH($C429,HY!$E$5:$E$1006,0))),
IF($E429=1,IF(INDEX(HY!$V$5:$V$1006,MATCH($C429,HY!$E$5:$E$1006,0))="","",INDEX(HY!$V$5:$V$1006,MATCH($C429,HY!$E$5:$E$1006,0))),
IF($E429=2,IF(INDEX(HY!$AA$5:$AA$1006,MATCH($C429,HY!$E$5:$E$1006,0))="","",INDEX(HY!$AA$5:$AA$1006,MATCH($C429,HY!$E$5:$E$1006,0))),
IF($E429=3,IF(INDEX(HY!$AF$5:$AF$1006,MATCH($C429,HY!$E$5:$E$1006,0))="","",INDEX(HY!$AF$5:$AF$1006,MATCH($C429,HY!$E$5:$E$1006,0))),
IF($E429=4,IF(INDEX(HY!$AK$5:$AK$1006,MATCH($C429,HY!$E$5:$E$1006,0))="","",INDEX(HY!$AK$5:$AK$1006,MATCH($C429,HY!$E$5:$E$1006,0))),
IF($E429=5,IF(INDEX(HY!$AP$5:$AP$1006,MATCH($C429,HY!$E$5:$E$1006,0))="","",INDEX(HY!$AP$5:$AP$1006,MATCH($C429,HY!$E$5:$E$1006,0))),"")))))))</f>
        <v/>
      </c>
      <c r="J429" s="459" t="str">
        <f>IF(ISNA(MATCH($C429,HY!$E$5:$E$1006,0)),"",
IF($E429=0,IF(INDEX(HY!$R$5:$R$1006,MATCH($C429,HY!$E$5:$E$1006,0))="","",INDEX(HY!$R$5:$R$1006,MATCH($C429,HY!$E$5:$E$1006,0))),
IF($E429=1,IF(INDEX(HY!$W$5:$W$1006,MATCH($C429,HY!$E$5:$E$1006,0))="","",INDEX(HY!$W$5:$W$1006,MATCH($C429,HY!$E$5:$E$1006,0))),
IF($E429=2,IF(INDEX(HY!$AB$5:$AB$1006,MATCH($C429,HY!$E$5:$E$1006,0))="","",INDEX(HY!$AB$5:$AB$1006,MATCH($C429,HY!$E$5:$E$1006,0))),
IF($E429=3,IF(INDEX(HY!$AG$5:$AG$1006,MATCH($C429,HY!$E$5:$E$1006,0))="","",INDEX(HY!$AG$5:$AG$1006,MATCH($C429,HY!$E$5:$E$1006,0))),
IF($E429=4,IF(INDEX(HY!$AL$5:$AL$1006,MATCH($C429,HY!$E$5:$E$1006,0))="","",INDEX(HY!$AL$5:$AL$1006,MATCH($C429,HY!$E$5:$E$1006,0))),
IF($E429=5,IF(INDEX(HY!$AQ$5:$AQ$1006,MATCH($C429,HY!$E$5:$E$1006,0))="","",INDEX(HY!$AQ$5:$AQ$1006,MATCH($C429,HY!$E$5:$E$1006,0))),"")))))))</f>
        <v/>
      </c>
      <c r="K429" s="459">
        <f>HY!J25</f>
        <v>0</v>
      </c>
      <c r="L429" s="460" t="e" cm="1">
        <f t="array" aca="1" ref="L429" ca="1">_xlfn.IFS(AND($E429&lt;&gt;"",$M429="Pending",$K429="CTA"),TODAY()-$G429,AND($E429&lt;&gt;"",$M429="Pending",$K429="AUR"),TODAY()-$H429,AND($E429&lt;&gt;"",$M429="Pending",$K429="STT"),TODAY()-$I429,OR(K429="Closed",K429=""),"")</f>
        <v>#N/A</v>
      </c>
      <c r="M429" s="461">
        <f>VLOOKUP(C429,HY!$E$4:$AC$618,7,0)</f>
        <v>0</v>
      </c>
      <c r="N429" s="454" t="str">
        <f t="shared" si="19"/>
        <v/>
      </c>
      <c r="O429" s="739" t="str">
        <f>HY!M25</f>
        <v>GC</v>
      </c>
      <c r="P429" s="746" t="str">
        <v>NO</v>
      </c>
    </row>
    <row r="430" spans="1:16" s="385" customFormat="1" ht="24.75" hidden="1" customHeight="1">
      <c r="A430" s="399">
        <v>23</v>
      </c>
      <c r="B430" s="455" t="s">
        <v>22</v>
      </c>
      <c r="C430" s="454" t="s">
        <v>1451</v>
      </c>
      <c r="D430" s="456" t="str">
        <f>_xlfn.XLOOKUP(C430,HY!$E$5:$E$256,HY!$D$5:$D$256)</f>
        <v>Fuel Pump Room Details - Sheet 1</v>
      </c>
      <c r="E430" s="454" t="str">
        <f>IF(VLOOKUP(C430,HY!$E$5:$AC$495,5,0)="","",VLOOKUP(C430,HY!$E$5:$AC$994,5,0))</f>
        <v/>
      </c>
      <c r="F430" s="457"/>
      <c r="G430" s="459" t="str">
        <f>IF(VLOOKUP(C430,HY!$E$5:$AC$495,3,0)="","",VLOOKUP(C430,HY!$E$5:$AC$495,3,0))</f>
        <v/>
      </c>
      <c r="H430" s="459" t="str">
        <f>IF(ISNA(MATCH($C430,HY!$E$5:$E$1006,0)),"",
IF($E430=0,IF(INDEX(HY!$P$5:$P$1006,MATCH($C430,HY!$E$5:$E$1006,0))="","",INDEX(HY!$P$5:$P$1006,MATCH($C430,HY!$E$5:$E$1006,0))),
IF($E430=1,IF(INDEX(HY!$U$5:$U$1006,MATCH($C430,HY!$E$5:$E$1006,0))="","",INDEX(HY!$U$5:$U$1006,MATCH($C430,HY!$E$5:$E$1006,0))),
IF($E430=2,IF(INDEX(HY!$Z$5:$Z$1006,MATCH($C430,HY!$E$5:$E$1006,0))="","",INDEX(HY!$Z$5:$Z$1006,MATCH($C430,HY!$E$5:$E$1006,0))),
IF($E430=3,IF(INDEX(HY!$AE$5:$AE$1006,MATCH($C430,HY!$E$5:$E$1006,0))="","",INDEX(HY!$AE$5:$AE$1006,MATCH($C430,HY!$E$5:$E$1006,0))),
IF($E430=4,IF(INDEX(HY!$AJ$5:$AJ$1006,MATCH($C430,HY!$E$5:$E$1006,0))="","",INDEX(HY!$AJ$5:$AJ$1006,MATCH($C430,HY!$E$5:$E$1006,0))),
IF($E430=5,IF(INDEX(HY!$AO$5:$AO$1006,MATCH($C430,HY!$E$5:$E$1006,0))="","",INDEX(HY!$AO$5:$AO$1006,MATCH($C430,HY!$E$5:$E$1006,0))),"")))))))</f>
        <v/>
      </c>
      <c r="I430" s="459" t="str">
        <f>IF(ISNA(MATCH($C430,HY!$E$5:$E$1006,0)),"",
IF($E430=0,IF(INDEX(HY!$Q$5:$Q$1006,MATCH($C430,HY!$E$5:$E$1006,0))="","",INDEX(HY!$Q$5:$Q$1006,MATCH($C430,HY!$E$5:$E$1006,0))),
IF($E430=1,IF(INDEX(HY!$V$5:$V$1006,MATCH($C430,HY!$E$5:$E$1006,0))="","",INDEX(HY!$V$5:$V$1006,MATCH($C430,HY!$E$5:$E$1006,0))),
IF($E430=2,IF(INDEX(HY!$AA$5:$AA$1006,MATCH($C430,HY!$E$5:$E$1006,0))="","",INDEX(HY!$AA$5:$AA$1006,MATCH($C430,HY!$E$5:$E$1006,0))),
IF($E430=3,IF(INDEX(HY!$AF$5:$AF$1006,MATCH($C430,HY!$E$5:$E$1006,0))="","",INDEX(HY!$AF$5:$AF$1006,MATCH($C430,HY!$E$5:$E$1006,0))),
IF($E430=4,IF(INDEX(HY!$AK$5:$AK$1006,MATCH($C430,HY!$E$5:$E$1006,0))="","",INDEX(HY!$AK$5:$AK$1006,MATCH($C430,HY!$E$5:$E$1006,0))),
IF($E430=5,IF(INDEX(HY!$AP$5:$AP$1006,MATCH($C430,HY!$E$5:$E$1006,0))="","",INDEX(HY!$AP$5:$AP$1006,MATCH($C430,HY!$E$5:$E$1006,0))),"")))))))</f>
        <v/>
      </c>
      <c r="J430" s="459" t="str">
        <f>IF(ISNA(MATCH($C430,HY!$E$5:$E$1006,0)),"",
IF($E430=0,IF(INDEX(HY!$R$5:$R$1006,MATCH($C430,HY!$E$5:$E$1006,0))="","",INDEX(HY!$R$5:$R$1006,MATCH($C430,HY!$E$5:$E$1006,0))),
IF($E430=1,IF(INDEX(HY!$W$5:$W$1006,MATCH($C430,HY!$E$5:$E$1006,0))="","",INDEX(HY!$W$5:$W$1006,MATCH($C430,HY!$E$5:$E$1006,0))),
IF($E430=2,IF(INDEX(HY!$AB$5:$AB$1006,MATCH($C430,HY!$E$5:$E$1006,0))="","",INDEX(HY!$AB$5:$AB$1006,MATCH($C430,HY!$E$5:$E$1006,0))),
IF($E430=3,IF(INDEX(HY!$AG$5:$AG$1006,MATCH($C430,HY!$E$5:$E$1006,0))="","",INDEX(HY!$AG$5:$AG$1006,MATCH($C430,HY!$E$5:$E$1006,0))),
IF($E430=4,IF(INDEX(HY!$AL$5:$AL$1006,MATCH($C430,HY!$E$5:$E$1006,0))="","",INDEX(HY!$AL$5:$AL$1006,MATCH($C430,HY!$E$5:$E$1006,0))),
IF($E430=5,IF(INDEX(HY!$AQ$5:$AQ$1006,MATCH($C430,HY!$E$5:$E$1006,0))="","",INDEX(HY!$AQ$5:$AQ$1006,MATCH($C430,HY!$E$5:$E$1006,0))),"")))))))</f>
        <v/>
      </c>
      <c r="K430" s="459">
        <f>HY!J26</f>
        <v>0</v>
      </c>
      <c r="L430" s="460" t="e" cm="1">
        <f t="array" aca="1" ref="L430" ca="1">_xlfn.IFS(AND($E430&lt;&gt;"",$M430="Pending",$K430="CTA"),TODAY()-$G430,AND($E430&lt;&gt;"",$M430="Pending",$K430="AUR"),TODAY()-$H430,AND($E430&lt;&gt;"",$M430="Pending",$K430="STT"),TODAY()-$I430,OR(K430="Closed",K430=""),"")</f>
        <v>#N/A</v>
      </c>
      <c r="M430" s="461">
        <f>VLOOKUP(C430,HY!$E$4:$AC$618,7,0)</f>
        <v>0</v>
      </c>
      <c r="N430" s="454" t="str">
        <f t="shared" si="19"/>
        <v/>
      </c>
      <c r="O430" s="739" t="str">
        <f>HY!M26</f>
        <v>GC</v>
      </c>
      <c r="P430" s="746" t="str">
        <v>YES</v>
      </c>
    </row>
    <row r="431" spans="1:16" s="385" customFormat="1" ht="24.75" hidden="1" customHeight="1">
      <c r="A431" s="399">
        <v>24</v>
      </c>
      <c r="B431" s="455" t="s">
        <v>22</v>
      </c>
      <c r="C431" s="454" t="s">
        <v>1454</v>
      </c>
      <c r="D431" s="456" t="str">
        <f>_xlfn.XLOOKUP(C431,HY!$E$5:$E$256,HY!$D$5:$D$256)</f>
        <v>Fuel Pump Room Details - Sheet 2</v>
      </c>
      <c r="E431" s="454" t="str">
        <f>IF(VLOOKUP(C431,HY!$E$5:$AC$495,5,0)="","",VLOOKUP(C431,HY!$E$5:$AC$994,5,0))</f>
        <v/>
      </c>
      <c r="F431" s="457"/>
      <c r="G431" s="459" t="str">
        <f>IF(VLOOKUP(C431,HY!$E$5:$AC$495,3,0)="","",VLOOKUP(C431,HY!$E$5:$AC$495,3,0))</f>
        <v/>
      </c>
      <c r="H431" s="459" t="str">
        <f>IF(ISNA(MATCH($C431,HY!$E$5:$E$1006,0)),"",
IF($E431=0,IF(INDEX(HY!$P$5:$P$1006,MATCH($C431,HY!$E$5:$E$1006,0))="","",INDEX(HY!$P$5:$P$1006,MATCH($C431,HY!$E$5:$E$1006,0))),
IF($E431=1,IF(INDEX(HY!$U$5:$U$1006,MATCH($C431,HY!$E$5:$E$1006,0))="","",INDEX(HY!$U$5:$U$1006,MATCH($C431,HY!$E$5:$E$1006,0))),
IF($E431=2,IF(INDEX(HY!$Z$5:$Z$1006,MATCH($C431,HY!$E$5:$E$1006,0))="","",INDEX(HY!$Z$5:$Z$1006,MATCH($C431,HY!$E$5:$E$1006,0))),
IF($E431=3,IF(INDEX(HY!$AE$5:$AE$1006,MATCH($C431,HY!$E$5:$E$1006,0))="","",INDEX(HY!$AE$5:$AE$1006,MATCH($C431,HY!$E$5:$E$1006,0))),
IF($E431=4,IF(INDEX(HY!$AJ$5:$AJ$1006,MATCH($C431,HY!$E$5:$E$1006,0))="","",INDEX(HY!$AJ$5:$AJ$1006,MATCH($C431,HY!$E$5:$E$1006,0))),
IF($E431=5,IF(INDEX(HY!$AO$5:$AO$1006,MATCH($C431,HY!$E$5:$E$1006,0))="","",INDEX(HY!$AO$5:$AO$1006,MATCH($C431,HY!$E$5:$E$1006,0))),"")))))))</f>
        <v/>
      </c>
      <c r="I431" s="459" t="str">
        <f>IF(ISNA(MATCH($C431,HY!$E$5:$E$1006,0)),"",
IF($E431=0,IF(INDEX(HY!$Q$5:$Q$1006,MATCH($C431,HY!$E$5:$E$1006,0))="","",INDEX(HY!$Q$5:$Q$1006,MATCH($C431,HY!$E$5:$E$1006,0))),
IF($E431=1,IF(INDEX(HY!$V$5:$V$1006,MATCH($C431,HY!$E$5:$E$1006,0))="","",INDEX(HY!$V$5:$V$1006,MATCH($C431,HY!$E$5:$E$1006,0))),
IF($E431=2,IF(INDEX(HY!$AA$5:$AA$1006,MATCH($C431,HY!$E$5:$E$1006,0))="","",INDEX(HY!$AA$5:$AA$1006,MATCH($C431,HY!$E$5:$E$1006,0))),
IF($E431=3,IF(INDEX(HY!$AF$5:$AF$1006,MATCH($C431,HY!$E$5:$E$1006,0))="","",INDEX(HY!$AF$5:$AF$1006,MATCH($C431,HY!$E$5:$E$1006,0))),
IF($E431=4,IF(INDEX(HY!$AK$5:$AK$1006,MATCH($C431,HY!$E$5:$E$1006,0))="","",INDEX(HY!$AK$5:$AK$1006,MATCH($C431,HY!$E$5:$E$1006,0))),
IF($E431=5,IF(INDEX(HY!$AP$5:$AP$1006,MATCH($C431,HY!$E$5:$E$1006,0))="","",INDEX(HY!$AP$5:$AP$1006,MATCH($C431,HY!$E$5:$E$1006,0))),"")))))))</f>
        <v/>
      </c>
      <c r="J431" s="459" t="str">
        <f>IF(ISNA(MATCH($C431,HY!$E$5:$E$1006,0)),"",
IF($E431=0,IF(INDEX(HY!$R$5:$R$1006,MATCH($C431,HY!$E$5:$E$1006,0))="","",INDEX(HY!$R$5:$R$1006,MATCH($C431,HY!$E$5:$E$1006,0))),
IF($E431=1,IF(INDEX(HY!$W$5:$W$1006,MATCH($C431,HY!$E$5:$E$1006,0))="","",INDEX(HY!$W$5:$W$1006,MATCH($C431,HY!$E$5:$E$1006,0))),
IF($E431=2,IF(INDEX(HY!$AB$5:$AB$1006,MATCH($C431,HY!$E$5:$E$1006,0))="","",INDEX(HY!$AB$5:$AB$1006,MATCH($C431,HY!$E$5:$E$1006,0))),
IF($E431=3,IF(INDEX(HY!$AG$5:$AG$1006,MATCH($C431,HY!$E$5:$E$1006,0))="","",INDEX(HY!$AG$5:$AG$1006,MATCH($C431,HY!$E$5:$E$1006,0))),
IF($E431=4,IF(INDEX(HY!$AL$5:$AL$1006,MATCH($C431,HY!$E$5:$E$1006,0))="","",INDEX(HY!$AL$5:$AL$1006,MATCH($C431,HY!$E$5:$E$1006,0))),
IF($E431=5,IF(INDEX(HY!$AQ$5:$AQ$1006,MATCH($C431,HY!$E$5:$E$1006,0))="","",INDEX(HY!$AQ$5:$AQ$1006,MATCH($C431,HY!$E$5:$E$1006,0))),"")))))))</f>
        <v/>
      </c>
      <c r="K431" s="459">
        <f>HY!J27</f>
        <v>0</v>
      </c>
      <c r="L431" s="460" t="e" cm="1">
        <f t="array" aca="1" ref="L431" ca="1">_xlfn.IFS(AND($E431&lt;&gt;"",$M431="Pending",$K431="CTA"),TODAY()-$G431,AND($E431&lt;&gt;"",$M431="Pending",$K431="AUR"),TODAY()-$H431,AND($E431&lt;&gt;"",$M431="Pending",$K431="STT"),TODAY()-$I431,OR(K431="Closed",K431=""),"")</f>
        <v>#N/A</v>
      </c>
      <c r="M431" s="461">
        <f>VLOOKUP(C431,HY!$E$4:$AC$618,7,0)</f>
        <v>0</v>
      </c>
      <c r="N431" s="454" t="str">
        <f t="shared" si="19"/>
        <v/>
      </c>
      <c r="O431" s="739" t="str">
        <f>HY!M27</f>
        <v>GC</v>
      </c>
      <c r="P431" s="746" t="str">
        <v>YES</v>
      </c>
    </row>
    <row r="432" spans="1:16" s="385" customFormat="1" ht="24.75" hidden="1" customHeight="1">
      <c r="A432" s="399">
        <v>25</v>
      </c>
      <c r="B432" s="455" t="s">
        <v>22</v>
      </c>
      <c r="C432" s="454" t="s">
        <v>1457</v>
      </c>
      <c r="D432" s="456" t="str">
        <f>_xlfn.XLOOKUP(C432,HY!$E$5:$E$256,HY!$D$5:$D$256)</f>
        <v>Softener Detail</v>
      </c>
      <c r="E432" s="454" t="str">
        <f>IF(VLOOKUP(C432,HY!$E$5:$AC$495,5,0)="","",VLOOKUP(C432,HY!$E$5:$AC$994,5,0))</f>
        <v/>
      </c>
      <c r="F432" s="457"/>
      <c r="G432" s="459" t="str">
        <f>IF(VLOOKUP(C432,HY!$E$5:$AC$495,3,0)="","",VLOOKUP(C432,HY!$E$5:$AC$495,3,0))</f>
        <v/>
      </c>
      <c r="H432" s="459" t="str">
        <f>IF(ISNA(MATCH($C432,HY!$E$5:$E$1006,0)),"",
IF($E432=0,IF(INDEX(HY!$P$5:$P$1006,MATCH($C432,HY!$E$5:$E$1006,0))="","",INDEX(HY!$P$5:$P$1006,MATCH($C432,HY!$E$5:$E$1006,0))),
IF($E432=1,IF(INDEX(HY!$U$5:$U$1006,MATCH($C432,HY!$E$5:$E$1006,0))="","",INDEX(HY!$U$5:$U$1006,MATCH($C432,HY!$E$5:$E$1006,0))),
IF($E432=2,IF(INDEX(HY!$Z$5:$Z$1006,MATCH($C432,HY!$E$5:$E$1006,0))="","",INDEX(HY!$Z$5:$Z$1006,MATCH($C432,HY!$E$5:$E$1006,0))),
IF($E432=3,IF(INDEX(HY!$AE$5:$AE$1006,MATCH($C432,HY!$E$5:$E$1006,0))="","",INDEX(HY!$AE$5:$AE$1006,MATCH($C432,HY!$E$5:$E$1006,0))),
IF($E432=4,IF(INDEX(HY!$AJ$5:$AJ$1006,MATCH($C432,HY!$E$5:$E$1006,0))="","",INDEX(HY!$AJ$5:$AJ$1006,MATCH($C432,HY!$E$5:$E$1006,0))),
IF($E432=5,IF(INDEX(HY!$AO$5:$AO$1006,MATCH($C432,HY!$E$5:$E$1006,0))="","",INDEX(HY!$AO$5:$AO$1006,MATCH($C432,HY!$E$5:$E$1006,0))),"")))))))</f>
        <v/>
      </c>
      <c r="I432" s="459" t="str">
        <f>IF(ISNA(MATCH($C432,HY!$E$5:$E$1006,0)),"",
IF($E432=0,IF(INDEX(HY!$Q$5:$Q$1006,MATCH($C432,HY!$E$5:$E$1006,0))="","",INDEX(HY!$Q$5:$Q$1006,MATCH($C432,HY!$E$5:$E$1006,0))),
IF($E432=1,IF(INDEX(HY!$V$5:$V$1006,MATCH($C432,HY!$E$5:$E$1006,0))="","",INDEX(HY!$V$5:$V$1006,MATCH($C432,HY!$E$5:$E$1006,0))),
IF($E432=2,IF(INDEX(HY!$AA$5:$AA$1006,MATCH($C432,HY!$E$5:$E$1006,0))="","",INDEX(HY!$AA$5:$AA$1006,MATCH($C432,HY!$E$5:$E$1006,0))),
IF($E432=3,IF(INDEX(HY!$AF$5:$AF$1006,MATCH($C432,HY!$E$5:$E$1006,0))="","",INDEX(HY!$AF$5:$AF$1006,MATCH($C432,HY!$E$5:$E$1006,0))),
IF($E432=4,IF(INDEX(HY!$AK$5:$AK$1006,MATCH($C432,HY!$E$5:$E$1006,0))="","",INDEX(HY!$AK$5:$AK$1006,MATCH($C432,HY!$E$5:$E$1006,0))),
IF($E432=5,IF(INDEX(HY!$AP$5:$AP$1006,MATCH($C432,HY!$E$5:$E$1006,0))="","",INDEX(HY!$AP$5:$AP$1006,MATCH($C432,HY!$E$5:$E$1006,0))),"")))))))</f>
        <v/>
      </c>
      <c r="J432" s="459" t="str">
        <f>IF(ISNA(MATCH($C432,HY!$E$5:$E$1006,0)),"",
IF($E432=0,IF(INDEX(HY!$R$5:$R$1006,MATCH($C432,HY!$E$5:$E$1006,0))="","",INDEX(HY!$R$5:$R$1006,MATCH($C432,HY!$E$5:$E$1006,0))),
IF($E432=1,IF(INDEX(HY!$W$5:$W$1006,MATCH($C432,HY!$E$5:$E$1006,0))="","",INDEX(HY!$W$5:$W$1006,MATCH($C432,HY!$E$5:$E$1006,0))),
IF($E432=2,IF(INDEX(HY!$AB$5:$AB$1006,MATCH($C432,HY!$E$5:$E$1006,0))="","",INDEX(HY!$AB$5:$AB$1006,MATCH($C432,HY!$E$5:$E$1006,0))),
IF($E432=3,IF(INDEX(HY!$AG$5:$AG$1006,MATCH($C432,HY!$E$5:$E$1006,0))="","",INDEX(HY!$AG$5:$AG$1006,MATCH($C432,HY!$E$5:$E$1006,0))),
IF($E432=4,IF(INDEX(HY!$AL$5:$AL$1006,MATCH($C432,HY!$E$5:$E$1006,0))="","",INDEX(HY!$AL$5:$AL$1006,MATCH($C432,HY!$E$5:$E$1006,0))),
IF($E432=5,IF(INDEX(HY!$AQ$5:$AQ$1006,MATCH($C432,HY!$E$5:$E$1006,0))="","",INDEX(HY!$AQ$5:$AQ$1006,MATCH($C432,HY!$E$5:$E$1006,0))),"")))))))</f>
        <v/>
      </c>
      <c r="K432" s="459">
        <f>HY!J28</f>
        <v>0</v>
      </c>
      <c r="L432" s="460" t="e" cm="1">
        <f t="array" aca="1" ref="L432" ca="1">_xlfn.IFS(AND($E432&lt;&gt;"",$M432="Pending",$K432="CTA"),TODAY()-$G432,AND($E432&lt;&gt;"",$M432="Pending",$K432="AUR"),TODAY()-$H432,AND($E432&lt;&gt;"",$M432="Pending",$K432="STT"),TODAY()-$I432,OR(K432="Closed",K432=""),"")</f>
        <v>#N/A</v>
      </c>
      <c r="M432" s="461">
        <f>VLOOKUP(C432,HY!$E$4:$AC$618,7,0)</f>
        <v>0</v>
      </c>
      <c r="N432" s="454" t="str">
        <f t="shared" si="19"/>
        <v/>
      </c>
      <c r="O432" s="739" t="str">
        <f>HY!M28</f>
        <v>GC</v>
      </c>
      <c r="P432" s="746" t="str">
        <v>NO</v>
      </c>
    </row>
    <row r="433" spans="1:16" s="385" customFormat="1" ht="24.75" hidden="1" customHeight="1">
      <c r="A433" s="399">
        <v>26</v>
      </c>
      <c r="B433" s="455" t="s">
        <v>22</v>
      </c>
      <c r="C433" s="454" t="s">
        <v>1460</v>
      </c>
      <c r="D433" s="456" t="str">
        <f>_xlfn.XLOOKUP(C433,HY!$E$5:$E$256,HY!$D$5:$D$256)</f>
        <v>Pump Room &amp; Water Tank - Level 6 Detail</v>
      </c>
      <c r="E433" s="454" t="str">
        <f>IF(VLOOKUP(C433,HY!$E$5:$AC$495,5,0)="","",VLOOKUP(C433,HY!$E$5:$AC$994,5,0))</f>
        <v/>
      </c>
      <c r="F433" s="457"/>
      <c r="G433" s="459" t="str">
        <f>IF(VLOOKUP(C433,HY!$E$5:$AC$495,3,0)="","",VLOOKUP(C433,HY!$E$5:$AC$495,3,0))</f>
        <v/>
      </c>
      <c r="H433" s="459" t="str">
        <f>IF(ISNA(MATCH($C433,HY!$E$5:$E$1006,0)),"",
IF($E433=0,IF(INDEX(HY!$P$5:$P$1006,MATCH($C433,HY!$E$5:$E$1006,0))="","",INDEX(HY!$P$5:$P$1006,MATCH($C433,HY!$E$5:$E$1006,0))),
IF($E433=1,IF(INDEX(HY!$U$5:$U$1006,MATCH($C433,HY!$E$5:$E$1006,0))="","",INDEX(HY!$U$5:$U$1006,MATCH($C433,HY!$E$5:$E$1006,0))),
IF($E433=2,IF(INDEX(HY!$Z$5:$Z$1006,MATCH($C433,HY!$E$5:$E$1006,0))="","",INDEX(HY!$Z$5:$Z$1006,MATCH($C433,HY!$E$5:$E$1006,0))),
IF($E433=3,IF(INDEX(HY!$AE$5:$AE$1006,MATCH($C433,HY!$E$5:$E$1006,0))="","",INDEX(HY!$AE$5:$AE$1006,MATCH($C433,HY!$E$5:$E$1006,0))),
IF($E433=4,IF(INDEX(HY!$AJ$5:$AJ$1006,MATCH($C433,HY!$E$5:$E$1006,0))="","",INDEX(HY!$AJ$5:$AJ$1006,MATCH($C433,HY!$E$5:$E$1006,0))),
IF($E433=5,IF(INDEX(HY!$AO$5:$AO$1006,MATCH($C433,HY!$E$5:$E$1006,0))="","",INDEX(HY!$AO$5:$AO$1006,MATCH($C433,HY!$E$5:$E$1006,0))),"")))))))</f>
        <v/>
      </c>
      <c r="I433" s="459" t="str">
        <f>IF(ISNA(MATCH($C433,HY!$E$5:$E$1006,0)),"",
IF($E433=0,IF(INDEX(HY!$Q$5:$Q$1006,MATCH($C433,HY!$E$5:$E$1006,0))="","",INDEX(HY!$Q$5:$Q$1006,MATCH($C433,HY!$E$5:$E$1006,0))),
IF($E433=1,IF(INDEX(HY!$V$5:$V$1006,MATCH($C433,HY!$E$5:$E$1006,0))="","",INDEX(HY!$V$5:$V$1006,MATCH($C433,HY!$E$5:$E$1006,0))),
IF($E433=2,IF(INDEX(HY!$AA$5:$AA$1006,MATCH($C433,HY!$E$5:$E$1006,0))="","",INDEX(HY!$AA$5:$AA$1006,MATCH($C433,HY!$E$5:$E$1006,0))),
IF($E433=3,IF(INDEX(HY!$AF$5:$AF$1006,MATCH($C433,HY!$E$5:$E$1006,0))="","",INDEX(HY!$AF$5:$AF$1006,MATCH($C433,HY!$E$5:$E$1006,0))),
IF($E433=4,IF(INDEX(HY!$AK$5:$AK$1006,MATCH($C433,HY!$E$5:$E$1006,0))="","",INDEX(HY!$AK$5:$AK$1006,MATCH($C433,HY!$E$5:$E$1006,0))),
IF($E433=5,IF(INDEX(HY!$AP$5:$AP$1006,MATCH($C433,HY!$E$5:$E$1006,0))="","",INDEX(HY!$AP$5:$AP$1006,MATCH($C433,HY!$E$5:$E$1006,0))),"")))))))</f>
        <v/>
      </c>
      <c r="J433" s="459" t="str">
        <f>IF(ISNA(MATCH($C433,HY!$E$5:$E$1006,0)),"",
IF($E433=0,IF(INDEX(HY!$R$5:$R$1006,MATCH($C433,HY!$E$5:$E$1006,0))="","",INDEX(HY!$R$5:$R$1006,MATCH($C433,HY!$E$5:$E$1006,0))),
IF($E433=1,IF(INDEX(HY!$W$5:$W$1006,MATCH($C433,HY!$E$5:$E$1006,0))="","",INDEX(HY!$W$5:$W$1006,MATCH($C433,HY!$E$5:$E$1006,0))),
IF($E433=2,IF(INDEX(HY!$AB$5:$AB$1006,MATCH($C433,HY!$E$5:$E$1006,0))="","",INDEX(HY!$AB$5:$AB$1006,MATCH($C433,HY!$E$5:$E$1006,0))),
IF($E433=3,IF(INDEX(HY!$AG$5:$AG$1006,MATCH($C433,HY!$E$5:$E$1006,0))="","",INDEX(HY!$AG$5:$AG$1006,MATCH($C433,HY!$E$5:$E$1006,0))),
IF($E433=4,IF(INDEX(HY!$AL$5:$AL$1006,MATCH($C433,HY!$E$5:$E$1006,0))="","",INDEX(HY!$AL$5:$AL$1006,MATCH($C433,HY!$E$5:$E$1006,0))),
IF($E433=5,IF(INDEX(HY!$AQ$5:$AQ$1006,MATCH($C433,HY!$E$5:$E$1006,0))="","",INDEX(HY!$AQ$5:$AQ$1006,MATCH($C433,HY!$E$5:$E$1006,0))),"")))))))</f>
        <v/>
      </c>
      <c r="K433" s="459">
        <f>HY!J29</f>
        <v>0</v>
      </c>
      <c r="L433" s="460" t="e" cm="1">
        <f t="array" aca="1" ref="L433" ca="1">_xlfn.IFS(AND($E433&lt;&gt;"",$M433="Pending",$K433="CTA"),TODAY()-$G433,AND($E433&lt;&gt;"",$M433="Pending",$K433="AUR"),TODAY()-$H433,AND($E433&lt;&gt;"",$M433="Pending",$K433="STT"),TODAY()-$I433,OR(K433="Closed",K433=""),"")</f>
        <v>#N/A</v>
      </c>
      <c r="M433" s="461">
        <f>VLOOKUP(C433,HY!$E$4:$AC$618,7,0)</f>
        <v>0</v>
      </c>
      <c r="N433" s="454" t="str">
        <f t="shared" si="19"/>
        <v/>
      </c>
      <c r="O433" s="739" t="str">
        <f>HY!M29</f>
        <v>GC</v>
      </c>
      <c r="P433" s="746" t="str">
        <v>NO</v>
      </c>
    </row>
    <row r="434" spans="1:16" s="385" customFormat="1" ht="24.75" hidden="1" customHeight="1">
      <c r="A434" s="399">
        <v>27</v>
      </c>
      <c r="B434" s="455" t="s">
        <v>22</v>
      </c>
      <c r="C434" s="454" t="s">
        <v>1463</v>
      </c>
      <c r="D434" s="456" t="str">
        <f>_xlfn.XLOOKUP(C434,HY!$E$5:$E$256,HY!$D$5:$D$256)</f>
        <v>Level 2 - Toilet Details</v>
      </c>
      <c r="E434" s="454" t="str">
        <f>IF(VLOOKUP(C434,HY!$E$5:$AC$495,5,0)="","",VLOOKUP(C434,HY!$E$5:$AC$994,5,0))</f>
        <v/>
      </c>
      <c r="F434" s="457"/>
      <c r="G434" s="459" t="str">
        <f>IF(VLOOKUP(C434,HY!$E$5:$AC$495,3,0)="","",VLOOKUP(C434,HY!$E$5:$AC$495,3,0))</f>
        <v/>
      </c>
      <c r="H434" s="459" t="str">
        <f>IF(ISNA(MATCH($C434,HY!$E$5:$E$1006,0)),"",
IF($E434=0,IF(INDEX(HY!$P$5:$P$1006,MATCH($C434,HY!$E$5:$E$1006,0))="","",INDEX(HY!$P$5:$P$1006,MATCH($C434,HY!$E$5:$E$1006,0))),
IF($E434=1,IF(INDEX(HY!$U$5:$U$1006,MATCH($C434,HY!$E$5:$E$1006,0))="","",INDEX(HY!$U$5:$U$1006,MATCH($C434,HY!$E$5:$E$1006,0))),
IF($E434=2,IF(INDEX(HY!$Z$5:$Z$1006,MATCH($C434,HY!$E$5:$E$1006,0))="","",INDEX(HY!$Z$5:$Z$1006,MATCH($C434,HY!$E$5:$E$1006,0))),
IF($E434=3,IF(INDEX(HY!$AE$5:$AE$1006,MATCH($C434,HY!$E$5:$E$1006,0))="","",INDEX(HY!$AE$5:$AE$1006,MATCH($C434,HY!$E$5:$E$1006,0))),
IF($E434=4,IF(INDEX(HY!$AJ$5:$AJ$1006,MATCH($C434,HY!$E$5:$E$1006,0))="","",INDEX(HY!$AJ$5:$AJ$1006,MATCH($C434,HY!$E$5:$E$1006,0))),
IF($E434=5,IF(INDEX(HY!$AO$5:$AO$1006,MATCH($C434,HY!$E$5:$E$1006,0))="","",INDEX(HY!$AO$5:$AO$1006,MATCH($C434,HY!$E$5:$E$1006,0))),"")))))))</f>
        <v/>
      </c>
      <c r="I434" s="459" t="str">
        <f>IF(ISNA(MATCH($C434,HY!$E$5:$E$1006,0)),"",
IF($E434=0,IF(INDEX(HY!$Q$5:$Q$1006,MATCH($C434,HY!$E$5:$E$1006,0))="","",INDEX(HY!$Q$5:$Q$1006,MATCH($C434,HY!$E$5:$E$1006,0))),
IF($E434=1,IF(INDEX(HY!$V$5:$V$1006,MATCH($C434,HY!$E$5:$E$1006,0))="","",INDEX(HY!$V$5:$V$1006,MATCH($C434,HY!$E$5:$E$1006,0))),
IF($E434=2,IF(INDEX(HY!$AA$5:$AA$1006,MATCH($C434,HY!$E$5:$E$1006,0))="","",INDEX(HY!$AA$5:$AA$1006,MATCH($C434,HY!$E$5:$E$1006,0))),
IF($E434=3,IF(INDEX(HY!$AF$5:$AF$1006,MATCH($C434,HY!$E$5:$E$1006,0))="","",INDEX(HY!$AF$5:$AF$1006,MATCH($C434,HY!$E$5:$E$1006,0))),
IF($E434=4,IF(INDEX(HY!$AK$5:$AK$1006,MATCH($C434,HY!$E$5:$E$1006,0))="","",INDEX(HY!$AK$5:$AK$1006,MATCH($C434,HY!$E$5:$E$1006,0))),
IF($E434=5,IF(INDEX(HY!$AP$5:$AP$1006,MATCH($C434,HY!$E$5:$E$1006,0))="","",INDEX(HY!$AP$5:$AP$1006,MATCH($C434,HY!$E$5:$E$1006,0))),"")))))))</f>
        <v/>
      </c>
      <c r="J434" s="459" t="str">
        <f>IF(ISNA(MATCH($C434,HY!$E$5:$E$1006,0)),"",
IF($E434=0,IF(INDEX(HY!$R$5:$R$1006,MATCH($C434,HY!$E$5:$E$1006,0))="","",INDEX(HY!$R$5:$R$1006,MATCH($C434,HY!$E$5:$E$1006,0))),
IF($E434=1,IF(INDEX(HY!$W$5:$W$1006,MATCH($C434,HY!$E$5:$E$1006,0))="","",INDEX(HY!$W$5:$W$1006,MATCH($C434,HY!$E$5:$E$1006,0))),
IF($E434=2,IF(INDEX(HY!$AB$5:$AB$1006,MATCH($C434,HY!$E$5:$E$1006,0))="","",INDEX(HY!$AB$5:$AB$1006,MATCH($C434,HY!$E$5:$E$1006,0))),
IF($E434=3,IF(INDEX(HY!$AG$5:$AG$1006,MATCH($C434,HY!$E$5:$E$1006,0))="","",INDEX(HY!$AG$5:$AG$1006,MATCH($C434,HY!$E$5:$E$1006,0))),
IF($E434=4,IF(INDEX(HY!$AL$5:$AL$1006,MATCH($C434,HY!$E$5:$E$1006,0))="","",INDEX(HY!$AL$5:$AL$1006,MATCH($C434,HY!$E$5:$E$1006,0))),
IF($E434=5,IF(INDEX(HY!$AQ$5:$AQ$1006,MATCH($C434,HY!$E$5:$E$1006,0))="","",INDEX(HY!$AQ$5:$AQ$1006,MATCH($C434,HY!$E$5:$E$1006,0))),"")))))))</f>
        <v/>
      </c>
      <c r="K434" s="459">
        <f>HY!J30</f>
        <v>0</v>
      </c>
      <c r="L434" s="460" t="e" cm="1">
        <f t="array" aca="1" ref="L434" ca="1">_xlfn.IFS(AND($E434&lt;&gt;"",$M434="Pending",$K434="CTA"),TODAY()-$G434,AND($E434&lt;&gt;"",$M434="Pending",$K434="AUR"),TODAY()-$H434,AND($E434&lt;&gt;"",$M434="Pending",$K434="STT"),TODAY()-$I434,OR(K434="Closed",K434=""),"")</f>
        <v>#N/A</v>
      </c>
      <c r="M434" s="461">
        <f>VLOOKUP(C434,HY!$E$4:$AC$618,7,0)</f>
        <v>0</v>
      </c>
      <c r="N434" s="454" t="str">
        <f t="shared" si="19"/>
        <v/>
      </c>
      <c r="O434" s="739" t="str">
        <f>HY!M30</f>
        <v>GC</v>
      </c>
      <c r="P434" s="746" t="str">
        <v>NO</v>
      </c>
    </row>
    <row r="435" spans="1:16" s="385" customFormat="1" ht="24.75" hidden="1" customHeight="1">
      <c r="A435" s="399">
        <v>28</v>
      </c>
      <c r="B435" s="455" t="s">
        <v>22</v>
      </c>
      <c r="C435" s="454" t="s">
        <v>1466</v>
      </c>
      <c r="D435" s="456" t="str">
        <f>_xlfn.XLOOKUP(C435,HY!$E$5:$E$256,HY!$D$5:$D$256)</f>
        <v>Scope Demarcation - Sheet 1</v>
      </c>
      <c r="E435" s="454" t="str">
        <f>IF(VLOOKUP(C435,HY!$E$5:$AC$495,5,0)="","",VLOOKUP(C435,HY!$E$5:$AC$994,5,0))</f>
        <v/>
      </c>
      <c r="F435" s="457"/>
      <c r="G435" s="459" t="str">
        <f>IF(VLOOKUP(C435,HY!$E$5:$AC$495,3,0)="","",VLOOKUP(C435,HY!$E$5:$AC$495,3,0))</f>
        <v/>
      </c>
      <c r="H435" s="459" t="str">
        <f>IF(ISNA(MATCH($C435,HY!$E$5:$E$1006,0)),"",
IF($E435=0,IF(INDEX(HY!$P$5:$P$1006,MATCH($C435,HY!$E$5:$E$1006,0))="","",INDEX(HY!$P$5:$P$1006,MATCH($C435,HY!$E$5:$E$1006,0))),
IF($E435=1,IF(INDEX(HY!$U$5:$U$1006,MATCH($C435,HY!$E$5:$E$1006,0))="","",INDEX(HY!$U$5:$U$1006,MATCH($C435,HY!$E$5:$E$1006,0))),
IF($E435=2,IF(INDEX(HY!$Z$5:$Z$1006,MATCH($C435,HY!$E$5:$E$1006,0))="","",INDEX(HY!$Z$5:$Z$1006,MATCH($C435,HY!$E$5:$E$1006,0))),
IF($E435=3,IF(INDEX(HY!$AE$5:$AE$1006,MATCH($C435,HY!$E$5:$E$1006,0))="","",INDEX(HY!$AE$5:$AE$1006,MATCH($C435,HY!$E$5:$E$1006,0))),
IF($E435=4,IF(INDEX(HY!$AJ$5:$AJ$1006,MATCH($C435,HY!$E$5:$E$1006,0))="","",INDEX(HY!$AJ$5:$AJ$1006,MATCH($C435,HY!$E$5:$E$1006,0))),
IF($E435=5,IF(INDEX(HY!$AO$5:$AO$1006,MATCH($C435,HY!$E$5:$E$1006,0))="","",INDEX(HY!$AO$5:$AO$1006,MATCH($C435,HY!$E$5:$E$1006,0))),"")))))))</f>
        <v/>
      </c>
      <c r="I435" s="459" t="str">
        <f>IF(ISNA(MATCH($C435,HY!$E$5:$E$1006,0)),"",
IF($E435=0,IF(INDEX(HY!$Q$5:$Q$1006,MATCH($C435,HY!$E$5:$E$1006,0))="","",INDEX(HY!$Q$5:$Q$1006,MATCH($C435,HY!$E$5:$E$1006,0))),
IF($E435=1,IF(INDEX(HY!$V$5:$V$1006,MATCH($C435,HY!$E$5:$E$1006,0))="","",INDEX(HY!$V$5:$V$1006,MATCH($C435,HY!$E$5:$E$1006,0))),
IF($E435=2,IF(INDEX(HY!$AA$5:$AA$1006,MATCH($C435,HY!$E$5:$E$1006,0))="","",INDEX(HY!$AA$5:$AA$1006,MATCH($C435,HY!$E$5:$E$1006,0))),
IF($E435=3,IF(INDEX(HY!$AF$5:$AF$1006,MATCH($C435,HY!$E$5:$E$1006,0))="","",INDEX(HY!$AF$5:$AF$1006,MATCH($C435,HY!$E$5:$E$1006,0))),
IF($E435=4,IF(INDEX(HY!$AK$5:$AK$1006,MATCH($C435,HY!$E$5:$E$1006,0))="","",INDEX(HY!$AK$5:$AK$1006,MATCH($C435,HY!$E$5:$E$1006,0))),
IF($E435=5,IF(INDEX(HY!$AP$5:$AP$1006,MATCH($C435,HY!$E$5:$E$1006,0))="","",INDEX(HY!$AP$5:$AP$1006,MATCH($C435,HY!$E$5:$E$1006,0))),"")))))))</f>
        <v/>
      </c>
      <c r="J435" s="459" t="str">
        <f>IF(ISNA(MATCH($C435,HY!$E$5:$E$1006,0)),"",
IF($E435=0,IF(INDEX(HY!$R$5:$R$1006,MATCH($C435,HY!$E$5:$E$1006,0))="","",INDEX(HY!$R$5:$R$1006,MATCH($C435,HY!$E$5:$E$1006,0))),
IF($E435=1,IF(INDEX(HY!$W$5:$W$1006,MATCH($C435,HY!$E$5:$E$1006,0))="","",INDEX(HY!$W$5:$W$1006,MATCH($C435,HY!$E$5:$E$1006,0))),
IF($E435=2,IF(INDEX(HY!$AB$5:$AB$1006,MATCH($C435,HY!$E$5:$E$1006,0))="","",INDEX(HY!$AB$5:$AB$1006,MATCH($C435,HY!$E$5:$E$1006,0))),
IF($E435=3,IF(INDEX(HY!$AG$5:$AG$1006,MATCH($C435,HY!$E$5:$E$1006,0))="","",INDEX(HY!$AG$5:$AG$1006,MATCH($C435,HY!$E$5:$E$1006,0))),
IF($E435=4,IF(INDEX(HY!$AL$5:$AL$1006,MATCH($C435,HY!$E$5:$E$1006,0))="","",INDEX(HY!$AL$5:$AL$1006,MATCH($C435,HY!$E$5:$E$1006,0))),
IF($E435=5,IF(INDEX(HY!$AQ$5:$AQ$1006,MATCH($C435,HY!$E$5:$E$1006,0))="","",INDEX(HY!$AQ$5:$AQ$1006,MATCH($C435,HY!$E$5:$E$1006,0))),"")))))))</f>
        <v/>
      </c>
      <c r="K435" s="459">
        <f>HY!J31</f>
        <v>0</v>
      </c>
      <c r="L435" s="460" t="e" cm="1">
        <f t="array" aca="1" ref="L435" ca="1">_xlfn.IFS(AND($E435&lt;&gt;"",$M435="Pending",$K435="CTA"),TODAY()-$G435,AND($E435&lt;&gt;"",$M435="Pending",$K435="AUR"),TODAY()-$H435,AND($E435&lt;&gt;"",$M435="Pending",$K435="STT"),TODAY()-$I435,OR(K435="Closed",K435=""),"")</f>
        <v>#N/A</v>
      </c>
      <c r="M435" s="461">
        <f>VLOOKUP(C435,HY!$E$4:$AC$618,7,0)</f>
        <v>0</v>
      </c>
      <c r="N435" s="454" t="str">
        <f t="shared" si="19"/>
        <v/>
      </c>
      <c r="O435" s="739" t="str">
        <f>HY!M31</f>
        <v>GC</v>
      </c>
      <c r="P435" s="746" t="str">
        <v>NO</v>
      </c>
    </row>
    <row r="436" spans="1:16" s="385" customFormat="1" ht="24.75" hidden="1" customHeight="1">
      <c r="A436" s="399">
        <v>29</v>
      </c>
      <c r="B436" s="455" t="s">
        <v>22</v>
      </c>
      <c r="C436" s="454" t="s">
        <v>1469</v>
      </c>
      <c r="D436" s="456" t="str">
        <f>_xlfn.XLOOKUP(C436,HY!$E$5:$E$256,HY!$D$5:$D$256)</f>
        <v>Scope Demarcation - Sheet 2</v>
      </c>
      <c r="E436" s="454" t="str">
        <f>IF(VLOOKUP(C436,HY!$E$5:$AC$495,5,0)="","",VLOOKUP(C436,HY!$E$5:$AC$994,5,0))</f>
        <v/>
      </c>
      <c r="F436" s="457"/>
      <c r="G436" s="459" t="str">
        <f>IF(VLOOKUP(C436,HY!$E$5:$AC$495,3,0)="","",VLOOKUP(C436,HY!$E$5:$AC$495,3,0))</f>
        <v/>
      </c>
      <c r="H436" s="459" t="str">
        <f>IF(ISNA(MATCH($C436,HY!$E$5:$E$1006,0)),"",
IF($E436=0,IF(INDEX(HY!$P$5:$P$1006,MATCH($C436,HY!$E$5:$E$1006,0))="","",INDEX(HY!$P$5:$P$1006,MATCH($C436,HY!$E$5:$E$1006,0))),
IF($E436=1,IF(INDEX(HY!$U$5:$U$1006,MATCH($C436,HY!$E$5:$E$1006,0))="","",INDEX(HY!$U$5:$U$1006,MATCH($C436,HY!$E$5:$E$1006,0))),
IF($E436=2,IF(INDEX(HY!$Z$5:$Z$1006,MATCH($C436,HY!$E$5:$E$1006,0))="","",INDEX(HY!$Z$5:$Z$1006,MATCH($C436,HY!$E$5:$E$1006,0))),
IF($E436=3,IF(INDEX(HY!$AE$5:$AE$1006,MATCH($C436,HY!$E$5:$E$1006,0))="","",INDEX(HY!$AE$5:$AE$1006,MATCH($C436,HY!$E$5:$E$1006,0))),
IF($E436=4,IF(INDEX(HY!$AJ$5:$AJ$1006,MATCH($C436,HY!$E$5:$E$1006,0))="","",INDEX(HY!$AJ$5:$AJ$1006,MATCH($C436,HY!$E$5:$E$1006,0))),
IF($E436=5,IF(INDEX(HY!$AO$5:$AO$1006,MATCH($C436,HY!$E$5:$E$1006,0))="","",INDEX(HY!$AO$5:$AO$1006,MATCH($C436,HY!$E$5:$E$1006,0))),"")))))))</f>
        <v/>
      </c>
      <c r="I436" s="459" t="str">
        <f>IF(ISNA(MATCH($C436,HY!$E$5:$E$1006,0)),"",
IF($E436=0,IF(INDEX(HY!$Q$5:$Q$1006,MATCH($C436,HY!$E$5:$E$1006,0))="","",INDEX(HY!$Q$5:$Q$1006,MATCH($C436,HY!$E$5:$E$1006,0))),
IF($E436=1,IF(INDEX(HY!$V$5:$V$1006,MATCH($C436,HY!$E$5:$E$1006,0))="","",INDEX(HY!$V$5:$V$1006,MATCH($C436,HY!$E$5:$E$1006,0))),
IF($E436=2,IF(INDEX(HY!$AA$5:$AA$1006,MATCH($C436,HY!$E$5:$E$1006,0))="","",INDEX(HY!$AA$5:$AA$1006,MATCH($C436,HY!$E$5:$E$1006,0))),
IF($E436=3,IF(INDEX(HY!$AF$5:$AF$1006,MATCH($C436,HY!$E$5:$E$1006,0))="","",INDEX(HY!$AF$5:$AF$1006,MATCH($C436,HY!$E$5:$E$1006,0))),
IF($E436=4,IF(INDEX(HY!$AK$5:$AK$1006,MATCH($C436,HY!$E$5:$E$1006,0))="","",INDEX(HY!$AK$5:$AK$1006,MATCH($C436,HY!$E$5:$E$1006,0))),
IF($E436=5,IF(INDEX(HY!$AP$5:$AP$1006,MATCH($C436,HY!$E$5:$E$1006,0))="","",INDEX(HY!$AP$5:$AP$1006,MATCH($C436,HY!$E$5:$E$1006,0))),"")))))))</f>
        <v/>
      </c>
      <c r="J436" s="459" t="str">
        <f>IF(ISNA(MATCH($C436,HY!$E$5:$E$1006,0)),"",
IF($E436=0,IF(INDEX(HY!$R$5:$R$1006,MATCH($C436,HY!$E$5:$E$1006,0))="","",INDEX(HY!$R$5:$R$1006,MATCH($C436,HY!$E$5:$E$1006,0))),
IF($E436=1,IF(INDEX(HY!$W$5:$W$1006,MATCH($C436,HY!$E$5:$E$1006,0))="","",INDEX(HY!$W$5:$W$1006,MATCH($C436,HY!$E$5:$E$1006,0))),
IF($E436=2,IF(INDEX(HY!$AB$5:$AB$1006,MATCH($C436,HY!$E$5:$E$1006,0))="","",INDEX(HY!$AB$5:$AB$1006,MATCH($C436,HY!$E$5:$E$1006,0))),
IF($E436=3,IF(INDEX(HY!$AG$5:$AG$1006,MATCH($C436,HY!$E$5:$E$1006,0))="","",INDEX(HY!$AG$5:$AG$1006,MATCH($C436,HY!$E$5:$E$1006,0))),
IF($E436=4,IF(INDEX(HY!$AL$5:$AL$1006,MATCH($C436,HY!$E$5:$E$1006,0))="","",INDEX(HY!$AL$5:$AL$1006,MATCH($C436,HY!$E$5:$E$1006,0))),
IF($E436=5,IF(INDEX(HY!$AQ$5:$AQ$1006,MATCH($C436,HY!$E$5:$E$1006,0))="","",INDEX(HY!$AQ$5:$AQ$1006,MATCH($C436,HY!$E$5:$E$1006,0))),"")))))))</f>
        <v/>
      </c>
      <c r="K436" s="459">
        <f>HY!J32</f>
        <v>0</v>
      </c>
      <c r="L436" s="460" t="e" cm="1">
        <f t="array" aca="1" ref="L436" ca="1">_xlfn.IFS(AND($E436&lt;&gt;"",$M436="Pending",$K436="CTA"),TODAY()-$G436,AND($E436&lt;&gt;"",$M436="Pending",$K436="AUR"),TODAY()-$H436,AND($E436&lt;&gt;"",$M436="Pending",$K436="STT"),TODAY()-$I436,OR(K436="Closed",K436=""),"")</f>
        <v>#N/A</v>
      </c>
      <c r="M436" s="461">
        <f>VLOOKUP(C436,HY!$E$4:$AC$618,7,0)</f>
        <v>0</v>
      </c>
      <c r="N436" s="454" t="str">
        <f t="shared" si="19"/>
        <v/>
      </c>
      <c r="O436" s="739" t="str">
        <f>HY!M32</f>
        <v>GC</v>
      </c>
      <c r="P436" s="746" t="str">
        <v>NO</v>
      </c>
    </row>
    <row r="437" spans="1:16" s="385" customFormat="1" ht="24.75" customHeight="1">
      <c r="A437" s="399">
        <v>30</v>
      </c>
      <c r="B437" s="455" t="s">
        <v>22</v>
      </c>
      <c r="C437" s="454" t="s">
        <v>1471</v>
      </c>
      <c r="D437" s="456" t="str">
        <f>_xlfn.XLOOKUP(C437,HY!$E$5:$E$256,HY!$D$5:$D$256)</f>
        <v>Typical Details Sheet 1</v>
      </c>
      <c r="E437" s="454">
        <f>IF(VLOOKUP(C437,HY!$E$5:$AC$495,5,0)="","",VLOOKUP(C437,HY!$E$5:$AC$994,5,0))</f>
        <v>0</v>
      </c>
      <c r="F437" s="457"/>
      <c r="G437" s="459">
        <f>IF(VLOOKUP(C437,HY!$E$5:$AC$495,3,0)="","",VLOOKUP(C437,HY!$E$5:$AC$495,3,0))</f>
        <v>46052</v>
      </c>
      <c r="H437" s="459">
        <f>IF(ISNA(MATCH($C437,HY!$E$5:$E$1006,0)),"",
IF($E437=0,IF(INDEX(HY!$P$5:$P$1006,MATCH($C437,HY!$E$5:$E$1006,0))="","",INDEX(HY!$P$5:$P$1006,MATCH($C437,HY!$E$5:$E$1006,0))),
IF($E437=1,IF(INDEX(HY!$U$5:$U$1006,MATCH($C437,HY!$E$5:$E$1006,0))="","",INDEX(HY!$U$5:$U$1006,MATCH($C437,HY!$E$5:$E$1006,0))),
IF($E437=2,IF(INDEX(HY!$Z$5:$Z$1006,MATCH($C437,HY!$E$5:$E$1006,0))="","",INDEX(HY!$Z$5:$Z$1006,MATCH($C437,HY!$E$5:$E$1006,0))),
IF($E437=3,IF(INDEX(HY!$AE$5:$AE$1006,MATCH($C437,HY!$E$5:$E$1006,0))="","",INDEX(HY!$AE$5:$AE$1006,MATCH($C437,HY!$E$5:$E$1006,0))),
IF($E437=4,IF(INDEX(HY!$AJ$5:$AJ$1006,MATCH($C437,HY!$E$5:$E$1006,0))="","",INDEX(HY!$AJ$5:$AJ$1006,MATCH($C437,HY!$E$5:$E$1006,0))),
IF($E437=5,IF(INDEX(HY!$AO$5:$AO$1006,MATCH($C437,HY!$E$5:$E$1006,0))="","",INDEX(HY!$AO$5:$AO$1006,MATCH($C437,HY!$E$5:$E$1006,0))),"")))))))</f>
        <v>46055</v>
      </c>
      <c r="I437" s="459" t="str">
        <f>IF(ISNA(MATCH($C437,HY!$E$5:$E$1006,0)),"",
IF($E437=0,IF(INDEX(HY!$Q$5:$Q$1006,MATCH($C437,HY!$E$5:$E$1006,0))="","",INDEX(HY!$Q$5:$Q$1006,MATCH($C437,HY!$E$5:$E$1006,0))),
IF($E437=1,IF(INDEX(HY!$V$5:$V$1006,MATCH($C437,HY!$E$5:$E$1006,0))="","",INDEX(HY!$V$5:$V$1006,MATCH($C437,HY!$E$5:$E$1006,0))),
IF($E437=2,IF(INDEX(HY!$AA$5:$AA$1006,MATCH($C437,HY!$E$5:$E$1006,0))="","",INDEX(HY!$AA$5:$AA$1006,MATCH($C437,HY!$E$5:$E$1006,0))),
IF($E437=3,IF(INDEX(HY!$AF$5:$AF$1006,MATCH($C437,HY!$E$5:$E$1006,0))="","",INDEX(HY!$AF$5:$AF$1006,MATCH($C437,HY!$E$5:$E$1006,0))),
IF($E437=4,IF(INDEX(HY!$AK$5:$AK$1006,MATCH($C437,HY!$E$5:$E$1006,0))="","",INDEX(HY!$AK$5:$AK$1006,MATCH($C437,HY!$E$5:$E$1006,0))),
IF($E437=5,IF(INDEX(HY!$AP$5:$AP$1006,MATCH($C437,HY!$E$5:$E$1006,0))="","",INDEX(HY!$AP$5:$AP$1006,MATCH($C437,HY!$E$5:$E$1006,0))),"")))))))</f>
        <v/>
      </c>
      <c r="J437" s="459" t="str">
        <f>IF(ISNA(MATCH($C437,HY!$E$5:$E$1006,0)),"",
IF($E437=0,IF(INDEX(HY!$R$5:$R$1006,MATCH($C437,HY!$E$5:$E$1006,0))="","",INDEX(HY!$R$5:$R$1006,MATCH($C437,HY!$E$5:$E$1006,0))),
IF($E437=1,IF(INDEX(HY!$W$5:$W$1006,MATCH($C437,HY!$E$5:$E$1006,0))="","",INDEX(HY!$W$5:$W$1006,MATCH($C437,HY!$E$5:$E$1006,0))),
IF($E437=2,IF(INDEX(HY!$AB$5:$AB$1006,MATCH($C437,HY!$E$5:$E$1006,0))="","",INDEX(HY!$AB$5:$AB$1006,MATCH($C437,HY!$E$5:$E$1006,0))),
IF($E437=3,IF(INDEX(HY!$AG$5:$AG$1006,MATCH($C437,HY!$E$5:$E$1006,0))="","",INDEX(HY!$AG$5:$AG$1006,MATCH($C437,HY!$E$5:$E$1006,0))),
IF($E437=4,IF(INDEX(HY!$AL$5:$AL$1006,MATCH($C437,HY!$E$5:$E$1006,0))="","",INDEX(HY!$AL$5:$AL$1006,MATCH($C437,HY!$E$5:$E$1006,0))),
IF($E437=5,IF(INDEX(HY!$AQ$5:$AQ$1006,MATCH($C437,HY!$E$5:$E$1006,0))="","",INDEX(HY!$AQ$5:$AQ$1006,MATCH($C437,HY!$E$5:$E$1006,0))),"")))))))</f>
        <v/>
      </c>
      <c r="K437" s="459" t="str">
        <f>HY!J33</f>
        <v>AUR</v>
      </c>
      <c r="L437" s="460" cm="1">
        <f t="array" aca="1" ref="L437" ca="1">_xlfn.IFS(AND($E437&lt;&gt;"",$M437="Pending",$K437="CTA"),TODAY()-$G437,AND($E437&lt;&gt;"",$M437="Pending",$K437="AUR"),TODAY()-$H437,AND($E437&lt;&gt;"",$M437="Pending",$K437="STT"),TODAY()-$I437,OR(K437="Closed",K437=""),"")</f>
        <v>11</v>
      </c>
      <c r="M437" s="461" t="str">
        <f>VLOOKUP(C437,HY!$E$4:$AC$618,7,0)</f>
        <v>Pending</v>
      </c>
      <c r="N437" s="454" t="str">
        <f t="shared" ca="1" si="19"/>
        <v>Overdue</v>
      </c>
      <c r="O437" s="739" t="str">
        <f>HY!M33</f>
        <v>GC</v>
      </c>
      <c r="P437" s="746" t="str">
        <v>NO</v>
      </c>
    </row>
    <row r="438" spans="1:16" s="385" customFormat="1" ht="24.75" customHeight="1">
      <c r="A438" s="399">
        <v>31</v>
      </c>
      <c r="B438" s="455" t="s">
        <v>22</v>
      </c>
      <c r="C438" s="454" t="s">
        <v>1473</v>
      </c>
      <c r="D438" s="456" t="str">
        <f>_xlfn.XLOOKUP(C438,HY!$E$5:$E$256,HY!$D$5:$D$256)</f>
        <v>Typical Details Sheet 2</v>
      </c>
      <c r="E438" s="454">
        <f>IF(VLOOKUP(C438,HY!$E$5:$AC$495,5,0)="","",VLOOKUP(C438,HY!$E$5:$AC$994,5,0))</f>
        <v>0</v>
      </c>
      <c r="F438" s="457"/>
      <c r="G438" s="459">
        <f>IF(VLOOKUP(C438,HY!$E$5:$AC$495,3,0)="","",VLOOKUP(C438,HY!$E$5:$AC$495,3,0))</f>
        <v>46052</v>
      </c>
      <c r="H438" s="459">
        <f>IF(ISNA(MATCH($C438,HY!$E$5:$E$1006,0)),"",
IF($E438=0,IF(INDEX(HY!$P$5:$P$1006,MATCH($C438,HY!$E$5:$E$1006,0))="","",INDEX(HY!$P$5:$P$1006,MATCH($C438,HY!$E$5:$E$1006,0))),
IF($E438=1,IF(INDEX(HY!$U$5:$U$1006,MATCH($C438,HY!$E$5:$E$1006,0))="","",INDEX(HY!$U$5:$U$1006,MATCH($C438,HY!$E$5:$E$1006,0))),
IF($E438=2,IF(INDEX(HY!$Z$5:$Z$1006,MATCH($C438,HY!$E$5:$E$1006,0))="","",INDEX(HY!$Z$5:$Z$1006,MATCH($C438,HY!$E$5:$E$1006,0))),
IF($E438=3,IF(INDEX(HY!$AE$5:$AE$1006,MATCH($C438,HY!$E$5:$E$1006,0))="","",INDEX(HY!$AE$5:$AE$1006,MATCH($C438,HY!$E$5:$E$1006,0))),
IF($E438=4,IF(INDEX(HY!$AJ$5:$AJ$1006,MATCH($C438,HY!$E$5:$E$1006,0))="","",INDEX(HY!$AJ$5:$AJ$1006,MATCH($C438,HY!$E$5:$E$1006,0))),
IF($E438=5,IF(INDEX(HY!$AO$5:$AO$1006,MATCH($C438,HY!$E$5:$E$1006,0))="","",INDEX(HY!$AO$5:$AO$1006,MATCH($C438,HY!$E$5:$E$1006,0))),"")))))))</f>
        <v>46055</v>
      </c>
      <c r="I438" s="459" t="str">
        <f>IF(ISNA(MATCH($C438,HY!$E$5:$E$1006,0)),"",
IF($E438=0,IF(INDEX(HY!$Q$5:$Q$1006,MATCH($C438,HY!$E$5:$E$1006,0))="","",INDEX(HY!$Q$5:$Q$1006,MATCH($C438,HY!$E$5:$E$1006,0))),
IF($E438=1,IF(INDEX(HY!$V$5:$V$1006,MATCH($C438,HY!$E$5:$E$1006,0))="","",INDEX(HY!$V$5:$V$1006,MATCH($C438,HY!$E$5:$E$1006,0))),
IF($E438=2,IF(INDEX(HY!$AA$5:$AA$1006,MATCH($C438,HY!$E$5:$E$1006,0))="","",INDEX(HY!$AA$5:$AA$1006,MATCH($C438,HY!$E$5:$E$1006,0))),
IF($E438=3,IF(INDEX(HY!$AF$5:$AF$1006,MATCH($C438,HY!$E$5:$E$1006,0))="","",INDEX(HY!$AF$5:$AF$1006,MATCH($C438,HY!$E$5:$E$1006,0))),
IF($E438=4,IF(INDEX(HY!$AK$5:$AK$1006,MATCH($C438,HY!$E$5:$E$1006,0))="","",INDEX(HY!$AK$5:$AK$1006,MATCH($C438,HY!$E$5:$E$1006,0))),
IF($E438=5,IF(INDEX(HY!$AP$5:$AP$1006,MATCH($C438,HY!$E$5:$E$1006,0))="","",INDEX(HY!$AP$5:$AP$1006,MATCH($C438,HY!$E$5:$E$1006,0))),"")))))))</f>
        <v/>
      </c>
      <c r="J438" s="459" t="str">
        <f>IF(ISNA(MATCH($C438,HY!$E$5:$E$1006,0)),"",
IF($E438=0,IF(INDEX(HY!$R$5:$R$1006,MATCH($C438,HY!$E$5:$E$1006,0))="","",INDEX(HY!$R$5:$R$1006,MATCH($C438,HY!$E$5:$E$1006,0))),
IF($E438=1,IF(INDEX(HY!$W$5:$W$1006,MATCH($C438,HY!$E$5:$E$1006,0))="","",INDEX(HY!$W$5:$W$1006,MATCH($C438,HY!$E$5:$E$1006,0))),
IF($E438=2,IF(INDEX(HY!$AB$5:$AB$1006,MATCH($C438,HY!$E$5:$E$1006,0))="","",INDEX(HY!$AB$5:$AB$1006,MATCH($C438,HY!$E$5:$E$1006,0))),
IF($E438=3,IF(INDEX(HY!$AG$5:$AG$1006,MATCH($C438,HY!$E$5:$E$1006,0))="","",INDEX(HY!$AG$5:$AG$1006,MATCH($C438,HY!$E$5:$E$1006,0))),
IF($E438=4,IF(INDEX(HY!$AL$5:$AL$1006,MATCH($C438,HY!$E$5:$E$1006,0))="","",INDEX(HY!$AL$5:$AL$1006,MATCH($C438,HY!$E$5:$E$1006,0))),
IF($E438=5,IF(INDEX(HY!$AQ$5:$AQ$1006,MATCH($C438,HY!$E$5:$E$1006,0))="","",INDEX(HY!$AQ$5:$AQ$1006,MATCH($C438,HY!$E$5:$E$1006,0))),"")))))))</f>
        <v/>
      </c>
      <c r="K438" s="459" t="str">
        <f>HY!J34</f>
        <v>AUR</v>
      </c>
      <c r="L438" s="460" cm="1">
        <f t="array" aca="1" ref="L438" ca="1">_xlfn.IFS(AND($E438&lt;&gt;"",$M438="Pending",$K438="CTA"),TODAY()-$G438,AND($E438&lt;&gt;"",$M438="Pending",$K438="AUR"),TODAY()-$H438,AND($E438&lt;&gt;"",$M438="Pending",$K438="STT"),TODAY()-$I438,OR(K438="Closed",K438=""),"")</f>
        <v>11</v>
      </c>
      <c r="M438" s="461" t="str">
        <f>VLOOKUP(C438,HY!$E$4:$AC$618,7,0)</f>
        <v>Pending</v>
      </c>
      <c r="N438" s="454" t="str">
        <f t="shared" ca="1" si="19"/>
        <v>Overdue</v>
      </c>
      <c r="O438" s="739" t="str">
        <f>HY!M34</f>
        <v>GC</v>
      </c>
      <c r="P438" s="746" t="str">
        <v>NO</v>
      </c>
    </row>
    <row r="439" spans="1:16" s="385" customFormat="1" ht="24.75" customHeight="1">
      <c r="A439" s="399">
        <v>32</v>
      </c>
      <c r="B439" s="455" t="s">
        <v>22</v>
      </c>
      <c r="C439" s="454" t="s">
        <v>1475</v>
      </c>
      <c r="D439" s="456" t="str">
        <f>_xlfn.XLOOKUP(C439,HY!$E$5:$E$256,HY!$D$5:$D$256)</f>
        <v>Typical Details Sheet 3</v>
      </c>
      <c r="E439" s="454">
        <f>IF(VLOOKUP(C439,HY!$E$5:$AC$495,5,0)="","",VLOOKUP(C439,HY!$E$5:$AC$994,5,0))</f>
        <v>0</v>
      </c>
      <c r="F439" s="457"/>
      <c r="G439" s="459">
        <f>IF(VLOOKUP(C439,HY!$E$5:$AC$495,3,0)="","",VLOOKUP(C439,HY!$E$5:$AC$495,3,0))</f>
        <v>46052</v>
      </c>
      <c r="H439" s="459">
        <f>IF(ISNA(MATCH($C439,HY!$E$5:$E$1006,0)),"",
IF($E439=0,IF(INDEX(HY!$P$5:$P$1006,MATCH($C439,HY!$E$5:$E$1006,0))="","",INDEX(HY!$P$5:$P$1006,MATCH($C439,HY!$E$5:$E$1006,0))),
IF($E439=1,IF(INDEX(HY!$U$5:$U$1006,MATCH($C439,HY!$E$5:$E$1006,0))="","",INDEX(HY!$U$5:$U$1006,MATCH($C439,HY!$E$5:$E$1006,0))),
IF($E439=2,IF(INDEX(HY!$Z$5:$Z$1006,MATCH($C439,HY!$E$5:$E$1006,0))="","",INDEX(HY!$Z$5:$Z$1006,MATCH($C439,HY!$E$5:$E$1006,0))),
IF($E439=3,IF(INDEX(HY!$AE$5:$AE$1006,MATCH($C439,HY!$E$5:$E$1006,0))="","",INDEX(HY!$AE$5:$AE$1006,MATCH($C439,HY!$E$5:$E$1006,0))),
IF($E439=4,IF(INDEX(HY!$AJ$5:$AJ$1006,MATCH($C439,HY!$E$5:$E$1006,0))="","",INDEX(HY!$AJ$5:$AJ$1006,MATCH($C439,HY!$E$5:$E$1006,0))),
IF($E439=5,IF(INDEX(HY!$AO$5:$AO$1006,MATCH($C439,HY!$E$5:$E$1006,0))="","",INDEX(HY!$AO$5:$AO$1006,MATCH($C439,HY!$E$5:$E$1006,0))),"")))))))</f>
        <v>46055</v>
      </c>
      <c r="I439" s="459" t="str">
        <f>IF(ISNA(MATCH($C439,HY!$E$5:$E$1006,0)),"",
IF($E439=0,IF(INDEX(HY!$Q$5:$Q$1006,MATCH($C439,HY!$E$5:$E$1006,0))="","",INDEX(HY!$Q$5:$Q$1006,MATCH($C439,HY!$E$5:$E$1006,0))),
IF($E439=1,IF(INDEX(HY!$V$5:$V$1006,MATCH($C439,HY!$E$5:$E$1006,0))="","",INDEX(HY!$V$5:$V$1006,MATCH($C439,HY!$E$5:$E$1006,0))),
IF($E439=2,IF(INDEX(HY!$AA$5:$AA$1006,MATCH($C439,HY!$E$5:$E$1006,0))="","",INDEX(HY!$AA$5:$AA$1006,MATCH($C439,HY!$E$5:$E$1006,0))),
IF($E439=3,IF(INDEX(HY!$AF$5:$AF$1006,MATCH($C439,HY!$E$5:$E$1006,0))="","",INDEX(HY!$AF$5:$AF$1006,MATCH($C439,HY!$E$5:$E$1006,0))),
IF($E439=4,IF(INDEX(HY!$AK$5:$AK$1006,MATCH($C439,HY!$E$5:$E$1006,0))="","",INDEX(HY!$AK$5:$AK$1006,MATCH($C439,HY!$E$5:$E$1006,0))),
IF($E439=5,IF(INDEX(HY!$AP$5:$AP$1006,MATCH($C439,HY!$E$5:$E$1006,0))="","",INDEX(HY!$AP$5:$AP$1006,MATCH($C439,HY!$E$5:$E$1006,0))),"")))))))</f>
        <v/>
      </c>
      <c r="J439" s="459" t="str">
        <f>IF(ISNA(MATCH($C439,HY!$E$5:$E$1006,0)),"",
IF($E439=0,IF(INDEX(HY!$R$5:$R$1006,MATCH($C439,HY!$E$5:$E$1006,0))="","",INDEX(HY!$R$5:$R$1006,MATCH($C439,HY!$E$5:$E$1006,0))),
IF($E439=1,IF(INDEX(HY!$W$5:$W$1006,MATCH($C439,HY!$E$5:$E$1006,0))="","",INDEX(HY!$W$5:$W$1006,MATCH($C439,HY!$E$5:$E$1006,0))),
IF($E439=2,IF(INDEX(HY!$AB$5:$AB$1006,MATCH($C439,HY!$E$5:$E$1006,0))="","",INDEX(HY!$AB$5:$AB$1006,MATCH($C439,HY!$E$5:$E$1006,0))),
IF($E439=3,IF(INDEX(HY!$AG$5:$AG$1006,MATCH($C439,HY!$E$5:$E$1006,0))="","",INDEX(HY!$AG$5:$AG$1006,MATCH($C439,HY!$E$5:$E$1006,0))),
IF($E439=4,IF(INDEX(HY!$AL$5:$AL$1006,MATCH($C439,HY!$E$5:$E$1006,0))="","",INDEX(HY!$AL$5:$AL$1006,MATCH($C439,HY!$E$5:$E$1006,0))),
IF($E439=5,IF(INDEX(HY!$AQ$5:$AQ$1006,MATCH($C439,HY!$E$5:$E$1006,0))="","",INDEX(HY!$AQ$5:$AQ$1006,MATCH($C439,HY!$E$5:$E$1006,0))),"")))))))</f>
        <v/>
      </c>
      <c r="K439" s="459" t="str">
        <f>HY!J35</f>
        <v>AUR</v>
      </c>
      <c r="L439" s="460" cm="1">
        <f t="array" aca="1" ref="L439" ca="1">_xlfn.IFS(AND($E439&lt;&gt;"",$M439="Pending",$K439="CTA"),TODAY()-$G439,AND($E439&lt;&gt;"",$M439="Pending",$K439="AUR"),TODAY()-$H439,AND($E439&lt;&gt;"",$M439="Pending",$K439="STT"),TODAY()-$I439,OR(K439="Closed",K439=""),"")</f>
        <v>11</v>
      </c>
      <c r="M439" s="461" t="str">
        <f>VLOOKUP(C439,HY!$E$4:$AC$618,7,0)</f>
        <v>Pending</v>
      </c>
      <c r="N439" s="454" t="str">
        <f t="shared" ca="1" si="19"/>
        <v>Overdue</v>
      </c>
      <c r="O439" s="739" t="str">
        <f>HY!M35</f>
        <v>GC</v>
      </c>
      <c r="P439" s="746" t="str">
        <v>NO</v>
      </c>
    </row>
    <row r="440" spans="1:16" s="385" customFormat="1" ht="24.75" hidden="1" customHeight="1">
      <c r="A440" s="399">
        <v>33</v>
      </c>
      <c r="B440" s="455" t="s">
        <v>22</v>
      </c>
      <c r="C440" s="454" t="s">
        <v>1711</v>
      </c>
      <c r="D440" s="456" t="e">
        <f>_xlfn.XLOOKUP(C440,HY!$E$5:$E$256,HY!$D$5:$D$256)</f>
        <v>#N/A</v>
      </c>
      <c r="E440" s="454" t="e">
        <f>IF(VLOOKUP(C440,HY!$E$5:$AC$495,5,0)="","",VLOOKUP(C440,HY!$E$5:$AC$994,5,0))</f>
        <v>#N/A</v>
      </c>
      <c r="F440" s="457"/>
      <c r="G440" s="459" t="e">
        <f>IF(VLOOKUP(C440,HY!$E$5:$AC$495,3,0)="","",VLOOKUP(C440,HY!$E$5:$AC$495,3,0))</f>
        <v>#N/A</v>
      </c>
      <c r="H440" s="459" t="str">
        <f>IF(ISNA(MATCH($C440,HY!$E$5:$E$1006,0)),"",
IF($E440=0,IF(INDEX(HY!$P$5:$P$1006,MATCH($C440,HY!$E$5:$E$1006,0))="","",INDEX(HY!$P$5:$P$1006,MATCH($C440,HY!$E$5:$E$1006,0))),
IF($E440=1,IF(INDEX(HY!$U$5:$U$1006,MATCH($C440,HY!$E$5:$E$1006,0))="","",INDEX(HY!$U$5:$U$1006,MATCH($C440,HY!$E$5:$E$1006,0))),
IF($E440=2,IF(INDEX(HY!$Z$5:$Z$1006,MATCH($C440,HY!$E$5:$E$1006,0))="","",INDEX(HY!$Z$5:$Z$1006,MATCH($C440,HY!$E$5:$E$1006,0))),
IF($E440=3,IF(INDEX(HY!$AE$5:$AE$1006,MATCH($C440,HY!$E$5:$E$1006,0))="","",INDEX(HY!$AE$5:$AE$1006,MATCH($C440,HY!$E$5:$E$1006,0))),
IF($E440=4,IF(INDEX(HY!$AJ$5:$AJ$1006,MATCH($C440,HY!$E$5:$E$1006,0))="","",INDEX(HY!$AJ$5:$AJ$1006,MATCH($C440,HY!$E$5:$E$1006,0))),
IF($E440=5,IF(INDEX(HY!$AO$5:$AO$1006,MATCH($C440,HY!$E$5:$E$1006,0))="","",INDEX(HY!$AO$5:$AO$1006,MATCH($C440,HY!$E$5:$E$1006,0))),"")))))))</f>
        <v/>
      </c>
      <c r="I440" s="459" t="str">
        <f>IF(ISNA(MATCH($C440,HY!$E$5:$E$1006,0)),"",
IF($E440=0,IF(INDEX(HY!$Q$5:$Q$1006,MATCH($C440,HY!$E$5:$E$1006,0))="","",INDEX(HY!$Q$5:$Q$1006,MATCH($C440,HY!$E$5:$E$1006,0))),
IF($E440=1,IF(INDEX(HY!$V$5:$V$1006,MATCH($C440,HY!$E$5:$E$1006,0))="","",INDEX(HY!$V$5:$V$1006,MATCH($C440,HY!$E$5:$E$1006,0))),
IF($E440=2,IF(INDEX(HY!$AA$5:$AA$1006,MATCH($C440,HY!$E$5:$E$1006,0))="","",INDEX(HY!$AA$5:$AA$1006,MATCH($C440,HY!$E$5:$E$1006,0))),
IF($E440=3,IF(INDEX(HY!$AF$5:$AF$1006,MATCH($C440,HY!$E$5:$E$1006,0))="","",INDEX(HY!$AF$5:$AF$1006,MATCH($C440,HY!$E$5:$E$1006,0))),
IF($E440=4,IF(INDEX(HY!$AK$5:$AK$1006,MATCH($C440,HY!$E$5:$E$1006,0))="","",INDEX(HY!$AK$5:$AK$1006,MATCH($C440,HY!$E$5:$E$1006,0))),
IF($E440=5,IF(INDEX(HY!$AP$5:$AP$1006,MATCH($C440,HY!$E$5:$E$1006,0))="","",INDEX(HY!$AP$5:$AP$1006,MATCH($C440,HY!$E$5:$E$1006,0))),"")))))))</f>
        <v/>
      </c>
      <c r="J440" s="459" t="str">
        <f>IF(ISNA(MATCH($C440,HY!$E$5:$E$1006,0)),"",
IF($E440=0,IF(INDEX(HY!$R$5:$R$1006,MATCH($C440,HY!$E$5:$E$1006,0))="","",INDEX(HY!$R$5:$R$1006,MATCH($C440,HY!$E$5:$E$1006,0))),
IF($E440=1,IF(INDEX(HY!$W$5:$W$1006,MATCH($C440,HY!$E$5:$E$1006,0))="","",INDEX(HY!$W$5:$W$1006,MATCH($C440,HY!$E$5:$E$1006,0))),
IF($E440=2,IF(INDEX(HY!$AB$5:$AB$1006,MATCH($C440,HY!$E$5:$E$1006,0))="","",INDEX(HY!$AB$5:$AB$1006,MATCH($C440,HY!$E$5:$E$1006,0))),
IF($E440=3,IF(INDEX(HY!$AG$5:$AG$1006,MATCH($C440,HY!$E$5:$E$1006,0))="","",INDEX(HY!$AG$5:$AG$1006,MATCH($C440,HY!$E$5:$E$1006,0))),
IF($E440=4,IF(INDEX(HY!$AL$5:$AL$1006,MATCH($C440,HY!$E$5:$E$1006,0))="","",INDEX(HY!$AL$5:$AL$1006,MATCH($C440,HY!$E$5:$E$1006,0))),
IF($E440=5,IF(INDEX(HY!$AQ$5:$AQ$1006,MATCH($C440,HY!$E$5:$E$1006,0))="","",INDEX(HY!$AQ$5:$AQ$1006,MATCH($C440,HY!$E$5:$E$1006,0))),"")))))))</f>
        <v/>
      </c>
      <c r="K440" s="459">
        <f>HY!J36</f>
        <v>0</v>
      </c>
      <c r="L440" s="460" t="e" cm="1">
        <f t="array" aca="1" ref="L440" ca="1">_xlfn.IFS(AND($E440&lt;&gt;"",$M440="Pending",$K440="CTA"),TODAY()-$G440,AND($E440&lt;&gt;"",$M440="Pending",$K440="AUR"),TODAY()-$H440,AND($E440&lt;&gt;"",$M440="Pending",$K440="STT"),TODAY()-$I440,OR(K440="Closed",K440=""),"")</f>
        <v>#N/A</v>
      </c>
      <c r="M440" s="461" t="e">
        <f>VLOOKUP(C440,HY!$E$4:$AC$618,7,0)</f>
        <v>#N/A</v>
      </c>
      <c r="N440" s="454" t="e">
        <f t="shared" si="19"/>
        <v>#N/A</v>
      </c>
      <c r="O440" s="739">
        <f>HY!M36</f>
        <v>0</v>
      </c>
      <c r="P440" s="746"/>
    </row>
    <row r="441" spans="1:16" s="385" customFormat="1" ht="24.75" hidden="1" customHeight="1">
      <c r="A441" s="399">
        <v>34</v>
      </c>
      <c r="B441" s="455" t="s">
        <v>22</v>
      </c>
      <c r="C441" s="454" t="s">
        <v>1712</v>
      </c>
      <c r="D441" s="456" t="e">
        <f>_xlfn.XLOOKUP(C441,HY!$E$5:$E$256,HY!$D$5:$D$256)</f>
        <v>#N/A</v>
      </c>
      <c r="E441" s="454" t="e">
        <f>IF(VLOOKUP(C441,HY!$E$5:$AC$495,5,0)="","",VLOOKUP(C441,HY!$E$5:$AC$994,5,0))</f>
        <v>#N/A</v>
      </c>
      <c r="F441" s="457"/>
      <c r="G441" s="459" t="e">
        <f>IF(VLOOKUP(C441,HY!$E$5:$AC$495,3,0)="","",VLOOKUP(C441,HY!$E$5:$AC$495,3,0))</f>
        <v>#N/A</v>
      </c>
      <c r="H441" s="459" t="str">
        <f>IF(ISNA(MATCH($C441,HY!$E$5:$E$1006,0)),"",
IF($E441=0,IF(INDEX(HY!$P$5:$P$1006,MATCH($C441,HY!$E$5:$E$1006,0))="","",INDEX(HY!$P$5:$P$1006,MATCH($C441,HY!$E$5:$E$1006,0))),
IF($E441=1,IF(INDEX(HY!$U$5:$U$1006,MATCH($C441,HY!$E$5:$E$1006,0))="","",INDEX(HY!$U$5:$U$1006,MATCH($C441,HY!$E$5:$E$1006,0))),
IF($E441=2,IF(INDEX(HY!$Z$5:$Z$1006,MATCH($C441,HY!$E$5:$E$1006,0))="","",INDEX(HY!$Z$5:$Z$1006,MATCH($C441,HY!$E$5:$E$1006,0))),
IF($E441=3,IF(INDEX(HY!$AE$5:$AE$1006,MATCH($C441,HY!$E$5:$E$1006,0))="","",INDEX(HY!$AE$5:$AE$1006,MATCH($C441,HY!$E$5:$E$1006,0))),
IF($E441=4,IF(INDEX(HY!$AJ$5:$AJ$1006,MATCH($C441,HY!$E$5:$E$1006,0))="","",INDEX(HY!$AJ$5:$AJ$1006,MATCH($C441,HY!$E$5:$E$1006,0))),
IF($E441=5,IF(INDEX(HY!$AO$5:$AO$1006,MATCH($C441,HY!$E$5:$E$1006,0))="","",INDEX(HY!$AO$5:$AO$1006,MATCH($C441,HY!$E$5:$E$1006,0))),"")))))))</f>
        <v/>
      </c>
      <c r="I441" s="459" t="str">
        <f>IF(ISNA(MATCH($C441,HY!$E$5:$E$1006,0)),"",
IF($E441=0,IF(INDEX(HY!$Q$5:$Q$1006,MATCH($C441,HY!$E$5:$E$1006,0))="","",INDEX(HY!$Q$5:$Q$1006,MATCH($C441,HY!$E$5:$E$1006,0))),
IF($E441=1,IF(INDEX(HY!$V$5:$V$1006,MATCH($C441,HY!$E$5:$E$1006,0))="","",INDEX(HY!$V$5:$V$1006,MATCH($C441,HY!$E$5:$E$1006,0))),
IF($E441=2,IF(INDEX(HY!$AA$5:$AA$1006,MATCH($C441,HY!$E$5:$E$1006,0))="","",INDEX(HY!$AA$5:$AA$1006,MATCH($C441,HY!$E$5:$E$1006,0))),
IF($E441=3,IF(INDEX(HY!$AF$5:$AF$1006,MATCH($C441,HY!$E$5:$E$1006,0))="","",INDEX(HY!$AF$5:$AF$1006,MATCH($C441,HY!$E$5:$E$1006,0))),
IF($E441=4,IF(INDEX(HY!$AK$5:$AK$1006,MATCH($C441,HY!$E$5:$E$1006,0))="","",INDEX(HY!$AK$5:$AK$1006,MATCH($C441,HY!$E$5:$E$1006,0))),
IF($E441=5,IF(INDEX(HY!$AP$5:$AP$1006,MATCH($C441,HY!$E$5:$E$1006,0))="","",INDEX(HY!$AP$5:$AP$1006,MATCH($C441,HY!$E$5:$E$1006,0))),"")))))))</f>
        <v/>
      </c>
      <c r="J441" s="459" t="str">
        <f>IF(ISNA(MATCH($C441,HY!$E$5:$E$1006,0)),"",
IF($E441=0,IF(INDEX(HY!$R$5:$R$1006,MATCH($C441,HY!$E$5:$E$1006,0))="","",INDEX(HY!$R$5:$R$1006,MATCH($C441,HY!$E$5:$E$1006,0))),
IF($E441=1,IF(INDEX(HY!$W$5:$W$1006,MATCH($C441,HY!$E$5:$E$1006,0))="","",INDEX(HY!$W$5:$W$1006,MATCH($C441,HY!$E$5:$E$1006,0))),
IF($E441=2,IF(INDEX(HY!$AB$5:$AB$1006,MATCH($C441,HY!$E$5:$E$1006,0))="","",INDEX(HY!$AB$5:$AB$1006,MATCH($C441,HY!$E$5:$E$1006,0))),
IF($E441=3,IF(INDEX(HY!$AG$5:$AG$1006,MATCH($C441,HY!$E$5:$E$1006,0))="","",INDEX(HY!$AG$5:$AG$1006,MATCH($C441,HY!$E$5:$E$1006,0))),
IF($E441=4,IF(INDEX(HY!$AL$5:$AL$1006,MATCH($C441,HY!$E$5:$E$1006,0))="","",INDEX(HY!$AL$5:$AL$1006,MATCH($C441,HY!$E$5:$E$1006,0))),
IF($E441=5,IF(INDEX(HY!$AQ$5:$AQ$1006,MATCH($C441,HY!$E$5:$E$1006,0))="","",INDEX(HY!$AQ$5:$AQ$1006,MATCH($C441,HY!$E$5:$E$1006,0))),"")))))))</f>
        <v/>
      </c>
      <c r="K441" s="459">
        <f>HY!J37</f>
        <v>0</v>
      </c>
      <c r="L441" s="460" t="e" cm="1">
        <f t="array" aca="1" ref="L441" ca="1">_xlfn.IFS(AND($E441&lt;&gt;"",$M441="Pending",$K441="CTA"),TODAY()-$G441,AND($E441&lt;&gt;"",$M441="Pending",$K441="AUR"),TODAY()-$H441,AND($E441&lt;&gt;"",$M441="Pending",$K441="STT"),TODAY()-$I441,OR(K441="Closed",K441=""),"")</f>
        <v>#N/A</v>
      </c>
      <c r="M441" s="461" t="e">
        <f>VLOOKUP(C441,HY!$E$4:$AC$618,7,0)</f>
        <v>#N/A</v>
      </c>
      <c r="N441" s="454" t="e">
        <f t="shared" si="19"/>
        <v>#N/A</v>
      </c>
      <c r="O441" s="739">
        <f>HY!M37</f>
        <v>0</v>
      </c>
      <c r="P441" s="746"/>
    </row>
    <row r="442" spans="1:16" s="385" customFormat="1" ht="24.75" hidden="1" customHeight="1">
      <c r="A442" s="399">
        <v>35</v>
      </c>
      <c r="B442" s="455" t="s">
        <v>22</v>
      </c>
      <c r="C442" s="454" t="s">
        <v>1713</v>
      </c>
      <c r="D442" s="456" t="e">
        <f>_xlfn.XLOOKUP(C442,HY!$E$5:$E$256,HY!$D$5:$D$256)</f>
        <v>#N/A</v>
      </c>
      <c r="E442" s="454" t="e">
        <f>IF(VLOOKUP(C442,HY!$E$5:$AC$495,5,0)="","",VLOOKUP(C442,HY!$E$5:$AC$994,5,0))</f>
        <v>#N/A</v>
      </c>
      <c r="F442" s="457"/>
      <c r="G442" s="459" t="e">
        <f>IF(VLOOKUP(C442,HY!$E$5:$AC$495,3,0)="","",VLOOKUP(C442,HY!$E$5:$AC$495,3,0))</f>
        <v>#N/A</v>
      </c>
      <c r="H442" s="459" t="str">
        <f>IF(ISNA(MATCH($C442,HY!$E$5:$E$1006,0)),"",
IF($E442=0,IF(INDEX(HY!$P$5:$P$1006,MATCH($C442,HY!$E$5:$E$1006,0))="","",INDEX(HY!$P$5:$P$1006,MATCH($C442,HY!$E$5:$E$1006,0))),
IF($E442=1,IF(INDEX(HY!$U$5:$U$1006,MATCH($C442,HY!$E$5:$E$1006,0))="","",INDEX(HY!$U$5:$U$1006,MATCH($C442,HY!$E$5:$E$1006,0))),
IF($E442=2,IF(INDEX(HY!$Z$5:$Z$1006,MATCH($C442,HY!$E$5:$E$1006,0))="","",INDEX(HY!$Z$5:$Z$1006,MATCH($C442,HY!$E$5:$E$1006,0))),
IF($E442=3,IF(INDEX(HY!$AE$5:$AE$1006,MATCH($C442,HY!$E$5:$E$1006,0))="","",INDEX(HY!$AE$5:$AE$1006,MATCH($C442,HY!$E$5:$E$1006,0))),
IF($E442=4,IF(INDEX(HY!$AJ$5:$AJ$1006,MATCH($C442,HY!$E$5:$E$1006,0))="","",INDEX(HY!$AJ$5:$AJ$1006,MATCH($C442,HY!$E$5:$E$1006,0))),
IF($E442=5,IF(INDEX(HY!$AO$5:$AO$1006,MATCH($C442,HY!$E$5:$E$1006,0))="","",INDEX(HY!$AO$5:$AO$1006,MATCH($C442,HY!$E$5:$E$1006,0))),"")))))))</f>
        <v/>
      </c>
      <c r="I442" s="459" t="str">
        <f>IF(ISNA(MATCH($C442,HY!$E$5:$E$1006,0)),"",
IF($E442=0,IF(INDEX(HY!$Q$5:$Q$1006,MATCH($C442,HY!$E$5:$E$1006,0))="","",INDEX(HY!$Q$5:$Q$1006,MATCH($C442,HY!$E$5:$E$1006,0))),
IF($E442=1,IF(INDEX(HY!$V$5:$V$1006,MATCH($C442,HY!$E$5:$E$1006,0))="","",INDEX(HY!$V$5:$V$1006,MATCH($C442,HY!$E$5:$E$1006,0))),
IF($E442=2,IF(INDEX(HY!$AA$5:$AA$1006,MATCH($C442,HY!$E$5:$E$1006,0))="","",INDEX(HY!$AA$5:$AA$1006,MATCH($C442,HY!$E$5:$E$1006,0))),
IF($E442=3,IF(INDEX(HY!$AF$5:$AF$1006,MATCH($C442,HY!$E$5:$E$1006,0))="","",INDEX(HY!$AF$5:$AF$1006,MATCH($C442,HY!$E$5:$E$1006,0))),
IF($E442=4,IF(INDEX(HY!$AK$5:$AK$1006,MATCH($C442,HY!$E$5:$E$1006,0))="","",INDEX(HY!$AK$5:$AK$1006,MATCH($C442,HY!$E$5:$E$1006,0))),
IF($E442=5,IF(INDEX(HY!$AP$5:$AP$1006,MATCH($C442,HY!$E$5:$E$1006,0))="","",INDEX(HY!$AP$5:$AP$1006,MATCH($C442,HY!$E$5:$E$1006,0))),"")))))))</f>
        <v/>
      </c>
      <c r="J442" s="459" t="str">
        <f>IF(ISNA(MATCH($C442,HY!$E$5:$E$1006,0)),"",
IF($E442=0,IF(INDEX(HY!$R$5:$R$1006,MATCH($C442,HY!$E$5:$E$1006,0))="","",INDEX(HY!$R$5:$R$1006,MATCH($C442,HY!$E$5:$E$1006,0))),
IF($E442=1,IF(INDEX(HY!$W$5:$W$1006,MATCH($C442,HY!$E$5:$E$1006,0))="","",INDEX(HY!$W$5:$W$1006,MATCH($C442,HY!$E$5:$E$1006,0))),
IF($E442=2,IF(INDEX(HY!$AB$5:$AB$1006,MATCH($C442,HY!$E$5:$E$1006,0))="","",INDEX(HY!$AB$5:$AB$1006,MATCH($C442,HY!$E$5:$E$1006,0))),
IF($E442=3,IF(INDEX(HY!$AG$5:$AG$1006,MATCH($C442,HY!$E$5:$E$1006,0))="","",INDEX(HY!$AG$5:$AG$1006,MATCH($C442,HY!$E$5:$E$1006,0))),
IF($E442=4,IF(INDEX(HY!$AL$5:$AL$1006,MATCH($C442,HY!$E$5:$E$1006,0))="","",INDEX(HY!$AL$5:$AL$1006,MATCH($C442,HY!$E$5:$E$1006,0))),
IF($E442=5,IF(INDEX(HY!$AQ$5:$AQ$1006,MATCH($C442,HY!$E$5:$E$1006,0))="","",INDEX(HY!$AQ$5:$AQ$1006,MATCH($C442,HY!$E$5:$E$1006,0))),"")))))))</f>
        <v/>
      </c>
      <c r="K442" s="459">
        <f>HY!J38</f>
        <v>0</v>
      </c>
      <c r="L442" s="460" t="e" cm="1">
        <f t="array" aca="1" ref="L442" ca="1">_xlfn.IFS(AND($E442&lt;&gt;"",$M442="Pending",$K442="CTA"),TODAY()-$G442,AND($E442&lt;&gt;"",$M442="Pending",$K442="AUR"),TODAY()-$H442,AND($E442&lt;&gt;"",$M442="Pending",$K442="STT"),TODAY()-$I442,OR(K442="Closed",K442=""),"")</f>
        <v>#N/A</v>
      </c>
      <c r="M442" s="461" t="e">
        <f>VLOOKUP(C442,HY!$E$4:$AC$618,7,0)</f>
        <v>#N/A</v>
      </c>
      <c r="N442" s="454" t="e">
        <f t="shared" si="19"/>
        <v>#N/A</v>
      </c>
      <c r="O442" s="739">
        <f>HY!M38</f>
        <v>0</v>
      </c>
      <c r="P442" s="746"/>
    </row>
    <row r="443" spans="1:16" s="385" customFormat="1" ht="24.75" hidden="1" customHeight="1">
      <c r="A443" s="399">
        <v>36</v>
      </c>
      <c r="B443" s="455" t="s">
        <v>22</v>
      </c>
      <c r="C443" s="454" t="s">
        <v>1714</v>
      </c>
      <c r="D443" s="456" t="e">
        <f>_xlfn.XLOOKUP(C443,HY!$E$5:$E$256,HY!$D$5:$D$256)</f>
        <v>#N/A</v>
      </c>
      <c r="E443" s="454" t="e">
        <f>IF(VLOOKUP(C443,HY!$E$5:$AC$495,5,0)="","",VLOOKUP(C443,HY!$E$5:$AC$994,5,0))</f>
        <v>#N/A</v>
      </c>
      <c r="F443" s="457"/>
      <c r="G443" s="459" t="e">
        <f>IF(VLOOKUP(C443,HY!$E$5:$AC$495,3,0)="","",VLOOKUP(C443,HY!$E$5:$AC$495,3,0))</f>
        <v>#N/A</v>
      </c>
      <c r="H443" s="459" t="str">
        <f>IF(ISNA(MATCH($C443,HY!$E$5:$E$1006,0)),"",
IF($E443=0,IF(INDEX(HY!$P$5:$P$1006,MATCH($C443,HY!$E$5:$E$1006,0))="","",INDEX(HY!$P$5:$P$1006,MATCH($C443,HY!$E$5:$E$1006,0))),
IF($E443=1,IF(INDEX(HY!$U$5:$U$1006,MATCH($C443,HY!$E$5:$E$1006,0))="","",INDEX(HY!$U$5:$U$1006,MATCH($C443,HY!$E$5:$E$1006,0))),
IF($E443=2,IF(INDEX(HY!$Z$5:$Z$1006,MATCH($C443,HY!$E$5:$E$1006,0))="","",INDEX(HY!$Z$5:$Z$1006,MATCH($C443,HY!$E$5:$E$1006,0))),
IF($E443=3,IF(INDEX(HY!$AE$5:$AE$1006,MATCH($C443,HY!$E$5:$E$1006,0))="","",INDEX(HY!$AE$5:$AE$1006,MATCH($C443,HY!$E$5:$E$1006,0))),
IF($E443=4,IF(INDEX(HY!$AJ$5:$AJ$1006,MATCH($C443,HY!$E$5:$E$1006,0))="","",INDEX(HY!$AJ$5:$AJ$1006,MATCH($C443,HY!$E$5:$E$1006,0))),
IF($E443=5,IF(INDEX(HY!$AO$5:$AO$1006,MATCH($C443,HY!$E$5:$E$1006,0))="","",INDEX(HY!$AO$5:$AO$1006,MATCH($C443,HY!$E$5:$E$1006,0))),"")))))))</f>
        <v/>
      </c>
      <c r="I443" s="459" t="str">
        <f>IF(ISNA(MATCH($C443,HY!$E$5:$E$1006,0)),"",
IF($E443=0,IF(INDEX(HY!$Q$5:$Q$1006,MATCH($C443,HY!$E$5:$E$1006,0))="","",INDEX(HY!$Q$5:$Q$1006,MATCH($C443,HY!$E$5:$E$1006,0))),
IF($E443=1,IF(INDEX(HY!$V$5:$V$1006,MATCH($C443,HY!$E$5:$E$1006,0))="","",INDEX(HY!$V$5:$V$1006,MATCH($C443,HY!$E$5:$E$1006,0))),
IF($E443=2,IF(INDEX(HY!$AA$5:$AA$1006,MATCH($C443,HY!$E$5:$E$1006,0))="","",INDEX(HY!$AA$5:$AA$1006,MATCH($C443,HY!$E$5:$E$1006,0))),
IF($E443=3,IF(INDEX(HY!$AF$5:$AF$1006,MATCH($C443,HY!$E$5:$E$1006,0))="","",INDEX(HY!$AF$5:$AF$1006,MATCH($C443,HY!$E$5:$E$1006,0))),
IF($E443=4,IF(INDEX(HY!$AK$5:$AK$1006,MATCH($C443,HY!$E$5:$E$1006,0))="","",INDEX(HY!$AK$5:$AK$1006,MATCH($C443,HY!$E$5:$E$1006,0))),
IF($E443=5,IF(INDEX(HY!$AP$5:$AP$1006,MATCH($C443,HY!$E$5:$E$1006,0))="","",INDEX(HY!$AP$5:$AP$1006,MATCH($C443,HY!$E$5:$E$1006,0))),"")))))))</f>
        <v/>
      </c>
      <c r="J443" s="459" t="str">
        <f>IF(ISNA(MATCH($C443,HY!$E$5:$E$1006,0)),"",
IF($E443=0,IF(INDEX(HY!$R$5:$R$1006,MATCH($C443,HY!$E$5:$E$1006,0))="","",INDEX(HY!$R$5:$R$1006,MATCH($C443,HY!$E$5:$E$1006,0))),
IF($E443=1,IF(INDEX(HY!$W$5:$W$1006,MATCH($C443,HY!$E$5:$E$1006,0))="","",INDEX(HY!$W$5:$W$1006,MATCH($C443,HY!$E$5:$E$1006,0))),
IF($E443=2,IF(INDEX(HY!$AB$5:$AB$1006,MATCH($C443,HY!$E$5:$E$1006,0))="","",INDEX(HY!$AB$5:$AB$1006,MATCH($C443,HY!$E$5:$E$1006,0))),
IF($E443=3,IF(INDEX(HY!$AG$5:$AG$1006,MATCH($C443,HY!$E$5:$E$1006,0))="","",INDEX(HY!$AG$5:$AG$1006,MATCH($C443,HY!$E$5:$E$1006,0))),
IF($E443=4,IF(INDEX(HY!$AL$5:$AL$1006,MATCH($C443,HY!$E$5:$E$1006,0))="","",INDEX(HY!$AL$5:$AL$1006,MATCH($C443,HY!$E$5:$E$1006,0))),
IF($E443=5,IF(INDEX(HY!$AQ$5:$AQ$1006,MATCH($C443,HY!$E$5:$E$1006,0))="","",INDEX(HY!$AQ$5:$AQ$1006,MATCH($C443,HY!$E$5:$E$1006,0))),"")))))))</f>
        <v/>
      </c>
      <c r="K443" s="459">
        <f>HY!J39</f>
        <v>0</v>
      </c>
      <c r="L443" s="460" t="e" cm="1">
        <f t="array" aca="1" ref="L443" ca="1">_xlfn.IFS(AND($E443&lt;&gt;"",$M443="Pending",$K443="CTA"),TODAY()-$G443,AND($E443&lt;&gt;"",$M443="Pending",$K443="AUR"),TODAY()-$H443,AND($E443&lt;&gt;"",$M443="Pending",$K443="STT"),TODAY()-$I443,OR(K443="Closed",K443=""),"")</f>
        <v>#N/A</v>
      </c>
      <c r="M443" s="461" t="e">
        <f>VLOOKUP(C443,HY!$E$4:$AC$618,7,0)</f>
        <v>#N/A</v>
      </c>
      <c r="N443" s="454" t="e">
        <f t="shared" si="19"/>
        <v>#N/A</v>
      </c>
      <c r="O443" s="739">
        <f>HY!M39</f>
        <v>0</v>
      </c>
      <c r="P443" s="746"/>
    </row>
    <row r="444" spans="1:16" s="385" customFormat="1" ht="24.75" hidden="1" customHeight="1">
      <c r="A444" s="399"/>
      <c r="B444" s="455"/>
      <c r="C444" s="454"/>
      <c r="D444" s="493"/>
      <c r="E444" s="454"/>
      <c r="F444" s="457"/>
      <c r="G444" s="459"/>
      <c r="H444" s="459"/>
      <c r="I444" s="459"/>
      <c r="J444" s="459"/>
      <c r="K444" s="459"/>
      <c r="L444" s="460" t="e" cm="1">
        <f t="array" aca="1" ref="L444" ca="1">_xlfn.IFS(AND($E444&lt;&gt;"",$M444="Pending",$K444="CTA"),TODAY()-$G444,AND($E444&lt;&gt;"",$M444="Pending",$K444="AUR"),TODAY()-$H444,AND($E444&lt;&gt;"",$M444="Pending",$K444="STT"),TODAY()-$I444,OR(K444="Closed",K444=""),"")</f>
        <v>#N/A</v>
      </c>
      <c r="M444" s="461" t="e">
        <f>VLOOKUP(C444,HY!$E$4:$AC$618,7,0)</f>
        <v>#N/A</v>
      </c>
      <c r="N444" s="454" t="e">
        <f t="shared" si="19"/>
        <v>#N/A</v>
      </c>
      <c r="O444" s="741"/>
      <c r="P444" s="748"/>
    </row>
    <row r="445" spans="1:16" s="385" customFormat="1" ht="24.75" hidden="1" customHeight="1">
      <c r="A445" s="399"/>
      <c r="B445" s="455"/>
      <c r="C445" s="454"/>
      <c r="D445" s="493"/>
      <c r="E445" s="454"/>
      <c r="F445" s="457"/>
      <c r="G445" s="459"/>
      <c r="H445" s="459"/>
      <c r="I445" s="459"/>
      <c r="J445" s="459"/>
      <c r="K445" s="459"/>
      <c r="L445" s="460" t="e" cm="1">
        <f t="array" aca="1" ref="L445" ca="1">_xlfn.IFS(AND($E445&lt;&gt;"",$M445="Pending",$K445="CTA"),TODAY()-$G445,AND($E445&lt;&gt;"",$M445="Pending",$K445="AUR"),TODAY()-$H445,AND($E445&lt;&gt;"",$M445="Pending",$K445="STT"),TODAY()-$I445,OR(K445="Closed",K445=""),"")</f>
        <v>#N/A</v>
      </c>
      <c r="M445" s="461" t="e">
        <f>VLOOKUP(C445,HY!$E$4:$AC$618,7,0)</f>
        <v>#N/A</v>
      </c>
      <c r="N445" s="454" t="e">
        <f t="shared" si="19"/>
        <v>#N/A</v>
      </c>
      <c r="O445" s="741"/>
      <c r="P445" s="748"/>
    </row>
    <row r="446" spans="1:16" s="385" customFormat="1" ht="24.75" hidden="1" customHeight="1">
      <c r="A446" s="399"/>
      <c r="B446" s="455"/>
      <c r="C446" s="454"/>
      <c r="D446" s="469"/>
      <c r="E446" s="454"/>
      <c r="F446" s="457"/>
      <c r="G446" s="459"/>
      <c r="H446" s="470"/>
      <c r="I446" s="494"/>
      <c r="J446" s="470"/>
      <c r="K446" s="470"/>
      <c r="L446" s="460"/>
      <c r="M446" s="461"/>
      <c r="N446" s="454"/>
      <c r="O446" s="741"/>
      <c r="P446" s="748"/>
    </row>
    <row r="447" spans="1:16" s="385" customFormat="1" ht="24.95" hidden="1" customHeight="1">
      <c r="A447" s="391" t="s">
        <v>1715</v>
      </c>
      <c r="B447" s="471"/>
      <c r="C447" s="472"/>
      <c r="D447" s="473"/>
      <c r="E447" s="472"/>
      <c r="F447" s="474" t="s">
        <v>1693</v>
      </c>
      <c r="G447" s="472"/>
      <c r="H447" s="475"/>
      <c r="I447" s="475"/>
      <c r="J447" s="475"/>
      <c r="K447" s="475"/>
      <c r="L447" s="475"/>
      <c r="M447" s="459"/>
      <c r="N447" s="475"/>
      <c r="O447" s="742"/>
      <c r="P447" s="749"/>
    </row>
    <row r="448" spans="1:16" s="385" customFormat="1" ht="24.75" hidden="1" customHeight="1">
      <c r="A448" s="399">
        <v>1</v>
      </c>
      <c r="B448" s="455" t="s">
        <v>20</v>
      </c>
      <c r="C448" s="454" t="s">
        <v>1222</v>
      </c>
      <c r="D448" s="493" t="str">
        <f>_xlfn.XLOOKUP(C448,ME!$E$4:$E$999,ME!$D$4:$D$999)</f>
        <v>Mechanical Drawing Index</v>
      </c>
      <c r="E448" s="454" t="str">
        <f>IF(VLOOKUP(C448,ME!$E$4:$AC$488,5,0)="","",VLOOKUP(C448,ME!$E$4:$AC$987,5,0))</f>
        <v/>
      </c>
      <c r="F448" s="457"/>
      <c r="G448" s="459" t="str">
        <f>IF(VLOOKUP(C448,ME!$E$4:$AC$488,3,0)="","",VLOOKUP(C448,ME!$E$4:$AC$488,3,0))</f>
        <v/>
      </c>
      <c r="H448" s="459" t="str">
        <f>IF(ISNA(MATCH($C448,ME!$E$4:$E$1002,0)),"",
IF($E448=0,IF(INDEX(ME!$P$4:$P$1002,MATCH($C448,ME!$E$4:$E$1002,0))="","",INDEX(ME!$P$4:$P$1002,MATCH($C448,ME!$E$4:$E$1002,0))),
IF($E448=1,IF(INDEX(ME!$U$4:$U$1002,MATCH($C448,ME!$E$4:$E$1002,0))="","",INDEX(ME!$U$4:$U$1002,MATCH($C448,ME!$E$4:$E$1002,0))),
IF($E448=2,IF(INDEX(ME!$Z$4:$Z$1002,MATCH($C448,ME!$E$4:$E$1002,0))="","",INDEX(ME!$Z$4:$Z$1002,MATCH($C448,ME!$E$4:$E$1002,0))),
IF($E448=3,IF(INDEX(ME!$AE$4:$AE$1002,MATCH($C448,ME!$E$4:$E$1002,0))="","",INDEX(ME!$AE$4:$AE$1002,MATCH($C448,ME!$E$4:$E$1002,0))),
IF($E448=4,IF(INDEX(ME!$AJ$4:$AJ$1002,MATCH($C448,ME!$E$4:$E$1002,0))="","",INDEX(ME!$AJ$4:$AJ$1002,MATCH($C448,ME!$E$4:$E$1002,0))),
IF($E448=5,IF(INDEX(ME!$AO$4:$AO$1002,MATCH($C448,ME!$E$4:$E$1002,0))="","",INDEX(ME!$AO$4:$AO$1002,MATCH($C448,ME!$E$4:$E$1002,0))),"")))))))</f>
        <v/>
      </c>
      <c r="I448" s="459" t="str">
        <f>IF(ISNA(MATCH($C448,ME!$E$4:$E$1002,0)),"",
IF($E448=0,IF(INDEX(ME!$Q$4:$Q$1002,MATCH($C448,ME!$E$4:$E$1002,0))="","",INDEX(ME!$Q$4:$Q$1002,MATCH($C448,ME!$E$4:$E$1002,0))),
IF($E448=1,IF(INDEX(ME!$V$4:$V$1002,MATCH($C448,ME!$E$4:$E$1002,0))="","",INDEX(ME!$V$4:$V$1002,MATCH($C448,ME!$E$4:$E$1002,0))),
IF($E448=2,IF(INDEX(ME!$AA$4:$AA$1002,MATCH($C448,ME!$E$4:$E$1002,0))="","",INDEX(ME!$AA$4:$AA$1002,MATCH($C448,ME!$E$4:$E$1002,0))),
IF($E448=3,IF(INDEX(ME!$AF$4:$AF$1002,MATCH($C448,ME!$E$4:$E$1002,0))="","",INDEX(ME!$AF$4:$AF$1002,MATCH($C448,ME!$E$4:$E$1002,0))),
IF($E448=4,IF(INDEX(ME!$AK$4:$AK$1002,MATCH($C448,ME!$E$4:$E$1002,0))="","",INDEX(ME!$AK$4:$AK$1002,MATCH($C448,ME!$E$4:$E$1002,0))),
IF($E448=5,IF(INDEX(ME!$AP$4:$AP$1002,MATCH($C448,ME!$E$4:$E$1002,0))="","",INDEX(ME!$AP$4:$AP$1002,MATCH($C448,ME!$E$4:$E$1002,0))),"")))))))</f>
        <v/>
      </c>
      <c r="J448" s="459" t="str">
        <f>IF(ISNA(MATCH($C448,ME!$E$4:$E$1002,0)),"",
IF($E448=0,IF(INDEX(ME!$R$4:$R$1002,MATCH($C448,ME!$E$4:$E$1002,0))="","",INDEX(ME!$R$4:$R$1002,MATCH($C448,ME!$E$4:$E$1002,0))),
IF($E448=1,IF(INDEX(ME!$W$4:$W$1002,MATCH($C448,ME!$E$4:$E$1002,0))="","",INDEX(ME!$W$4:$W$1002,MATCH($C448,ME!$E$4:$E$1002,0))),
IF($E448=2,IF(INDEX(ME!$AB$4:$AB$1002,MATCH($C448,ME!$E$4:$E$1002,0))="","",INDEX(ME!$AB$4:$AB$1002,MATCH($C448,ME!$E$4:$E$1002,0))),
IF($E448=3,IF(INDEX(ME!$AG$4:$AG$1002,MATCH($C448,ME!$E$4:$E$1002,0))="","",INDEX(ME!$AG$4:$AG$1002,MATCH($C448,ME!$E$4:$E$1002,0))),
IF($E448=4,IF(INDEX(ME!$AL$4:$AL$1002,MATCH($C448,ME!$E$4:$E$1002,0))="","",INDEX(ME!$AL$4:$AL$1002,MATCH($C448,ME!$E$4:$E$1002,0))),
IF($E448=5,IF(INDEX(ME!$AQ$4:$AQ$1002,MATCH($C448,ME!$E$4:$E$1002,0))="","",INDEX(ME!$AQ$4:$AQ$1002,MATCH($C448,ME!$E$4:$E$1002,0))),"")))))))</f>
        <v/>
      </c>
      <c r="K448" s="459">
        <f>VLOOKUP(C448,ME!$E$4:$J$1009,6,0)</f>
        <v>0</v>
      </c>
      <c r="L448" s="460" t="e" cm="1">
        <f t="array" aca="1" ref="L448" ca="1">_xlfn.IFS(AND($E448&lt;&gt;"",$M448="Pending",$K448="CTA"),TODAY()-$G448,AND($E448&lt;&gt;"",$M448="Pending",$K448="AUR"),TODAY()-$H448,AND($E448&lt;&gt;"",$M448="Pending",$K448="STT"),TODAY()-$I448,OR(K448="Closed",K448=""),"")</f>
        <v>#N/A</v>
      </c>
      <c r="M448" s="461">
        <f>VLOOKUP(C448,ME!$E$4:$AC$623,7,0)</f>
        <v>0</v>
      </c>
      <c r="N448" s="454" t="str">
        <f t="shared" ref="N448:N512" si="20">IF(AND(E448&lt;&gt;"",M448="Pending"),IF(L448&gt;=5,"Overdue",IF(L448&gt;=3,"High","")),"")</f>
        <v/>
      </c>
      <c r="O448" s="743" t="str">
        <f>ME!M4</f>
        <v>GC</v>
      </c>
      <c r="P448" s="748" t="str" cm="1">
        <f t="array" ref="P448:P452">ME!AS4:AS8</f>
        <v>NO</v>
      </c>
    </row>
    <row r="449" spans="1:16" s="385" customFormat="1" ht="24.75" customHeight="1">
      <c r="A449" s="399">
        <v>2</v>
      </c>
      <c r="B449" s="607" t="s">
        <v>20</v>
      </c>
      <c r="C449" s="454" t="s">
        <v>1225</v>
      </c>
      <c r="D449" s="493" t="str">
        <f>_xlfn.XLOOKUP(C449,ME!$E$4:$E$999,ME!$D$4:$D$999)</f>
        <v>Mechanical Legend &amp; Abbreviation</v>
      </c>
      <c r="E449" s="454">
        <f>IF(VLOOKUP(C449,ME!$E$4:$AC$488,5,0)="","",VLOOKUP(C449,ME!$E$4:$AC$987,5,0))</f>
        <v>0</v>
      </c>
      <c r="F449" s="457">
        <v>46034</v>
      </c>
      <c r="G449" s="459">
        <f>IF(VLOOKUP(C449,ME!$E$4:$AC$488,3,0)="","",VLOOKUP(C449,ME!$E$4:$AC$488,3,0))</f>
        <v>46034</v>
      </c>
      <c r="H449" s="459">
        <f>IF(ISNA(MATCH($C449,ME!$E$4:$E$1002,0)),"",
IF($E449=0,IF(INDEX(ME!$P$4:$P$1002,MATCH($C449,ME!$E$4:$E$1002,0))="","",INDEX(ME!$P$4:$P$1002,MATCH($C449,ME!$E$4:$E$1002,0))),
IF($E449=1,IF(INDEX(ME!$U$4:$U$1002,MATCH($C449,ME!$E$4:$E$1002,0))="","",INDEX(ME!$U$4:$U$1002,MATCH($C449,ME!$E$4:$E$1002,0))),
IF($E449=2,IF(INDEX(ME!$Z$4:$Z$1002,MATCH($C449,ME!$E$4:$E$1002,0))="","",INDEX(ME!$Z$4:$Z$1002,MATCH($C449,ME!$E$4:$E$1002,0))),
IF($E449=3,IF(INDEX(ME!$AE$4:$AE$1002,MATCH($C449,ME!$E$4:$E$1002,0))="","",INDEX(ME!$AE$4:$AE$1002,MATCH($C449,ME!$E$4:$E$1002,0))),
IF($E449=4,IF(INDEX(ME!$AJ$4:$AJ$1002,MATCH($C449,ME!$E$4:$E$1002,0))="","",INDEX(ME!$AJ$4:$AJ$1002,MATCH($C449,ME!$E$4:$E$1002,0))),
IF($E449=5,IF(INDEX(ME!$AO$4:$AO$1002,MATCH($C449,ME!$E$4:$E$1002,0))="","",INDEX(ME!$AO$4:$AO$1002,MATCH($C449,ME!$E$4:$E$1002,0))),"")))))))</f>
        <v>46055</v>
      </c>
      <c r="I449" s="459" t="str">
        <f>IF(ISNA(MATCH($C449,ME!$E$4:$E$1002,0)),"",
IF($E449=0,IF(INDEX(ME!$Q$4:$Q$1002,MATCH($C449,ME!$E$4:$E$1002,0))="","",INDEX(ME!$Q$4:$Q$1002,MATCH($C449,ME!$E$4:$E$1002,0))),
IF($E449=1,IF(INDEX(ME!$V$4:$V$1002,MATCH($C449,ME!$E$4:$E$1002,0))="","",INDEX(ME!$V$4:$V$1002,MATCH($C449,ME!$E$4:$E$1002,0))),
IF($E449=2,IF(INDEX(ME!$AA$4:$AA$1002,MATCH($C449,ME!$E$4:$E$1002,0))="","",INDEX(ME!$AA$4:$AA$1002,MATCH($C449,ME!$E$4:$E$1002,0))),
IF($E449=3,IF(INDEX(ME!$AF$4:$AF$1002,MATCH($C449,ME!$E$4:$E$1002,0))="","",INDEX(ME!$AF$4:$AF$1002,MATCH($C449,ME!$E$4:$E$1002,0))),
IF($E449=4,IF(INDEX(ME!$AK$4:$AK$1002,MATCH($C449,ME!$E$4:$E$1002,0))="","",INDEX(ME!$AK$4:$AK$1002,MATCH($C449,ME!$E$4:$E$1002,0))),
IF($E449=5,IF(INDEX(ME!$AP$4:$AP$1002,MATCH($C449,ME!$E$4:$E$1002,0))="","",INDEX(ME!$AP$4:$AP$1002,MATCH($C449,ME!$E$4:$E$1002,0))),"")))))))</f>
        <v/>
      </c>
      <c r="J449" s="459" t="str">
        <f>IF(ISNA(MATCH($C449,ME!$E$4:$E$1002,0)),"",
IF($E449=0,IF(INDEX(ME!$R$4:$R$1002,MATCH($C449,ME!$E$4:$E$1002,0))="","",INDEX(ME!$R$4:$R$1002,MATCH($C449,ME!$E$4:$E$1002,0))),
IF($E449=1,IF(INDEX(ME!$W$4:$W$1002,MATCH($C449,ME!$E$4:$E$1002,0))="","",INDEX(ME!$W$4:$W$1002,MATCH($C449,ME!$E$4:$E$1002,0))),
IF($E449=2,IF(INDEX(ME!$AB$4:$AB$1002,MATCH($C449,ME!$E$4:$E$1002,0))="","",INDEX(ME!$AB$4:$AB$1002,MATCH($C449,ME!$E$4:$E$1002,0))),
IF($E449=3,IF(INDEX(ME!$AG$4:$AG$1002,MATCH($C449,ME!$E$4:$E$1002,0))="","",INDEX(ME!$AG$4:$AG$1002,MATCH($C449,ME!$E$4:$E$1002,0))),
IF($E449=4,IF(INDEX(ME!$AL$4:$AL$1002,MATCH($C449,ME!$E$4:$E$1002,0))="","",INDEX(ME!$AL$4:$AL$1002,MATCH($C449,ME!$E$4:$E$1002,0))),
IF($E449=5,IF(INDEX(ME!$AQ$4:$AQ$1002,MATCH($C449,ME!$E$4:$E$1002,0))="","",INDEX(ME!$AQ$4:$AQ$1002,MATCH($C449,ME!$E$4:$E$1002,0))),"")))))))</f>
        <v/>
      </c>
      <c r="K449" s="459" t="str">
        <f>VLOOKUP(C449,ME!$E$4:$J$1009,6,0)</f>
        <v>AUR</v>
      </c>
      <c r="L449" s="460" cm="1">
        <f t="array" aca="1" ref="L449" ca="1">_xlfn.IFS(AND($E449&lt;&gt;"",$M449="Pending",$K449="CTA"),TODAY()-$G449,AND($E449&lt;&gt;"",$M449="Pending",$K449="AUR"),TODAY()-$H449,AND($E449&lt;&gt;"",$M449="Pending",$K449="STT"),TODAY()-$I449,OR(K449="Closed",K449=""),"")</f>
        <v>11</v>
      </c>
      <c r="M449" s="461" t="str">
        <f>VLOOKUP(C449,ME!$E$4:$AC$623,7,0)</f>
        <v>Pending</v>
      </c>
      <c r="N449" s="454" t="str">
        <f t="shared" ca="1" si="20"/>
        <v>Overdue</v>
      </c>
      <c r="O449" s="743" t="str">
        <f>ME!M5</f>
        <v>GC</v>
      </c>
      <c r="P449" s="748" t="str">
        <v>NO</v>
      </c>
    </row>
    <row r="450" spans="1:16" s="385" customFormat="1" ht="24.75" customHeight="1">
      <c r="A450" s="399">
        <v>3</v>
      </c>
      <c r="B450" s="455" t="s">
        <v>20</v>
      </c>
      <c r="C450" s="454" t="s">
        <v>1228</v>
      </c>
      <c r="D450" s="493" t="str">
        <f>_xlfn.XLOOKUP(C450,ME!$E$4:$E$999,ME!$D$4:$D$999)</f>
        <v xml:space="preserve">ACMV Air Side Schematic </v>
      </c>
      <c r="E450" s="454">
        <f>IF(VLOOKUP(C450,ME!$E$4:$AC$488,5,0)="","",VLOOKUP(C450,ME!$E$4:$AC$987,5,0))</f>
        <v>0</v>
      </c>
      <c r="F450" s="457"/>
      <c r="G450" s="459">
        <f>IF(VLOOKUP(C450,ME!$E$4:$AC$488,3,0)="","",VLOOKUP(C450,ME!$E$4:$AC$488,3,0))</f>
        <v>46062</v>
      </c>
      <c r="H450" s="459">
        <f>IF(ISNA(MATCH($C450,ME!$E$4:$E$1002,0)),"",
IF($E450=0,IF(INDEX(ME!$P$4:$P$1002,MATCH($C450,ME!$E$4:$E$1002,0))="","",INDEX(ME!$P$4:$P$1002,MATCH($C450,ME!$E$4:$E$1002,0))),
IF($E450=1,IF(INDEX(ME!$U$4:$U$1002,MATCH($C450,ME!$E$4:$E$1002,0))="","",INDEX(ME!$U$4:$U$1002,MATCH($C450,ME!$E$4:$E$1002,0))),
IF($E450=2,IF(INDEX(ME!$Z$4:$Z$1002,MATCH($C450,ME!$E$4:$E$1002,0))="","",INDEX(ME!$Z$4:$Z$1002,MATCH($C450,ME!$E$4:$E$1002,0))),
IF($E450=3,IF(INDEX(ME!$AE$4:$AE$1002,MATCH($C450,ME!$E$4:$E$1002,0))="","",INDEX(ME!$AE$4:$AE$1002,MATCH($C450,ME!$E$4:$E$1002,0))),
IF($E450=4,IF(INDEX(ME!$AJ$4:$AJ$1002,MATCH($C450,ME!$E$4:$E$1002,0))="","",INDEX(ME!$AJ$4:$AJ$1002,MATCH($C450,ME!$E$4:$E$1002,0))),
IF($E450=5,IF(INDEX(ME!$AO$4:$AO$1002,MATCH($C450,ME!$E$4:$E$1002,0))="","",INDEX(ME!$AO$4:$AO$1002,MATCH($C450,ME!$E$4:$E$1002,0))),"")))))))</f>
        <v>46065</v>
      </c>
      <c r="I450" s="459" t="str">
        <f>IF(ISNA(MATCH($C450,ME!$E$4:$E$1002,0)),"",
IF($E450=0,IF(INDEX(ME!$Q$4:$Q$1002,MATCH($C450,ME!$E$4:$E$1002,0))="","",INDEX(ME!$Q$4:$Q$1002,MATCH($C450,ME!$E$4:$E$1002,0))),
IF($E450=1,IF(INDEX(ME!$V$4:$V$1002,MATCH($C450,ME!$E$4:$E$1002,0))="","",INDEX(ME!$V$4:$V$1002,MATCH($C450,ME!$E$4:$E$1002,0))),
IF($E450=2,IF(INDEX(ME!$AA$4:$AA$1002,MATCH($C450,ME!$E$4:$E$1002,0))="","",INDEX(ME!$AA$4:$AA$1002,MATCH($C450,ME!$E$4:$E$1002,0))),
IF($E450=3,IF(INDEX(ME!$AF$4:$AF$1002,MATCH($C450,ME!$E$4:$E$1002,0))="","",INDEX(ME!$AF$4:$AF$1002,MATCH($C450,ME!$E$4:$E$1002,0))),
IF($E450=4,IF(INDEX(ME!$AK$4:$AK$1002,MATCH($C450,ME!$E$4:$E$1002,0))="","",INDEX(ME!$AK$4:$AK$1002,MATCH($C450,ME!$E$4:$E$1002,0))),
IF($E450=5,IF(INDEX(ME!$AP$4:$AP$1002,MATCH($C450,ME!$E$4:$E$1002,0))="","",INDEX(ME!$AP$4:$AP$1002,MATCH($C450,ME!$E$4:$E$1002,0))),"")))))))</f>
        <v/>
      </c>
      <c r="J450" s="459" t="str">
        <f>IF(ISNA(MATCH($C450,ME!$E$4:$E$1002,0)),"",
IF($E450=0,IF(INDEX(ME!$R$4:$R$1002,MATCH($C450,ME!$E$4:$E$1002,0))="","",INDEX(ME!$R$4:$R$1002,MATCH($C450,ME!$E$4:$E$1002,0))),
IF($E450=1,IF(INDEX(ME!$W$4:$W$1002,MATCH($C450,ME!$E$4:$E$1002,0))="","",INDEX(ME!$W$4:$W$1002,MATCH($C450,ME!$E$4:$E$1002,0))),
IF($E450=2,IF(INDEX(ME!$AB$4:$AB$1002,MATCH($C450,ME!$E$4:$E$1002,0))="","",INDEX(ME!$AB$4:$AB$1002,MATCH($C450,ME!$E$4:$E$1002,0))),
IF($E450=3,IF(INDEX(ME!$AG$4:$AG$1002,MATCH($C450,ME!$E$4:$E$1002,0))="","",INDEX(ME!$AG$4:$AG$1002,MATCH($C450,ME!$E$4:$E$1002,0))),
IF($E450=4,IF(INDEX(ME!$AL$4:$AL$1002,MATCH($C450,ME!$E$4:$E$1002,0))="","",INDEX(ME!$AL$4:$AL$1002,MATCH($C450,ME!$E$4:$E$1002,0))),
IF($E450=5,IF(INDEX(ME!$AQ$4:$AQ$1002,MATCH($C450,ME!$E$4:$E$1002,0))="","",INDEX(ME!$AQ$4:$AQ$1002,MATCH($C450,ME!$E$4:$E$1002,0))),"")))))))</f>
        <v/>
      </c>
      <c r="K450" s="459" t="str">
        <f>VLOOKUP(C450,ME!$E$4:$J$1009,6,0)</f>
        <v>AUR</v>
      </c>
      <c r="L450" s="460" cm="1">
        <f t="array" aca="1" ref="L450" ca="1">_xlfn.IFS(AND($E450&lt;&gt;"",$M450="Pending",$K450="CTA"),TODAY()-$G450,AND($E450&lt;&gt;"",$M450="Pending",$K450="AUR"),TODAY()-$H450,AND($E450&lt;&gt;"",$M450="Pending",$K450="STT"),TODAY()-$I450,OR(K450="Closed",K450=""),"")</f>
        <v>1</v>
      </c>
      <c r="M450" s="461" t="str">
        <f>VLOOKUP(C450,ME!$E$4:$AC$623,7,0)</f>
        <v>Pending</v>
      </c>
      <c r="N450" s="454" t="str">
        <f t="shared" ca="1" si="20"/>
        <v/>
      </c>
      <c r="O450" s="743" t="str">
        <f>ME!M6</f>
        <v>GC</v>
      </c>
      <c r="P450" s="748" t="str">
        <v>YES</v>
      </c>
    </row>
    <row r="451" spans="1:16" s="385" customFormat="1" ht="24.75" customHeight="1">
      <c r="A451" s="399">
        <v>4</v>
      </c>
      <c r="B451" s="607" t="s">
        <v>20</v>
      </c>
      <c r="C451" s="454" t="s">
        <v>1231</v>
      </c>
      <c r="D451" s="493" t="str">
        <f>_xlfn.XLOOKUP(C451,ME!$E$4:$E$999,ME!$D$4:$D$999)</f>
        <v>Stair And Fireman Lift Lobby Pressurization Schematic</v>
      </c>
      <c r="E451" s="454">
        <f>IF(VLOOKUP(C451,ME!$E$4:$AC$488,5,0)="","",VLOOKUP(C451,ME!$E$4:$AC$987,5,0))</f>
        <v>0</v>
      </c>
      <c r="F451" s="457"/>
      <c r="G451" s="459">
        <f>IF(VLOOKUP(C451,ME!$E$4:$AC$488,3,0)="","",VLOOKUP(C451,ME!$E$4:$AC$488,3,0))</f>
        <v>46041</v>
      </c>
      <c r="H451" s="459">
        <f>IF(ISNA(MATCH($C451,ME!$E$4:$E$1002,0)),"",
IF($E451=0,IF(INDEX(ME!$P$4:$P$1002,MATCH($C451,ME!$E$4:$E$1002,0))="","",INDEX(ME!$P$4:$P$1002,MATCH($C451,ME!$E$4:$E$1002,0))),
IF($E451=1,IF(INDEX(ME!$U$4:$U$1002,MATCH($C451,ME!$E$4:$E$1002,0))="","",INDEX(ME!$U$4:$U$1002,MATCH($C451,ME!$E$4:$E$1002,0))),
IF($E451=2,IF(INDEX(ME!$Z$4:$Z$1002,MATCH($C451,ME!$E$4:$E$1002,0))="","",INDEX(ME!$Z$4:$Z$1002,MATCH($C451,ME!$E$4:$E$1002,0))),
IF($E451=3,IF(INDEX(ME!$AE$4:$AE$1002,MATCH($C451,ME!$E$4:$E$1002,0))="","",INDEX(ME!$AE$4:$AE$1002,MATCH($C451,ME!$E$4:$E$1002,0))),
IF($E451=4,IF(INDEX(ME!$AJ$4:$AJ$1002,MATCH($C451,ME!$E$4:$E$1002,0))="","",INDEX(ME!$AJ$4:$AJ$1002,MATCH($C451,ME!$E$4:$E$1002,0))),
IF($E451=5,IF(INDEX(ME!$AO$4:$AO$1002,MATCH($C451,ME!$E$4:$E$1002,0))="","",INDEX(ME!$AO$4:$AO$1002,MATCH($C451,ME!$E$4:$E$1002,0))),"")))))))</f>
        <v>46055</v>
      </c>
      <c r="I451" s="459" t="str">
        <f>IF(ISNA(MATCH($C451,ME!$E$4:$E$1002,0)),"",
IF($E451=0,IF(INDEX(ME!$Q$4:$Q$1002,MATCH($C451,ME!$E$4:$E$1002,0))="","",INDEX(ME!$Q$4:$Q$1002,MATCH($C451,ME!$E$4:$E$1002,0))),
IF($E451=1,IF(INDEX(ME!$V$4:$V$1002,MATCH($C451,ME!$E$4:$E$1002,0))="","",INDEX(ME!$V$4:$V$1002,MATCH($C451,ME!$E$4:$E$1002,0))),
IF($E451=2,IF(INDEX(ME!$AA$4:$AA$1002,MATCH($C451,ME!$E$4:$E$1002,0))="","",INDEX(ME!$AA$4:$AA$1002,MATCH($C451,ME!$E$4:$E$1002,0))),
IF($E451=3,IF(INDEX(ME!$AF$4:$AF$1002,MATCH($C451,ME!$E$4:$E$1002,0))="","",INDEX(ME!$AF$4:$AF$1002,MATCH($C451,ME!$E$4:$E$1002,0))),
IF($E451=4,IF(INDEX(ME!$AK$4:$AK$1002,MATCH($C451,ME!$E$4:$E$1002,0))="","",INDEX(ME!$AK$4:$AK$1002,MATCH($C451,ME!$E$4:$E$1002,0))),
IF($E451=5,IF(INDEX(ME!$AP$4:$AP$1002,MATCH($C451,ME!$E$4:$E$1002,0))="","",INDEX(ME!$AP$4:$AP$1002,MATCH($C451,ME!$E$4:$E$1002,0))),"")))))))</f>
        <v/>
      </c>
      <c r="J451" s="459" t="str">
        <f>IF(ISNA(MATCH($C451,ME!$E$4:$E$1002,0)),"",
IF($E451=0,IF(INDEX(ME!$R$4:$R$1002,MATCH($C451,ME!$E$4:$E$1002,0))="","",INDEX(ME!$R$4:$R$1002,MATCH($C451,ME!$E$4:$E$1002,0))),
IF($E451=1,IF(INDEX(ME!$W$4:$W$1002,MATCH($C451,ME!$E$4:$E$1002,0))="","",INDEX(ME!$W$4:$W$1002,MATCH($C451,ME!$E$4:$E$1002,0))),
IF($E451=2,IF(INDEX(ME!$AB$4:$AB$1002,MATCH($C451,ME!$E$4:$E$1002,0))="","",INDEX(ME!$AB$4:$AB$1002,MATCH($C451,ME!$E$4:$E$1002,0))),
IF($E451=3,IF(INDEX(ME!$AG$4:$AG$1002,MATCH($C451,ME!$E$4:$E$1002,0))="","",INDEX(ME!$AG$4:$AG$1002,MATCH($C451,ME!$E$4:$E$1002,0))),
IF($E451=4,IF(INDEX(ME!$AL$4:$AL$1002,MATCH($C451,ME!$E$4:$E$1002,0))="","",INDEX(ME!$AL$4:$AL$1002,MATCH($C451,ME!$E$4:$E$1002,0))),
IF($E451=5,IF(INDEX(ME!$AQ$4:$AQ$1002,MATCH($C451,ME!$E$4:$E$1002,0))="","",INDEX(ME!$AQ$4:$AQ$1002,MATCH($C451,ME!$E$4:$E$1002,0))),"")))))))</f>
        <v/>
      </c>
      <c r="K451" s="459" t="str">
        <f>VLOOKUP(C451,ME!$E$4:$J$1009,6,0)</f>
        <v>AUR</v>
      </c>
      <c r="L451" s="460" cm="1">
        <f t="array" aca="1" ref="L451" ca="1">_xlfn.IFS(AND($E451&lt;&gt;"",$M451="Pending",$K451="CTA"),TODAY()-$G451,AND($E451&lt;&gt;"",$M451="Pending",$K451="AUR"),TODAY()-$H451,AND($E451&lt;&gt;"",$M451="Pending",$K451="STT"),TODAY()-$I451,OR(K451="Closed",K451=""),"")</f>
        <v>11</v>
      </c>
      <c r="M451" s="461" t="str">
        <f>VLOOKUP(C451,ME!$E$4:$AC$623,7,0)</f>
        <v>Pending</v>
      </c>
      <c r="N451" s="454" t="str">
        <f t="shared" ca="1" si="20"/>
        <v>Overdue</v>
      </c>
      <c r="O451" s="743" t="str">
        <f>ME!M7</f>
        <v>GC</v>
      </c>
      <c r="P451" s="748" t="str">
        <v>YES</v>
      </c>
    </row>
    <row r="452" spans="1:16" s="385" customFormat="1" ht="24.75" hidden="1" customHeight="1">
      <c r="A452" s="399">
        <v>5</v>
      </c>
      <c r="B452" s="455" t="s">
        <v>20</v>
      </c>
      <c r="C452" s="454" t="s">
        <v>1234</v>
      </c>
      <c r="D452" s="493" t="str">
        <f>_xlfn.XLOOKUP(C452,ME!$E$4:$E$999,ME!$D$4:$D$999)</f>
        <v>ACMV Piping System Schematic - Risers - Sheet 1</v>
      </c>
      <c r="E452" s="454" t="str">
        <f>IF(VLOOKUP(C452,ME!$E$4:$AC$488,5,0)="","",VLOOKUP(C452,ME!$E$4:$AC$987,5,0))</f>
        <v/>
      </c>
      <c r="F452" s="457"/>
      <c r="G452" s="459" t="str">
        <f>IF(VLOOKUP(C452,ME!$E$4:$AC$488,3,0)="","",VLOOKUP(C452,ME!$E$4:$AC$488,3,0))</f>
        <v/>
      </c>
      <c r="H452" s="459" t="str">
        <f>IF(ISNA(MATCH($C452,ME!$E$4:$E$1002,0)),"",
IF($E452=0,IF(INDEX(ME!$P$4:$P$1002,MATCH($C452,ME!$E$4:$E$1002,0))="","",INDEX(ME!$P$4:$P$1002,MATCH($C452,ME!$E$4:$E$1002,0))),
IF($E452=1,IF(INDEX(ME!$U$4:$U$1002,MATCH($C452,ME!$E$4:$E$1002,0))="","",INDEX(ME!$U$4:$U$1002,MATCH($C452,ME!$E$4:$E$1002,0))),
IF($E452=2,IF(INDEX(ME!$Z$4:$Z$1002,MATCH($C452,ME!$E$4:$E$1002,0))="","",INDEX(ME!$Z$4:$Z$1002,MATCH($C452,ME!$E$4:$E$1002,0))),
IF($E452=3,IF(INDEX(ME!$AE$4:$AE$1002,MATCH($C452,ME!$E$4:$E$1002,0))="","",INDEX(ME!$AE$4:$AE$1002,MATCH($C452,ME!$E$4:$E$1002,0))),
IF($E452=4,IF(INDEX(ME!$AJ$4:$AJ$1002,MATCH($C452,ME!$E$4:$E$1002,0))="","",INDEX(ME!$AJ$4:$AJ$1002,MATCH($C452,ME!$E$4:$E$1002,0))),
IF($E452=5,IF(INDEX(ME!$AO$4:$AO$1002,MATCH($C452,ME!$E$4:$E$1002,0))="","",INDEX(ME!$AO$4:$AO$1002,MATCH($C452,ME!$E$4:$E$1002,0))),"")))))))</f>
        <v/>
      </c>
      <c r="I452" s="459" t="str">
        <f>IF(ISNA(MATCH($C452,ME!$E$4:$E$1002,0)),"",
IF($E452=0,IF(INDEX(ME!$Q$4:$Q$1002,MATCH($C452,ME!$E$4:$E$1002,0))="","",INDEX(ME!$Q$4:$Q$1002,MATCH($C452,ME!$E$4:$E$1002,0))),
IF($E452=1,IF(INDEX(ME!$V$4:$V$1002,MATCH($C452,ME!$E$4:$E$1002,0))="","",INDEX(ME!$V$4:$V$1002,MATCH($C452,ME!$E$4:$E$1002,0))),
IF($E452=2,IF(INDEX(ME!$AA$4:$AA$1002,MATCH($C452,ME!$E$4:$E$1002,0))="","",INDEX(ME!$AA$4:$AA$1002,MATCH($C452,ME!$E$4:$E$1002,0))),
IF($E452=3,IF(INDEX(ME!$AF$4:$AF$1002,MATCH($C452,ME!$E$4:$E$1002,0))="","",INDEX(ME!$AF$4:$AF$1002,MATCH($C452,ME!$E$4:$E$1002,0))),
IF($E452=4,IF(INDEX(ME!$AK$4:$AK$1002,MATCH($C452,ME!$E$4:$E$1002,0))="","",INDEX(ME!$AK$4:$AK$1002,MATCH($C452,ME!$E$4:$E$1002,0))),
IF($E452=5,IF(INDEX(ME!$AP$4:$AP$1002,MATCH($C452,ME!$E$4:$E$1002,0))="","",INDEX(ME!$AP$4:$AP$1002,MATCH($C452,ME!$E$4:$E$1002,0))),"")))))))</f>
        <v/>
      </c>
      <c r="J452" s="459" t="str">
        <f>IF(ISNA(MATCH($C452,ME!$E$4:$E$1002,0)),"",
IF($E452=0,IF(INDEX(ME!$R$4:$R$1002,MATCH($C452,ME!$E$4:$E$1002,0))="","",INDEX(ME!$R$4:$R$1002,MATCH($C452,ME!$E$4:$E$1002,0))),
IF($E452=1,IF(INDEX(ME!$W$4:$W$1002,MATCH($C452,ME!$E$4:$E$1002,0))="","",INDEX(ME!$W$4:$W$1002,MATCH($C452,ME!$E$4:$E$1002,0))),
IF($E452=2,IF(INDEX(ME!$AB$4:$AB$1002,MATCH($C452,ME!$E$4:$E$1002,0))="","",INDEX(ME!$AB$4:$AB$1002,MATCH($C452,ME!$E$4:$E$1002,0))),
IF($E452=3,IF(INDEX(ME!$AG$4:$AG$1002,MATCH($C452,ME!$E$4:$E$1002,0))="","",INDEX(ME!$AG$4:$AG$1002,MATCH($C452,ME!$E$4:$E$1002,0))),
IF($E452=4,IF(INDEX(ME!$AL$4:$AL$1002,MATCH($C452,ME!$E$4:$E$1002,0))="","",INDEX(ME!$AL$4:$AL$1002,MATCH($C452,ME!$E$4:$E$1002,0))),
IF($E452=5,IF(INDEX(ME!$AQ$4:$AQ$1002,MATCH($C452,ME!$E$4:$E$1002,0))="","",INDEX(ME!$AQ$4:$AQ$1002,MATCH($C452,ME!$E$4:$E$1002,0))),"")))))))</f>
        <v/>
      </c>
      <c r="K452" s="459">
        <f>VLOOKUP(C452,ME!$E$4:$J$1009,6,0)</f>
        <v>0</v>
      </c>
      <c r="L452" s="460" t="e" cm="1">
        <f t="array" aca="1" ref="L452" ca="1">_xlfn.IFS(AND($E452&lt;&gt;"",$M452="Pending",$K452="CTA"),TODAY()-$G452,AND($E452&lt;&gt;"",$M452="Pending",$K452="AUR"),TODAY()-$H452,AND($E452&lt;&gt;"",$M452="Pending",$K452="STT"),TODAY()-$I452,OR(K452="Closed",K452=""),"")</f>
        <v>#N/A</v>
      </c>
      <c r="M452" s="461">
        <f>VLOOKUP(C452,ME!$E$4:$AC$623,7,0)</f>
        <v>0</v>
      </c>
      <c r="N452" s="454" t="str">
        <f t="shared" si="20"/>
        <v/>
      </c>
      <c r="O452" s="743" t="str">
        <f>ME!M8</f>
        <v>GC</v>
      </c>
      <c r="P452" s="748" t="str">
        <v>YES</v>
      </c>
    </row>
    <row r="453" spans="1:16" s="385" customFormat="1" ht="24.75" hidden="1" customHeight="1">
      <c r="A453" s="399">
        <v>6</v>
      </c>
      <c r="B453" s="455" t="s">
        <v>20</v>
      </c>
      <c r="C453" s="454" t="s">
        <v>1240</v>
      </c>
      <c r="D453" s="493" t="str">
        <f>_xlfn.XLOOKUP(C453,ME!$E$4:$E$999,ME!$D$4:$D$999)</f>
        <v>ACMV Piping System Schematic - Chiller Plant</v>
      </c>
      <c r="E453" s="454" t="str">
        <f>IF(VLOOKUP(C453,ME!$E$4:$AC$488,5,0)="","",VLOOKUP(C453,ME!$E$4:$AC$987,5,0))</f>
        <v/>
      </c>
      <c r="F453" s="457"/>
      <c r="G453" s="459" t="str">
        <f>IF(VLOOKUP(C453,ME!$E$4:$AC$488,3,0)="","",VLOOKUP(C453,ME!$E$4:$AC$488,3,0))</f>
        <v/>
      </c>
      <c r="H453" s="459" t="str">
        <f>IF(ISNA(MATCH($C453,ME!$E$4:$E$1002,0)),"",
IF($E453=0,IF(INDEX(ME!$P$4:$P$1002,MATCH($C453,ME!$E$4:$E$1002,0))="","",INDEX(ME!$P$4:$P$1002,MATCH($C453,ME!$E$4:$E$1002,0))),
IF($E453=1,IF(INDEX(ME!$U$4:$U$1002,MATCH($C453,ME!$E$4:$E$1002,0))="","",INDEX(ME!$U$4:$U$1002,MATCH($C453,ME!$E$4:$E$1002,0))),
IF($E453=2,IF(INDEX(ME!$Z$4:$Z$1002,MATCH($C453,ME!$E$4:$E$1002,0))="","",INDEX(ME!$Z$4:$Z$1002,MATCH($C453,ME!$E$4:$E$1002,0))),
IF($E453=3,IF(INDEX(ME!$AE$4:$AE$1002,MATCH($C453,ME!$E$4:$E$1002,0))="","",INDEX(ME!$AE$4:$AE$1002,MATCH($C453,ME!$E$4:$E$1002,0))),
IF($E453=4,IF(INDEX(ME!$AJ$4:$AJ$1002,MATCH($C453,ME!$E$4:$E$1002,0))="","",INDEX(ME!$AJ$4:$AJ$1002,MATCH($C453,ME!$E$4:$E$1002,0))),
IF($E453=5,IF(INDEX(ME!$AO$4:$AO$1002,MATCH($C453,ME!$E$4:$E$1002,0))="","",INDEX(ME!$AO$4:$AO$1002,MATCH($C453,ME!$E$4:$E$1002,0))),"")))))))</f>
        <v/>
      </c>
      <c r="I453" s="459" t="str">
        <f>IF(ISNA(MATCH($C453,ME!$E$4:$E$1002,0)),"",
IF($E453=0,IF(INDEX(ME!$Q$4:$Q$1002,MATCH($C453,ME!$E$4:$E$1002,0))="","",INDEX(ME!$Q$4:$Q$1002,MATCH($C453,ME!$E$4:$E$1002,0))),
IF($E453=1,IF(INDEX(ME!$V$4:$V$1002,MATCH($C453,ME!$E$4:$E$1002,0))="","",INDEX(ME!$V$4:$V$1002,MATCH($C453,ME!$E$4:$E$1002,0))),
IF($E453=2,IF(INDEX(ME!$AA$4:$AA$1002,MATCH($C453,ME!$E$4:$E$1002,0))="","",INDEX(ME!$AA$4:$AA$1002,MATCH($C453,ME!$E$4:$E$1002,0))),
IF($E453=3,IF(INDEX(ME!$AF$4:$AF$1002,MATCH($C453,ME!$E$4:$E$1002,0))="","",INDEX(ME!$AF$4:$AF$1002,MATCH($C453,ME!$E$4:$E$1002,0))),
IF($E453=4,IF(INDEX(ME!$AK$4:$AK$1002,MATCH($C453,ME!$E$4:$E$1002,0))="","",INDEX(ME!$AK$4:$AK$1002,MATCH($C453,ME!$E$4:$E$1002,0))),
IF($E453=5,IF(INDEX(ME!$AP$4:$AP$1002,MATCH($C453,ME!$E$4:$E$1002,0))="","",INDEX(ME!$AP$4:$AP$1002,MATCH($C453,ME!$E$4:$E$1002,0))),"")))))))</f>
        <v/>
      </c>
      <c r="J453" s="459" t="str">
        <f>IF(ISNA(MATCH($C453,ME!$E$4:$E$1002,0)),"",
IF($E453=0,IF(INDEX(ME!$R$4:$R$1002,MATCH($C453,ME!$E$4:$E$1002,0))="","",INDEX(ME!$R$4:$R$1002,MATCH($C453,ME!$E$4:$E$1002,0))),
IF($E453=1,IF(INDEX(ME!$W$4:$W$1002,MATCH($C453,ME!$E$4:$E$1002,0))="","",INDEX(ME!$W$4:$W$1002,MATCH($C453,ME!$E$4:$E$1002,0))),
IF($E453=2,IF(INDEX(ME!$AB$4:$AB$1002,MATCH($C453,ME!$E$4:$E$1002,0))="","",INDEX(ME!$AB$4:$AB$1002,MATCH($C453,ME!$E$4:$E$1002,0))),
IF($E453=3,IF(INDEX(ME!$AG$4:$AG$1002,MATCH($C453,ME!$E$4:$E$1002,0))="","",INDEX(ME!$AG$4:$AG$1002,MATCH($C453,ME!$E$4:$E$1002,0))),
IF($E453=4,IF(INDEX(ME!$AL$4:$AL$1002,MATCH($C453,ME!$E$4:$E$1002,0))="","",INDEX(ME!$AL$4:$AL$1002,MATCH($C453,ME!$E$4:$E$1002,0))),
IF($E453=5,IF(INDEX(ME!$AQ$4:$AQ$1002,MATCH($C453,ME!$E$4:$E$1002,0))="","",INDEX(ME!$AQ$4:$AQ$1002,MATCH($C453,ME!$E$4:$E$1002,0))),"")))))))</f>
        <v/>
      </c>
      <c r="K453" s="459">
        <f>VLOOKUP(C453,ME!$E$4:$J$1009,6,0)</f>
        <v>0</v>
      </c>
      <c r="L453" s="460" t="e" cm="1">
        <f t="array" aca="1" ref="L453" ca="1">_xlfn.IFS(AND($E453&lt;&gt;"",$M453="Pending",$K453="CTA"),TODAY()-$G453,AND($E453&lt;&gt;"",$M453="Pending",$K453="AUR"),TODAY()-$H453,AND($E453&lt;&gt;"",$M453="Pending",$K453="STT"),TODAY()-$I453,OR(K453="Closed",K453=""),"")</f>
        <v>#N/A</v>
      </c>
      <c r="M453" s="461">
        <f>VLOOKUP(C453,ME!$E$4:$AC$623,7,0)</f>
        <v>0</v>
      </c>
      <c r="N453" s="454" t="str">
        <f t="shared" si="20"/>
        <v/>
      </c>
      <c r="O453" s="743" t="str">
        <f>ME!M9</f>
        <v>GC</v>
      </c>
      <c r="P453" s="748" t="str" cm="1">
        <f t="array" ref="P453:P498">ME!AS10:AS55</f>
        <v>YES</v>
      </c>
    </row>
    <row r="454" spans="1:16" s="385" customFormat="1" ht="24.75" hidden="1" customHeight="1">
      <c r="A454" s="399">
        <v>7</v>
      </c>
      <c r="B454" s="455" t="s">
        <v>20</v>
      </c>
      <c r="C454" s="454" t="s">
        <v>1243</v>
      </c>
      <c r="D454" s="493" t="str">
        <f>_xlfn.XLOOKUP(C454,ME!$E$4:$E$999,ME!$D$4:$D$999)</f>
        <v xml:space="preserve">Equipment Schedule </v>
      </c>
      <c r="E454" s="454" t="str">
        <f>IF(VLOOKUP(C454,ME!$E$4:$AC$488,5,0)="","",VLOOKUP(C454,ME!$E$4:$AC$987,5,0))</f>
        <v/>
      </c>
      <c r="F454" s="457"/>
      <c r="G454" s="459" t="str">
        <f>IF(VLOOKUP(C454,ME!$E$4:$AC$488,3,0)="","",VLOOKUP(C454,ME!$E$4:$AC$488,3,0))</f>
        <v/>
      </c>
      <c r="H454" s="459" t="str">
        <f>IF(ISNA(MATCH($C454,ME!$E$4:$E$1002,0)),"",
IF($E454=0,IF(INDEX(ME!$P$4:$P$1002,MATCH($C454,ME!$E$4:$E$1002,0))="","",INDEX(ME!$P$4:$P$1002,MATCH($C454,ME!$E$4:$E$1002,0))),
IF($E454=1,IF(INDEX(ME!$U$4:$U$1002,MATCH($C454,ME!$E$4:$E$1002,0))="","",INDEX(ME!$U$4:$U$1002,MATCH($C454,ME!$E$4:$E$1002,0))),
IF($E454=2,IF(INDEX(ME!$Z$4:$Z$1002,MATCH($C454,ME!$E$4:$E$1002,0))="","",INDEX(ME!$Z$4:$Z$1002,MATCH($C454,ME!$E$4:$E$1002,0))),
IF($E454=3,IF(INDEX(ME!$AE$4:$AE$1002,MATCH($C454,ME!$E$4:$E$1002,0))="","",INDEX(ME!$AE$4:$AE$1002,MATCH($C454,ME!$E$4:$E$1002,0))),
IF($E454=4,IF(INDEX(ME!$AJ$4:$AJ$1002,MATCH($C454,ME!$E$4:$E$1002,0))="","",INDEX(ME!$AJ$4:$AJ$1002,MATCH($C454,ME!$E$4:$E$1002,0))),
IF($E454=5,IF(INDEX(ME!$AO$4:$AO$1002,MATCH($C454,ME!$E$4:$E$1002,0))="","",INDEX(ME!$AO$4:$AO$1002,MATCH($C454,ME!$E$4:$E$1002,0))),"")))))))</f>
        <v/>
      </c>
      <c r="I454" s="459" t="str">
        <f>IF(ISNA(MATCH($C454,ME!$E$4:$E$1002,0)),"",
IF($E454=0,IF(INDEX(ME!$Q$4:$Q$1002,MATCH($C454,ME!$E$4:$E$1002,0))="","",INDEX(ME!$Q$4:$Q$1002,MATCH($C454,ME!$E$4:$E$1002,0))),
IF($E454=1,IF(INDEX(ME!$V$4:$V$1002,MATCH($C454,ME!$E$4:$E$1002,0))="","",INDEX(ME!$V$4:$V$1002,MATCH($C454,ME!$E$4:$E$1002,0))),
IF($E454=2,IF(INDEX(ME!$AA$4:$AA$1002,MATCH($C454,ME!$E$4:$E$1002,0))="","",INDEX(ME!$AA$4:$AA$1002,MATCH($C454,ME!$E$4:$E$1002,0))),
IF($E454=3,IF(INDEX(ME!$AF$4:$AF$1002,MATCH($C454,ME!$E$4:$E$1002,0))="","",INDEX(ME!$AF$4:$AF$1002,MATCH($C454,ME!$E$4:$E$1002,0))),
IF($E454=4,IF(INDEX(ME!$AK$4:$AK$1002,MATCH($C454,ME!$E$4:$E$1002,0))="","",INDEX(ME!$AK$4:$AK$1002,MATCH($C454,ME!$E$4:$E$1002,0))),
IF($E454=5,IF(INDEX(ME!$AP$4:$AP$1002,MATCH($C454,ME!$E$4:$E$1002,0))="","",INDEX(ME!$AP$4:$AP$1002,MATCH($C454,ME!$E$4:$E$1002,0))),"")))))))</f>
        <v/>
      </c>
      <c r="J454" s="459" t="str">
        <f>IF(ISNA(MATCH($C454,ME!$E$4:$E$1002,0)),"",
IF($E454=0,IF(INDEX(ME!$R$4:$R$1002,MATCH($C454,ME!$E$4:$E$1002,0))="","",INDEX(ME!$R$4:$R$1002,MATCH($C454,ME!$E$4:$E$1002,0))),
IF($E454=1,IF(INDEX(ME!$W$4:$W$1002,MATCH($C454,ME!$E$4:$E$1002,0))="","",INDEX(ME!$W$4:$W$1002,MATCH($C454,ME!$E$4:$E$1002,0))),
IF($E454=2,IF(INDEX(ME!$AB$4:$AB$1002,MATCH($C454,ME!$E$4:$E$1002,0))="","",INDEX(ME!$AB$4:$AB$1002,MATCH($C454,ME!$E$4:$E$1002,0))),
IF($E454=3,IF(INDEX(ME!$AG$4:$AG$1002,MATCH($C454,ME!$E$4:$E$1002,0))="","",INDEX(ME!$AG$4:$AG$1002,MATCH($C454,ME!$E$4:$E$1002,0))),
IF($E454=4,IF(INDEX(ME!$AL$4:$AL$1002,MATCH($C454,ME!$E$4:$E$1002,0))="","",INDEX(ME!$AL$4:$AL$1002,MATCH($C454,ME!$E$4:$E$1002,0))),
IF($E454=5,IF(INDEX(ME!$AQ$4:$AQ$1002,MATCH($C454,ME!$E$4:$E$1002,0))="","",INDEX(ME!$AQ$4:$AQ$1002,MATCH($C454,ME!$E$4:$E$1002,0))),"")))))))</f>
        <v/>
      </c>
      <c r="K454" s="459">
        <f>VLOOKUP(C454,ME!$E$4:$J$1009,6,0)</f>
        <v>0</v>
      </c>
      <c r="L454" s="460" t="e" cm="1">
        <f t="array" aca="1" ref="L454" ca="1">_xlfn.IFS(AND($E454&lt;&gt;"",$M454="Pending",$K454="CTA"),TODAY()-$G454,AND($E454&lt;&gt;"",$M454="Pending",$K454="AUR"),TODAY()-$H454,AND($E454&lt;&gt;"",$M454="Pending",$K454="STT"),TODAY()-$I454,OR(K454="Closed",K454=""),"")</f>
        <v>#N/A</v>
      </c>
      <c r="M454" s="461">
        <f>VLOOKUP(C454,ME!$E$4:$AC$623,7,0)</f>
        <v>0</v>
      </c>
      <c r="N454" s="454" t="str">
        <f t="shared" si="20"/>
        <v/>
      </c>
      <c r="O454" s="743" t="str">
        <f>ME!M10</f>
        <v>GC</v>
      </c>
      <c r="P454" s="748" t="str">
        <v>YES</v>
      </c>
    </row>
    <row r="455" spans="1:16" s="385" customFormat="1" ht="24.75" hidden="1" customHeight="1">
      <c r="A455" s="399">
        <v>8</v>
      </c>
      <c r="B455" s="455" t="s">
        <v>20</v>
      </c>
      <c r="C455" s="454" t="s">
        <v>1247</v>
      </c>
      <c r="D455" s="493" t="str">
        <f>_xlfn.XLOOKUP(C455,ME!$E$4:$E$999,ME!$D$4:$D$999)</f>
        <v>Level 1 - Ducting Layout Plan</v>
      </c>
      <c r="E455" s="454" t="str">
        <f>IF(VLOOKUP(C455,ME!$E$4:$AC$488,5,0)="","",VLOOKUP(C455,ME!$E$4:$AC$987,5,0))</f>
        <v/>
      </c>
      <c r="F455" s="457"/>
      <c r="G455" s="459" t="str">
        <f>IF(VLOOKUP(C455,ME!$E$4:$AC$488,3,0)="","",VLOOKUP(C455,ME!$E$4:$AC$488,3,0))</f>
        <v/>
      </c>
      <c r="H455" s="459" t="str">
        <f>IF(ISNA(MATCH($C455,ME!$E$4:$E$1002,0)),"",
IF($E455=0,IF(INDEX(ME!$P$4:$P$1002,MATCH($C455,ME!$E$4:$E$1002,0))="","",INDEX(ME!$P$4:$P$1002,MATCH($C455,ME!$E$4:$E$1002,0))),
IF($E455=1,IF(INDEX(ME!$U$4:$U$1002,MATCH($C455,ME!$E$4:$E$1002,0))="","",INDEX(ME!$U$4:$U$1002,MATCH($C455,ME!$E$4:$E$1002,0))),
IF($E455=2,IF(INDEX(ME!$Z$4:$Z$1002,MATCH($C455,ME!$E$4:$E$1002,0))="","",INDEX(ME!$Z$4:$Z$1002,MATCH($C455,ME!$E$4:$E$1002,0))),
IF($E455=3,IF(INDEX(ME!$AE$4:$AE$1002,MATCH($C455,ME!$E$4:$E$1002,0))="","",INDEX(ME!$AE$4:$AE$1002,MATCH($C455,ME!$E$4:$E$1002,0))),
IF($E455=4,IF(INDEX(ME!$AJ$4:$AJ$1002,MATCH($C455,ME!$E$4:$E$1002,0))="","",INDEX(ME!$AJ$4:$AJ$1002,MATCH($C455,ME!$E$4:$E$1002,0))),
IF($E455=5,IF(INDEX(ME!$AO$4:$AO$1002,MATCH($C455,ME!$E$4:$E$1002,0))="","",INDEX(ME!$AO$4:$AO$1002,MATCH($C455,ME!$E$4:$E$1002,0))),"")))))))</f>
        <v/>
      </c>
      <c r="I455" s="459" t="str">
        <f>IF(ISNA(MATCH($C455,ME!$E$4:$E$1002,0)),"",
IF($E455=0,IF(INDEX(ME!$Q$4:$Q$1002,MATCH($C455,ME!$E$4:$E$1002,0))="","",INDEX(ME!$Q$4:$Q$1002,MATCH($C455,ME!$E$4:$E$1002,0))),
IF($E455=1,IF(INDEX(ME!$V$4:$V$1002,MATCH($C455,ME!$E$4:$E$1002,0))="","",INDEX(ME!$V$4:$V$1002,MATCH($C455,ME!$E$4:$E$1002,0))),
IF($E455=2,IF(INDEX(ME!$AA$4:$AA$1002,MATCH($C455,ME!$E$4:$E$1002,0))="","",INDEX(ME!$AA$4:$AA$1002,MATCH($C455,ME!$E$4:$E$1002,0))),
IF($E455=3,IF(INDEX(ME!$AF$4:$AF$1002,MATCH($C455,ME!$E$4:$E$1002,0))="","",INDEX(ME!$AF$4:$AF$1002,MATCH($C455,ME!$E$4:$E$1002,0))),
IF($E455=4,IF(INDEX(ME!$AK$4:$AK$1002,MATCH($C455,ME!$E$4:$E$1002,0))="","",INDEX(ME!$AK$4:$AK$1002,MATCH($C455,ME!$E$4:$E$1002,0))),
IF($E455=5,IF(INDEX(ME!$AP$4:$AP$1002,MATCH($C455,ME!$E$4:$E$1002,0))="","",INDEX(ME!$AP$4:$AP$1002,MATCH($C455,ME!$E$4:$E$1002,0))),"")))))))</f>
        <v/>
      </c>
      <c r="J455" s="459" t="str">
        <f>IF(ISNA(MATCH($C455,ME!$E$4:$E$1002,0)),"",
IF($E455=0,IF(INDEX(ME!$R$4:$R$1002,MATCH($C455,ME!$E$4:$E$1002,0))="","",INDEX(ME!$R$4:$R$1002,MATCH($C455,ME!$E$4:$E$1002,0))),
IF($E455=1,IF(INDEX(ME!$W$4:$W$1002,MATCH($C455,ME!$E$4:$E$1002,0))="","",INDEX(ME!$W$4:$W$1002,MATCH($C455,ME!$E$4:$E$1002,0))),
IF($E455=2,IF(INDEX(ME!$AB$4:$AB$1002,MATCH($C455,ME!$E$4:$E$1002,0))="","",INDEX(ME!$AB$4:$AB$1002,MATCH($C455,ME!$E$4:$E$1002,0))),
IF($E455=3,IF(INDEX(ME!$AG$4:$AG$1002,MATCH($C455,ME!$E$4:$E$1002,0))="","",INDEX(ME!$AG$4:$AG$1002,MATCH($C455,ME!$E$4:$E$1002,0))),
IF($E455=4,IF(INDEX(ME!$AL$4:$AL$1002,MATCH($C455,ME!$E$4:$E$1002,0))="","",INDEX(ME!$AL$4:$AL$1002,MATCH($C455,ME!$E$4:$E$1002,0))),
IF($E455=5,IF(INDEX(ME!$AQ$4:$AQ$1002,MATCH($C455,ME!$E$4:$E$1002,0))="","",INDEX(ME!$AQ$4:$AQ$1002,MATCH($C455,ME!$E$4:$E$1002,0))),"")))))))</f>
        <v/>
      </c>
      <c r="K455" s="459">
        <f>VLOOKUP(C455,ME!$E$4:$J$1009,6,0)</f>
        <v>0</v>
      </c>
      <c r="L455" s="460" t="e" cm="1">
        <f t="array" aca="1" ref="L455" ca="1">_xlfn.IFS(AND($E455&lt;&gt;"",$M455="Pending",$K455="CTA"),TODAY()-$G455,AND($E455&lt;&gt;"",$M455="Pending",$K455="AUR"),TODAY()-$H455,AND($E455&lt;&gt;"",$M455="Pending",$K455="STT"),TODAY()-$I455,OR(K455="Closed",K455=""),"")</f>
        <v>#N/A</v>
      </c>
      <c r="M455" s="461">
        <f>VLOOKUP(C455,ME!$E$4:$AC$623,7,0)</f>
        <v>0</v>
      </c>
      <c r="N455" s="454" t="str">
        <f t="shared" si="20"/>
        <v/>
      </c>
      <c r="O455" s="743" t="str">
        <f>ME!M11</f>
        <v>GC</v>
      </c>
      <c r="P455" s="748" t="str">
        <v>NO</v>
      </c>
    </row>
    <row r="456" spans="1:16" s="385" customFormat="1" ht="24.75" hidden="1" customHeight="1">
      <c r="A456" s="399">
        <v>9</v>
      </c>
      <c r="B456" s="455" t="s">
        <v>20</v>
      </c>
      <c r="C456" s="454" t="s">
        <v>1251</v>
      </c>
      <c r="D456" s="493" t="str">
        <f>_xlfn.XLOOKUP(C456,ME!$E$4:$E$999,ME!$D$4:$D$999)</f>
        <v>Level 2 - Ducting Layout Plan</v>
      </c>
      <c r="E456" s="454">
        <f>IF(VLOOKUP(C456,ME!$E$4:$AC$488,5,0)="","",VLOOKUP(C456,ME!$E$4:$AC$987,5,0))</f>
        <v>0</v>
      </c>
      <c r="F456" s="457"/>
      <c r="G456" s="459">
        <f>IF(VLOOKUP(C456,ME!$E$4:$AC$488,3,0)="","",VLOOKUP(C456,ME!$E$4:$AC$488,3,0))</f>
        <v>46062</v>
      </c>
      <c r="H456" s="459">
        <f>IF(ISNA(MATCH($C456,ME!$E$4:$E$1002,0)),"",
IF($E456=0,IF(INDEX(ME!$P$4:$P$1002,MATCH($C456,ME!$E$4:$E$1002,0))="","",INDEX(ME!$P$4:$P$1002,MATCH($C456,ME!$E$4:$E$1002,0))),
IF($E456=1,IF(INDEX(ME!$U$4:$U$1002,MATCH($C456,ME!$E$4:$E$1002,0))="","",INDEX(ME!$U$4:$U$1002,MATCH($C456,ME!$E$4:$E$1002,0))),
IF($E456=2,IF(INDEX(ME!$Z$4:$Z$1002,MATCH($C456,ME!$E$4:$E$1002,0))="","",INDEX(ME!$Z$4:$Z$1002,MATCH($C456,ME!$E$4:$E$1002,0))),
IF($E456=3,IF(INDEX(ME!$AE$4:$AE$1002,MATCH($C456,ME!$E$4:$E$1002,0))="","",INDEX(ME!$AE$4:$AE$1002,MATCH($C456,ME!$E$4:$E$1002,0))),
IF($E456=4,IF(INDEX(ME!$AJ$4:$AJ$1002,MATCH($C456,ME!$E$4:$E$1002,0))="","",INDEX(ME!$AJ$4:$AJ$1002,MATCH($C456,ME!$E$4:$E$1002,0))),
IF($E456=5,IF(INDEX(ME!$AO$4:$AO$1002,MATCH($C456,ME!$E$4:$E$1002,0))="","",INDEX(ME!$AO$4:$AO$1002,MATCH($C456,ME!$E$4:$E$1002,0))),"")))))))</f>
        <v>46065</v>
      </c>
      <c r="I456" s="459" t="str">
        <f>IF(ISNA(MATCH($C456,ME!$E$4:$E$1002,0)),"",
IF($E456=0,IF(INDEX(ME!$Q$4:$Q$1002,MATCH($C456,ME!$E$4:$E$1002,0))="","",INDEX(ME!$Q$4:$Q$1002,MATCH($C456,ME!$E$4:$E$1002,0))),
IF($E456=1,IF(INDEX(ME!$V$4:$V$1002,MATCH($C456,ME!$E$4:$E$1002,0))="","",INDEX(ME!$V$4:$V$1002,MATCH($C456,ME!$E$4:$E$1002,0))),
IF($E456=2,IF(INDEX(ME!$AA$4:$AA$1002,MATCH($C456,ME!$E$4:$E$1002,0))="","",INDEX(ME!$AA$4:$AA$1002,MATCH($C456,ME!$E$4:$E$1002,0))),
IF($E456=3,IF(INDEX(ME!$AF$4:$AF$1002,MATCH($C456,ME!$E$4:$E$1002,0))="","",INDEX(ME!$AF$4:$AF$1002,MATCH($C456,ME!$E$4:$E$1002,0))),
IF($E456=4,IF(INDEX(ME!$AK$4:$AK$1002,MATCH($C456,ME!$E$4:$E$1002,0))="","",INDEX(ME!$AK$4:$AK$1002,MATCH($C456,ME!$E$4:$E$1002,0))),
IF($E456=5,IF(INDEX(ME!$AP$4:$AP$1002,MATCH($C456,ME!$E$4:$E$1002,0))="","",INDEX(ME!$AP$4:$AP$1002,MATCH($C456,ME!$E$4:$E$1002,0))),"")))))))</f>
        <v/>
      </c>
      <c r="J456" s="459" t="str">
        <f>IF(ISNA(MATCH($C456,ME!$E$4:$E$1002,0)),"",
IF($E456=0,IF(INDEX(ME!$R$4:$R$1002,MATCH($C456,ME!$E$4:$E$1002,0))="","",INDEX(ME!$R$4:$R$1002,MATCH($C456,ME!$E$4:$E$1002,0))),
IF($E456=1,IF(INDEX(ME!$W$4:$W$1002,MATCH($C456,ME!$E$4:$E$1002,0))="","",INDEX(ME!$W$4:$W$1002,MATCH($C456,ME!$E$4:$E$1002,0))),
IF($E456=2,IF(INDEX(ME!$AB$4:$AB$1002,MATCH($C456,ME!$E$4:$E$1002,0))="","",INDEX(ME!$AB$4:$AB$1002,MATCH($C456,ME!$E$4:$E$1002,0))),
IF($E456=3,IF(INDEX(ME!$AG$4:$AG$1002,MATCH($C456,ME!$E$4:$E$1002,0))="","",INDEX(ME!$AG$4:$AG$1002,MATCH($C456,ME!$E$4:$E$1002,0))),
IF($E456=4,IF(INDEX(ME!$AL$4:$AL$1002,MATCH($C456,ME!$E$4:$E$1002,0))="","",INDEX(ME!$AL$4:$AL$1002,MATCH($C456,ME!$E$4:$E$1002,0))),
IF($E456=5,IF(INDEX(ME!$AQ$4:$AQ$1002,MATCH($C456,ME!$E$4:$E$1002,0))="","",INDEX(ME!$AQ$4:$AQ$1002,MATCH($C456,ME!$E$4:$E$1002,0))),"")))))))</f>
        <v/>
      </c>
      <c r="K456" s="459" t="str">
        <f>VLOOKUP(C456,ME!$E$4:$J$1009,6,0)</f>
        <v>GAA</v>
      </c>
      <c r="L456" s="460" t="e" cm="1">
        <f t="array" aca="1" ref="L456" ca="1">_xlfn.IFS(AND($E456&lt;&gt;"",$M456="Pending",$K456="CTA"),TODAY()-$G456,AND($E456&lt;&gt;"",$M456="Pending",$K456="AUR"),TODAY()-$H456,AND($E456&lt;&gt;"",$M456="Pending",$K456="STT"),TODAY()-$I456,OR(K456="Closed",K456=""),"")</f>
        <v>#N/A</v>
      </c>
      <c r="M456" s="461" t="str">
        <f>VLOOKUP(C456,ME!$E$4:$AC$623,7,0)</f>
        <v>C</v>
      </c>
      <c r="N456" s="454" t="str">
        <f t="shared" si="20"/>
        <v/>
      </c>
      <c r="O456" s="743" t="str">
        <f>ME!M12</f>
        <v>GC</v>
      </c>
      <c r="P456" s="748" t="str">
        <v>NO</v>
      </c>
    </row>
    <row r="457" spans="1:16" s="385" customFormat="1" ht="24.75" hidden="1" customHeight="1">
      <c r="A457" s="399">
        <v>10</v>
      </c>
      <c r="B457" s="455" t="s">
        <v>20</v>
      </c>
      <c r="C457" s="454" t="s">
        <v>1254</v>
      </c>
      <c r="D457" s="493" t="str">
        <f>_xlfn.XLOOKUP(C457,ME!$E$4:$E$999,ME!$D$4:$D$999)</f>
        <v>Level 6 - Ducting Layout Plan</v>
      </c>
      <c r="E457" s="454" t="str">
        <f>IF(VLOOKUP(C457,ME!$E$4:$AC$488,5,0)="","",VLOOKUP(C457,ME!$E$4:$AC$987,5,0))</f>
        <v/>
      </c>
      <c r="F457" s="457"/>
      <c r="G457" s="459" t="str">
        <f>IF(VLOOKUP(C457,ME!$E$4:$AC$488,3,0)="","",VLOOKUP(C457,ME!$E$4:$AC$488,3,0))</f>
        <v/>
      </c>
      <c r="H457" s="459" t="str">
        <f>IF(ISNA(MATCH($C457,ME!$E$4:$E$1002,0)),"",
IF($E457=0,IF(INDEX(ME!$P$4:$P$1002,MATCH($C457,ME!$E$4:$E$1002,0))="","",INDEX(ME!$P$4:$P$1002,MATCH($C457,ME!$E$4:$E$1002,0))),
IF($E457=1,IF(INDEX(ME!$U$4:$U$1002,MATCH($C457,ME!$E$4:$E$1002,0))="","",INDEX(ME!$U$4:$U$1002,MATCH($C457,ME!$E$4:$E$1002,0))),
IF($E457=2,IF(INDEX(ME!$Z$4:$Z$1002,MATCH($C457,ME!$E$4:$E$1002,0))="","",INDEX(ME!$Z$4:$Z$1002,MATCH($C457,ME!$E$4:$E$1002,0))),
IF($E457=3,IF(INDEX(ME!$AE$4:$AE$1002,MATCH($C457,ME!$E$4:$E$1002,0))="","",INDEX(ME!$AE$4:$AE$1002,MATCH($C457,ME!$E$4:$E$1002,0))),
IF($E457=4,IF(INDEX(ME!$AJ$4:$AJ$1002,MATCH($C457,ME!$E$4:$E$1002,0))="","",INDEX(ME!$AJ$4:$AJ$1002,MATCH($C457,ME!$E$4:$E$1002,0))),
IF($E457=5,IF(INDEX(ME!$AO$4:$AO$1002,MATCH($C457,ME!$E$4:$E$1002,0))="","",INDEX(ME!$AO$4:$AO$1002,MATCH($C457,ME!$E$4:$E$1002,0))),"")))))))</f>
        <v/>
      </c>
      <c r="I457" s="459" t="str">
        <f>IF(ISNA(MATCH($C457,ME!$E$4:$E$1002,0)),"",
IF($E457=0,IF(INDEX(ME!$Q$4:$Q$1002,MATCH($C457,ME!$E$4:$E$1002,0))="","",INDEX(ME!$Q$4:$Q$1002,MATCH($C457,ME!$E$4:$E$1002,0))),
IF($E457=1,IF(INDEX(ME!$V$4:$V$1002,MATCH($C457,ME!$E$4:$E$1002,0))="","",INDEX(ME!$V$4:$V$1002,MATCH($C457,ME!$E$4:$E$1002,0))),
IF($E457=2,IF(INDEX(ME!$AA$4:$AA$1002,MATCH($C457,ME!$E$4:$E$1002,0))="","",INDEX(ME!$AA$4:$AA$1002,MATCH($C457,ME!$E$4:$E$1002,0))),
IF($E457=3,IF(INDEX(ME!$AF$4:$AF$1002,MATCH($C457,ME!$E$4:$E$1002,0))="","",INDEX(ME!$AF$4:$AF$1002,MATCH($C457,ME!$E$4:$E$1002,0))),
IF($E457=4,IF(INDEX(ME!$AK$4:$AK$1002,MATCH($C457,ME!$E$4:$E$1002,0))="","",INDEX(ME!$AK$4:$AK$1002,MATCH($C457,ME!$E$4:$E$1002,0))),
IF($E457=5,IF(INDEX(ME!$AP$4:$AP$1002,MATCH($C457,ME!$E$4:$E$1002,0))="","",INDEX(ME!$AP$4:$AP$1002,MATCH($C457,ME!$E$4:$E$1002,0))),"")))))))</f>
        <v/>
      </c>
      <c r="J457" s="459" t="str">
        <f>IF(ISNA(MATCH($C457,ME!$E$4:$E$1002,0)),"",
IF($E457=0,IF(INDEX(ME!$R$4:$R$1002,MATCH($C457,ME!$E$4:$E$1002,0))="","",INDEX(ME!$R$4:$R$1002,MATCH($C457,ME!$E$4:$E$1002,0))),
IF($E457=1,IF(INDEX(ME!$W$4:$W$1002,MATCH($C457,ME!$E$4:$E$1002,0))="","",INDEX(ME!$W$4:$W$1002,MATCH($C457,ME!$E$4:$E$1002,0))),
IF($E457=2,IF(INDEX(ME!$AB$4:$AB$1002,MATCH($C457,ME!$E$4:$E$1002,0))="","",INDEX(ME!$AB$4:$AB$1002,MATCH($C457,ME!$E$4:$E$1002,0))),
IF($E457=3,IF(INDEX(ME!$AG$4:$AG$1002,MATCH($C457,ME!$E$4:$E$1002,0))="","",INDEX(ME!$AG$4:$AG$1002,MATCH($C457,ME!$E$4:$E$1002,0))),
IF($E457=4,IF(INDEX(ME!$AL$4:$AL$1002,MATCH($C457,ME!$E$4:$E$1002,0))="","",INDEX(ME!$AL$4:$AL$1002,MATCH($C457,ME!$E$4:$E$1002,0))),
IF($E457=5,IF(INDEX(ME!$AQ$4:$AQ$1002,MATCH($C457,ME!$E$4:$E$1002,0))="","",INDEX(ME!$AQ$4:$AQ$1002,MATCH($C457,ME!$E$4:$E$1002,0))),"")))))))</f>
        <v/>
      </c>
      <c r="K457" s="459">
        <f>VLOOKUP(C457,ME!$E$4:$J$1009,6,0)</f>
        <v>0</v>
      </c>
      <c r="L457" s="460" t="e" cm="1">
        <f t="array" aca="1" ref="L457" ca="1">_xlfn.IFS(AND($E457&lt;&gt;"",$M457="Pending",$K457="CTA"),TODAY()-$G457,AND($E457&lt;&gt;"",$M457="Pending",$K457="AUR"),TODAY()-$H457,AND($E457&lt;&gt;"",$M457="Pending",$K457="STT"),TODAY()-$I457,OR(K457="Closed",K457=""),"")</f>
        <v>#N/A</v>
      </c>
      <c r="M457" s="461">
        <f>VLOOKUP(C457,ME!$E$4:$AC$623,7,0)</f>
        <v>0</v>
      </c>
      <c r="N457" s="454" t="str">
        <f t="shared" si="20"/>
        <v/>
      </c>
      <c r="O457" s="743" t="str">
        <f>ME!M13</f>
        <v>GC</v>
      </c>
      <c r="P457" s="748" t="str">
        <v>NO</v>
      </c>
    </row>
    <row r="458" spans="1:16" s="385" customFormat="1" ht="24.75" hidden="1" customHeight="1">
      <c r="A458" s="399">
        <v>11</v>
      </c>
      <c r="B458" s="455" t="s">
        <v>20</v>
      </c>
      <c r="C458" s="454" t="s">
        <v>1257</v>
      </c>
      <c r="D458" s="493" t="str">
        <f>_xlfn.XLOOKUP(C458,ME!$E$4:$E$999,ME!$D$4:$D$999)</f>
        <v>Level Roof - Ducting Layout Plan</v>
      </c>
      <c r="E458" s="454" t="str">
        <f>IF(VLOOKUP(C458,ME!$E$4:$AC$488,5,0)="","",VLOOKUP(C458,ME!$E$4:$AC$987,5,0))</f>
        <v/>
      </c>
      <c r="F458" s="457"/>
      <c r="G458" s="459" t="str">
        <f>IF(VLOOKUP(C458,ME!$E$4:$AC$488,3,0)="","",VLOOKUP(C458,ME!$E$4:$AC$488,3,0))</f>
        <v/>
      </c>
      <c r="H458" s="459" t="str">
        <f>IF(ISNA(MATCH($C458,ME!$E$4:$E$1002,0)),"",
IF($E458=0,IF(INDEX(ME!$P$4:$P$1002,MATCH($C458,ME!$E$4:$E$1002,0))="","",INDEX(ME!$P$4:$P$1002,MATCH($C458,ME!$E$4:$E$1002,0))),
IF($E458=1,IF(INDEX(ME!$U$4:$U$1002,MATCH($C458,ME!$E$4:$E$1002,0))="","",INDEX(ME!$U$4:$U$1002,MATCH($C458,ME!$E$4:$E$1002,0))),
IF($E458=2,IF(INDEX(ME!$Z$4:$Z$1002,MATCH($C458,ME!$E$4:$E$1002,0))="","",INDEX(ME!$Z$4:$Z$1002,MATCH($C458,ME!$E$4:$E$1002,0))),
IF($E458=3,IF(INDEX(ME!$AE$4:$AE$1002,MATCH($C458,ME!$E$4:$E$1002,0))="","",INDEX(ME!$AE$4:$AE$1002,MATCH($C458,ME!$E$4:$E$1002,0))),
IF($E458=4,IF(INDEX(ME!$AJ$4:$AJ$1002,MATCH($C458,ME!$E$4:$E$1002,0))="","",INDEX(ME!$AJ$4:$AJ$1002,MATCH($C458,ME!$E$4:$E$1002,0))),
IF($E458=5,IF(INDEX(ME!$AO$4:$AO$1002,MATCH($C458,ME!$E$4:$E$1002,0))="","",INDEX(ME!$AO$4:$AO$1002,MATCH($C458,ME!$E$4:$E$1002,0))),"")))))))</f>
        <v/>
      </c>
      <c r="I458" s="459" t="str">
        <f>IF(ISNA(MATCH($C458,ME!$E$4:$E$1002,0)),"",
IF($E458=0,IF(INDEX(ME!$Q$4:$Q$1002,MATCH($C458,ME!$E$4:$E$1002,0))="","",INDEX(ME!$Q$4:$Q$1002,MATCH($C458,ME!$E$4:$E$1002,0))),
IF($E458=1,IF(INDEX(ME!$V$4:$V$1002,MATCH($C458,ME!$E$4:$E$1002,0))="","",INDEX(ME!$V$4:$V$1002,MATCH($C458,ME!$E$4:$E$1002,0))),
IF($E458=2,IF(INDEX(ME!$AA$4:$AA$1002,MATCH($C458,ME!$E$4:$E$1002,0))="","",INDEX(ME!$AA$4:$AA$1002,MATCH($C458,ME!$E$4:$E$1002,0))),
IF($E458=3,IF(INDEX(ME!$AF$4:$AF$1002,MATCH($C458,ME!$E$4:$E$1002,0))="","",INDEX(ME!$AF$4:$AF$1002,MATCH($C458,ME!$E$4:$E$1002,0))),
IF($E458=4,IF(INDEX(ME!$AK$4:$AK$1002,MATCH($C458,ME!$E$4:$E$1002,0))="","",INDEX(ME!$AK$4:$AK$1002,MATCH($C458,ME!$E$4:$E$1002,0))),
IF($E458=5,IF(INDEX(ME!$AP$4:$AP$1002,MATCH($C458,ME!$E$4:$E$1002,0))="","",INDEX(ME!$AP$4:$AP$1002,MATCH($C458,ME!$E$4:$E$1002,0))),"")))))))</f>
        <v/>
      </c>
      <c r="J458" s="459" t="str">
        <f>IF(ISNA(MATCH($C458,ME!$E$4:$E$1002,0)),"",
IF($E458=0,IF(INDEX(ME!$R$4:$R$1002,MATCH($C458,ME!$E$4:$E$1002,0))="","",INDEX(ME!$R$4:$R$1002,MATCH($C458,ME!$E$4:$E$1002,0))),
IF($E458=1,IF(INDEX(ME!$W$4:$W$1002,MATCH($C458,ME!$E$4:$E$1002,0))="","",INDEX(ME!$W$4:$W$1002,MATCH($C458,ME!$E$4:$E$1002,0))),
IF($E458=2,IF(INDEX(ME!$AB$4:$AB$1002,MATCH($C458,ME!$E$4:$E$1002,0))="","",INDEX(ME!$AB$4:$AB$1002,MATCH($C458,ME!$E$4:$E$1002,0))),
IF($E458=3,IF(INDEX(ME!$AG$4:$AG$1002,MATCH($C458,ME!$E$4:$E$1002,0))="","",INDEX(ME!$AG$4:$AG$1002,MATCH($C458,ME!$E$4:$E$1002,0))),
IF($E458=4,IF(INDEX(ME!$AL$4:$AL$1002,MATCH($C458,ME!$E$4:$E$1002,0))="","",INDEX(ME!$AL$4:$AL$1002,MATCH($C458,ME!$E$4:$E$1002,0))),
IF($E458=5,IF(INDEX(ME!$AQ$4:$AQ$1002,MATCH($C458,ME!$E$4:$E$1002,0))="","",INDEX(ME!$AQ$4:$AQ$1002,MATCH($C458,ME!$E$4:$E$1002,0))),"")))))))</f>
        <v/>
      </c>
      <c r="K458" s="459">
        <f>VLOOKUP(C458,ME!$E$4:$J$1009,6,0)</f>
        <v>0</v>
      </c>
      <c r="L458" s="460" t="e" cm="1">
        <f t="array" aca="1" ref="L458" ca="1">_xlfn.IFS(AND($E458&lt;&gt;"",$M458="Pending",$K458="CTA"),TODAY()-$G458,AND($E458&lt;&gt;"",$M458="Pending",$K458="AUR"),TODAY()-$H458,AND($E458&lt;&gt;"",$M458="Pending",$K458="STT"),TODAY()-$I458,OR(K458="Closed",K458=""),"")</f>
        <v>#N/A</v>
      </c>
      <c r="M458" s="461">
        <f>VLOOKUP(C458,ME!$E$4:$AC$623,7,0)</f>
        <v>0</v>
      </c>
      <c r="N458" s="454" t="str">
        <f t="shared" si="20"/>
        <v/>
      </c>
      <c r="O458" s="743" t="str">
        <f>ME!M14</f>
        <v>GC</v>
      </c>
      <c r="P458" s="748" t="str">
        <v>NO</v>
      </c>
    </row>
    <row r="459" spans="1:16" s="385" customFormat="1" ht="24.75" hidden="1" customHeight="1">
      <c r="A459" s="399">
        <v>12</v>
      </c>
      <c r="B459" s="455" t="s">
        <v>20</v>
      </c>
      <c r="C459" s="454" t="s">
        <v>1260</v>
      </c>
      <c r="D459" s="493" t="str">
        <f>_xlfn.XLOOKUP(C459,ME!$E$4:$E$999,ME!$D$4:$D$999)</f>
        <v>Level 1 - ACMV Pipe Routing Layout Plan</v>
      </c>
      <c r="E459" s="454" t="str">
        <f>IF(VLOOKUP(C459,ME!$E$4:$AC$488,5,0)="","",VLOOKUP(C459,ME!$E$4:$AC$987,5,0))</f>
        <v/>
      </c>
      <c r="F459" s="457"/>
      <c r="G459" s="459" t="str">
        <f>IF(VLOOKUP(C459,ME!$E$4:$AC$488,3,0)="","",VLOOKUP(C459,ME!$E$4:$AC$488,3,0))</f>
        <v/>
      </c>
      <c r="H459" s="459" t="str">
        <f>IF(ISNA(MATCH($C459,ME!$E$4:$E$1002,0)),"",
IF($E459=0,IF(INDEX(ME!$P$4:$P$1002,MATCH($C459,ME!$E$4:$E$1002,0))="","",INDEX(ME!$P$4:$P$1002,MATCH($C459,ME!$E$4:$E$1002,0))),
IF($E459=1,IF(INDEX(ME!$U$4:$U$1002,MATCH($C459,ME!$E$4:$E$1002,0))="","",INDEX(ME!$U$4:$U$1002,MATCH($C459,ME!$E$4:$E$1002,0))),
IF($E459=2,IF(INDEX(ME!$Z$4:$Z$1002,MATCH($C459,ME!$E$4:$E$1002,0))="","",INDEX(ME!$Z$4:$Z$1002,MATCH($C459,ME!$E$4:$E$1002,0))),
IF($E459=3,IF(INDEX(ME!$AE$4:$AE$1002,MATCH($C459,ME!$E$4:$E$1002,0))="","",INDEX(ME!$AE$4:$AE$1002,MATCH($C459,ME!$E$4:$E$1002,0))),
IF($E459=4,IF(INDEX(ME!$AJ$4:$AJ$1002,MATCH($C459,ME!$E$4:$E$1002,0))="","",INDEX(ME!$AJ$4:$AJ$1002,MATCH($C459,ME!$E$4:$E$1002,0))),
IF($E459=5,IF(INDEX(ME!$AO$4:$AO$1002,MATCH($C459,ME!$E$4:$E$1002,0))="","",INDEX(ME!$AO$4:$AO$1002,MATCH($C459,ME!$E$4:$E$1002,0))),"")))))))</f>
        <v/>
      </c>
      <c r="I459" s="459" t="str">
        <f>IF(ISNA(MATCH($C459,ME!$E$4:$E$1002,0)),"",
IF($E459=0,IF(INDEX(ME!$Q$4:$Q$1002,MATCH($C459,ME!$E$4:$E$1002,0))="","",INDEX(ME!$Q$4:$Q$1002,MATCH($C459,ME!$E$4:$E$1002,0))),
IF($E459=1,IF(INDEX(ME!$V$4:$V$1002,MATCH($C459,ME!$E$4:$E$1002,0))="","",INDEX(ME!$V$4:$V$1002,MATCH($C459,ME!$E$4:$E$1002,0))),
IF($E459=2,IF(INDEX(ME!$AA$4:$AA$1002,MATCH($C459,ME!$E$4:$E$1002,0))="","",INDEX(ME!$AA$4:$AA$1002,MATCH($C459,ME!$E$4:$E$1002,0))),
IF($E459=3,IF(INDEX(ME!$AF$4:$AF$1002,MATCH($C459,ME!$E$4:$E$1002,0))="","",INDEX(ME!$AF$4:$AF$1002,MATCH($C459,ME!$E$4:$E$1002,0))),
IF($E459=4,IF(INDEX(ME!$AK$4:$AK$1002,MATCH($C459,ME!$E$4:$E$1002,0))="","",INDEX(ME!$AK$4:$AK$1002,MATCH($C459,ME!$E$4:$E$1002,0))),
IF($E459=5,IF(INDEX(ME!$AP$4:$AP$1002,MATCH($C459,ME!$E$4:$E$1002,0))="","",INDEX(ME!$AP$4:$AP$1002,MATCH($C459,ME!$E$4:$E$1002,0))),"")))))))</f>
        <v/>
      </c>
      <c r="J459" s="459" t="str">
        <f>IF(ISNA(MATCH($C459,ME!$E$4:$E$1002,0)),"",
IF($E459=0,IF(INDEX(ME!$R$4:$R$1002,MATCH($C459,ME!$E$4:$E$1002,0))="","",INDEX(ME!$R$4:$R$1002,MATCH($C459,ME!$E$4:$E$1002,0))),
IF($E459=1,IF(INDEX(ME!$W$4:$W$1002,MATCH($C459,ME!$E$4:$E$1002,0))="","",INDEX(ME!$W$4:$W$1002,MATCH($C459,ME!$E$4:$E$1002,0))),
IF($E459=2,IF(INDEX(ME!$AB$4:$AB$1002,MATCH($C459,ME!$E$4:$E$1002,0))="","",INDEX(ME!$AB$4:$AB$1002,MATCH($C459,ME!$E$4:$E$1002,0))),
IF($E459=3,IF(INDEX(ME!$AG$4:$AG$1002,MATCH($C459,ME!$E$4:$E$1002,0))="","",INDEX(ME!$AG$4:$AG$1002,MATCH($C459,ME!$E$4:$E$1002,0))),
IF($E459=4,IF(INDEX(ME!$AL$4:$AL$1002,MATCH($C459,ME!$E$4:$E$1002,0))="","",INDEX(ME!$AL$4:$AL$1002,MATCH($C459,ME!$E$4:$E$1002,0))),
IF($E459=5,IF(INDEX(ME!$AQ$4:$AQ$1002,MATCH($C459,ME!$E$4:$E$1002,0))="","",INDEX(ME!$AQ$4:$AQ$1002,MATCH($C459,ME!$E$4:$E$1002,0))),"")))))))</f>
        <v/>
      </c>
      <c r="K459" s="459">
        <f>VLOOKUP(C459,ME!$E$4:$J$1009,6,0)</f>
        <v>0</v>
      </c>
      <c r="L459" s="460" t="e" cm="1">
        <f t="array" aca="1" ref="L459" ca="1">_xlfn.IFS(AND($E459&lt;&gt;"",$M459="Pending",$K459="CTA"),TODAY()-$G459,AND($E459&lt;&gt;"",$M459="Pending",$K459="AUR"),TODAY()-$H459,AND($E459&lt;&gt;"",$M459="Pending",$K459="STT"),TODAY()-$I459,OR(K459="Closed",K459=""),"")</f>
        <v>#N/A</v>
      </c>
      <c r="M459" s="461">
        <f>VLOOKUP(C459,ME!$E$4:$AC$623,7,0)</f>
        <v>0</v>
      </c>
      <c r="N459" s="454" t="str">
        <f t="shared" si="20"/>
        <v/>
      </c>
      <c r="O459" s="743" t="str">
        <f>ME!M15</f>
        <v>GC</v>
      </c>
      <c r="P459" s="748" t="str">
        <v>NO</v>
      </c>
    </row>
    <row r="460" spans="1:16" s="385" customFormat="1" ht="24.75" hidden="1" customHeight="1">
      <c r="A460" s="399">
        <v>13</v>
      </c>
      <c r="B460" s="455" t="s">
        <v>20</v>
      </c>
      <c r="C460" s="454" t="s">
        <v>1264</v>
      </c>
      <c r="D460" s="493" t="str">
        <f>_xlfn.XLOOKUP(C460,ME!$E$4:$E$999,ME!$D$4:$D$999)</f>
        <v>Level 1 - Condensate Drain PIpe Routing Layout Plan</v>
      </c>
      <c r="E460" s="454" t="str">
        <f>IF(VLOOKUP(C460,ME!$E$4:$AC$488,5,0)="","",VLOOKUP(C460,ME!$E$4:$AC$987,5,0))</f>
        <v/>
      </c>
      <c r="F460" s="457"/>
      <c r="G460" s="459" t="str">
        <f>IF(VLOOKUP(C460,ME!$E$4:$AC$488,3,0)="","",VLOOKUP(C460,ME!$E$4:$AC$488,3,0))</f>
        <v/>
      </c>
      <c r="H460" s="459" t="str">
        <f>IF(ISNA(MATCH($C460,ME!$E$4:$E$1002,0)),"",
IF($E460=0,IF(INDEX(ME!$P$4:$P$1002,MATCH($C460,ME!$E$4:$E$1002,0))="","",INDEX(ME!$P$4:$P$1002,MATCH($C460,ME!$E$4:$E$1002,0))),
IF($E460=1,IF(INDEX(ME!$U$4:$U$1002,MATCH($C460,ME!$E$4:$E$1002,0))="","",INDEX(ME!$U$4:$U$1002,MATCH($C460,ME!$E$4:$E$1002,0))),
IF($E460=2,IF(INDEX(ME!$Z$4:$Z$1002,MATCH($C460,ME!$E$4:$E$1002,0))="","",INDEX(ME!$Z$4:$Z$1002,MATCH($C460,ME!$E$4:$E$1002,0))),
IF($E460=3,IF(INDEX(ME!$AE$4:$AE$1002,MATCH($C460,ME!$E$4:$E$1002,0))="","",INDEX(ME!$AE$4:$AE$1002,MATCH($C460,ME!$E$4:$E$1002,0))),
IF($E460=4,IF(INDEX(ME!$AJ$4:$AJ$1002,MATCH($C460,ME!$E$4:$E$1002,0))="","",INDEX(ME!$AJ$4:$AJ$1002,MATCH($C460,ME!$E$4:$E$1002,0))),
IF($E460=5,IF(INDEX(ME!$AO$4:$AO$1002,MATCH($C460,ME!$E$4:$E$1002,0))="","",INDEX(ME!$AO$4:$AO$1002,MATCH($C460,ME!$E$4:$E$1002,0))),"")))))))</f>
        <v/>
      </c>
      <c r="I460" s="459" t="str">
        <f>IF(ISNA(MATCH($C460,ME!$E$4:$E$1002,0)),"",
IF($E460=0,IF(INDEX(ME!$Q$4:$Q$1002,MATCH($C460,ME!$E$4:$E$1002,0))="","",INDEX(ME!$Q$4:$Q$1002,MATCH($C460,ME!$E$4:$E$1002,0))),
IF($E460=1,IF(INDEX(ME!$V$4:$V$1002,MATCH($C460,ME!$E$4:$E$1002,0))="","",INDEX(ME!$V$4:$V$1002,MATCH($C460,ME!$E$4:$E$1002,0))),
IF($E460=2,IF(INDEX(ME!$AA$4:$AA$1002,MATCH($C460,ME!$E$4:$E$1002,0))="","",INDEX(ME!$AA$4:$AA$1002,MATCH($C460,ME!$E$4:$E$1002,0))),
IF($E460=3,IF(INDEX(ME!$AF$4:$AF$1002,MATCH($C460,ME!$E$4:$E$1002,0))="","",INDEX(ME!$AF$4:$AF$1002,MATCH($C460,ME!$E$4:$E$1002,0))),
IF($E460=4,IF(INDEX(ME!$AK$4:$AK$1002,MATCH($C460,ME!$E$4:$E$1002,0))="","",INDEX(ME!$AK$4:$AK$1002,MATCH($C460,ME!$E$4:$E$1002,0))),
IF($E460=5,IF(INDEX(ME!$AP$4:$AP$1002,MATCH($C460,ME!$E$4:$E$1002,0))="","",INDEX(ME!$AP$4:$AP$1002,MATCH($C460,ME!$E$4:$E$1002,0))),"")))))))</f>
        <v/>
      </c>
      <c r="J460" s="459" t="str">
        <f>IF(ISNA(MATCH($C460,ME!$E$4:$E$1002,0)),"",
IF($E460=0,IF(INDEX(ME!$R$4:$R$1002,MATCH($C460,ME!$E$4:$E$1002,0))="","",INDEX(ME!$R$4:$R$1002,MATCH($C460,ME!$E$4:$E$1002,0))),
IF($E460=1,IF(INDEX(ME!$W$4:$W$1002,MATCH($C460,ME!$E$4:$E$1002,0))="","",INDEX(ME!$W$4:$W$1002,MATCH($C460,ME!$E$4:$E$1002,0))),
IF($E460=2,IF(INDEX(ME!$AB$4:$AB$1002,MATCH($C460,ME!$E$4:$E$1002,0))="","",INDEX(ME!$AB$4:$AB$1002,MATCH($C460,ME!$E$4:$E$1002,0))),
IF($E460=3,IF(INDEX(ME!$AG$4:$AG$1002,MATCH($C460,ME!$E$4:$E$1002,0))="","",INDEX(ME!$AG$4:$AG$1002,MATCH($C460,ME!$E$4:$E$1002,0))),
IF($E460=4,IF(INDEX(ME!$AL$4:$AL$1002,MATCH($C460,ME!$E$4:$E$1002,0))="","",INDEX(ME!$AL$4:$AL$1002,MATCH($C460,ME!$E$4:$E$1002,0))),
IF($E460=5,IF(INDEX(ME!$AQ$4:$AQ$1002,MATCH($C460,ME!$E$4:$E$1002,0))="","",INDEX(ME!$AQ$4:$AQ$1002,MATCH($C460,ME!$E$4:$E$1002,0))),"")))))))</f>
        <v/>
      </c>
      <c r="K460" s="459">
        <f>VLOOKUP(C460,ME!$E$4:$J$1009,6,0)</f>
        <v>0</v>
      </c>
      <c r="L460" s="460" t="e" cm="1">
        <f t="array" aca="1" ref="L460" ca="1">_xlfn.IFS(AND($E460&lt;&gt;"",$M460="Pending",$K460="CTA"),TODAY()-$G460,AND($E460&lt;&gt;"",$M460="Pending",$K460="AUR"),TODAY()-$H460,AND($E460&lt;&gt;"",$M460="Pending",$K460="STT"),TODAY()-$I460,OR(K460="Closed",K460=""),"")</f>
        <v>#N/A</v>
      </c>
      <c r="M460" s="461">
        <f>VLOOKUP(C460,ME!$E$4:$AC$623,7,0)</f>
        <v>0</v>
      </c>
      <c r="N460" s="454" t="str">
        <f t="shared" si="20"/>
        <v/>
      </c>
      <c r="O460" s="743" t="str">
        <f>ME!M16</f>
        <v>GC</v>
      </c>
      <c r="P460" s="748" t="str">
        <v>NO</v>
      </c>
    </row>
    <row r="461" spans="1:16" s="385" customFormat="1" ht="24.75" hidden="1" customHeight="1">
      <c r="A461" s="399">
        <v>14</v>
      </c>
      <c r="B461" s="455" t="s">
        <v>20</v>
      </c>
      <c r="C461" s="454" t="s">
        <v>1267</v>
      </c>
      <c r="D461" s="493" t="str">
        <f>_xlfn.XLOOKUP(C461,ME!$E$4:$E$999,ME!$D$4:$D$999)</f>
        <v>Level 2 - ACMV Pipe Routing Layout Plan</v>
      </c>
      <c r="E461" s="454" t="str">
        <f>IF(VLOOKUP(C461,ME!$E$4:$AC$488,5,0)="","",VLOOKUP(C461,ME!$E$4:$AC$987,5,0))</f>
        <v/>
      </c>
      <c r="F461" s="457"/>
      <c r="G461" s="459" t="str">
        <f>IF(VLOOKUP(C461,ME!$E$4:$AC$488,3,0)="","",VLOOKUP(C461,ME!$E$4:$AC$488,3,0))</f>
        <v/>
      </c>
      <c r="H461" s="459" t="str">
        <f>IF(ISNA(MATCH($C461,ME!$E$4:$E$1002,0)),"",
IF($E461=0,IF(INDEX(ME!$P$4:$P$1002,MATCH($C461,ME!$E$4:$E$1002,0))="","",INDEX(ME!$P$4:$P$1002,MATCH($C461,ME!$E$4:$E$1002,0))),
IF($E461=1,IF(INDEX(ME!$U$4:$U$1002,MATCH($C461,ME!$E$4:$E$1002,0))="","",INDEX(ME!$U$4:$U$1002,MATCH($C461,ME!$E$4:$E$1002,0))),
IF($E461=2,IF(INDEX(ME!$Z$4:$Z$1002,MATCH($C461,ME!$E$4:$E$1002,0))="","",INDEX(ME!$Z$4:$Z$1002,MATCH($C461,ME!$E$4:$E$1002,0))),
IF($E461=3,IF(INDEX(ME!$AE$4:$AE$1002,MATCH($C461,ME!$E$4:$E$1002,0))="","",INDEX(ME!$AE$4:$AE$1002,MATCH($C461,ME!$E$4:$E$1002,0))),
IF($E461=4,IF(INDEX(ME!$AJ$4:$AJ$1002,MATCH($C461,ME!$E$4:$E$1002,0))="","",INDEX(ME!$AJ$4:$AJ$1002,MATCH($C461,ME!$E$4:$E$1002,0))),
IF($E461=5,IF(INDEX(ME!$AO$4:$AO$1002,MATCH($C461,ME!$E$4:$E$1002,0))="","",INDEX(ME!$AO$4:$AO$1002,MATCH($C461,ME!$E$4:$E$1002,0))),"")))))))</f>
        <v/>
      </c>
      <c r="I461" s="459" t="str">
        <f>IF(ISNA(MATCH($C461,ME!$E$4:$E$1002,0)),"",
IF($E461=0,IF(INDEX(ME!$Q$4:$Q$1002,MATCH($C461,ME!$E$4:$E$1002,0))="","",INDEX(ME!$Q$4:$Q$1002,MATCH($C461,ME!$E$4:$E$1002,0))),
IF($E461=1,IF(INDEX(ME!$V$4:$V$1002,MATCH($C461,ME!$E$4:$E$1002,0))="","",INDEX(ME!$V$4:$V$1002,MATCH($C461,ME!$E$4:$E$1002,0))),
IF($E461=2,IF(INDEX(ME!$AA$4:$AA$1002,MATCH($C461,ME!$E$4:$E$1002,0))="","",INDEX(ME!$AA$4:$AA$1002,MATCH($C461,ME!$E$4:$E$1002,0))),
IF($E461=3,IF(INDEX(ME!$AF$4:$AF$1002,MATCH($C461,ME!$E$4:$E$1002,0))="","",INDEX(ME!$AF$4:$AF$1002,MATCH($C461,ME!$E$4:$E$1002,0))),
IF($E461=4,IF(INDEX(ME!$AK$4:$AK$1002,MATCH($C461,ME!$E$4:$E$1002,0))="","",INDEX(ME!$AK$4:$AK$1002,MATCH($C461,ME!$E$4:$E$1002,0))),
IF($E461=5,IF(INDEX(ME!$AP$4:$AP$1002,MATCH($C461,ME!$E$4:$E$1002,0))="","",INDEX(ME!$AP$4:$AP$1002,MATCH($C461,ME!$E$4:$E$1002,0))),"")))))))</f>
        <v/>
      </c>
      <c r="J461" s="459" t="str">
        <f>IF(ISNA(MATCH($C461,ME!$E$4:$E$1002,0)),"",
IF($E461=0,IF(INDEX(ME!$R$4:$R$1002,MATCH($C461,ME!$E$4:$E$1002,0))="","",INDEX(ME!$R$4:$R$1002,MATCH($C461,ME!$E$4:$E$1002,0))),
IF($E461=1,IF(INDEX(ME!$W$4:$W$1002,MATCH($C461,ME!$E$4:$E$1002,0))="","",INDEX(ME!$W$4:$W$1002,MATCH($C461,ME!$E$4:$E$1002,0))),
IF($E461=2,IF(INDEX(ME!$AB$4:$AB$1002,MATCH($C461,ME!$E$4:$E$1002,0))="","",INDEX(ME!$AB$4:$AB$1002,MATCH($C461,ME!$E$4:$E$1002,0))),
IF($E461=3,IF(INDEX(ME!$AG$4:$AG$1002,MATCH($C461,ME!$E$4:$E$1002,0))="","",INDEX(ME!$AG$4:$AG$1002,MATCH($C461,ME!$E$4:$E$1002,0))),
IF($E461=4,IF(INDEX(ME!$AL$4:$AL$1002,MATCH($C461,ME!$E$4:$E$1002,0))="","",INDEX(ME!$AL$4:$AL$1002,MATCH($C461,ME!$E$4:$E$1002,0))),
IF($E461=5,IF(INDEX(ME!$AQ$4:$AQ$1002,MATCH($C461,ME!$E$4:$E$1002,0))="","",INDEX(ME!$AQ$4:$AQ$1002,MATCH($C461,ME!$E$4:$E$1002,0))),"")))))))</f>
        <v/>
      </c>
      <c r="K461" s="459">
        <f>VLOOKUP(C461,ME!$E$4:$J$1009,6,0)</f>
        <v>0</v>
      </c>
      <c r="L461" s="460" t="e" cm="1">
        <f t="array" aca="1" ref="L461" ca="1">_xlfn.IFS(AND($E461&lt;&gt;"",$M461="Pending",$K461="CTA"),TODAY()-$G461,AND($E461&lt;&gt;"",$M461="Pending",$K461="AUR"),TODAY()-$H461,AND($E461&lt;&gt;"",$M461="Pending",$K461="STT"),TODAY()-$I461,OR(K461="Closed",K461=""),"")</f>
        <v>#N/A</v>
      </c>
      <c r="M461" s="461">
        <f>VLOOKUP(C461,ME!$E$4:$AC$623,7,0)</f>
        <v>0</v>
      </c>
      <c r="N461" s="454" t="str">
        <f t="shared" si="20"/>
        <v/>
      </c>
      <c r="O461" s="743" t="str">
        <f>ME!M17</f>
        <v>GC</v>
      </c>
      <c r="P461" s="748" t="str">
        <v>YES</v>
      </c>
    </row>
    <row r="462" spans="1:16" s="385" customFormat="1" ht="24.75" hidden="1" customHeight="1">
      <c r="A462" s="399">
        <v>15</v>
      </c>
      <c r="B462" s="455" t="s">
        <v>20</v>
      </c>
      <c r="C462" s="454" t="s">
        <v>1271</v>
      </c>
      <c r="D462" s="493" t="str">
        <f>_xlfn.XLOOKUP(C462,ME!$E$4:$E$999,ME!$D$4:$D$999)</f>
        <v>Level 2 - Condensate Drain Pipe Routing Layout Plan</v>
      </c>
      <c r="E462" s="454" t="str">
        <f>IF(VLOOKUP(C462,ME!$E$4:$AC$488,5,0)="","",VLOOKUP(C462,ME!$E$4:$AC$987,5,0))</f>
        <v/>
      </c>
      <c r="F462" s="457"/>
      <c r="G462" s="459" t="str">
        <f>IF(VLOOKUP(C462,ME!$E$4:$AC$488,3,0)="","",VLOOKUP(C462,ME!$E$4:$AC$488,3,0))</f>
        <v/>
      </c>
      <c r="H462" s="459" t="str">
        <f>IF(ISNA(MATCH($C462,ME!$E$4:$E$1002,0)),"",
IF($E462=0,IF(INDEX(ME!$P$4:$P$1002,MATCH($C462,ME!$E$4:$E$1002,0))="","",INDEX(ME!$P$4:$P$1002,MATCH($C462,ME!$E$4:$E$1002,0))),
IF($E462=1,IF(INDEX(ME!$U$4:$U$1002,MATCH($C462,ME!$E$4:$E$1002,0))="","",INDEX(ME!$U$4:$U$1002,MATCH($C462,ME!$E$4:$E$1002,0))),
IF($E462=2,IF(INDEX(ME!$Z$4:$Z$1002,MATCH($C462,ME!$E$4:$E$1002,0))="","",INDEX(ME!$Z$4:$Z$1002,MATCH($C462,ME!$E$4:$E$1002,0))),
IF($E462=3,IF(INDEX(ME!$AE$4:$AE$1002,MATCH($C462,ME!$E$4:$E$1002,0))="","",INDEX(ME!$AE$4:$AE$1002,MATCH($C462,ME!$E$4:$E$1002,0))),
IF($E462=4,IF(INDEX(ME!$AJ$4:$AJ$1002,MATCH($C462,ME!$E$4:$E$1002,0))="","",INDEX(ME!$AJ$4:$AJ$1002,MATCH($C462,ME!$E$4:$E$1002,0))),
IF($E462=5,IF(INDEX(ME!$AO$4:$AO$1002,MATCH($C462,ME!$E$4:$E$1002,0))="","",INDEX(ME!$AO$4:$AO$1002,MATCH($C462,ME!$E$4:$E$1002,0))),"")))))))</f>
        <v/>
      </c>
      <c r="I462" s="459" t="str">
        <f>IF(ISNA(MATCH($C462,ME!$E$4:$E$1002,0)),"",
IF($E462=0,IF(INDEX(ME!$Q$4:$Q$1002,MATCH($C462,ME!$E$4:$E$1002,0))="","",INDEX(ME!$Q$4:$Q$1002,MATCH($C462,ME!$E$4:$E$1002,0))),
IF($E462=1,IF(INDEX(ME!$V$4:$V$1002,MATCH($C462,ME!$E$4:$E$1002,0))="","",INDEX(ME!$V$4:$V$1002,MATCH($C462,ME!$E$4:$E$1002,0))),
IF($E462=2,IF(INDEX(ME!$AA$4:$AA$1002,MATCH($C462,ME!$E$4:$E$1002,0))="","",INDEX(ME!$AA$4:$AA$1002,MATCH($C462,ME!$E$4:$E$1002,0))),
IF($E462=3,IF(INDEX(ME!$AF$4:$AF$1002,MATCH($C462,ME!$E$4:$E$1002,0))="","",INDEX(ME!$AF$4:$AF$1002,MATCH($C462,ME!$E$4:$E$1002,0))),
IF($E462=4,IF(INDEX(ME!$AK$4:$AK$1002,MATCH($C462,ME!$E$4:$E$1002,0))="","",INDEX(ME!$AK$4:$AK$1002,MATCH($C462,ME!$E$4:$E$1002,0))),
IF($E462=5,IF(INDEX(ME!$AP$4:$AP$1002,MATCH($C462,ME!$E$4:$E$1002,0))="","",INDEX(ME!$AP$4:$AP$1002,MATCH($C462,ME!$E$4:$E$1002,0))),"")))))))</f>
        <v/>
      </c>
      <c r="J462" s="459" t="str">
        <f>IF(ISNA(MATCH($C462,ME!$E$4:$E$1002,0)),"",
IF($E462=0,IF(INDEX(ME!$R$4:$R$1002,MATCH($C462,ME!$E$4:$E$1002,0))="","",INDEX(ME!$R$4:$R$1002,MATCH($C462,ME!$E$4:$E$1002,0))),
IF($E462=1,IF(INDEX(ME!$W$4:$W$1002,MATCH($C462,ME!$E$4:$E$1002,0))="","",INDEX(ME!$W$4:$W$1002,MATCH($C462,ME!$E$4:$E$1002,0))),
IF($E462=2,IF(INDEX(ME!$AB$4:$AB$1002,MATCH($C462,ME!$E$4:$E$1002,0))="","",INDEX(ME!$AB$4:$AB$1002,MATCH($C462,ME!$E$4:$E$1002,0))),
IF($E462=3,IF(INDEX(ME!$AG$4:$AG$1002,MATCH($C462,ME!$E$4:$E$1002,0))="","",INDEX(ME!$AG$4:$AG$1002,MATCH($C462,ME!$E$4:$E$1002,0))),
IF($E462=4,IF(INDEX(ME!$AL$4:$AL$1002,MATCH($C462,ME!$E$4:$E$1002,0))="","",INDEX(ME!$AL$4:$AL$1002,MATCH($C462,ME!$E$4:$E$1002,0))),
IF($E462=5,IF(INDEX(ME!$AQ$4:$AQ$1002,MATCH($C462,ME!$E$4:$E$1002,0))="","",INDEX(ME!$AQ$4:$AQ$1002,MATCH($C462,ME!$E$4:$E$1002,0))),"")))))))</f>
        <v/>
      </c>
      <c r="K462" s="459">
        <f>VLOOKUP(C462,ME!$E$4:$J$1009,6,0)</f>
        <v>0</v>
      </c>
      <c r="L462" s="460" t="e" cm="1">
        <f t="array" aca="1" ref="L462" ca="1">_xlfn.IFS(AND($E462&lt;&gt;"",$M462="Pending",$K462="CTA"),TODAY()-$G462,AND($E462&lt;&gt;"",$M462="Pending",$K462="AUR"),TODAY()-$H462,AND($E462&lt;&gt;"",$M462="Pending",$K462="STT"),TODAY()-$I462,OR(K462="Closed",K462=""),"")</f>
        <v>#N/A</v>
      </c>
      <c r="M462" s="461">
        <f>VLOOKUP(C462,ME!$E$4:$AC$623,7,0)</f>
        <v>0</v>
      </c>
      <c r="N462" s="454" t="str">
        <f t="shared" si="20"/>
        <v/>
      </c>
      <c r="O462" s="743" t="str">
        <f>ME!M18</f>
        <v>GC</v>
      </c>
      <c r="P462" s="748" t="str">
        <v>NO</v>
      </c>
    </row>
    <row r="463" spans="1:16" s="385" customFormat="1" ht="24.75" hidden="1" customHeight="1">
      <c r="A463" s="399">
        <v>16</v>
      </c>
      <c r="B463" s="455" t="s">
        <v>20</v>
      </c>
      <c r="C463" s="454" t="s">
        <v>1274</v>
      </c>
      <c r="D463" s="493" t="str">
        <f>_xlfn.XLOOKUP(C463,ME!$E$4:$E$999,ME!$D$4:$D$999)</f>
        <v>Level 2 - Liquid Cooling Pipe Routing Layout Plan</v>
      </c>
      <c r="E463" s="454" t="str">
        <f>IF(VLOOKUP(C463,ME!$E$4:$AC$488,5,0)="","",VLOOKUP(C463,ME!$E$4:$AC$987,5,0))</f>
        <v/>
      </c>
      <c r="F463" s="457"/>
      <c r="G463" s="459" t="str">
        <f>IF(VLOOKUP(C463,ME!$E$4:$AC$488,3,0)="","",VLOOKUP(C463,ME!$E$4:$AC$488,3,0))</f>
        <v/>
      </c>
      <c r="H463" s="459" t="str">
        <f>IF(ISNA(MATCH($C463,ME!$E$4:$E$1002,0)),"",
IF($E463=0,IF(INDEX(ME!$P$4:$P$1002,MATCH($C463,ME!$E$4:$E$1002,0))="","",INDEX(ME!$P$4:$P$1002,MATCH($C463,ME!$E$4:$E$1002,0))),
IF($E463=1,IF(INDEX(ME!$U$4:$U$1002,MATCH($C463,ME!$E$4:$E$1002,0))="","",INDEX(ME!$U$4:$U$1002,MATCH($C463,ME!$E$4:$E$1002,0))),
IF($E463=2,IF(INDEX(ME!$Z$4:$Z$1002,MATCH($C463,ME!$E$4:$E$1002,0))="","",INDEX(ME!$Z$4:$Z$1002,MATCH($C463,ME!$E$4:$E$1002,0))),
IF($E463=3,IF(INDEX(ME!$AE$4:$AE$1002,MATCH($C463,ME!$E$4:$E$1002,0))="","",INDEX(ME!$AE$4:$AE$1002,MATCH($C463,ME!$E$4:$E$1002,0))),
IF($E463=4,IF(INDEX(ME!$AJ$4:$AJ$1002,MATCH($C463,ME!$E$4:$E$1002,0))="","",INDEX(ME!$AJ$4:$AJ$1002,MATCH($C463,ME!$E$4:$E$1002,0))),
IF($E463=5,IF(INDEX(ME!$AO$4:$AO$1002,MATCH($C463,ME!$E$4:$E$1002,0))="","",INDEX(ME!$AO$4:$AO$1002,MATCH($C463,ME!$E$4:$E$1002,0))),"")))))))</f>
        <v/>
      </c>
      <c r="I463" s="459" t="str">
        <f>IF(ISNA(MATCH($C463,ME!$E$4:$E$1002,0)),"",
IF($E463=0,IF(INDEX(ME!$Q$4:$Q$1002,MATCH($C463,ME!$E$4:$E$1002,0))="","",INDEX(ME!$Q$4:$Q$1002,MATCH($C463,ME!$E$4:$E$1002,0))),
IF($E463=1,IF(INDEX(ME!$V$4:$V$1002,MATCH($C463,ME!$E$4:$E$1002,0))="","",INDEX(ME!$V$4:$V$1002,MATCH($C463,ME!$E$4:$E$1002,0))),
IF($E463=2,IF(INDEX(ME!$AA$4:$AA$1002,MATCH($C463,ME!$E$4:$E$1002,0))="","",INDEX(ME!$AA$4:$AA$1002,MATCH($C463,ME!$E$4:$E$1002,0))),
IF($E463=3,IF(INDEX(ME!$AF$4:$AF$1002,MATCH($C463,ME!$E$4:$E$1002,0))="","",INDEX(ME!$AF$4:$AF$1002,MATCH($C463,ME!$E$4:$E$1002,0))),
IF($E463=4,IF(INDEX(ME!$AK$4:$AK$1002,MATCH($C463,ME!$E$4:$E$1002,0))="","",INDEX(ME!$AK$4:$AK$1002,MATCH($C463,ME!$E$4:$E$1002,0))),
IF($E463=5,IF(INDEX(ME!$AP$4:$AP$1002,MATCH($C463,ME!$E$4:$E$1002,0))="","",INDEX(ME!$AP$4:$AP$1002,MATCH($C463,ME!$E$4:$E$1002,0))),"")))))))</f>
        <v/>
      </c>
      <c r="J463" s="459" t="str">
        <f>IF(ISNA(MATCH($C463,ME!$E$4:$E$1002,0)),"",
IF($E463=0,IF(INDEX(ME!$R$4:$R$1002,MATCH($C463,ME!$E$4:$E$1002,0))="","",INDEX(ME!$R$4:$R$1002,MATCH($C463,ME!$E$4:$E$1002,0))),
IF($E463=1,IF(INDEX(ME!$W$4:$W$1002,MATCH($C463,ME!$E$4:$E$1002,0))="","",INDEX(ME!$W$4:$W$1002,MATCH($C463,ME!$E$4:$E$1002,0))),
IF($E463=2,IF(INDEX(ME!$AB$4:$AB$1002,MATCH($C463,ME!$E$4:$E$1002,0))="","",INDEX(ME!$AB$4:$AB$1002,MATCH($C463,ME!$E$4:$E$1002,0))),
IF($E463=3,IF(INDEX(ME!$AG$4:$AG$1002,MATCH($C463,ME!$E$4:$E$1002,0))="","",INDEX(ME!$AG$4:$AG$1002,MATCH($C463,ME!$E$4:$E$1002,0))),
IF($E463=4,IF(INDEX(ME!$AL$4:$AL$1002,MATCH($C463,ME!$E$4:$E$1002,0))="","",INDEX(ME!$AL$4:$AL$1002,MATCH($C463,ME!$E$4:$E$1002,0))),
IF($E463=5,IF(INDEX(ME!$AQ$4:$AQ$1002,MATCH($C463,ME!$E$4:$E$1002,0))="","",INDEX(ME!$AQ$4:$AQ$1002,MATCH($C463,ME!$E$4:$E$1002,0))),"")))))))</f>
        <v/>
      </c>
      <c r="K463" s="459">
        <f>VLOOKUP(C463,ME!$E$4:$J$1009,6,0)</f>
        <v>0</v>
      </c>
      <c r="L463" s="460" t="e" cm="1">
        <f t="array" aca="1" ref="L463" ca="1">_xlfn.IFS(AND($E463&lt;&gt;"",$M463="Pending",$K463="CTA"),TODAY()-$G463,AND($E463&lt;&gt;"",$M463="Pending",$K463="AUR"),TODAY()-$H463,AND($E463&lt;&gt;"",$M463="Pending",$K463="STT"),TODAY()-$I463,OR(K463="Closed",K463=""),"")</f>
        <v>#N/A</v>
      </c>
      <c r="M463" s="461">
        <f>VLOOKUP(C463,ME!$E$4:$AC$623,7,0)</f>
        <v>0</v>
      </c>
      <c r="N463" s="454" t="str">
        <f t="shared" si="20"/>
        <v/>
      </c>
      <c r="O463" s="743" t="str">
        <f>ME!M19</f>
        <v>GC</v>
      </c>
      <c r="P463" s="748" t="str">
        <v>YES</v>
      </c>
    </row>
    <row r="464" spans="1:16" s="385" customFormat="1" ht="24.75" hidden="1" customHeight="1">
      <c r="A464" s="399">
        <v>17</v>
      </c>
      <c r="B464" s="455" t="s">
        <v>20</v>
      </c>
      <c r="C464" s="454" t="s">
        <v>1277</v>
      </c>
      <c r="D464" s="493" t="str">
        <f>_xlfn.XLOOKUP(C464,ME!$E$4:$E$999,ME!$D$4:$D$999)</f>
        <v>Level 6 - ACMV Pipe Routing Layout Plan</v>
      </c>
      <c r="E464" s="454" t="str">
        <f>IF(VLOOKUP(C464,ME!$E$4:$AC$488,5,0)="","",VLOOKUP(C464,ME!$E$4:$AC$987,5,0))</f>
        <v/>
      </c>
      <c r="F464" s="457"/>
      <c r="G464" s="459" t="str">
        <f>IF(VLOOKUP(C464,ME!$E$4:$AC$488,3,0)="","",VLOOKUP(C464,ME!$E$4:$AC$488,3,0))</f>
        <v/>
      </c>
      <c r="H464" s="459" t="str">
        <f>IF(ISNA(MATCH($C464,ME!$E$4:$E$1002,0)),"",
IF($E464=0,IF(INDEX(ME!$P$4:$P$1002,MATCH($C464,ME!$E$4:$E$1002,0))="","",INDEX(ME!$P$4:$P$1002,MATCH($C464,ME!$E$4:$E$1002,0))),
IF($E464=1,IF(INDEX(ME!$U$4:$U$1002,MATCH($C464,ME!$E$4:$E$1002,0))="","",INDEX(ME!$U$4:$U$1002,MATCH($C464,ME!$E$4:$E$1002,0))),
IF($E464=2,IF(INDEX(ME!$Z$4:$Z$1002,MATCH($C464,ME!$E$4:$E$1002,0))="","",INDEX(ME!$Z$4:$Z$1002,MATCH($C464,ME!$E$4:$E$1002,0))),
IF($E464=3,IF(INDEX(ME!$AE$4:$AE$1002,MATCH($C464,ME!$E$4:$E$1002,0))="","",INDEX(ME!$AE$4:$AE$1002,MATCH($C464,ME!$E$4:$E$1002,0))),
IF($E464=4,IF(INDEX(ME!$AJ$4:$AJ$1002,MATCH($C464,ME!$E$4:$E$1002,0))="","",INDEX(ME!$AJ$4:$AJ$1002,MATCH($C464,ME!$E$4:$E$1002,0))),
IF($E464=5,IF(INDEX(ME!$AO$4:$AO$1002,MATCH($C464,ME!$E$4:$E$1002,0))="","",INDEX(ME!$AO$4:$AO$1002,MATCH($C464,ME!$E$4:$E$1002,0))),"")))))))</f>
        <v/>
      </c>
      <c r="I464" s="459" t="str">
        <f>IF(ISNA(MATCH($C464,ME!$E$4:$E$1002,0)),"",
IF($E464=0,IF(INDEX(ME!$Q$4:$Q$1002,MATCH($C464,ME!$E$4:$E$1002,0))="","",INDEX(ME!$Q$4:$Q$1002,MATCH($C464,ME!$E$4:$E$1002,0))),
IF($E464=1,IF(INDEX(ME!$V$4:$V$1002,MATCH($C464,ME!$E$4:$E$1002,0))="","",INDEX(ME!$V$4:$V$1002,MATCH($C464,ME!$E$4:$E$1002,0))),
IF($E464=2,IF(INDEX(ME!$AA$4:$AA$1002,MATCH($C464,ME!$E$4:$E$1002,0))="","",INDEX(ME!$AA$4:$AA$1002,MATCH($C464,ME!$E$4:$E$1002,0))),
IF($E464=3,IF(INDEX(ME!$AF$4:$AF$1002,MATCH($C464,ME!$E$4:$E$1002,0))="","",INDEX(ME!$AF$4:$AF$1002,MATCH($C464,ME!$E$4:$E$1002,0))),
IF($E464=4,IF(INDEX(ME!$AK$4:$AK$1002,MATCH($C464,ME!$E$4:$E$1002,0))="","",INDEX(ME!$AK$4:$AK$1002,MATCH($C464,ME!$E$4:$E$1002,0))),
IF($E464=5,IF(INDEX(ME!$AP$4:$AP$1002,MATCH($C464,ME!$E$4:$E$1002,0))="","",INDEX(ME!$AP$4:$AP$1002,MATCH($C464,ME!$E$4:$E$1002,0))),"")))))))</f>
        <v/>
      </c>
      <c r="J464" s="459" t="str">
        <f>IF(ISNA(MATCH($C464,ME!$E$4:$E$1002,0)),"",
IF($E464=0,IF(INDEX(ME!$R$4:$R$1002,MATCH($C464,ME!$E$4:$E$1002,0))="","",INDEX(ME!$R$4:$R$1002,MATCH($C464,ME!$E$4:$E$1002,0))),
IF($E464=1,IF(INDEX(ME!$W$4:$W$1002,MATCH($C464,ME!$E$4:$E$1002,0))="","",INDEX(ME!$W$4:$W$1002,MATCH($C464,ME!$E$4:$E$1002,0))),
IF($E464=2,IF(INDEX(ME!$AB$4:$AB$1002,MATCH($C464,ME!$E$4:$E$1002,0))="","",INDEX(ME!$AB$4:$AB$1002,MATCH($C464,ME!$E$4:$E$1002,0))),
IF($E464=3,IF(INDEX(ME!$AG$4:$AG$1002,MATCH($C464,ME!$E$4:$E$1002,0))="","",INDEX(ME!$AG$4:$AG$1002,MATCH($C464,ME!$E$4:$E$1002,0))),
IF($E464=4,IF(INDEX(ME!$AL$4:$AL$1002,MATCH($C464,ME!$E$4:$E$1002,0))="","",INDEX(ME!$AL$4:$AL$1002,MATCH($C464,ME!$E$4:$E$1002,0))),
IF($E464=5,IF(INDEX(ME!$AQ$4:$AQ$1002,MATCH($C464,ME!$E$4:$E$1002,0))="","",INDEX(ME!$AQ$4:$AQ$1002,MATCH($C464,ME!$E$4:$E$1002,0))),"")))))))</f>
        <v/>
      </c>
      <c r="K464" s="459">
        <f>VLOOKUP(C464,ME!$E$4:$J$1009,6,0)</f>
        <v>0</v>
      </c>
      <c r="L464" s="460" t="e" cm="1">
        <f t="array" aca="1" ref="L464" ca="1">_xlfn.IFS(AND($E464&lt;&gt;"",$M464="Pending",$K464="CTA"),TODAY()-$G464,AND($E464&lt;&gt;"",$M464="Pending",$K464="AUR"),TODAY()-$H464,AND($E464&lt;&gt;"",$M464="Pending",$K464="STT"),TODAY()-$I464,OR(K464="Closed",K464=""),"")</f>
        <v>#N/A</v>
      </c>
      <c r="M464" s="461">
        <f>VLOOKUP(C464,ME!$E$4:$AC$623,7,0)</f>
        <v>0</v>
      </c>
      <c r="N464" s="454" t="str">
        <f t="shared" si="20"/>
        <v/>
      </c>
      <c r="O464" s="743" t="str">
        <f>ME!M20</f>
        <v>GC</v>
      </c>
      <c r="P464" s="748" t="str">
        <v>YES</v>
      </c>
    </row>
    <row r="465" spans="1:16" s="385" customFormat="1" ht="24.75" hidden="1" customHeight="1">
      <c r="A465" s="399">
        <v>18</v>
      </c>
      <c r="B465" s="455" t="s">
        <v>20</v>
      </c>
      <c r="C465" s="454" t="s">
        <v>1280</v>
      </c>
      <c r="D465" s="493" t="str">
        <f>_xlfn.XLOOKUP(C465,ME!$E$4:$E$999,ME!$D$4:$D$999)</f>
        <v>Level 6 - Condensate Drain Pipe Routing Layout Plan</v>
      </c>
      <c r="E465" s="454" t="str">
        <f>IF(VLOOKUP(C465,ME!$E$4:$AC$488,5,0)="","",VLOOKUP(C465,ME!$E$4:$AC$987,5,0))</f>
        <v/>
      </c>
      <c r="F465" s="457"/>
      <c r="G465" s="459" t="str">
        <f>IF(VLOOKUP(C465,ME!$E$4:$AC$488,3,0)="","",VLOOKUP(C465,ME!$E$4:$AC$488,3,0))</f>
        <v/>
      </c>
      <c r="H465" s="459" t="str">
        <f>IF(ISNA(MATCH($C465,ME!$E$4:$E$1002,0)),"",
IF($E465=0,IF(INDEX(ME!$P$4:$P$1002,MATCH($C465,ME!$E$4:$E$1002,0))="","",INDEX(ME!$P$4:$P$1002,MATCH($C465,ME!$E$4:$E$1002,0))),
IF($E465=1,IF(INDEX(ME!$U$4:$U$1002,MATCH($C465,ME!$E$4:$E$1002,0))="","",INDEX(ME!$U$4:$U$1002,MATCH($C465,ME!$E$4:$E$1002,0))),
IF($E465=2,IF(INDEX(ME!$Z$4:$Z$1002,MATCH($C465,ME!$E$4:$E$1002,0))="","",INDEX(ME!$Z$4:$Z$1002,MATCH($C465,ME!$E$4:$E$1002,0))),
IF($E465=3,IF(INDEX(ME!$AE$4:$AE$1002,MATCH($C465,ME!$E$4:$E$1002,0))="","",INDEX(ME!$AE$4:$AE$1002,MATCH($C465,ME!$E$4:$E$1002,0))),
IF($E465=4,IF(INDEX(ME!$AJ$4:$AJ$1002,MATCH($C465,ME!$E$4:$E$1002,0))="","",INDEX(ME!$AJ$4:$AJ$1002,MATCH($C465,ME!$E$4:$E$1002,0))),
IF($E465=5,IF(INDEX(ME!$AO$4:$AO$1002,MATCH($C465,ME!$E$4:$E$1002,0))="","",INDEX(ME!$AO$4:$AO$1002,MATCH($C465,ME!$E$4:$E$1002,0))),"")))))))</f>
        <v/>
      </c>
      <c r="I465" s="459" t="str">
        <f>IF(ISNA(MATCH($C465,ME!$E$4:$E$1002,0)),"",
IF($E465=0,IF(INDEX(ME!$Q$4:$Q$1002,MATCH($C465,ME!$E$4:$E$1002,0))="","",INDEX(ME!$Q$4:$Q$1002,MATCH($C465,ME!$E$4:$E$1002,0))),
IF($E465=1,IF(INDEX(ME!$V$4:$V$1002,MATCH($C465,ME!$E$4:$E$1002,0))="","",INDEX(ME!$V$4:$V$1002,MATCH($C465,ME!$E$4:$E$1002,0))),
IF($E465=2,IF(INDEX(ME!$AA$4:$AA$1002,MATCH($C465,ME!$E$4:$E$1002,0))="","",INDEX(ME!$AA$4:$AA$1002,MATCH($C465,ME!$E$4:$E$1002,0))),
IF($E465=3,IF(INDEX(ME!$AF$4:$AF$1002,MATCH($C465,ME!$E$4:$E$1002,0))="","",INDEX(ME!$AF$4:$AF$1002,MATCH($C465,ME!$E$4:$E$1002,0))),
IF($E465=4,IF(INDEX(ME!$AK$4:$AK$1002,MATCH($C465,ME!$E$4:$E$1002,0))="","",INDEX(ME!$AK$4:$AK$1002,MATCH($C465,ME!$E$4:$E$1002,0))),
IF($E465=5,IF(INDEX(ME!$AP$4:$AP$1002,MATCH($C465,ME!$E$4:$E$1002,0))="","",INDEX(ME!$AP$4:$AP$1002,MATCH($C465,ME!$E$4:$E$1002,0))),"")))))))</f>
        <v/>
      </c>
      <c r="J465" s="459" t="str">
        <f>IF(ISNA(MATCH($C465,ME!$E$4:$E$1002,0)),"",
IF($E465=0,IF(INDEX(ME!$R$4:$R$1002,MATCH($C465,ME!$E$4:$E$1002,0))="","",INDEX(ME!$R$4:$R$1002,MATCH($C465,ME!$E$4:$E$1002,0))),
IF($E465=1,IF(INDEX(ME!$W$4:$W$1002,MATCH($C465,ME!$E$4:$E$1002,0))="","",INDEX(ME!$W$4:$W$1002,MATCH($C465,ME!$E$4:$E$1002,0))),
IF($E465=2,IF(INDEX(ME!$AB$4:$AB$1002,MATCH($C465,ME!$E$4:$E$1002,0))="","",INDEX(ME!$AB$4:$AB$1002,MATCH($C465,ME!$E$4:$E$1002,0))),
IF($E465=3,IF(INDEX(ME!$AG$4:$AG$1002,MATCH($C465,ME!$E$4:$E$1002,0))="","",INDEX(ME!$AG$4:$AG$1002,MATCH($C465,ME!$E$4:$E$1002,0))),
IF($E465=4,IF(INDEX(ME!$AL$4:$AL$1002,MATCH($C465,ME!$E$4:$E$1002,0))="","",INDEX(ME!$AL$4:$AL$1002,MATCH($C465,ME!$E$4:$E$1002,0))),
IF($E465=5,IF(INDEX(ME!$AQ$4:$AQ$1002,MATCH($C465,ME!$E$4:$E$1002,0))="","",INDEX(ME!$AQ$4:$AQ$1002,MATCH($C465,ME!$E$4:$E$1002,0))),"")))))))</f>
        <v/>
      </c>
      <c r="K465" s="459">
        <f>VLOOKUP(C465,ME!$E$4:$J$1009,6,0)</f>
        <v>0</v>
      </c>
      <c r="L465" s="460" t="e" cm="1">
        <f t="array" aca="1" ref="L465" ca="1">_xlfn.IFS(AND($E465&lt;&gt;"",$M465="Pending",$K465="CTA"),TODAY()-$G465,AND($E465&lt;&gt;"",$M465="Pending",$K465="AUR"),TODAY()-$H465,AND($E465&lt;&gt;"",$M465="Pending",$K465="STT"),TODAY()-$I465,OR(K465="Closed",K465=""),"")</f>
        <v>#N/A</v>
      </c>
      <c r="M465" s="461">
        <f>VLOOKUP(C465,ME!$E$4:$AC$623,7,0)</f>
        <v>0</v>
      </c>
      <c r="N465" s="454" t="str">
        <f t="shared" si="20"/>
        <v/>
      </c>
      <c r="O465" s="743" t="str">
        <f>ME!M21</f>
        <v>GC</v>
      </c>
      <c r="P465" s="748" t="str">
        <v>NO</v>
      </c>
    </row>
    <row r="466" spans="1:16" s="385" customFormat="1" ht="24.75" hidden="1" customHeight="1">
      <c r="A466" s="399">
        <v>19</v>
      </c>
      <c r="B466" s="455" t="s">
        <v>20</v>
      </c>
      <c r="C466" s="454" t="s">
        <v>1283</v>
      </c>
      <c r="D466" s="493" t="str">
        <f>_xlfn.XLOOKUP(C466,ME!$E$4:$E$999,ME!$D$4:$D$999)</f>
        <v>Level 6 - Liquid Cooling Pipe Routing Layout Plan</v>
      </c>
      <c r="E466" s="454" t="str">
        <f>IF(VLOOKUP(C466,ME!$E$4:$AC$488,5,0)="","",VLOOKUP(C466,ME!$E$4:$AC$987,5,0))</f>
        <v/>
      </c>
      <c r="F466" s="457"/>
      <c r="G466" s="459" t="str">
        <f>IF(VLOOKUP(C466,ME!$E$4:$AC$488,3,0)="","",VLOOKUP(C466,ME!$E$4:$AC$488,3,0))</f>
        <v/>
      </c>
      <c r="H466" s="459" t="str">
        <f>IF(ISNA(MATCH($C466,ME!$E$4:$E$1002,0)),"",
IF($E466=0,IF(INDEX(ME!$P$4:$P$1002,MATCH($C466,ME!$E$4:$E$1002,0))="","",INDEX(ME!$P$4:$P$1002,MATCH($C466,ME!$E$4:$E$1002,0))),
IF($E466=1,IF(INDEX(ME!$U$4:$U$1002,MATCH($C466,ME!$E$4:$E$1002,0))="","",INDEX(ME!$U$4:$U$1002,MATCH($C466,ME!$E$4:$E$1002,0))),
IF($E466=2,IF(INDEX(ME!$Z$4:$Z$1002,MATCH($C466,ME!$E$4:$E$1002,0))="","",INDEX(ME!$Z$4:$Z$1002,MATCH($C466,ME!$E$4:$E$1002,0))),
IF($E466=3,IF(INDEX(ME!$AE$4:$AE$1002,MATCH($C466,ME!$E$4:$E$1002,0))="","",INDEX(ME!$AE$4:$AE$1002,MATCH($C466,ME!$E$4:$E$1002,0))),
IF($E466=4,IF(INDEX(ME!$AJ$4:$AJ$1002,MATCH($C466,ME!$E$4:$E$1002,0))="","",INDEX(ME!$AJ$4:$AJ$1002,MATCH($C466,ME!$E$4:$E$1002,0))),
IF($E466=5,IF(INDEX(ME!$AO$4:$AO$1002,MATCH($C466,ME!$E$4:$E$1002,0))="","",INDEX(ME!$AO$4:$AO$1002,MATCH($C466,ME!$E$4:$E$1002,0))),"")))))))</f>
        <v/>
      </c>
      <c r="I466" s="459" t="str">
        <f>IF(ISNA(MATCH($C466,ME!$E$4:$E$1002,0)),"",
IF($E466=0,IF(INDEX(ME!$Q$4:$Q$1002,MATCH($C466,ME!$E$4:$E$1002,0))="","",INDEX(ME!$Q$4:$Q$1002,MATCH($C466,ME!$E$4:$E$1002,0))),
IF($E466=1,IF(INDEX(ME!$V$4:$V$1002,MATCH($C466,ME!$E$4:$E$1002,0))="","",INDEX(ME!$V$4:$V$1002,MATCH($C466,ME!$E$4:$E$1002,0))),
IF($E466=2,IF(INDEX(ME!$AA$4:$AA$1002,MATCH($C466,ME!$E$4:$E$1002,0))="","",INDEX(ME!$AA$4:$AA$1002,MATCH($C466,ME!$E$4:$E$1002,0))),
IF($E466=3,IF(INDEX(ME!$AF$4:$AF$1002,MATCH($C466,ME!$E$4:$E$1002,0))="","",INDEX(ME!$AF$4:$AF$1002,MATCH($C466,ME!$E$4:$E$1002,0))),
IF($E466=4,IF(INDEX(ME!$AK$4:$AK$1002,MATCH($C466,ME!$E$4:$E$1002,0))="","",INDEX(ME!$AK$4:$AK$1002,MATCH($C466,ME!$E$4:$E$1002,0))),
IF($E466=5,IF(INDEX(ME!$AP$4:$AP$1002,MATCH($C466,ME!$E$4:$E$1002,0))="","",INDEX(ME!$AP$4:$AP$1002,MATCH($C466,ME!$E$4:$E$1002,0))),"")))))))</f>
        <v/>
      </c>
      <c r="J466" s="459" t="str">
        <f>IF(ISNA(MATCH($C466,ME!$E$4:$E$1002,0)),"",
IF($E466=0,IF(INDEX(ME!$R$4:$R$1002,MATCH($C466,ME!$E$4:$E$1002,0))="","",INDEX(ME!$R$4:$R$1002,MATCH($C466,ME!$E$4:$E$1002,0))),
IF($E466=1,IF(INDEX(ME!$W$4:$W$1002,MATCH($C466,ME!$E$4:$E$1002,0))="","",INDEX(ME!$W$4:$W$1002,MATCH($C466,ME!$E$4:$E$1002,0))),
IF($E466=2,IF(INDEX(ME!$AB$4:$AB$1002,MATCH($C466,ME!$E$4:$E$1002,0))="","",INDEX(ME!$AB$4:$AB$1002,MATCH($C466,ME!$E$4:$E$1002,0))),
IF($E466=3,IF(INDEX(ME!$AG$4:$AG$1002,MATCH($C466,ME!$E$4:$E$1002,0))="","",INDEX(ME!$AG$4:$AG$1002,MATCH($C466,ME!$E$4:$E$1002,0))),
IF($E466=4,IF(INDEX(ME!$AL$4:$AL$1002,MATCH($C466,ME!$E$4:$E$1002,0))="","",INDEX(ME!$AL$4:$AL$1002,MATCH($C466,ME!$E$4:$E$1002,0))),
IF($E466=5,IF(INDEX(ME!$AQ$4:$AQ$1002,MATCH($C466,ME!$E$4:$E$1002,0))="","",INDEX(ME!$AQ$4:$AQ$1002,MATCH($C466,ME!$E$4:$E$1002,0))),"")))))))</f>
        <v/>
      </c>
      <c r="K466" s="459">
        <f>VLOOKUP(C466,ME!$E$4:$J$1009,6,0)</f>
        <v>0</v>
      </c>
      <c r="L466" s="460" t="e" cm="1">
        <f t="array" aca="1" ref="L466" ca="1">_xlfn.IFS(AND($E466&lt;&gt;"",$M466="Pending",$K466="CTA"),TODAY()-$G466,AND($E466&lt;&gt;"",$M466="Pending",$K466="AUR"),TODAY()-$H466,AND($E466&lt;&gt;"",$M466="Pending",$K466="STT"),TODAY()-$I466,OR(K466="Closed",K466=""),"")</f>
        <v>#N/A</v>
      </c>
      <c r="M466" s="461">
        <f>VLOOKUP(C466,ME!$E$4:$AC$623,7,0)</f>
        <v>0</v>
      </c>
      <c r="N466" s="454" t="str">
        <f t="shared" si="20"/>
        <v/>
      </c>
      <c r="O466" s="743" t="str">
        <f>ME!M22</f>
        <v>GC</v>
      </c>
      <c r="P466" s="748" t="str">
        <v>YES</v>
      </c>
    </row>
    <row r="467" spans="1:16" s="385" customFormat="1" ht="24.75" hidden="1" customHeight="1">
      <c r="A467" s="399">
        <v>20</v>
      </c>
      <c r="B467" s="455" t="s">
        <v>20</v>
      </c>
      <c r="C467" s="454" t="s">
        <v>1286</v>
      </c>
      <c r="D467" s="493" t="str">
        <f>_xlfn.XLOOKUP(C467,ME!$E$4:$E$999,ME!$D$4:$D$999)</f>
        <v>Level Roof - ACMV Pipe Routing Layout Plan</v>
      </c>
      <c r="E467" s="454" t="str">
        <f>IF(VLOOKUP(C467,ME!$E$4:$AC$488,5,0)="","",VLOOKUP(C467,ME!$E$4:$AC$987,5,0))</f>
        <v/>
      </c>
      <c r="F467" s="457"/>
      <c r="G467" s="459" t="str">
        <f>IF(VLOOKUP(C467,ME!$E$4:$AC$488,3,0)="","",VLOOKUP(C467,ME!$E$4:$AC$488,3,0))</f>
        <v/>
      </c>
      <c r="H467" s="459" t="str">
        <f>IF(ISNA(MATCH($C467,ME!$E$4:$E$1002,0)),"",
IF($E467=0,IF(INDEX(ME!$P$4:$P$1002,MATCH($C467,ME!$E$4:$E$1002,0))="","",INDEX(ME!$P$4:$P$1002,MATCH($C467,ME!$E$4:$E$1002,0))),
IF($E467=1,IF(INDEX(ME!$U$4:$U$1002,MATCH($C467,ME!$E$4:$E$1002,0))="","",INDEX(ME!$U$4:$U$1002,MATCH($C467,ME!$E$4:$E$1002,0))),
IF($E467=2,IF(INDEX(ME!$Z$4:$Z$1002,MATCH($C467,ME!$E$4:$E$1002,0))="","",INDEX(ME!$Z$4:$Z$1002,MATCH($C467,ME!$E$4:$E$1002,0))),
IF($E467=3,IF(INDEX(ME!$AE$4:$AE$1002,MATCH($C467,ME!$E$4:$E$1002,0))="","",INDEX(ME!$AE$4:$AE$1002,MATCH($C467,ME!$E$4:$E$1002,0))),
IF($E467=4,IF(INDEX(ME!$AJ$4:$AJ$1002,MATCH($C467,ME!$E$4:$E$1002,0))="","",INDEX(ME!$AJ$4:$AJ$1002,MATCH($C467,ME!$E$4:$E$1002,0))),
IF($E467=5,IF(INDEX(ME!$AO$4:$AO$1002,MATCH($C467,ME!$E$4:$E$1002,0))="","",INDEX(ME!$AO$4:$AO$1002,MATCH($C467,ME!$E$4:$E$1002,0))),"")))))))</f>
        <v/>
      </c>
      <c r="I467" s="459" t="str">
        <f>IF(ISNA(MATCH($C467,ME!$E$4:$E$1002,0)),"",
IF($E467=0,IF(INDEX(ME!$Q$4:$Q$1002,MATCH($C467,ME!$E$4:$E$1002,0))="","",INDEX(ME!$Q$4:$Q$1002,MATCH($C467,ME!$E$4:$E$1002,0))),
IF($E467=1,IF(INDEX(ME!$V$4:$V$1002,MATCH($C467,ME!$E$4:$E$1002,0))="","",INDEX(ME!$V$4:$V$1002,MATCH($C467,ME!$E$4:$E$1002,0))),
IF($E467=2,IF(INDEX(ME!$AA$4:$AA$1002,MATCH($C467,ME!$E$4:$E$1002,0))="","",INDEX(ME!$AA$4:$AA$1002,MATCH($C467,ME!$E$4:$E$1002,0))),
IF($E467=3,IF(INDEX(ME!$AF$4:$AF$1002,MATCH($C467,ME!$E$4:$E$1002,0))="","",INDEX(ME!$AF$4:$AF$1002,MATCH($C467,ME!$E$4:$E$1002,0))),
IF($E467=4,IF(INDEX(ME!$AK$4:$AK$1002,MATCH($C467,ME!$E$4:$E$1002,0))="","",INDEX(ME!$AK$4:$AK$1002,MATCH($C467,ME!$E$4:$E$1002,0))),
IF($E467=5,IF(INDEX(ME!$AP$4:$AP$1002,MATCH($C467,ME!$E$4:$E$1002,0))="","",INDEX(ME!$AP$4:$AP$1002,MATCH($C467,ME!$E$4:$E$1002,0))),"")))))))</f>
        <v/>
      </c>
      <c r="J467" s="459" t="str">
        <f>IF(ISNA(MATCH($C467,ME!$E$4:$E$1002,0)),"",
IF($E467=0,IF(INDEX(ME!$R$4:$R$1002,MATCH($C467,ME!$E$4:$E$1002,0))="","",INDEX(ME!$R$4:$R$1002,MATCH($C467,ME!$E$4:$E$1002,0))),
IF($E467=1,IF(INDEX(ME!$W$4:$W$1002,MATCH($C467,ME!$E$4:$E$1002,0))="","",INDEX(ME!$W$4:$W$1002,MATCH($C467,ME!$E$4:$E$1002,0))),
IF($E467=2,IF(INDEX(ME!$AB$4:$AB$1002,MATCH($C467,ME!$E$4:$E$1002,0))="","",INDEX(ME!$AB$4:$AB$1002,MATCH($C467,ME!$E$4:$E$1002,0))),
IF($E467=3,IF(INDEX(ME!$AG$4:$AG$1002,MATCH($C467,ME!$E$4:$E$1002,0))="","",INDEX(ME!$AG$4:$AG$1002,MATCH($C467,ME!$E$4:$E$1002,0))),
IF($E467=4,IF(INDEX(ME!$AL$4:$AL$1002,MATCH($C467,ME!$E$4:$E$1002,0))="","",INDEX(ME!$AL$4:$AL$1002,MATCH($C467,ME!$E$4:$E$1002,0))),
IF($E467=5,IF(INDEX(ME!$AQ$4:$AQ$1002,MATCH($C467,ME!$E$4:$E$1002,0))="","",INDEX(ME!$AQ$4:$AQ$1002,MATCH($C467,ME!$E$4:$E$1002,0))),"")))))))</f>
        <v/>
      </c>
      <c r="K467" s="459">
        <f>VLOOKUP(C467,ME!$E$4:$J$1009,6,0)</f>
        <v>0</v>
      </c>
      <c r="L467" s="460" t="e" cm="1">
        <f t="array" aca="1" ref="L467" ca="1">_xlfn.IFS(AND($E467&lt;&gt;"",$M467="Pending",$K467="CTA"),TODAY()-$G467,AND($E467&lt;&gt;"",$M467="Pending",$K467="AUR"),TODAY()-$H467,AND($E467&lt;&gt;"",$M467="Pending",$K467="STT"),TODAY()-$I467,OR(K467="Closed",K467=""),"")</f>
        <v>#N/A</v>
      </c>
      <c r="M467" s="461">
        <f>VLOOKUP(C467,ME!$E$4:$AC$623,7,0)</f>
        <v>0</v>
      </c>
      <c r="N467" s="454" t="str">
        <f t="shared" si="20"/>
        <v/>
      </c>
      <c r="O467" s="743" t="str">
        <f>ME!M23</f>
        <v>GC</v>
      </c>
      <c r="P467" s="748" t="str">
        <v>YES</v>
      </c>
    </row>
    <row r="468" spans="1:16" s="385" customFormat="1" ht="24.75" hidden="1" customHeight="1">
      <c r="A468" s="399">
        <v>21</v>
      </c>
      <c r="B468" s="455" t="s">
        <v>20</v>
      </c>
      <c r="C468" s="454" t="s">
        <v>1289</v>
      </c>
      <c r="D468" s="493" t="str">
        <f>_xlfn.XLOOKUP(C468,ME!$E$4:$E$999,ME!$D$4:$D$999)</f>
        <v>Level Roof - Liquid Cooling Pipe Routing Layout Plan</v>
      </c>
      <c r="E468" s="454" t="str">
        <f>IF(VLOOKUP(C468,ME!$E$4:$AC$488,5,0)="","",VLOOKUP(C468,ME!$E$4:$AC$987,5,0))</f>
        <v/>
      </c>
      <c r="F468" s="457"/>
      <c r="G468" s="459" t="str">
        <f>IF(VLOOKUP(C468,ME!$E$4:$AC$488,3,0)="","",VLOOKUP(C468,ME!$E$4:$AC$488,3,0))</f>
        <v/>
      </c>
      <c r="H468" s="459" t="str">
        <f>IF(ISNA(MATCH($C468,ME!$E$4:$E$1002,0)),"",
IF($E468=0,IF(INDEX(ME!$P$4:$P$1002,MATCH($C468,ME!$E$4:$E$1002,0))="","",INDEX(ME!$P$4:$P$1002,MATCH($C468,ME!$E$4:$E$1002,0))),
IF($E468=1,IF(INDEX(ME!$U$4:$U$1002,MATCH($C468,ME!$E$4:$E$1002,0))="","",INDEX(ME!$U$4:$U$1002,MATCH($C468,ME!$E$4:$E$1002,0))),
IF($E468=2,IF(INDEX(ME!$Z$4:$Z$1002,MATCH($C468,ME!$E$4:$E$1002,0))="","",INDEX(ME!$Z$4:$Z$1002,MATCH($C468,ME!$E$4:$E$1002,0))),
IF($E468=3,IF(INDEX(ME!$AE$4:$AE$1002,MATCH($C468,ME!$E$4:$E$1002,0))="","",INDEX(ME!$AE$4:$AE$1002,MATCH($C468,ME!$E$4:$E$1002,0))),
IF($E468=4,IF(INDEX(ME!$AJ$4:$AJ$1002,MATCH($C468,ME!$E$4:$E$1002,0))="","",INDEX(ME!$AJ$4:$AJ$1002,MATCH($C468,ME!$E$4:$E$1002,0))),
IF($E468=5,IF(INDEX(ME!$AO$4:$AO$1002,MATCH($C468,ME!$E$4:$E$1002,0))="","",INDEX(ME!$AO$4:$AO$1002,MATCH($C468,ME!$E$4:$E$1002,0))),"")))))))</f>
        <v/>
      </c>
      <c r="I468" s="459" t="str">
        <f>IF(ISNA(MATCH($C468,ME!$E$4:$E$1002,0)),"",
IF($E468=0,IF(INDEX(ME!$Q$4:$Q$1002,MATCH($C468,ME!$E$4:$E$1002,0))="","",INDEX(ME!$Q$4:$Q$1002,MATCH($C468,ME!$E$4:$E$1002,0))),
IF($E468=1,IF(INDEX(ME!$V$4:$V$1002,MATCH($C468,ME!$E$4:$E$1002,0))="","",INDEX(ME!$V$4:$V$1002,MATCH($C468,ME!$E$4:$E$1002,0))),
IF($E468=2,IF(INDEX(ME!$AA$4:$AA$1002,MATCH($C468,ME!$E$4:$E$1002,0))="","",INDEX(ME!$AA$4:$AA$1002,MATCH($C468,ME!$E$4:$E$1002,0))),
IF($E468=3,IF(INDEX(ME!$AF$4:$AF$1002,MATCH($C468,ME!$E$4:$E$1002,0))="","",INDEX(ME!$AF$4:$AF$1002,MATCH($C468,ME!$E$4:$E$1002,0))),
IF($E468=4,IF(INDEX(ME!$AK$4:$AK$1002,MATCH($C468,ME!$E$4:$E$1002,0))="","",INDEX(ME!$AK$4:$AK$1002,MATCH($C468,ME!$E$4:$E$1002,0))),
IF($E468=5,IF(INDEX(ME!$AP$4:$AP$1002,MATCH($C468,ME!$E$4:$E$1002,0))="","",INDEX(ME!$AP$4:$AP$1002,MATCH($C468,ME!$E$4:$E$1002,0))),"")))))))</f>
        <v/>
      </c>
      <c r="J468" s="459" t="str">
        <f>IF(ISNA(MATCH($C468,ME!$E$4:$E$1002,0)),"",
IF($E468=0,IF(INDEX(ME!$R$4:$R$1002,MATCH($C468,ME!$E$4:$E$1002,0))="","",INDEX(ME!$R$4:$R$1002,MATCH($C468,ME!$E$4:$E$1002,0))),
IF($E468=1,IF(INDEX(ME!$W$4:$W$1002,MATCH($C468,ME!$E$4:$E$1002,0))="","",INDEX(ME!$W$4:$W$1002,MATCH($C468,ME!$E$4:$E$1002,0))),
IF($E468=2,IF(INDEX(ME!$AB$4:$AB$1002,MATCH($C468,ME!$E$4:$E$1002,0))="","",INDEX(ME!$AB$4:$AB$1002,MATCH($C468,ME!$E$4:$E$1002,0))),
IF($E468=3,IF(INDEX(ME!$AG$4:$AG$1002,MATCH($C468,ME!$E$4:$E$1002,0))="","",INDEX(ME!$AG$4:$AG$1002,MATCH($C468,ME!$E$4:$E$1002,0))),
IF($E468=4,IF(INDEX(ME!$AL$4:$AL$1002,MATCH($C468,ME!$E$4:$E$1002,0))="","",INDEX(ME!$AL$4:$AL$1002,MATCH($C468,ME!$E$4:$E$1002,0))),
IF($E468=5,IF(INDEX(ME!$AQ$4:$AQ$1002,MATCH($C468,ME!$E$4:$E$1002,0))="","",INDEX(ME!$AQ$4:$AQ$1002,MATCH($C468,ME!$E$4:$E$1002,0))),"")))))))</f>
        <v/>
      </c>
      <c r="K468" s="459">
        <f>VLOOKUP(C468,ME!$E$4:$J$1009,6,0)</f>
        <v>0</v>
      </c>
      <c r="L468" s="460" t="e" cm="1">
        <f t="array" aca="1" ref="L468" ca="1">_xlfn.IFS(AND($E468&lt;&gt;"",$M468="Pending",$K468="CTA"),TODAY()-$G468,AND($E468&lt;&gt;"",$M468="Pending",$K468="AUR"),TODAY()-$H468,AND($E468&lt;&gt;"",$M468="Pending",$K468="STT"),TODAY()-$I468,OR(K468="Closed",K468=""),"")</f>
        <v>#N/A</v>
      </c>
      <c r="M468" s="461">
        <f>VLOOKUP(C468,ME!$E$4:$AC$623,7,0)</f>
        <v>0</v>
      </c>
      <c r="N468" s="454" t="str">
        <f t="shared" si="20"/>
        <v/>
      </c>
      <c r="O468" s="743" t="str">
        <f>ME!M24</f>
        <v>GC</v>
      </c>
      <c r="P468" s="748" t="str">
        <v>YES</v>
      </c>
    </row>
    <row r="469" spans="1:16" s="385" customFormat="1" ht="24.75" hidden="1" customHeight="1">
      <c r="A469" s="399">
        <v>22</v>
      </c>
      <c r="B469" s="455" t="s">
        <v>20</v>
      </c>
      <c r="C469" s="454" t="s">
        <v>1292</v>
      </c>
      <c r="D469" s="493" t="str">
        <f>_xlfn.XLOOKUP(C469,ME!$E$4:$E$999,ME!$D$4:$D$999)</f>
        <v>Level 1 - Gas Leak Detection Layout Plan</v>
      </c>
      <c r="E469" s="454" t="str">
        <f>IF(VLOOKUP(C469,ME!$E$4:$AC$488,5,0)="","",VLOOKUP(C469,ME!$E$4:$AC$987,5,0))</f>
        <v/>
      </c>
      <c r="F469" s="457"/>
      <c r="G469" s="459" t="str">
        <f>IF(VLOOKUP(C469,ME!$E$4:$AC$488,3,0)="","",VLOOKUP(C469,ME!$E$4:$AC$488,3,0))</f>
        <v/>
      </c>
      <c r="H469" s="459" t="str">
        <f>IF(ISNA(MATCH($C469,ME!$E$4:$E$1002,0)),"",
IF($E469=0,IF(INDEX(ME!$P$4:$P$1002,MATCH($C469,ME!$E$4:$E$1002,0))="","",INDEX(ME!$P$4:$P$1002,MATCH($C469,ME!$E$4:$E$1002,0))),
IF($E469=1,IF(INDEX(ME!$U$4:$U$1002,MATCH($C469,ME!$E$4:$E$1002,0))="","",INDEX(ME!$U$4:$U$1002,MATCH($C469,ME!$E$4:$E$1002,0))),
IF($E469=2,IF(INDEX(ME!$Z$4:$Z$1002,MATCH($C469,ME!$E$4:$E$1002,0))="","",INDEX(ME!$Z$4:$Z$1002,MATCH($C469,ME!$E$4:$E$1002,0))),
IF($E469=3,IF(INDEX(ME!$AE$4:$AE$1002,MATCH($C469,ME!$E$4:$E$1002,0))="","",INDEX(ME!$AE$4:$AE$1002,MATCH($C469,ME!$E$4:$E$1002,0))),
IF($E469=4,IF(INDEX(ME!$AJ$4:$AJ$1002,MATCH($C469,ME!$E$4:$E$1002,0))="","",INDEX(ME!$AJ$4:$AJ$1002,MATCH($C469,ME!$E$4:$E$1002,0))),
IF($E469=5,IF(INDEX(ME!$AO$4:$AO$1002,MATCH($C469,ME!$E$4:$E$1002,0))="","",INDEX(ME!$AO$4:$AO$1002,MATCH($C469,ME!$E$4:$E$1002,0))),"")))))))</f>
        <v/>
      </c>
      <c r="I469" s="459" t="str">
        <f>IF(ISNA(MATCH($C469,ME!$E$4:$E$1002,0)),"",
IF($E469=0,IF(INDEX(ME!$Q$4:$Q$1002,MATCH($C469,ME!$E$4:$E$1002,0))="","",INDEX(ME!$Q$4:$Q$1002,MATCH($C469,ME!$E$4:$E$1002,0))),
IF($E469=1,IF(INDEX(ME!$V$4:$V$1002,MATCH($C469,ME!$E$4:$E$1002,0))="","",INDEX(ME!$V$4:$V$1002,MATCH($C469,ME!$E$4:$E$1002,0))),
IF($E469=2,IF(INDEX(ME!$AA$4:$AA$1002,MATCH($C469,ME!$E$4:$E$1002,0))="","",INDEX(ME!$AA$4:$AA$1002,MATCH($C469,ME!$E$4:$E$1002,0))),
IF($E469=3,IF(INDEX(ME!$AF$4:$AF$1002,MATCH($C469,ME!$E$4:$E$1002,0))="","",INDEX(ME!$AF$4:$AF$1002,MATCH($C469,ME!$E$4:$E$1002,0))),
IF($E469=4,IF(INDEX(ME!$AK$4:$AK$1002,MATCH($C469,ME!$E$4:$E$1002,0))="","",INDEX(ME!$AK$4:$AK$1002,MATCH($C469,ME!$E$4:$E$1002,0))),
IF($E469=5,IF(INDEX(ME!$AP$4:$AP$1002,MATCH($C469,ME!$E$4:$E$1002,0))="","",INDEX(ME!$AP$4:$AP$1002,MATCH($C469,ME!$E$4:$E$1002,0))),"")))))))</f>
        <v/>
      </c>
      <c r="J469" s="459" t="str">
        <f>IF(ISNA(MATCH($C469,ME!$E$4:$E$1002,0)),"",
IF($E469=0,IF(INDEX(ME!$R$4:$R$1002,MATCH($C469,ME!$E$4:$E$1002,0))="","",INDEX(ME!$R$4:$R$1002,MATCH($C469,ME!$E$4:$E$1002,0))),
IF($E469=1,IF(INDEX(ME!$W$4:$W$1002,MATCH($C469,ME!$E$4:$E$1002,0))="","",INDEX(ME!$W$4:$W$1002,MATCH($C469,ME!$E$4:$E$1002,0))),
IF($E469=2,IF(INDEX(ME!$AB$4:$AB$1002,MATCH($C469,ME!$E$4:$E$1002,0))="","",INDEX(ME!$AB$4:$AB$1002,MATCH($C469,ME!$E$4:$E$1002,0))),
IF($E469=3,IF(INDEX(ME!$AG$4:$AG$1002,MATCH($C469,ME!$E$4:$E$1002,0))="","",INDEX(ME!$AG$4:$AG$1002,MATCH($C469,ME!$E$4:$E$1002,0))),
IF($E469=4,IF(INDEX(ME!$AL$4:$AL$1002,MATCH($C469,ME!$E$4:$E$1002,0))="","",INDEX(ME!$AL$4:$AL$1002,MATCH($C469,ME!$E$4:$E$1002,0))),
IF($E469=5,IF(INDEX(ME!$AQ$4:$AQ$1002,MATCH($C469,ME!$E$4:$E$1002,0))="","",INDEX(ME!$AQ$4:$AQ$1002,MATCH($C469,ME!$E$4:$E$1002,0))),"")))))))</f>
        <v/>
      </c>
      <c r="K469" s="459">
        <f>VLOOKUP(C469,ME!$E$4:$J$1009,6,0)</f>
        <v>0</v>
      </c>
      <c r="L469" s="460" t="e" cm="1">
        <f t="array" aca="1" ref="L469" ca="1">_xlfn.IFS(AND($E469&lt;&gt;"",$M469="Pending",$K469="CTA"),TODAY()-$G469,AND($E469&lt;&gt;"",$M469="Pending",$K469="AUR"),TODAY()-$H469,AND($E469&lt;&gt;"",$M469="Pending",$K469="STT"),TODAY()-$I469,OR(K469="Closed",K469=""),"")</f>
        <v>#N/A</v>
      </c>
      <c r="M469" s="461">
        <f>VLOOKUP(C469,ME!$E$4:$AC$623,7,0)</f>
        <v>0</v>
      </c>
      <c r="N469" s="454" t="str">
        <f t="shared" si="20"/>
        <v/>
      </c>
      <c r="O469" s="743" t="str">
        <f>ME!M25</f>
        <v>GC</v>
      </c>
      <c r="P469" s="748" t="str">
        <v>YES</v>
      </c>
    </row>
    <row r="470" spans="1:16" s="385" customFormat="1" ht="24.75" hidden="1" customHeight="1">
      <c r="A470" s="399">
        <v>23</v>
      </c>
      <c r="B470" s="455" t="s">
        <v>20</v>
      </c>
      <c r="C470" s="454" t="s">
        <v>1295</v>
      </c>
      <c r="D470" s="493" t="str">
        <f>_xlfn.XLOOKUP(C470,ME!$E$4:$E$999,ME!$D$4:$D$999)</f>
        <v>Level 1 - Water And Fuel Leak Detection Layout Plan</v>
      </c>
      <c r="E470" s="454" t="str">
        <f>IF(VLOOKUP(C470,ME!$E$4:$AC$488,5,0)="","",VLOOKUP(C470,ME!$E$4:$AC$987,5,0))</f>
        <v/>
      </c>
      <c r="F470" s="457"/>
      <c r="G470" s="459" t="str">
        <f>IF(VLOOKUP(C470,ME!$E$4:$AC$488,3,0)="","",VLOOKUP(C470,ME!$E$4:$AC$488,3,0))</f>
        <v/>
      </c>
      <c r="H470" s="459" t="str">
        <f>IF(ISNA(MATCH($C470,ME!$E$4:$E$1002,0)),"",
IF($E470=0,IF(INDEX(ME!$P$4:$P$1002,MATCH($C470,ME!$E$4:$E$1002,0))="","",INDEX(ME!$P$4:$P$1002,MATCH($C470,ME!$E$4:$E$1002,0))),
IF($E470=1,IF(INDEX(ME!$U$4:$U$1002,MATCH($C470,ME!$E$4:$E$1002,0))="","",INDEX(ME!$U$4:$U$1002,MATCH($C470,ME!$E$4:$E$1002,0))),
IF($E470=2,IF(INDEX(ME!$Z$4:$Z$1002,MATCH($C470,ME!$E$4:$E$1002,0))="","",INDEX(ME!$Z$4:$Z$1002,MATCH($C470,ME!$E$4:$E$1002,0))),
IF($E470=3,IF(INDEX(ME!$AE$4:$AE$1002,MATCH($C470,ME!$E$4:$E$1002,0))="","",INDEX(ME!$AE$4:$AE$1002,MATCH($C470,ME!$E$4:$E$1002,0))),
IF($E470=4,IF(INDEX(ME!$AJ$4:$AJ$1002,MATCH($C470,ME!$E$4:$E$1002,0))="","",INDEX(ME!$AJ$4:$AJ$1002,MATCH($C470,ME!$E$4:$E$1002,0))),
IF($E470=5,IF(INDEX(ME!$AO$4:$AO$1002,MATCH($C470,ME!$E$4:$E$1002,0))="","",INDEX(ME!$AO$4:$AO$1002,MATCH($C470,ME!$E$4:$E$1002,0))),"")))))))</f>
        <v/>
      </c>
      <c r="I470" s="459" t="str">
        <f>IF(ISNA(MATCH($C470,ME!$E$4:$E$1002,0)),"",
IF($E470=0,IF(INDEX(ME!$Q$4:$Q$1002,MATCH($C470,ME!$E$4:$E$1002,0))="","",INDEX(ME!$Q$4:$Q$1002,MATCH($C470,ME!$E$4:$E$1002,0))),
IF($E470=1,IF(INDEX(ME!$V$4:$V$1002,MATCH($C470,ME!$E$4:$E$1002,0))="","",INDEX(ME!$V$4:$V$1002,MATCH($C470,ME!$E$4:$E$1002,0))),
IF($E470=2,IF(INDEX(ME!$AA$4:$AA$1002,MATCH($C470,ME!$E$4:$E$1002,0))="","",INDEX(ME!$AA$4:$AA$1002,MATCH($C470,ME!$E$4:$E$1002,0))),
IF($E470=3,IF(INDEX(ME!$AF$4:$AF$1002,MATCH($C470,ME!$E$4:$E$1002,0))="","",INDEX(ME!$AF$4:$AF$1002,MATCH($C470,ME!$E$4:$E$1002,0))),
IF($E470=4,IF(INDEX(ME!$AK$4:$AK$1002,MATCH($C470,ME!$E$4:$E$1002,0))="","",INDEX(ME!$AK$4:$AK$1002,MATCH($C470,ME!$E$4:$E$1002,0))),
IF($E470=5,IF(INDEX(ME!$AP$4:$AP$1002,MATCH($C470,ME!$E$4:$E$1002,0))="","",INDEX(ME!$AP$4:$AP$1002,MATCH($C470,ME!$E$4:$E$1002,0))),"")))))))</f>
        <v/>
      </c>
      <c r="J470" s="459" t="str">
        <f>IF(ISNA(MATCH($C470,ME!$E$4:$E$1002,0)),"",
IF($E470=0,IF(INDEX(ME!$R$4:$R$1002,MATCH($C470,ME!$E$4:$E$1002,0))="","",INDEX(ME!$R$4:$R$1002,MATCH($C470,ME!$E$4:$E$1002,0))),
IF($E470=1,IF(INDEX(ME!$W$4:$W$1002,MATCH($C470,ME!$E$4:$E$1002,0))="","",INDEX(ME!$W$4:$W$1002,MATCH($C470,ME!$E$4:$E$1002,0))),
IF($E470=2,IF(INDEX(ME!$AB$4:$AB$1002,MATCH($C470,ME!$E$4:$E$1002,0))="","",INDEX(ME!$AB$4:$AB$1002,MATCH($C470,ME!$E$4:$E$1002,0))),
IF($E470=3,IF(INDEX(ME!$AG$4:$AG$1002,MATCH($C470,ME!$E$4:$E$1002,0))="","",INDEX(ME!$AG$4:$AG$1002,MATCH($C470,ME!$E$4:$E$1002,0))),
IF($E470=4,IF(INDEX(ME!$AL$4:$AL$1002,MATCH($C470,ME!$E$4:$E$1002,0))="","",INDEX(ME!$AL$4:$AL$1002,MATCH($C470,ME!$E$4:$E$1002,0))),
IF($E470=5,IF(INDEX(ME!$AQ$4:$AQ$1002,MATCH($C470,ME!$E$4:$E$1002,0))="","",INDEX(ME!$AQ$4:$AQ$1002,MATCH($C470,ME!$E$4:$E$1002,0))),"")))))))</f>
        <v/>
      </c>
      <c r="K470" s="459">
        <f>VLOOKUP(C470,ME!$E$4:$J$1009,6,0)</f>
        <v>0</v>
      </c>
      <c r="L470" s="460" t="e" cm="1">
        <f t="array" aca="1" ref="L470" ca="1">_xlfn.IFS(AND($E470&lt;&gt;"",$M470="Pending",$K470="CTA"),TODAY()-$G470,AND($E470&lt;&gt;"",$M470="Pending",$K470="AUR"),TODAY()-$H470,AND($E470&lt;&gt;"",$M470="Pending",$K470="STT"),TODAY()-$I470,OR(K470="Closed",K470=""),"")</f>
        <v>#N/A</v>
      </c>
      <c r="M470" s="461">
        <f>VLOOKUP(C470,ME!$E$4:$AC$623,7,0)</f>
        <v>0</v>
      </c>
      <c r="N470" s="454" t="str">
        <f t="shared" si="20"/>
        <v/>
      </c>
      <c r="O470" s="743" t="str">
        <f>ME!M26</f>
        <v>GC</v>
      </c>
      <c r="P470" s="748" t="str">
        <v>NO</v>
      </c>
    </row>
    <row r="471" spans="1:16" s="385" customFormat="1" ht="24.75" hidden="1" customHeight="1">
      <c r="A471" s="399">
        <v>24</v>
      </c>
      <c r="B471" s="455" t="s">
        <v>20</v>
      </c>
      <c r="C471" s="454" t="s">
        <v>1298</v>
      </c>
      <c r="D471" s="493" t="str">
        <f>_xlfn.XLOOKUP(C471,ME!$E$4:$E$999,ME!$D$4:$D$999)</f>
        <v>Level 1 - Space Temperature And Humidity Sensor Layout Plan</v>
      </c>
      <c r="E471" s="454" t="str">
        <f>IF(VLOOKUP(C471,ME!$E$4:$AC$488,5,0)="","",VLOOKUP(C471,ME!$E$4:$AC$987,5,0))</f>
        <v/>
      </c>
      <c r="F471" s="457"/>
      <c r="G471" s="459" t="str">
        <f>IF(VLOOKUP(C471,ME!$E$4:$AC$488,3,0)="","",VLOOKUP(C471,ME!$E$4:$AC$488,3,0))</f>
        <v/>
      </c>
      <c r="H471" s="459" t="str">
        <f>IF(ISNA(MATCH($C471,ME!$E$4:$E$1002,0)),"",
IF($E471=0,IF(INDEX(ME!$P$4:$P$1002,MATCH($C471,ME!$E$4:$E$1002,0))="","",INDEX(ME!$P$4:$P$1002,MATCH($C471,ME!$E$4:$E$1002,0))),
IF($E471=1,IF(INDEX(ME!$U$4:$U$1002,MATCH($C471,ME!$E$4:$E$1002,0))="","",INDEX(ME!$U$4:$U$1002,MATCH($C471,ME!$E$4:$E$1002,0))),
IF($E471=2,IF(INDEX(ME!$Z$4:$Z$1002,MATCH($C471,ME!$E$4:$E$1002,0))="","",INDEX(ME!$Z$4:$Z$1002,MATCH($C471,ME!$E$4:$E$1002,0))),
IF($E471=3,IF(INDEX(ME!$AE$4:$AE$1002,MATCH($C471,ME!$E$4:$E$1002,0))="","",INDEX(ME!$AE$4:$AE$1002,MATCH($C471,ME!$E$4:$E$1002,0))),
IF($E471=4,IF(INDEX(ME!$AJ$4:$AJ$1002,MATCH($C471,ME!$E$4:$E$1002,0))="","",INDEX(ME!$AJ$4:$AJ$1002,MATCH($C471,ME!$E$4:$E$1002,0))),
IF($E471=5,IF(INDEX(ME!$AO$4:$AO$1002,MATCH($C471,ME!$E$4:$E$1002,0))="","",INDEX(ME!$AO$4:$AO$1002,MATCH($C471,ME!$E$4:$E$1002,0))),"")))))))</f>
        <v/>
      </c>
      <c r="I471" s="459" t="str">
        <f>IF(ISNA(MATCH($C471,ME!$E$4:$E$1002,0)),"",
IF($E471=0,IF(INDEX(ME!$Q$4:$Q$1002,MATCH($C471,ME!$E$4:$E$1002,0))="","",INDEX(ME!$Q$4:$Q$1002,MATCH($C471,ME!$E$4:$E$1002,0))),
IF($E471=1,IF(INDEX(ME!$V$4:$V$1002,MATCH($C471,ME!$E$4:$E$1002,0))="","",INDEX(ME!$V$4:$V$1002,MATCH($C471,ME!$E$4:$E$1002,0))),
IF($E471=2,IF(INDEX(ME!$AA$4:$AA$1002,MATCH($C471,ME!$E$4:$E$1002,0))="","",INDEX(ME!$AA$4:$AA$1002,MATCH($C471,ME!$E$4:$E$1002,0))),
IF($E471=3,IF(INDEX(ME!$AF$4:$AF$1002,MATCH($C471,ME!$E$4:$E$1002,0))="","",INDEX(ME!$AF$4:$AF$1002,MATCH($C471,ME!$E$4:$E$1002,0))),
IF($E471=4,IF(INDEX(ME!$AK$4:$AK$1002,MATCH($C471,ME!$E$4:$E$1002,0))="","",INDEX(ME!$AK$4:$AK$1002,MATCH($C471,ME!$E$4:$E$1002,0))),
IF($E471=5,IF(INDEX(ME!$AP$4:$AP$1002,MATCH($C471,ME!$E$4:$E$1002,0))="","",INDEX(ME!$AP$4:$AP$1002,MATCH($C471,ME!$E$4:$E$1002,0))),"")))))))</f>
        <v/>
      </c>
      <c r="J471" s="459" t="str">
        <f>IF(ISNA(MATCH($C471,ME!$E$4:$E$1002,0)),"",
IF($E471=0,IF(INDEX(ME!$R$4:$R$1002,MATCH($C471,ME!$E$4:$E$1002,0))="","",INDEX(ME!$R$4:$R$1002,MATCH($C471,ME!$E$4:$E$1002,0))),
IF($E471=1,IF(INDEX(ME!$W$4:$W$1002,MATCH($C471,ME!$E$4:$E$1002,0))="","",INDEX(ME!$W$4:$W$1002,MATCH($C471,ME!$E$4:$E$1002,0))),
IF($E471=2,IF(INDEX(ME!$AB$4:$AB$1002,MATCH($C471,ME!$E$4:$E$1002,0))="","",INDEX(ME!$AB$4:$AB$1002,MATCH($C471,ME!$E$4:$E$1002,0))),
IF($E471=3,IF(INDEX(ME!$AG$4:$AG$1002,MATCH($C471,ME!$E$4:$E$1002,0))="","",INDEX(ME!$AG$4:$AG$1002,MATCH($C471,ME!$E$4:$E$1002,0))),
IF($E471=4,IF(INDEX(ME!$AL$4:$AL$1002,MATCH($C471,ME!$E$4:$E$1002,0))="","",INDEX(ME!$AL$4:$AL$1002,MATCH($C471,ME!$E$4:$E$1002,0))),
IF($E471=5,IF(INDEX(ME!$AQ$4:$AQ$1002,MATCH($C471,ME!$E$4:$E$1002,0))="","",INDEX(ME!$AQ$4:$AQ$1002,MATCH($C471,ME!$E$4:$E$1002,0))),"")))))))</f>
        <v/>
      </c>
      <c r="K471" s="459">
        <f>VLOOKUP(C471,ME!$E$4:$J$1009,6,0)</f>
        <v>0</v>
      </c>
      <c r="L471" s="460" t="e" cm="1">
        <f t="array" aca="1" ref="L471" ca="1">_xlfn.IFS(AND($E471&lt;&gt;"",$M471="Pending",$K471="CTA"),TODAY()-$G471,AND($E471&lt;&gt;"",$M471="Pending",$K471="AUR"),TODAY()-$H471,AND($E471&lt;&gt;"",$M471="Pending",$K471="STT"),TODAY()-$I471,OR(K471="Closed",K471=""),"")</f>
        <v>#N/A</v>
      </c>
      <c r="M471" s="461">
        <f>VLOOKUP(C471,ME!$E$4:$AC$623,7,0)</f>
        <v>0</v>
      </c>
      <c r="N471" s="454" t="str">
        <f t="shared" si="20"/>
        <v/>
      </c>
      <c r="O471" s="743" t="str">
        <f>ME!M27</f>
        <v>GC</v>
      </c>
      <c r="P471" s="748" t="str">
        <v>YES</v>
      </c>
    </row>
    <row r="472" spans="1:16" s="385" customFormat="1" ht="24.75" hidden="1" customHeight="1">
      <c r="A472" s="399">
        <v>25</v>
      </c>
      <c r="B472" s="455" t="s">
        <v>20</v>
      </c>
      <c r="C472" s="454" t="s">
        <v>1301</v>
      </c>
      <c r="D472" s="493" t="str">
        <f>_xlfn.XLOOKUP(C472,ME!$E$4:$E$999,ME!$D$4:$D$999)</f>
        <v>Level 2 - Gas Leak Detection Layout Plan</v>
      </c>
      <c r="E472" s="454" t="str">
        <f>IF(VLOOKUP(C472,ME!$E$4:$AC$488,5,0)="","",VLOOKUP(C472,ME!$E$4:$AC$987,5,0))</f>
        <v/>
      </c>
      <c r="F472" s="457"/>
      <c r="G472" s="459" t="str">
        <f>IF(VLOOKUP(C472,ME!$E$4:$AC$488,3,0)="","",VLOOKUP(C472,ME!$E$4:$AC$488,3,0))</f>
        <v/>
      </c>
      <c r="H472" s="459" t="str">
        <f>IF(ISNA(MATCH($C472,ME!$E$4:$E$1002,0)),"",
IF($E472=0,IF(INDEX(ME!$P$4:$P$1002,MATCH($C472,ME!$E$4:$E$1002,0))="","",INDEX(ME!$P$4:$P$1002,MATCH($C472,ME!$E$4:$E$1002,0))),
IF($E472=1,IF(INDEX(ME!$U$4:$U$1002,MATCH($C472,ME!$E$4:$E$1002,0))="","",INDEX(ME!$U$4:$U$1002,MATCH($C472,ME!$E$4:$E$1002,0))),
IF($E472=2,IF(INDEX(ME!$Z$4:$Z$1002,MATCH($C472,ME!$E$4:$E$1002,0))="","",INDEX(ME!$Z$4:$Z$1002,MATCH($C472,ME!$E$4:$E$1002,0))),
IF($E472=3,IF(INDEX(ME!$AE$4:$AE$1002,MATCH($C472,ME!$E$4:$E$1002,0))="","",INDEX(ME!$AE$4:$AE$1002,MATCH($C472,ME!$E$4:$E$1002,0))),
IF($E472=4,IF(INDEX(ME!$AJ$4:$AJ$1002,MATCH($C472,ME!$E$4:$E$1002,0))="","",INDEX(ME!$AJ$4:$AJ$1002,MATCH($C472,ME!$E$4:$E$1002,0))),
IF($E472=5,IF(INDEX(ME!$AO$4:$AO$1002,MATCH($C472,ME!$E$4:$E$1002,0))="","",INDEX(ME!$AO$4:$AO$1002,MATCH($C472,ME!$E$4:$E$1002,0))),"")))))))</f>
        <v/>
      </c>
      <c r="I472" s="459" t="str">
        <f>IF(ISNA(MATCH($C472,ME!$E$4:$E$1002,0)),"",
IF($E472=0,IF(INDEX(ME!$Q$4:$Q$1002,MATCH($C472,ME!$E$4:$E$1002,0))="","",INDEX(ME!$Q$4:$Q$1002,MATCH($C472,ME!$E$4:$E$1002,0))),
IF($E472=1,IF(INDEX(ME!$V$4:$V$1002,MATCH($C472,ME!$E$4:$E$1002,0))="","",INDEX(ME!$V$4:$V$1002,MATCH($C472,ME!$E$4:$E$1002,0))),
IF($E472=2,IF(INDEX(ME!$AA$4:$AA$1002,MATCH($C472,ME!$E$4:$E$1002,0))="","",INDEX(ME!$AA$4:$AA$1002,MATCH($C472,ME!$E$4:$E$1002,0))),
IF($E472=3,IF(INDEX(ME!$AF$4:$AF$1002,MATCH($C472,ME!$E$4:$E$1002,0))="","",INDEX(ME!$AF$4:$AF$1002,MATCH($C472,ME!$E$4:$E$1002,0))),
IF($E472=4,IF(INDEX(ME!$AK$4:$AK$1002,MATCH($C472,ME!$E$4:$E$1002,0))="","",INDEX(ME!$AK$4:$AK$1002,MATCH($C472,ME!$E$4:$E$1002,0))),
IF($E472=5,IF(INDEX(ME!$AP$4:$AP$1002,MATCH($C472,ME!$E$4:$E$1002,0))="","",INDEX(ME!$AP$4:$AP$1002,MATCH($C472,ME!$E$4:$E$1002,0))),"")))))))</f>
        <v/>
      </c>
      <c r="J472" s="459" t="str">
        <f>IF(ISNA(MATCH($C472,ME!$E$4:$E$1002,0)),"",
IF($E472=0,IF(INDEX(ME!$R$4:$R$1002,MATCH($C472,ME!$E$4:$E$1002,0))="","",INDEX(ME!$R$4:$R$1002,MATCH($C472,ME!$E$4:$E$1002,0))),
IF($E472=1,IF(INDEX(ME!$W$4:$W$1002,MATCH($C472,ME!$E$4:$E$1002,0))="","",INDEX(ME!$W$4:$W$1002,MATCH($C472,ME!$E$4:$E$1002,0))),
IF($E472=2,IF(INDEX(ME!$AB$4:$AB$1002,MATCH($C472,ME!$E$4:$E$1002,0))="","",INDEX(ME!$AB$4:$AB$1002,MATCH($C472,ME!$E$4:$E$1002,0))),
IF($E472=3,IF(INDEX(ME!$AG$4:$AG$1002,MATCH($C472,ME!$E$4:$E$1002,0))="","",INDEX(ME!$AG$4:$AG$1002,MATCH($C472,ME!$E$4:$E$1002,0))),
IF($E472=4,IF(INDEX(ME!$AL$4:$AL$1002,MATCH($C472,ME!$E$4:$E$1002,0))="","",INDEX(ME!$AL$4:$AL$1002,MATCH($C472,ME!$E$4:$E$1002,0))),
IF($E472=5,IF(INDEX(ME!$AQ$4:$AQ$1002,MATCH($C472,ME!$E$4:$E$1002,0))="","",INDEX(ME!$AQ$4:$AQ$1002,MATCH($C472,ME!$E$4:$E$1002,0))),"")))))))</f>
        <v/>
      </c>
      <c r="K472" s="459">
        <f>VLOOKUP(C472,ME!$E$4:$J$1009,6,0)</f>
        <v>0</v>
      </c>
      <c r="L472" s="460" t="e" cm="1">
        <f t="array" aca="1" ref="L472" ca="1">_xlfn.IFS(AND($E472&lt;&gt;"",$M472="Pending",$K472="CTA"),TODAY()-$G472,AND($E472&lt;&gt;"",$M472="Pending",$K472="AUR"),TODAY()-$H472,AND($E472&lt;&gt;"",$M472="Pending",$K472="STT"),TODAY()-$I472,OR(K472="Closed",K472=""),"")</f>
        <v>#N/A</v>
      </c>
      <c r="M472" s="461">
        <f>VLOOKUP(C472,ME!$E$4:$AC$623,7,0)</f>
        <v>0</v>
      </c>
      <c r="N472" s="454" t="str">
        <f t="shared" si="20"/>
        <v/>
      </c>
      <c r="O472" s="743" t="str">
        <f>ME!M28</f>
        <v>GC</v>
      </c>
      <c r="P472" s="748" t="str">
        <v>YES</v>
      </c>
    </row>
    <row r="473" spans="1:16" s="385" customFormat="1" ht="24.75" hidden="1" customHeight="1">
      <c r="A473" s="399">
        <v>26</v>
      </c>
      <c r="B473" s="455" t="s">
        <v>20</v>
      </c>
      <c r="C473" s="454" t="s">
        <v>1304</v>
      </c>
      <c r="D473" s="493" t="str">
        <f>_xlfn.XLOOKUP(C473,ME!$E$4:$E$999,ME!$D$4:$D$999)</f>
        <v>Level 2 - Water And Fuel Leak Detection Layout Plan</v>
      </c>
      <c r="E473" s="454" t="str">
        <f>IF(VLOOKUP(C473,ME!$E$4:$AC$488,5,0)="","",VLOOKUP(C473,ME!$E$4:$AC$987,5,0))</f>
        <v/>
      </c>
      <c r="F473" s="457"/>
      <c r="G473" s="459" t="str">
        <f>IF(VLOOKUP(C473,ME!$E$4:$AC$488,3,0)="","",VLOOKUP(C473,ME!$E$4:$AC$488,3,0))</f>
        <v/>
      </c>
      <c r="H473" s="459" t="str">
        <f>IF(ISNA(MATCH($C473,ME!$E$4:$E$1002,0)),"",
IF($E473=0,IF(INDEX(ME!$P$4:$P$1002,MATCH($C473,ME!$E$4:$E$1002,0))="","",INDEX(ME!$P$4:$P$1002,MATCH($C473,ME!$E$4:$E$1002,0))),
IF($E473=1,IF(INDEX(ME!$U$4:$U$1002,MATCH($C473,ME!$E$4:$E$1002,0))="","",INDEX(ME!$U$4:$U$1002,MATCH($C473,ME!$E$4:$E$1002,0))),
IF($E473=2,IF(INDEX(ME!$Z$4:$Z$1002,MATCH($C473,ME!$E$4:$E$1002,0))="","",INDEX(ME!$Z$4:$Z$1002,MATCH($C473,ME!$E$4:$E$1002,0))),
IF($E473=3,IF(INDEX(ME!$AE$4:$AE$1002,MATCH($C473,ME!$E$4:$E$1002,0))="","",INDEX(ME!$AE$4:$AE$1002,MATCH($C473,ME!$E$4:$E$1002,0))),
IF($E473=4,IF(INDEX(ME!$AJ$4:$AJ$1002,MATCH($C473,ME!$E$4:$E$1002,0))="","",INDEX(ME!$AJ$4:$AJ$1002,MATCH($C473,ME!$E$4:$E$1002,0))),
IF($E473=5,IF(INDEX(ME!$AO$4:$AO$1002,MATCH($C473,ME!$E$4:$E$1002,0))="","",INDEX(ME!$AO$4:$AO$1002,MATCH($C473,ME!$E$4:$E$1002,0))),"")))))))</f>
        <v/>
      </c>
      <c r="I473" s="459" t="str">
        <f>IF(ISNA(MATCH($C473,ME!$E$4:$E$1002,0)),"",
IF($E473=0,IF(INDEX(ME!$Q$4:$Q$1002,MATCH($C473,ME!$E$4:$E$1002,0))="","",INDEX(ME!$Q$4:$Q$1002,MATCH($C473,ME!$E$4:$E$1002,0))),
IF($E473=1,IF(INDEX(ME!$V$4:$V$1002,MATCH($C473,ME!$E$4:$E$1002,0))="","",INDEX(ME!$V$4:$V$1002,MATCH($C473,ME!$E$4:$E$1002,0))),
IF($E473=2,IF(INDEX(ME!$AA$4:$AA$1002,MATCH($C473,ME!$E$4:$E$1002,0))="","",INDEX(ME!$AA$4:$AA$1002,MATCH($C473,ME!$E$4:$E$1002,0))),
IF($E473=3,IF(INDEX(ME!$AF$4:$AF$1002,MATCH($C473,ME!$E$4:$E$1002,0))="","",INDEX(ME!$AF$4:$AF$1002,MATCH($C473,ME!$E$4:$E$1002,0))),
IF($E473=4,IF(INDEX(ME!$AK$4:$AK$1002,MATCH($C473,ME!$E$4:$E$1002,0))="","",INDEX(ME!$AK$4:$AK$1002,MATCH($C473,ME!$E$4:$E$1002,0))),
IF($E473=5,IF(INDEX(ME!$AP$4:$AP$1002,MATCH($C473,ME!$E$4:$E$1002,0))="","",INDEX(ME!$AP$4:$AP$1002,MATCH($C473,ME!$E$4:$E$1002,0))),"")))))))</f>
        <v/>
      </c>
      <c r="J473" s="459" t="str">
        <f>IF(ISNA(MATCH($C473,ME!$E$4:$E$1002,0)),"",
IF($E473=0,IF(INDEX(ME!$R$4:$R$1002,MATCH($C473,ME!$E$4:$E$1002,0))="","",INDEX(ME!$R$4:$R$1002,MATCH($C473,ME!$E$4:$E$1002,0))),
IF($E473=1,IF(INDEX(ME!$W$4:$W$1002,MATCH($C473,ME!$E$4:$E$1002,0))="","",INDEX(ME!$W$4:$W$1002,MATCH($C473,ME!$E$4:$E$1002,0))),
IF($E473=2,IF(INDEX(ME!$AB$4:$AB$1002,MATCH($C473,ME!$E$4:$E$1002,0))="","",INDEX(ME!$AB$4:$AB$1002,MATCH($C473,ME!$E$4:$E$1002,0))),
IF($E473=3,IF(INDEX(ME!$AG$4:$AG$1002,MATCH($C473,ME!$E$4:$E$1002,0))="","",INDEX(ME!$AG$4:$AG$1002,MATCH($C473,ME!$E$4:$E$1002,0))),
IF($E473=4,IF(INDEX(ME!$AL$4:$AL$1002,MATCH($C473,ME!$E$4:$E$1002,0))="","",INDEX(ME!$AL$4:$AL$1002,MATCH($C473,ME!$E$4:$E$1002,0))),
IF($E473=5,IF(INDEX(ME!$AQ$4:$AQ$1002,MATCH($C473,ME!$E$4:$E$1002,0))="","",INDEX(ME!$AQ$4:$AQ$1002,MATCH($C473,ME!$E$4:$E$1002,0))),"")))))))</f>
        <v/>
      </c>
      <c r="K473" s="459">
        <f>VLOOKUP(C473,ME!$E$4:$J$1009,6,0)</f>
        <v>0</v>
      </c>
      <c r="L473" s="460" t="e" cm="1">
        <f t="array" aca="1" ref="L473" ca="1">_xlfn.IFS(AND($E473&lt;&gt;"",$M473="Pending",$K473="CTA"),TODAY()-$G473,AND($E473&lt;&gt;"",$M473="Pending",$K473="AUR"),TODAY()-$H473,AND($E473&lt;&gt;"",$M473="Pending",$K473="STT"),TODAY()-$I473,OR(K473="Closed",K473=""),"")</f>
        <v>#N/A</v>
      </c>
      <c r="M473" s="461">
        <f>VLOOKUP(C473,ME!$E$4:$AC$623,7,0)</f>
        <v>0</v>
      </c>
      <c r="N473" s="454" t="str">
        <f t="shared" si="20"/>
        <v/>
      </c>
      <c r="O473" s="743" t="str">
        <f>ME!M29</f>
        <v>GC</v>
      </c>
      <c r="P473" s="748" t="str">
        <v>NO</v>
      </c>
    </row>
    <row r="474" spans="1:16" s="385" customFormat="1" ht="24.75" hidden="1" customHeight="1">
      <c r="A474" s="399">
        <v>27</v>
      </c>
      <c r="B474" s="455" t="s">
        <v>20</v>
      </c>
      <c r="C474" s="454" t="s">
        <v>1307</v>
      </c>
      <c r="D474" s="493" t="str">
        <f>_xlfn.XLOOKUP(C474,ME!$E$4:$E$999,ME!$D$4:$D$999)</f>
        <v>Level 2 - Space Temperature And Humidity Sensor Layout Plan</v>
      </c>
      <c r="E474" s="454" t="str">
        <f>IF(VLOOKUP(C474,ME!$E$4:$AC$488,5,0)="","",VLOOKUP(C474,ME!$E$4:$AC$987,5,0))</f>
        <v/>
      </c>
      <c r="F474" s="457"/>
      <c r="G474" s="459" t="str">
        <f>IF(VLOOKUP(C474,ME!$E$4:$AC$488,3,0)="","",VLOOKUP(C474,ME!$E$4:$AC$488,3,0))</f>
        <v/>
      </c>
      <c r="H474" s="459" t="str">
        <f>IF(ISNA(MATCH($C474,ME!$E$4:$E$1002,0)),"",
IF($E474=0,IF(INDEX(ME!$P$4:$P$1002,MATCH($C474,ME!$E$4:$E$1002,0))="","",INDEX(ME!$P$4:$P$1002,MATCH($C474,ME!$E$4:$E$1002,0))),
IF($E474=1,IF(INDEX(ME!$U$4:$U$1002,MATCH($C474,ME!$E$4:$E$1002,0))="","",INDEX(ME!$U$4:$U$1002,MATCH($C474,ME!$E$4:$E$1002,0))),
IF($E474=2,IF(INDEX(ME!$Z$4:$Z$1002,MATCH($C474,ME!$E$4:$E$1002,0))="","",INDEX(ME!$Z$4:$Z$1002,MATCH($C474,ME!$E$4:$E$1002,0))),
IF($E474=3,IF(INDEX(ME!$AE$4:$AE$1002,MATCH($C474,ME!$E$4:$E$1002,0))="","",INDEX(ME!$AE$4:$AE$1002,MATCH($C474,ME!$E$4:$E$1002,0))),
IF($E474=4,IF(INDEX(ME!$AJ$4:$AJ$1002,MATCH($C474,ME!$E$4:$E$1002,0))="","",INDEX(ME!$AJ$4:$AJ$1002,MATCH($C474,ME!$E$4:$E$1002,0))),
IF($E474=5,IF(INDEX(ME!$AO$4:$AO$1002,MATCH($C474,ME!$E$4:$E$1002,0))="","",INDEX(ME!$AO$4:$AO$1002,MATCH($C474,ME!$E$4:$E$1002,0))),"")))))))</f>
        <v/>
      </c>
      <c r="I474" s="459" t="str">
        <f>IF(ISNA(MATCH($C474,ME!$E$4:$E$1002,0)),"",
IF($E474=0,IF(INDEX(ME!$Q$4:$Q$1002,MATCH($C474,ME!$E$4:$E$1002,0))="","",INDEX(ME!$Q$4:$Q$1002,MATCH($C474,ME!$E$4:$E$1002,0))),
IF($E474=1,IF(INDEX(ME!$V$4:$V$1002,MATCH($C474,ME!$E$4:$E$1002,0))="","",INDEX(ME!$V$4:$V$1002,MATCH($C474,ME!$E$4:$E$1002,0))),
IF($E474=2,IF(INDEX(ME!$AA$4:$AA$1002,MATCH($C474,ME!$E$4:$E$1002,0))="","",INDEX(ME!$AA$4:$AA$1002,MATCH($C474,ME!$E$4:$E$1002,0))),
IF($E474=3,IF(INDEX(ME!$AF$4:$AF$1002,MATCH($C474,ME!$E$4:$E$1002,0))="","",INDEX(ME!$AF$4:$AF$1002,MATCH($C474,ME!$E$4:$E$1002,0))),
IF($E474=4,IF(INDEX(ME!$AK$4:$AK$1002,MATCH($C474,ME!$E$4:$E$1002,0))="","",INDEX(ME!$AK$4:$AK$1002,MATCH($C474,ME!$E$4:$E$1002,0))),
IF($E474=5,IF(INDEX(ME!$AP$4:$AP$1002,MATCH($C474,ME!$E$4:$E$1002,0))="","",INDEX(ME!$AP$4:$AP$1002,MATCH($C474,ME!$E$4:$E$1002,0))),"")))))))</f>
        <v/>
      </c>
      <c r="J474" s="459" t="str">
        <f>IF(ISNA(MATCH($C474,ME!$E$4:$E$1002,0)),"",
IF($E474=0,IF(INDEX(ME!$R$4:$R$1002,MATCH($C474,ME!$E$4:$E$1002,0))="","",INDEX(ME!$R$4:$R$1002,MATCH($C474,ME!$E$4:$E$1002,0))),
IF($E474=1,IF(INDEX(ME!$W$4:$W$1002,MATCH($C474,ME!$E$4:$E$1002,0))="","",INDEX(ME!$W$4:$W$1002,MATCH($C474,ME!$E$4:$E$1002,0))),
IF($E474=2,IF(INDEX(ME!$AB$4:$AB$1002,MATCH($C474,ME!$E$4:$E$1002,0))="","",INDEX(ME!$AB$4:$AB$1002,MATCH($C474,ME!$E$4:$E$1002,0))),
IF($E474=3,IF(INDEX(ME!$AG$4:$AG$1002,MATCH($C474,ME!$E$4:$E$1002,0))="","",INDEX(ME!$AG$4:$AG$1002,MATCH($C474,ME!$E$4:$E$1002,0))),
IF($E474=4,IF(INDEX(ME!$AL$4:$AL$1002,MATCH($C474,ME!$E$4:$E$1002,0))="","",INDEX(ME!$AL$4:$AL$1002,MATCH($C474,ME!$E$4:$E$1002,0))),
IF($E474=5,IF(INDEX(ME!$AQ$4:$AQ$1002,MATCH($C474,ME!$E$4:$E$1002,0))="","",INDEX(ME!$AQ$4:$AQ$1002,MATCH($C474,ME!$E$4:$E$1002,0))),"")))))))</f>
        <v/>
      </c>
      <c r="K474" s="459">
        <f>VLOOKUP(C474,ME!$E$4:$J$1009,6,0)</f>
        <v>0</v>
      </c>
      <c r="L474" s="460" t="e" cm="1">
        <f t="array" aca="1" ref="L474" ca="1">_xlfn.IFS(AND($E474&lt;&gt;"",$M474="Pending",$K474="CTA"),TODAY()-$G474,AND($E474&lt;&gt;"",$M474="Pending",$K474="AUR"),TODAY()-$H474,AND($E474&lt;&gt;"",$M474="Pending",$K474="STT"),TODAY()-$I474,OR(K474="Closed",K474=""),"")</f>
        <v>#N/A</v>
      </c>
      <c r="M474" s="461">
        <f>VLOOKUP(C474,ME!$E$4:$AC$623,7,0)</f>
        <v>0</v>
      </c>
      <c r="N474" s="454" t="str">
        <f t="shared" si="20"/>
        <v/>
      </c>
      <c r="O474" s="743" t="str">
        <f>ME!M30</f>
        <v>GC</v>
      </c>
      <c r="P474" s="748" t="str">
        <v>YES</v>
      </c>
    </row>
    <row r="475" spans="1:16" s="385" customFormat="1" ht="24.75" hidden="1" customHeight="1">
      <c r="A475" s="399">
        <v>28</v>
      </c>
      <c r="B475" s="455" t="s">
        <v>20</v>
      </c>
      <c r="C475" s="454" t="s">
        <v>1310</v>
      </c>
      <c r="D475" s="493" t="str">
        <f>_xlfn.XLOOKUP(C475,ME!$E$4:$E$999,ME!$D$4:$D$999)</f>
        <v>Level 2 - Fan Wall Sensor Layout And Details</v>
      </c>
      <c r="E475" s="454" t="str">
        <f>IF(VLOOKUP(C475,ME!$E$4:$AC$488,5,0)="","",VLOOKUP(C475,ME!$E$4:$AC$987,5,0))</f>
        <v/>
      </c>
      <c r="F475" s="457"/>
      <c r="G475" s="459" t="str">
        <f>IF(VLOOKUP(C475,ME!$E$4:$AC$488,3,0)="","",VLOOKUP(C475,ME!$E$4:$AC$488,3,0))</f>
        <v/>
      </c>
      <c r="H475" s="459" t="str">
        <f>IF(ISNA(MATCH($C475,ME!$E$4:$E$1002,0)),"",
IF($E475=0,IF(INDEX(ME!$P$4:$P$1002,MATCH($C475,ME!$E$4:$E$1002,0))="","",INDEX(ME!$P$4:$P$1002,MATCH($C475,ME!$E$4:$E$1002,0))),
IF($E475=1,IF(INDEX(ME!$U$4:$U$1002,MATCH($C475,ME!$E$4:$E$1002,0))="","",INDEX(ME!$U$4:$U$1002,MATCH($C475,ME!$E$4:$E$1002,0))),
IF($E475=2,IF(INDEX(ME!$Z$4:$Z$1002,MATCH($C475,ME!$E$4:$E$1002,0))="","",INDEX(ME!$Z$4:$Z$1002,MATCH($C475,ME!$E$4:$E$1002,0))),
IF($E475=3,IF(INDEX(ME!$AE$4:$AE$1002,MATCH($C475,ME!$E$4:$E$1002,0))="","",INDEX(ME!$AE$4:$AE$1002,MATCH($C475,ME!$E$4:$E$1002,0))),
IF($E475=4,IF(INDEX(ME!$AJ$4:$AJ$1002,MATCH($C475,ME!$E$4:$E$1002,0))="","",INDEX(ME!$AJ$4:$AJ$1002,MATCH($C475,ME!$E$4:$E$1002,0))),
IF($E475=5,IF(INDEX(ME!$AO$4:$AO$1002,MATCH($C475,ME!$E$4:$E$1002,0))="","",INDEX(ME!$AO$4:$AO$1002,MATCH($C475,ME!$E$4:$E$1002,0))),"")))))))</f>
        <v/>
      </c>
      <c r="I475" s="459" t="str">
        <f>IF(ISNA(MATCH($C475,ME!$E$4:$E$1002,0)),"",
IF($E475=0,IF(INDEX(ME!$Q$4:$Q$1002,MATCH($C475,ME!$E$4:$E$1002,0))="","",INDEX(ME!$Q$4:$Q$1002,MATCH($C475,ME!$E$4:$E$1002,0))),
IF($E475=1,IF(INDEX(ME!$V$4:$V$1002,MATCH($C475,ME!$E$4:$E$1002,0))="","",INDEX(ME!$V$4:$V$1002,MATCH($C475,ME!$E$4:$E$1002,0))),
IF($E475=2,IF(INDEX(ME!$AA$4:$AA$1002,MATCH($C475,ME!$E$4:$E$1002,0))="","",INDEX(ME!$AA$4:$AA$1002,MATCH($C475,ME!$E$4:$E$1002,0))),
IF($E475=3,IF(INDEX(ME!$AF$4:$AF$1002,MATCH($C475,ME!$E$4:$E$1002,0))="","",INDEX(ME!$AF$4:$AF$1002,MATCH($C475,ME!$E$4:$E$1002,0))),
IF($E475=4,IF(INDEX(ME!$AK$4:$AK$1002,MATCH($C475,ME!$E$4:$E$1002,0))="","",INDEX(ME!$AK$4:$AK$1002,MATCH($C475,ME!$E$4:$E$1002,0))),
IF($E475=5,IF(INDEX(ME!$AP$4:$AP$1002,MATCH($C475,ME!$E$4:$E$1002,0))="","",INDEX(ME!$AP$4:$AP$1002,MATCH($C475,ME!$E$4:$E$1002,0))),"")))))))</f>
        <v/>
      </c>
      <c r="J475" s="459" t="str">
        <f>IF(ISNA(MATCH($C475,ME!$E$4:$E$1002,0)),"",
IF($E475=0,IF(INDEX(ME!$R$4:$R$1002,MATCH($C475,ME!$E$4:$E$1002,0))="","",INDEX(ME!$R$4:$R$1002,MATCH($C475,ME!$E$4:$E$1002,0))),
IF($E475=1,IF(INDEX(ME!$W$4:$W$1002,MATCH($C475,ME!$E$4:$E$1002,0))="","",INDEX(ME!$W$4:$W$1002,MATCH($C475,ME!$E$4:$E$1002,0))),
IF($E475=2,IF(INDEX(ME!$AB$4:$AB$1002,MATCH($C475,ME!$E$4:$E$1002,0))="","",INDEX(ME!$AB$4:$AB$1002,MATCH($C475,ME!$E$4:$E$1002,0))),
IF($E475=3,IF(INDEX(ME!$AG$4:$AG$1002,MATCH($C475,ME!$E$4:$E$1002,0))="","",INDEX(ME!$AG$4:$AG$1002,MATCH($C475,ME!$E$4:$E$1002,0))),
IF($E475=4,IF(INDEX(ME!$AL$4:$AL$1002,MATCH($C475,ME!$E$4:$E$1002,0))="","",INDEX(ME!$AL$4:$AL$1002,MATCH($C475,ME!$E$4:$E$1002,0))),
IF($E475=5,IF(INDEX(ME!$AQ$4:$AQ$1002,MATCH($C475,ME!$E$4:$E$1002,0))="","",INDEX(ME!$AQ$4:$AQ$1002,MATCH($C475,ME!$E$4:$E$1002,0))),"")))))))</f>
        <v/>
      </c>
      <c r="K475" s="459">
        <f>VLOOKUP(C475,ME!$E$4:$J$1009,6,0)</f>
        <v>0</v>
      </c>
      <c r="L475" s="460" t="e" cm="1">
        <f t="array" aca="1" ref="L475" ca="1">_xlfn.IFS(AND($E475&lt;&gt;"",$M475="Pending",$K475="CTA"),TODAY()-$G475,AND($E475&lt;&gt;"",$M475="Pending",$K475="AUR"),TODAY()-$H475,AND($E475&lt;&gt;"",$M475="Pending",$K475="STT"),TODAY()-$I475,OR(K475="Closed",K475=""),"")</f>
        <v>#N/A</v>
      </c>
      <c r="M475" s="461">
        <f>VLOOKUP(C475,ME!$E$4:$AC$623,7,0)</f>
        <v>0</v>
      </c>
      <c r="N475" s="454" t="str">
        <f t="shared" si="20"/>
        <v/>
      </c>
      <c r="O475" s="743" t="str">
        <f>ME!M31</f>
        <v>GC</v>
      </c>
      <c r="P475" s="748" t="str">
        <v>YES</v>
      </c>
    </row>
    <row r="476" spans="1:16" s="385" customFormat="1" ht="24.75" hidden="1" customHeight="1">
      <c r="A476" s="399">
        <v>29</v>
      </c>
      <c r="B476" s="455" t="s">
        <v>20</v>
      </c>
      <c r="C476" s="454" t="s">
        <v>1313</v>
      </c>
      <c r="D476" s="493" t="str">
        <f>_xlfn.XLOOKUP(C476,ME!$E$4:$E$999,ME!$D$4:$D$999)</f>
        <v>Level 6 - Fuel Leak Detection Layout Plan</v>
      </c>
      <c r="E476" s="454" t="str">
        <f>IF(VLOOKUP(C476,ME!$E$4:$AC$488,5,0)="","",VLOOKUP(C476,ME!$E$4:$AC$987,5,0))</f>
        <v/>
      </c>
      <c r="F476" s="457"/>
      <c r="G476" s="459" t="str">
        <f>IF(VLOOKUP(C476,ME!$E$4:$AC$488,3,0)="","",VLOOKUP(C476,ME!$E$4:$AC$488,3,0))</f>
        <v/>
      </c>
      <c r="H476" s="459" t="str">
        <f>IF(ISNA(MATCH($C476,ME!$E$4:$E$1002,0)),"",
IF($E476=0,IF(INDEX(ME!$P$4:$P$1002,MATCH($C476,ME!$E$4:$E$1002,0))="","",INDEX(ME!$P$4:$P$1002,MATCH($C476,ME!$E$4:$E$1002,0))),
IF($E476=1,IF(INDEX(ME!$U$4:$U$1002,MATCH($C476,ME!$E$4:$E$1002,0))="","",INDEX(ME!$U$4:$U$1002,MATCH($C476,ME!$E$4:$E$1002,0))),
IF($E476=2,IF(INDEX(ME!$Z$4:$Z$1002,MATCH($C476,ME!$E$4:$E$1002,0))="","",INDEX(ME!$Z$4:$Z$1002,MATCH($C476,ME!$E$4:$E$1002,0))),
IF($E476=3,IF(INDEX(ME!$AE$4:$AE$1002,MATCH($C476,ME!$E$4:$E$1002,0))="","",INDEX(ME!$AE$4:$AE$1002,MATCH($C476,ME!$E$4:$E$1002,0))),
IF($E476=4,IF(INDEX(ME!$AJ$4:$AJ$1002,MATCH($C476,ME!$E$4:$E$1002,0))="","",INDEX(ME!$AJ$4:$AJ$1002,MATCH($C476,ME!$E$4:$E$1002,0))),
IF($E476=5,IF(INDEX(ME!$AO$4:$AO$1002,MATCH($C476,ME!$E$4:$E$1002,0))="","",INDEX(ME!$AO$4:$AO$1002,MATCH($C476,ME!$E$4:$E$1002,0))),"")))))))</f>
        <v/>
      </c>
      <c r="I476" s="459" t="str">
        <f>IF(ISNA(MATCH($C476,ME!$E$4:$E$1002,0)),"",
IF($E476=0,IF(INDEX(ME!$Q$4:$Q$1002,MATCH($C476,ME!$E$4:$E$1002,0))="","",INDEX(ME!$Q$4:$Q$1002,MATCH($C476,ME!$E$4:$E$1002,0))),
IF($E476=1,IF(INDEX(ME!$V$4:$V$1002,MATCH($C476,ME!$E$4:$E$1002,0))="","",INDEX(ME!$V$4:$V$1002,MATCH($C476,ME!$E$4:$E$1002,0))),
IF($E476=2,IF(INDEX(ME!$AA$4:$AA$1002,MATCH($C476,ME!$E$4:$E$1002,0))="","",INDEX(ME!$AA$4:$AA$1002,MATCH($C476,ME!$E$4:$E$1002,0))),
IF($E476=3,IF(INDEX(ME!$AF$4:$AF$1002,MATCH($C476,ME!$E$4:$E$1002,0))="","",INDEX(ME!$AF$4:$AF$1002,MATCH($C476,ME!$E$4:$E$1002,0))),
IF($E476=4,IF(INDEX(ME!$AK$4:$AK$1002,MATCH($C476,ME!$E$4:$E$1002,0))="","",INDEX(ME!$AK$4:$AK$1002,MATCH($C476,ME!$E$4:$E$1002,0))),
IF($E476=5,IF(INDEX(ME!$AP$4:$AP$1002,MATCH($C476,ME!$E$4:$E$1002,0))="","",INDEX(ME!$AP$4:$AP$1002,MATCH($C476,ME!$E$4:$E$1002,0))),"")))))))</f>
        <v/>
      </c>
      <c r="J476" s="459" t="str">
        <f>IF(ISNA(MATCH($C476,ME!$E$4:$E$1002,0)),"",
IF($E476=0,IF(INDEX(ME!$R$4:$R$1002,MATCH($C476,ME!$E$4:$E$1002,0))="","",INDEX(ME!$R$4:$R$1002,MATCH($C476,ME!$E$4:$E$1002,0))),
IF($E476=1,IF(INDEX(ME!$W$4:$W$1002,MATCH($C476,ME!$E$4:$E$1002,0))="","",INDEX(ME!$W$4:$W$1002,MATCH($C476,ME!$E$4:$E$1002,0))),
IF($E476=2,IF(INDEX(ME!$AB$4:$AB$1002,MATCH($C476,ME!$E$4:$E$1002,0))="","",INDEX(ME!$AB$4:$AB$1002,MATCH($C476,ME!$E$4:$E$1002,0))),
IF($E476=3,IF(INDEX(ME!$AG$4:$AG$1002,MATCH($C476,ME!$E$4:$E$1002,0))="","",INDEX(ME!$AG$4:$AG$1002,MATCH($C476,ME!$E$4:$E$1002,0))),
IF($E476=4,IF(INDEX(ME!$AL$4:$AL$1002,MATCH($C476,ME!$E$4:$E$1002,0))="","",INDEX(ME!$AL$4:$AL$1002,MATCH($C476,ME!$E$4:$E$1002,0))),
IF($E476=5,IF(INDEX(ME!$AQ$4:$AQ$1002,MATCH($C476,ME!$E$4:$E$1002,0))="","",INDEX(ME!$AQ$4:$AQ$1002,MATCH($C476,ME!$E$4:$E$1002,0))),"")))))))</f>
        <v/>
      </c>
      <c r="K476" s="459">
        <f>VLOOKUP(C476,ME!$E$4:$J$1009,6,0)</f>
        <v>0</v>
      </c>
      <c r="L476" s="460" t="e" cm="1">
        <f t="array" aca="1" ref="L476" ca="1">_xlfn.IFS(AND($E476&lt;&gt;"",$M476="Pending",$K476="CTA"),TODAY()-$G476,AND($E476&lt;&gt;"",$M476="Pending",$K476="AUR"),TODAY()-$H476,AND($E476&lt;&gt;"",$M476="Pending",$K476="STT"),TODAY()-$I476,OR(K476="Closed",K476=""),"")</f>
        <v>#N/A</v>
      </c>
      <c r="M476" s="461">
        <f>VLOOKUP(C476,ME!$E$4:$AC$623,7,0)</f>
        <v>0</v>
      </c>
      <c r="N476" s="454" t="str">
        <f t="shared" si="20"/>
        <v/>
      </c>
      <c r="O476" s="743" t="str">
        <f>ME!M32</f>
        <v>GC</v>
      </c>
      <c r="P476" s="748" t="str">
        <v>NO</v>
      </c>
    </row>
    <row r="477" spans="1:16" s="385" customFormat="1" ht="24.75" hidden="1" customHeight="1">
      <c r="A477" s="399">
        <v>30</v>
      </c>
      <c r="B477" s="455" t="s">
        <v>20</v>
      </c>
      <c r="C477" s="454" t="s">
        <v>1316</v>
      </c>
      <c r="D477" s="493" t="str">
        <f>_xlfn.XLOOKUP(C477,ME!$E$4:$E$999,ME!$D$4:$D$999)</f>
        <v>Level 1 - Cms Cable Routing Layout Plan</v>
      </c>
      <c r="E477" s="454" t="str">
        <f>IF(VLOOKUP(C477,ME!$E$4:$AC$488,5,0)="","",VLOOKUP(C477,ME!$E$4:$AC$987,5,0))</f>
        <v/>
      </c>
      <c r="F477" s="457"/>
      <c r="G477" s="459" t="str">
        <f>IF(VLOOKUP(C477,ME!$E$4:$AC$488,3,0)="","",VLOOKUP(C477,ME!$E$4:$AC$488,3,0))</f>
        <v/>
      </c>
      <c r="H477" s="459" t="str">
        <f>IF(ISNA(MATCH($C477,ME!$E$4:$E$1002,0)),"",
IF($E477=0,IF(INDEX(ME!$P$4:$P$1002,MATCH($C477,ME!$E$4:$E$1002,0))="","",INDEX(ME!$P$4:$P$1002,MATCH($C477,ME!$E$4:$E$1002,0))),
IF($E477=1,IF(INDEX(ME!$U$4:$U$1002,MATCH($C477,ME!$E$4:$E$1002,0))="","",INDEX(ME!$U$4:$U$1002,MATCH($C477,ME!$E$4:$E$1002,0))),
IF($E477=2,IF(INDEX(ME!$Z$4:$Z$1002,MATCH($C477,ME!$E$4:$E$1002,0))="","",INDEX(ME!$Z$4:$Z$1002,MATCH($C477,ME!$E$4:$E$1002,0))),
IF($E477=3,IF(INDEX(ME!$AE$4:$AE$1002,MATCH($C477,ME!$E$4:$E$1002,0))="","",INDEX(ME!$AE$4:$AE$1002,MATCH($C477,ME!$E$4:$E$1002,0))),
IF($E477=4,IF(INDEX(ME!$AJ$4:$AJ$1002,MATCH($C477,ME!$E$4:$E$1002,0))="","",INDEX(ME!$AJ$4:$AJ$1002,MATCH($C477,ME!$E$4:$E$1002,0))),
IF($E477=5,IF(INDEX(ME!$AO$4:$AO$1002,MATCH($C477,ME!$E$4:$E$1002,0))="","",INDEX(ME!$AO$4:$AO$1002,MATCH($C477,ME!$E$4:$E$1002,0))),"")))))))</f>
        <v/>
      </c>
      <c r="I477" s="459" t="str">
        <f>IF(ISNA(MATCH($C477,ME!$E$4:$E$1002,0)),"",
IF($E477=0,IF(INDEX(ME!$Q$4:$Q$1002,MATCH($C477,ME!$E$4:$E$1002,0))="","",INDEX(ME!$Q$4:$Q$1002,MATCH($C477,ME!$E$4:$E$1002,0))),
IF($E477=1,IF(INDEX(ME!$V$4:$V$1002,MATCH($C477,ME!$E$4:$E$1002,0))="","",INDEX(ME!$V$4:$V$1002,MATCH($C477,ME!$E$4:$E$1002,0))),
IF($E477=2,IF(INDEX(ME!$AA$4:$AA$1002,MATCH($C477,ME!$E$4:$E$1002,0))="","",INDEX(ME!$AA$4:$AA$1002,MATCH($C477,ME!$E$4:$E$1002,0))),
IF($E477=3,IF(INDEX(ME!$AF$4:$AF$1002,MATCH($C477,ME!$E$4:$E$1002,0))="","",INDEX(ME!$AF$4:$AF$1002,MATCH($C477,ME!$E$4:$E$1002,0))),
IF($E477=4,IF(INDEX(ME!$AK$4:$AK$1002,MATCH($C477,ME!$E$4:$E$1002,0))="","",INDEX(ME!$AK$4:$AK$1002,MATCH($C477,ME!$E$4:$E$1002,0))),
IF($E477=5,IF(INDEX(ME!$AP$4:$AP$1002,MATCH($C477,ME!$E$4:$E$1002,0))="","",INDEX(ME!$AP$4:$AP$1002,MATCH($C477,ME!$E$4:$E$1002,0))),"")))))))</f>
        <v/>
      </c>
      <c r="J477" s="459" t="str">
        <f>IF(ISNA(MATCH($C477,ME!$E$4:$E$1002,0)),"",
IF($E477=0,IF(INDEX(ME!$R$4:$R$1002,MATCH($C477,ME!$E$4:$E$1002,0))="","",INDEX(ME!$R$4:$R$1002,MATCH($C477,ME!$E$4:$E$1002,0))),
IF($E477=1,IF(INDEX(ME!$W$4:$W$1002,MATCH($C477,ME!$E$4:$E$1002,0))="","",INDEX(ME!$W$4:$W$1002,MATCH($C477,ME!$E$4:$E$1002,0))),
IF($E477=2,IF(INDEX(ME!$AB$4:$AB$1002,MATCH($C477,ME!$E$4:$E$1002,0))="","",INDEX(ME!$AB$4:$AB$1002,MATCH($C477,ME!$E$4:$E$1002,0))),
IF($E477=3,IF(INDEX(ME!$AG$4:$AG$1002,MATCH($C477,ME!$E$4:$E$1002,0))="","",INDEX(ME!$AG$4:$AG$1002,MATCH($C477,ME!$E$4:$E$1002,0))),
IF($E477=4,IF(INDEX(ME!$AL$4:$AL$1002,MATCH($C477,ME!$E$4:$E$1002,0))="","",INDEX(ME!$AL$4:$AL$1002,MATCH($C477,ME!$E$4:$E$1002,0))),
IF($E477=5,IF(INDEX(ME!$AQ$4:$AQ$1002,MATCH($C477,ME!$E$4:$E$1002,0))="","",INDEX(ME!$AQ$4:$AQ$1002,MATCH($C477,ME!$E$4:$E$1002,0))),"")))))))</f>
        <v/>
      </c>
      <c r="K477" s="459">
        <f>VLOOKUP(C477,ME!$E$4:$J$1009,6,0)</f>
        <v>0</v>
      </c>
      <c r="L477" s="460" t="e" cm="1">
        <f t="array" aca="1" ref="L477" ca="1">_xlfn.IFS(AND($E477&lt;&gt;"",$M477="Pending",$K477="CTA"),TODAY()-$G477,AND($E477&lt;&gt;"",$M477="Pending",$K477="AUR"),TODAY()-$H477,AND($E477&lt;&gt;"",$M477="Pending",$K477="STT"),TODAY()-$I477,OR(K477="Closed",K477=""),"")</f>
        <v>#N/A</v>
      </c>
      <c r="M477" s="461">
        <f>VLOOKUP(C477,ME!$E$4:$AC$623,7,0)</f>
        <v>0</v>
      </c>
      <c r="N477" s="454" t="str">
        <f t="shared" si="20"/>
        <v/>
      </c>
      <c r="O477" s="743" t="str">
        <f>ME!M33</f>
        <v>GC</v>
      </c>
      <c r="P477" s="748" t="str">
        <v>NO</v>
      </c>
    </row>
    <row r="478" spans="1:16" s="385" customFormat="1" ht="24.75" hidden="1" customHeight="1">
      <c r="A478" s="399">
        <v>31</v>
      </c>
      <c r="B478" s="455" t="s">
        <v>20</v>
      </c>
      <c r="C478" s="454" t="s">
        <v>1319</v>
      </c>
      <c r="D478" s="493" t="str">
        <f>_xlfn.XLOOKUP(C478,ME!$E$4:$E$999,ME!$D$4:$D$999)</f>
        <v>Level 2 - Cms Cable Routing Layout Plan</v>
      </c>
      <c r="E478" s="454" t="str">
        <f>IF(VLOOKUP(C478,ME!$E$4:$AC$488,5,0)="","",VLOOKUP(C478,ME!$E$4:$AC$987,5,0))</f>
        <v/>
      </c>
      <c r="F478" s="457"/>
      <c r="G478" s="459" t="str">
        <f>IF(VLOOKUP(C478,ME!$E$4:$AC$488,3,0)="","",VLOOKUP(C478,ME!$E$4:$AC$488,3,0))</f>
        <v/>
      </c>
      <c r="H478" s="459" t="str">
        <f>IF(ISNA(MATCH($C478,ME!$E$4:$E$1002,0)),"",
IF($E478=0,IF(INDEX(ME!$P$4:$P$1002,MATCH($C478,ME!$E$4:$E$1002,0))="","",INDEX(ME!$P$4:$P$1002,MATCH($C478,ME!$E$4:$E$1002,0))),
IF($E478=1,IF(INDEX(ME!$U$4:$U$1002,MATCH($C478,ME!$E$4:$E$1002,0))="","",INDEX(ME!$U$4:$U$1002,MATCH($C478,ME!$E$4:$E$1002,0))),
IF($E478=2,IF(INDEX(ME!$Z$4:$Z$1002,MATCH($C478,ME!$E$4:$E$1002,0))="","",INDEX(ME!$Z$4:$Z$1002,MATCH($C478,ME!$E$4:$E$1002,0))),
IF($E478=3,IF(INDEX(ME!$AE$4:$AE$1002,MATCH($C478,ME!$E$4:$E$1002,0))="","",INDEX(ME!$AE$4:$AE$1002,MATCH($C478,ME!$E$4:$E$1002,0))),
IF($E478=4,IF(INDEX(ME!$AJ$4:$AJ$1002,MATCH($C478,ME!$E$4:$E$1002,0))="","",INDEX(ME!$AJ$4:$AJ$1002,MATCH($C478,ME!$E$4:$E$1002,0))),
IF($E478=5,IF(INDEX(ME!$AO$4:$AO$1002,MATCH($C478,ME!$E$4:$E$1002,0))="","",INDEX(ME!$AO$4:$AO$1002,MATCH($C478,ME!$E$4:$E$1002,0))),"")))))))</f>
        <v/>
      </c>
      <c r="I478" s="459" t="str">
        <f>IF(ISNA(MATCH($C478,ME!$E$4:$E$1002,0)),"",
IF($E478=0,IF(INDEX(ME!$Q$4:$Q$1002,MATCH($C478,ME!$E$4:$E$1002,0))="","",INDEX(ME!$Q$4:$Q$1002,MATCH($C478,ME!$E$4:$E$1002,0))),
IF($E478=1,IF(INDEX(ME!$V$4:$V$1002,MATCH($C478,ME!$E$4:$E$1002,0))="","",INDEX(ME!$V$4:$V$1002,MATCH($C478,ME!$E$4:$E$1002,0))),
IF($E478=2,IF(INDEX(ME!$AA$4:$AA$1002,MATCH($C478,ME!$E$4:$E$1002,0))="","",INDEX(ME!$AA$4:$AA$1002,MATCH($C478,ME!$E$4:$E$1002,0))),
IF($E478=3,IF(INDEX(ME!$AF$4:$AF$1002,MATCH($C478,ME!$E$4:$E$1002,0))="","",INDEX(ME!$AF$4:$AF$1002,MATCH($C478,ME!$E$4:$E$1002,0))),
IF($E478=4,IF(INDEX(ME!$AK$4:$AK$1002,MATCH($C478,ME!$E$4:$E$1002,0))="","",INDEX(ME!$AK$4:$AK$1002,MATCH($C478,ME!$E$4:$E$1002,0))),
IF($E478=5,IF(INDEX(ME!$AP$4:$AP$1002,MATCH($C478,ME!$E$4:$E$1002,0))="","",INDEX(ME!$AP$4:$AP$1002,MATCH($C478,ME!$E$4:$E$1002,0))),"")))))))</f>
        <v/>
      </c>
      <c r="J478" s="459" t="str">
        <f>IF(ISNA(MATCH($C478,ME!$E$4:$E$1002,0)),"",
IF($E478=0,IF(INDEX(ME!$R$4:$R$1002,MATCH($C478,ME!$E$4:$E$1002,0))="","",INDEX(ME!$R$4:$R$1002,MATCH($C478,ME!$E$4:$E$1002,0))),
IF($E478=1,IF(INDEX(ME!$W$4:$W$1002,MATCH($C478,ME!$E$4:$E$1002,0))="","",INDEX(ME!$W$4:$W$1002,MATCH($C478,ME!$E$4:$E$1002,0))),
IF($E478=2,IF(INDEX(ME!$AB$4:$AB$1002,MATCH($C478,ME!$E$4:$E$1002,0))="","",INDEX(ME!$AB$4:$AB$1002,MATCH($C478,ME!$E$4:$E$1002,0))),
IF($E478=3,IF(INDEX(ME!$AG$4:$AG$1002,MATCH($C478,ME!$E$4:$E$1002,0))="","",INDEX(ME!$AG$4:$AG$1002,MATCH($C478,ME!$E$4:$E$1002,0))),
IF($E478=4,IF(INDEX(ME!$AL$4:$AL$1002,MATCH($C478,ME!$E$4:$E$1002,0))="","",INDEX(ME!$AL$4:$AL$1002,MATCH($C478,ME!$E$4:$E$1002,0))),
IF($E478=5,IF(INDEX(ME!$AQ$4:$AQ$1002,MATCH($C478,ME!$E$4:$E$1002,0))="","",INDEX(ME!$AQ$4:$AQ$1002,MATCH($C478,ME!$E$4:$E$1002,0))),"")))))))</f>
        <v/>
      </c>
      <c r="K478" s="459">
        <f>VLOOKUP(C478,ME!$E$4:$J$1009,6,0)</f>
        <v>0</v>
      </c>
      <c r="L478" s="460" t="e" cm="1">
        <f t="array" aca="1" ref="L478" ca="1">_xlfn.IFS(AND($E478&lt;&gt;"",$M478="Pending",$K478="CTA"),TODAY()-$G478,AND($E478&lt;&gt;"",$M478="Pending",$K478="AUR"),TODAY()-$H478,AND($E478&lt;&gt;"",$M478="Pending",$K478="STT"),TODAY()-$I478,OR(K478="Closed",K478=""),"")</f>
        <v>#N/A</v>
      </c>
      <c r="M478" s="461">
        <f>VLOOKUP(C478,ME!$E$4:$AC$623,7,0)</f>
        <v>0</v>
      </c>
      <c r="N478" s="454" t="str">
        <f t="shared" si="20"/>
        <v/>
      </c>
      <c r="O478" s="743" t="str">
        <f>ME!M34</f>
        <v>GC</v>
      </c>
      <c r="P478" s="748" t="str">
        <v>NO</v>
      </c>
    </row>
    <row r="479" spans="1:16" s="385" customFormat="1" ht="24.75" hidden="1" customHeight="1">
      <c r="A479" s="399">
        <v>32</v>
      </c>
      <c r="B479" s="455" t="s">
        <v>20</v>
      </c>
      <c r="C479" s="454" t="s">
        <v>1322</v>
      </c>
      <c r="D479" s="493" t="str">
        <f>_xlfn.XLOOKUP(C479,ME!$E$4:$E$999,ME!$D$4:$D$999)</f>
        <v>Level 6 - Cms Cable Routing Layout Plan</v>
      </c>
      <c r="E479" s="454" t="str">
        <f>IF(VLOOKUP(C479,ME!$E$4:$AC$488,5,0)="","",VLOOKUP(C479,ME!$E$4:$AC$987,5,0))</f>
        <v/>
      </c>
      <c r="F479" s="457"/>
      <c r="G479" s="459" t="str">
        <f>IF(VLOOKUP(C479,ME!$E$4:$AC$488,3,0)="","",VLOOKUP(C479,ME!$E$4:$AC$488,3,0))</f>
        <v/>
      </c>
      <c r="H479" s="459" t="str">
        <f>IF(ISNA(MATCH($C479,ME!$E$4:$E$1002,0)),"",
IF($E479=0,IF(INDEX(ME!$P$4:$P$1002,MATCH($C479,ME!$E$4:$E$1002,0))="","",INDEX(ME!$P$4:$P$1002,MATCH($C479,ME!$E$4:$E$1002,0))),
IF($E479=1,IF(INDEX(ME!$U$4:$U$1002,MATCH($C479,ME!$E$4:$E$1002,0))="","",INDEX(ME!$U$4:$U$1002,MATCH($C479,ME!$E$4:$E$1002,0))),
IF($E479=2,IF(INDEX(ME!$Z$4:$Z$1002,MATCH($C479,ME!$E$4:$E$1002,0))="","",INDEX(ME!$Z$4:$Z$1002,MATCH($C479,ME!$E$4:$E$1002,0))),
IF($E479=3,IF(INDEX(ME!$AE$4:$AE$1002,MATCH($C479,ME!$E$4:$E$1002,0))="","",INDEX(ME!$AE$4:$AE$1002,MATCH($C479,ME!$E$4:$E$1002,0))),
IF($E479=4,IF(INDEX(ME!$AJ$4:$AJ$1002,MATCH($C479,ME!$E$4:$E$1002,0))="","",INDEX(ME!$AJ$4:$AJ$1002,MATCH($C479,ME!$E$4:$E$1002,0))),
IF($E479=5,IF(INDEX(ME!$AO$4:$AO$1002,MATCH($C479,ME!$E$4:$E$1002,0))="","",INDEX(ME!$AO$4:$AO$1002,MATCH($C479,ME!$E$4:$E$1002,0))),"")))))))</f>
        <v/>
      </c>
      <c r="I479" s="459" t="str">
        <f>IF(ISNA(MATCH($C479,ME!$E$4:$E$1002,0)),"",
IF($E479=0,IF(INDEX(ME!$Q$4:$Q$1002,MATCH($C479,ME!$E$4:$E$1002,0))="","",INDEX(ME!$Q$4:$Q$1002,MATCH($C479,ME!$E$4:$E$1002,0))),
IF($E479=1,IF(INDEX(ME!$V$4:$V$1002,MATCH($C479,ME!$E$4:$E$1002,0))="","",INDEX(ME!$V$4:$V$1002,MATCH($C479,ME!$E$4:$E$1002,0))),
IF($E479=2,IF(INDEX(ME!$AA$4:$AA$1002,MATCH($C479,ME!$E$4:$E$1002,0))="","",INDEX(ME!$AA$4:$AA$1002,MATCH($C479,ME!$E$4:$E$1002,0))),
IF($E479=3,IF(INDEX(ME!$AF$4:$AF$1002,MATCH($C479,ME!$E$4:$E$1002,0))="","",INDEX(ME!$AF$4:$AF$1002,MATCH($C479,ME!$E$4:$E$1002,0))),
IF($E479=4,IF(INDEX(ME!$AK$4:$AK$1002,MATCH($C479,ME!$E$4:$E$1002,0))="","",INDEX(ME!$AK$4:$AK$1002,MATCH($C479,ME!$E$4:$E$1002,0))),
IF($E479=5,IF(INDEX(ME!$AP$4:$AP$1002,MATCH($C479,ME!$E$4:$E$1002,0))="","",INDEX(ME!$AP$4:$AP$1002,MATCH($C479,ME!$E$4:$E$1002,0))),"")))))))</f>
        <v/>
      </c>
      <c r="J479" s="459" t="str">
        <f>IF(ISNA(MATCH($C479,ME!$E$4:$E$1002,0)),"",
IF($E479=0,IF(INDEX(ME!$R$4:$R$1002,MATCH($C479,ME!$E$4:$E$1002,0))="","",INDEX(ME!$R$4:$R$1002,MATCH($C479,ME!$E$4:$E$1002,0))),
IF($E479=1,IF(INDEX(ME!$W$4:$W$1002,MATCH($C479,ME!$E$4:$E$1002,0))="","",INDEX(ME!$W$4:$W$1002,MATCH($C479,ME!$E$4:$E$1002,0))),
IF($E479=2,IF(INDEX(ME!$AB$4:$AB$1002,MATCH($C479,ME!$E$4:$E$1002,0))="","",INDEX(ME!$AB$4:$AB$1002,MATCH($C479,ME!$E$4:$E$1002,0))),
IF($E479=3,IF(INDEX(ME!$AG$4:$AG$1002,MATCH($C479,ME!$E$4:$E$1002,0))="","",INDEX(ME!$AG$4:$AG$1002,MATCH($C479,ME!$E$4:$E$1002,0))),
IF($E479=4,IF(INDEX(ME!$AL$4:$AL$1002,MATCH($C479,ME!$E$4:$E$1002,0))="","",INDEX(ME!$AL$4:$AL$1002,MATCH($C479,ME!$E$4:$E$1002,0))),
IF($E479=5,IF(INDEX(ME!$AQ$4:$AQ$1002,MATCH($C479,ME!$E$4:$E$1002,0))="","",INDEX(ME!$AQ$4:$AQ$1002,MATCH($C479,ME!$E$4:$E$1002,0))),"")))))))</f>
        <v/>
      </c>
      <c r="K479" s="459">
        <f>VLOOKUP(C479,ME!$E$4:$J$1009,6,0)</f>
        <v>0</v>
      </c>
      <c r="L479" s="460" t="e" cm="1">
        <f t="array" aca="1" ref="L479" ca="1">_xlfn.IFS(AND($E479&lt;&gt;"",$M479="Pending",$K479="CTA"),TODAY()-$G479,AND($E479&lt;&gt;"",$M479="Pending",$K479="AUR"),TODAY()-$H479,AND($E479&lt;&gt;"",$M479="Pending",$K479="STT"),TODAY()-$I479,OR(K479="Closed",K479=""),"")</f>
        <v>#N/A</v>
      </c>
      <c r="M479" s="461">
        <f>VLOOKUP(C479,ME!$E$4:$AC$623,7,0)</f>
        <v>0</v>
      </c>
      <c r="N479" s="454" t="str">
        <f t="shared" si="20"/>
        <v/>
      </c>
      <c r="O479" s="743" t="str">
        <f>ME!M35</f>
        <v>GC</v>
      </c>
      <c r="P479" s="748" t="str">
        <v>NO</v>
      </c>
    </row>
    <row r="480" spans="1:16" s="385" customFormat="1" ht="24.75" customHeight="1">
      <c r="A480" s="399">
        <v>33</v>
      </c>
      <c r="B480" s="455" t="s">
        <v>20</v>
      </c>
      <c r="C480" s="454" t="s">
        <v>1324</v>
      </c>
      <c r="D480" s="493" t="str">
        <f>_xlfn.XLOOKUP(C480,ME!$E$4:$E$999,ME!$D$4:$D$999)</f>
        <v>Typical Detail</v>
      </c>
      <c r="E480" s="454">
        <f>IF(VLOOKUP(C480,ME!$E$4:$AC$488,5,0)="","",VLOOKUP(C480,ME!$E$4:$AC$987,5,0))</f>
        <v>0</v>
      </c>
      <c r="F480" s="457"/>
      <c r="G480" s="459">
        <f>IF(VLOOKUP(C480,ME!$E$4:$AC$488,3,0)="","",VLOOKUP(C480,ME!$E$4:$AC$488,3,0))</f>
        <v>46048</v>
      </c>
      <c r="H480" s="459">
        <f>IF(ISNA(MATCH($C480,ME!$E$4:$E$1002,0)),"",
IF($E480=0,IF(INDEX(ME!$P$4:$P$1002,MATCH($C480,ME!$E$4:$E$1002,0))="","",INDEX(ME!$P$4:$P$1002,MATCH($C480,ME!$E$4:$E$1002,0))),
IF($E480=1,IF(INDEX(ME!$U$4:$U$1002,MATCH($C480,ME!$E$4:$E$1002,0))="","",INDEX(ME!$U$4:$U$1002,MATCH($C480,ME!$E$4:$E$1002,0))),
IF($E480=2,IF(INDEX(ME!$Z$4:$Z$1002,MATCH($C480,ME!$E$4:$E$1002,0))="","",INDEX(ME!$Z$4:$Z$1002,MATCH($C480,ME!$E$4:$E$1002,0))),
IF($E480=3,IF(INDEX(ME!$AE$4:$AE$1002,MATCH($C480,ME!$E$4:$E$1002,0))="","",INDEX(ME!$AE$4:$AE$1002,MATCH($C480,ME!$E$4:$E$1002,0))),
IF($E480=4,IF(INDEX(ME!$AJ$4:$AJ$1002,MATCH($C480,ME!$E$4:$E$1002,0))="","",INDEX(ME!$AJ$4:$AJ$1002,MATCH($C480,ME!$E$4:$E$1002,0))),
IF($E480=5,IF(INDEX(ME!$AO$4:$AO$1002,MATCH($C480,ME!$E$4:$E$1002,0))="","",INDEX(ME!$AO$4:$AO$1002,MATCH($C480,ME!$E$4:$E$1002,0))),"")))))))</f>
        <v>46055</v>
      </c>
      <c r="I480" s="459" t="str">
        <f>IF(ISNA(MATCH($C480,ME!$E$4:$E$1002,0)),"",
IF($E480=0,IF(INDEX(ME!$Q$4:$Q$1002,MATCH($C480,ME!$E$4:$E$1002,0))="","",INDEX(ME!$Q$4:$Q$1002,MATCH($C480,ME!$E$4:$E$1002,0))),
IF($E480=1,IF(INDEX(ME!$V$4:$V$1002,MATCH($C480,ME!$E$4:$E$1002,0))="","",INDEX(ME!$V$4:$V$1002,MATCH($C480,ME!$E$4:$E$1002,0))),
IF($E480=2,IF(INDEX(ME!$AA$4:$AA$1002,MATCH($C480,ME!$E$4:$E$1002,0))="","",INDEX(ME!$AA$4:$AA$1002,MATCH($C480,ME!$E$4:$E$1002,0))),
IF($E480=3,IF(INDEX(ME!$AF$4:$AF$1002,MATCH($C480,ME!$E$4:$E$1002,0))="","",INDEX(ME!$AF$4:$AF$1002,MATCH($C480,ME!$E$4:$E$1002,0))),
IF($E480=4,IF(INDEX(ME!$AK$4:$AK$1002,MATCH($C480,ME!$E$4:$E$1002,0))="","",INDEX(ME!$AK$4:$AK$1002,MATCH($C480,ME!$E$4:$E$1002,0))),
IF($E480=5,IF(INDEX(ME!$AP$4:$AP$1002,MATCH($C480,ME!$E$4:$E$1002,0))="","",INDEX(ME!$AP$4:$AP$1002,MATCH($C480,ME!$E$4:$E$1002,0))),"")))))))</f>
        <v/>
      </c>
      <c r="J480" s="459" t="str">
        <f>IF(ISNA(MATCH($C480,ME!$E$4:$E$1002,0)),"",
IF($E480=0,IF(INDEX(ME!$R$4:$R$1002,MATCH($C480,ME!$E$4:$E$1002,0))="","",INDEX(ME!$R$4:$R$1002,MATCH($C480,ME!$E$4:$E$1002,0))),
IF($E480=1,IF(INDEX(ME!$W$4:$W$1002,MATCH($C480,ME!$E$4:$E$1002,0))="","",INDEX(ME!$W$4:$W$1002,MATCH($C480,ME!$E$4:$E$1002,0))),
IF($E480=2,IF(INDEX(ME!$AB$4:$AB$1002,MATCH($C480,ME!$E$4:$E$1002,0))="","",INDEX(ME!$AB$4:$AB$1002,MATCH($C480,ME!$E$4:$E$1002,0))),
IF($E480=3,IF(INDEX(ME!$AG$4:$AG$1002,MATCH($C480,ME!$E$4:$E$1002,0))="","",INDEX(ME!$AG$4:$AG$1002,MATCH($C480,ME!$E$4:$E$1002,0))),
IF($E480=4,IF(INDEX(ME!$AL$4:$AL$1002,MATCH($C480,ME!$E$4:$E$1002,0))="","",INDEX(ME!$AL$4:$AL$1002,MATCH($C480,ME!$E$4:$E$1002,0))),
IF($E480=5,IF(INDEX(ME!$AQ$4:$AQ$1002,MATCH($C480,ME!$E$4:$E$1002,0))="","",INDEX(ME!$AQ$4:$AQ$1002,MATCH($C480,ME!$E$4:$E$1002,0))),"")))))))</f>
        <v/>
      </c>
      <c r="K480" s="459" t="str">
        <f>VLOOKUP(C480,ME!$E$4:$J$1009,6,0)</f>
        <v>AUR</v>
      </c>
      <c r="L480" s="460" cm="1">
        <f t="array" aca="1" ref="L480" ca="1">_xlfn.IFS(AND($E480&lt;&gt;"",$M480="Pending",$K480="CTA"),TODAY()-$G480,AND($E480&lt;&gt;"",$M480="Pending",$K480="AUR"),TODAY()-$H480,AND($E480&lt;&gt;"",$M480="Pending",$K480="STT"),TODAY()-$I480,OR(K480="Closed",K480=""),"")</f>
        <v>11</v>
      </c>
      <c r="M480" s="461" t="str">
        <f>VLOOKUP(C480,ME!$E$4:$AC$623,7,0)</f>
        <v>Pending</v>
      </c>
      <c r="N480" s="454" t="str">
        <f t="shared" ca="1" si="20"/>
        <v>Overdue</v>
      </c>
      <c r="O480" s="743" t="str">
        <f>ME!M36</f>
        <v>GC</v>
      </c>
      <c r="P480" s="748" t="str">
        <v>NO</v>
      </c>
    </row>
    <row r="481" spans="1:16" s="385" customFormat="1" ht="24.75" hidden="1" customHeight="1">
      <c r="A481" s="399">
        <v>34</v>
      </c>
      <c r="B481" s="455" t="s">
        <v>20</v>
      </c>
      <c r="C481" s="454" t="s">
        <v>1327</v>
      </c>
      <c r="D481" s="493" t="str">
        <f>_xlfn.XLOOKUP(C481,ME!$E$4:$E$999,ME!$D$4:$D$999)</f>
        <v>Mechanical Service Electrical Single Line Diagram Sheet-1</v>
      </c>
      <c r="E481" s="454" t="str">
        <f>IF(VLOOKUP(C481,ME!$E$4:$AC$488,5,0)="","",VLOOKUP(C481,ME!$E$4:$AC$987,5,0))</f>
        <v/>
      </c>
      <c r="F481" s="457"/>
      <c r="G481" s="459" t="str">
        <f>IF(VLOOKUP(C481,ME!$E$4:$AC$488,3,0)="","",VLOOKUP(C481,ME!$E$4:$AC$488,3,0))</f>
        <v/>
      </c>
      <c r="H481" s="459" t="str">
        <f>IF(ISNA(MATCH($C481,ME!$E$4:$E$1002,0)),"",
IF($E481=0,IF(INDEX(ME!$P$4:$P$1002,MATCH($C481,ME!$E$4:$E$1002,0))="","",INDEX(ME!$P$4:$P$1002,MATCH($C481,ME!$E$4:$E$1002,0))),
IF($E481=1,IF(INDEX(ME!$U$4:$U$1002,MATCH($C481,ME!$E$4:$E$1002,0))="","",INDEX(ME!$U$4:$U$1002,MATCH($C481,ME!$E$4:$E$1002,0))),
IF($E481=2,IF(INDEX(ME!$Z$4:$Z$1002,MATCH($C481,ME!$E$4:$E$1002,0))="","",INDEX(ME!$Z$4:$Z$1002,MATCH($C481,ME!$E$4:$E$1002,0))),
IF($E481=3,IF(INDEX(ME!$AE$4:$AE$1002,MATCH($C481,ME!$E$4:$E$1002,0))="","",INDEX(ME!$AE$4:$AE$1002,MATCH($C481,ME!$E$4:$E$1002,0))),
IF($E481=4,IF(INDEX(ME!$AJ$4:$AJ$1002,MATCH($C481,ME!$E$4:$E$1002,0))="","",INDEX(ME!$AJ$4:$AJ$1002,MATCH($C481,ME!$E$4:$E$1002,0))),
IF($E481=5,IF(INDEX(ME!$AO$4:$AO$1002,MATCH($C481,ME!$E$4:$E$1002,0))="","",INDEX(ME!$AO$4:$AO$1002,MATCH($C481,ME!$E$4:$E$1002,0))),"")))))))</f>
        <v/>
      </c>
      <c r="I481" s="459" t="str">
        <f>IF(ISNA(MATCH($C481,ME!$E$4:$E$1002,0)),"",
IF($E481=0,IF(INDEX(ME!$Q$4:$Q$1002,MATCH($C481,ME!$E$4:$E$1002,0))="","",INDEX(ME!$Q$4:$Q$1002,MATCH($C481,ME!$E$4:$E$1002,0))),
IF($E481=1,IF(INDEX(ME!$V$4:$V$1002,MATCH($C481,ME!$E$4:$E$1002,0))="","",INDEX(ME!$V$4:$V$1002,MATCH($C481,ME!$E$4:$E$1002,0))),
IF($E481=2,IF(INDEX(ME!$AA$4:$AA$1002,MATCH($C481,ME!$E$4:$E$1002,0))="","",INDEX(ME!$AA$4:$AA$1002,MATCH($C481,ME!$E$4:$E$1002,0))),
IF($E481=3,IF(INDEX(ME!$AF$4:$AF$1002,MATCH($C481,ME!$E$4:$E$1002,0))="","",INDEX(ME!$AF$4:$AF$1002,MATCH($C481,ME!$E$4:$E$1002,0))),
IF($E481=4,IF(INDEX(ME!$AK$4:$AK$1002,MATCH($C481,ME!$E$4:$E$1002,0))="","",INDEX(ME!$AK$4:$AK$1002,MATCH($C481,ME!$E$4:$E$1002,0))),
IF($E481=5,IF(INDEX(ME!$AP$4:$AP$1002,MATCH($C481,ME!$E$4:$E$1002,0))="","",INDEX(ME!$AP$4:$AP$1002,MATCH($C481,ME!$E$4:$E$1002,0))),"")))))))</f>
        <v/>
      </c>
      <c r="J481" s="459" t="str">
        <f>IF(ISNA(MATCH($C481,ME!$E$4:$E$1002,0)),"",
IF($E481=0,IF(INDEX(ME!$R$4:$R$1002,MATCH($C481,ME!$E$4:$E$1002,0))="","",INDEX(ME!$R$4:$R$1002,MATCH($C481,ME!$E$4:$E$1002,0))),
IF($E481=1,IF(INDEX(ME!$W$4:$W$1002,MATCH($C481,ME!$E$4:$E$1002,0))="","",INDEX(ME!$W$4:$W$1002,MATCH($C481,ME!$E$4:$E$1002,0))),
IF($E481=2,IF(INDEX(ME!$AB$4:$AB$1002,MATCH($C481,ME!$E$4:$E$1002,0))="","",INDEX(ME!$AB$4:$AB$1002,MATCH($C481,ME!$E$4:$E$1002,0))),
IF($E481=3,IF(INDEX(ME!$AG$4:$AG$1002,MATCH($C481,ME!$E$4:$E$1002,0))="","",INDEX(ME!$AG$4:$AG$1002,MATCH($C481,ME!$E$4:$E$1002,0))),
IF($E481=4,IF(INDEX(ME!$AL$4:$AL$1002,MATCH($C481,ME!$E$4:$E$1002,0))="","",INDEX(ME!$AL$4:$AL$1002,MATCH($C481,ME!$E$4:$E$1002,0))),
IF($E481=5,IF(INDEX(ME!$AQ$4:$AQ$1002,MATCH($C481,ME!$E$4:$E$1002,0))="","",INDEX(ME!$AQ$4:$AQ$1002,MATCH($C481,ME!$E$4:$E$1002,0))),"")))))))</f>
        <v/>
      </c>
      <c r="K481" s="459">
        <f>VLOOKUP(C481,ME!$E$4:$J$1009,6,0)</f>
        <v>0</v>
      </c>
      <c r="L481" s="460" t="e" cm="1">
        <f t="array" aca="1" ref="L481" ca="1">_xlfn.IFS(AND($E481&lt;&gt;"",$M481="Pending",$K481="CTA"),TODAY()-$G481,AND($E481&lt;&gt;"",$M481="Pending",$K481="AUR"),TODAY()-$H481,AND($E481&lt;&gt;"",$M481="Pending",$K481="STT"),TODAY()-$I481,OR(K481="Closed",K481=""),"")</f>
        <v>#N/A</v>
      </c>
      <c r="M481" s="461">
        <f>VLOOKUP(C481,ME!$E$4:$AC$623,7,0)</f>
        <v>0</v>
      </c>
      <c r="N481" s="454" t="str">
        <f t="shared" si="20"/>
        <v/>
      </c>
      <c r="O481" s="743" t="str">
        <f>ME!M37</f>
        <v>GC</v>
      </c>
      <c r="P481" s="748" t="str">
        <v>YES</v>
      </c>
    </row>
    <row r="482" spans="1:16" s="385" customFormat="1" ht="24.75" hidden="1" customHeight="1">
      <c r="A482" s="399">
        <v>35</v>
      </c>
      <c r="B482" s="455" t="s">
        <v>20</v>
      </c>
      <c r="C482" s="454" t="s">
        <v>1331</v>
      </c>
      <c r="D482" s="493" t="str">
        <f>_xlfn.XLOOKUP(C482,ME!$E$4:$E$999,ME!$D$4:$D$999)</f>
        <v>Mechanical Service Electrical Single Line Diagram Sheet-2</v>
      </c>
      <c r="E482" s="454" t="str">
        <f>IF(VLOOKUP(C482,ME!$E$4:$AC$488,5,0)="","",VLOOKUP(C482,ME!$E$4:$AC$987,5,0))</f>
        <v/>
      </c>
      <c r="F482" s="457"/>
      <c r="G482" s="459" t="str">
        <f>IF(VLOOKUP(C482,ME!$E$4:$AC$488,3,0)="","",VLOOKUP(C482,ME!$E$4:$AC$488,3,0))</f>
        <v/>
      </c>
      <c r="H482" s="459" t="str">
        <f>IF(ISNA(MATCH($C482,ME!$E$4:$E$1002,0)),"",
IF($E482=0,IF(INDEX(ME!$P$4:$P$1002,MATCH($C482,ME!$E$4:$E$1002,0))="","",INDEX(ME!$P$4:$P$1002,MATCH($C482,ME!$E$4:$E$1002,0))),
IF($E482=1,IF(INDEX(ME!$U$4:$U$1002,MATCH($C482,ME!$E$4:$E$1002,0))="","",INDEX(ME!$U$4:$U$1002,MATCH($C482,ME!$E$4:$E$1002,0))),
IF($E482=2,IF(INDEX(ME!$Z$4:$Z$1002,MATCH($C482,ME!$E$4:$E$1002,0))="","",INDEX(ME!$Z$4:$Z$1002,MATCH($C482,ME!$E$4:$E$1002,0))),
IF($E482=3,IF(INDEX(ME!$AE$4:$AE$1002,MATCH($C482,ME!$E$4:$E$1002,0))="","",INDEX(ME!$AE$4:$AE$1002,MATCH($C482,ME!$E$4:$E$1002,0))),
IF($E482=4,IF(INDEX(ME!$AJ$4:$AJ$1002,MATCH($C482,ME!$E$4:$E$1002,0))="","",INDEX(ME!$AJ$4:$AJ$1002,MATCH($C482,ME!$E$4:$E$1002,0))),
IF($E482=5,IF(INDEX(ME!$AO$4:$AO$1002,MATCH($C482,ME!$E$4:$E$1002,0))="","",INDEX(ME!$AO$4:$AO$1002,MATCH($C482,ME!$E$4:$E$1002,0))),"")))))))</f>
        <v/>
      </c>
      <c r="I482" s="459" t="str">
        <f>IF(ISNA(MATCH($C482,ME!$E$4:$E$1002,0)),"",
IF($E482=0,IF(INDEX(ME!$Q$4:$Q$1002,MATCH($C482,ME!$E$4:$E$1002,0))="","",INDEX(ME!$Q$4:$Q$1002,MATCH($C482,ME!$E$4:$E$1002,0))),
IF($E482=1,IF(INDEX(ME!$V$4:$V$1002,MATCH($C482,ME!$E$4:$E$1002,0))="","",INDEX(ME!$V$4:$V$1002,MATCH($C482,ME!$E$4:$E$1002,0))),
IF($E482=2,IF(INDEX(ME!$AA$4:$AA$1002,MATCH($C482,ME!$E$4:$E$1002,0))="","",INDEX(ME!$AA$4:$AA$1002,MATCH($C482,ME!$E$4:$E$1002,0))),
IF($E482=3,IF(INDEX(ME!$AF$4:$AF$1002,MATCH($C482,ME!$E$4:$E$1002,0))="","",INDEX(ME!$AF$4:$AF$1002,MATCH($C482,ME!$E$4:$E$1002,0))),
IF($E482=4,IF(INDEX(ME!$AK$4:$AK$1002,MATCH($C482,ME!$E$4:$E$1002,0))="","",INDEX(ME!$AK$4:$AK$1002,MATCH($C482,ME!$E$4:$E$1002,0))),
IF($E482=5,IF(INDEX(ME!$AP$4:$AP$1002,MATCH($C482,ME!$E$4:$E$1002,0))="","",INDEX(ME!$AP$4:$AP$1002,MATCH($C482,ME!$E$4:$E$1002,0))),"")))))))</f>
        <v/>
      </c>
      <c r="J482" s="459" t="str">
        <f>IF(ISNA(MATCH($C482,ME!$E$4:$E$1002,0)),"",
IF($E482=0,IF(INDEX(ME!$R$4:$R$1002,MATCH($C482,ME!$E$4:$E$1002,0))="","",INDEX(ME!$R$4:$R$1002,MATCH($C482,ME!$E$4:$E$1002,0))),
IF($E482=1,IF(INDEX(ME!$W$4:$W$1002,MATCH($C482,ME!$E$4:$E$1002,0))="","",INDEX(ME!$W$4:$W$1002,MATCH($C482,ME!$E$4:$E$1002,0))),
IF($E482=2,IF(INDEX(ME!$AB$4:$AB$1002,MATCH($C482,ME!$E$4:$E$1002,0))="","",INDEX(ME!$AB$4:$AB$1002,MATCH($C482,ME!$E$4:$E$1002,0))),
IF($E482=3,IF(INDEX(ME!$AG$4:$AG$1002,MATCH($C482,ME!$E$4:$E$1002,0))="","",INDEX(ME!$AG$4:$AG$1002,MATCH($C482,ME!$E$4:$E$1002,0))),
IF($E482=4,IF(INDEX(ME!$AL$4:$AL$1002,MATCH($C482,ME!$E$4:$E$1002,0))="","",INDEX(ME!$AL$4:$AL$1002,MATCH($C482,ME!$E$4:$E$1002,0))),
IF($E482=5,IF(INDEX(ME!$AQ$4:$AQ$1002,MATCH($C482,ME!$E$4:$E$1002,0))="","",INDEX(ME!$AQ$4:$AQ$1002,MATCH($C482,ME!$E$4:$E$1002,0))),"")))))))</f>
        <v/>
      </c>
      <c r="K482" s="459">
        <f>VLOOKUP(C482,ME!$E$4:$J$1009,6,0)</f>
        <v>0</v>
      </c>
      <c r="L482" s="460" t="e" cm="1">
        <f t="array" aca="1" ref="L482" ca="1">_xlfn.IFS(AND($E482&lt;&gt;"",$M482="Pending",$K482="CTA"),TODAY()-$G482,AND($E482&lt;&gt;"",$M482="Pending",$K482="AUR"),TODAY()-$H482,AND($E482&lt;&gt;"",$M482="Pending",$K482="STT"),TODAY()-$I482,OR(K482="Closed",K482=""),"")</f>
        <v>#N/A</v>
      </c>
      <c r="M482" s="461">
        <f>VLOOKUP(C482,ME!$E$4:$AC$623,7,0)</f>
        <v>0</v>
      </c>
      <c r="N482" s="454" t="str">
        <f t="shared" si="20"/>
        <v/>
      </c>
      <c r="O482" s="743" t="str">
        <f>ME!M38</f>
        <v>GC</v>
      </c>
      <c r="P482" s="748" t="str">
        <v>YES</v>
      </c>
    </row>
    <row r="483" spans="1:16" s="385" customFormat="1" ht="24.75" hidden="1" customHeight="1">
      <c r="A483" s="399">
        <v>36</v>
      </c>
      <c r="B483" s="455" t="s">
        <v>20</v>
      </c>
      <c r="C483" s="454" t="s">
        <v>1334</v>
      </c>
      <c r="D483" s="493" t="str">
        <f>_xlfn.XLOOKUP(C483,ME!$E$4:$E$999,ME!$D$4:$D$999)</f>
        <v>Mechanical Service Electrical Single Line Diagram Sheet-3</v>
      </c>
      <c r="E483" s="454" t="str">
        <f>IF(VLOOKUP(C483,ME!$E$4:$AC$488,5,0)="","",VLOOKUP(C483,ME!$E$4:$AC$987,5,0))</f>
        <v/>
      </c>
      <c r="F483" s="457"/>
      <c r="G483" s="459" t="str">
        <f>IF(VLOOKUP(C483,ME!$E$4:$AC$488,3,0)="","",VLOOKUP(C483,ME!$E$4:$AC$488,3,0))</f>
        <v/>
      </c>
      <c r="H483" s="459" t="str">
        <f>IF(ISNA(MATCH($C483,ME!$E$4:$E$1002,0)),"",
IF($E483=0,IF(INDEX(ME!$P$4:$P$1002,MATCH($C483,ME!$E$4:$E$1002,0))="","",INDEX(ME!$P$4:$P$1002,MATCH($C483,ME!$E$4:$E$1002,0))),
IF($E483=1,IF(INDEX(ME!$U$4:$U$1002,MATCH($C483,ME!$E$4:$E$1002,0))="","",INDEX(ME!$U$4:$U$1002,MATCH($C483,ME!$E$4:$E$1002,0))),
IF($E483=2,IF(INDEX(ME!$Z$4:$Z$1002,MATCH($C483,ME!$E$4:$E$1002,0))="","",INDEX(ME!$Z$4:$Z$1002,MATCH($C483,ME!$E$4:$E$1002,0))),
IF($E483=3,IF(INDEX(ME!$AE$4:$AE$1002,MATCH($C483,ME!$E$4:$E$1002,0))="","",INDEX(ME!$AE$4:$AE$1002,MATCH($C483,ME!$E$4:$E$1002,0))),
IF($E483=4,IF(INDEX(ME!$AJ$4:$AJ$1002,MATCH($C483,ME!$E$4:$E$1002,0))="","",INDEX(ME!$AJ$4:$AJ$1002,MATCH($C483,ME!$E$4:$E$1002,0))),
IF($E483=5,IF(INDEX(ME!$AO$4:$AO$1002,MATCH($C483,ME!$E$4:$E$1002,0))="","",INDEX(ME!$AO$4:$AO$1002,MATCH($C483,ME!$E$4:$E$1002,0))),"")))))))</f>
        <v/>
      </c>
      <c r="I483" s="459" t="str">
        <f>IF(ISNA(MATCH($C483,ME!$E$4:$E$1002,0)),"",
IF($E483=0,IF(INDEX(ME!$Q$4:$Q$1002,MATCH($C483,ME!$E$4:$E$1002,0))="","",INDEX(ME!$Q$4:$Q$1002,MATCH($C483,ME!$E$4:$E$1002,0))),
IF($E483=1,IF(INDEX(ME!$V$4:$V$1002,MATCH($C483,ME!$E$4:$E$1002,0))="","",INDEX(ME!$V$4:$V$1002,MATCH($C483,ME!$E$4:$E$1002,0))),
IF($E483=2,IF(INDEX(ME!$AA$4:$AA$1002,MATCH($C483,ME!$E$4:$E$1002,0))="","",INDEX(ME!$AA$4:$AA$1002,MATCH($C483,ME!$E$4:$E$1002,0))),
IF($E483=3,IF(INDEX(ME!$AF$4:$AF$1002,MATCH($C483,ME!$E$4:$E$1002,0))="","",INDEX(ME!$AF$4:$AF$1002,MATCH($C483,ME!$E$4:$E$1002,0))),
IF($E483=4,IF(INDEX(ME!$AK$4:$AK$1002,MATCH($C483,ME!$E$4:$E$1002,0))="","",INDEX(ME!$AK$4:$AK$1002,MATCH($C483,ME!$E$4:$E$1002,0))),
IF($E483=5,IF(INDEX(ME!$AP$4:$AP$1002,MATCH($C483,ME!$E$4:$E$1002,0))="","",INDEX(ME!$AP$4:$AP$1002,MATCH($C483,ME!$E$4:$E$1002,0))),"")))))))</f>
        <v/>
      </c>
      <c r="J483" s="459" t="str">
        <f>IF(ISNA(MATCH($C483,ME!$E$4:$E$1002,0)),"",
IF($E483=0,IF(INDEX(ME!$R$4:$R$1002,MATCH($C483,ME!$E$4:$E$1002,0))="","",INDEX(ME!$R$4:$R$1002,MATCH($C483,ME!$E$4:$E$1002,0))),
IF($E483=1,IF(INDEX(ME!$W$4:$W$1002,MATCH($C483,ME!$E$4:$E$1002,0))="","",INDEX(ME!$W$4:$W$1002,MATCH($C483,ME!$E$4:$E$1002,0))),
IF($E483=2,IF(INDEX(ME!$AB$4:$AB$1002,MATCH($C483,ME!$E$4:$E$1002,0))="","",INDEX(ME!$AB$4:$AB$1002,MATCH($C483,ME!$E$4:$E$1002,0))),
IF($E483=3,IF(INDEX(ME!$AG$4:$AG$1002,MATCH($C483,ME!$E$4:$E$1002,0))="","",INDEX(ME!$AG$4:$AG$1002,MATCH($C483,ME!$E$4:$E$1002,0))),
IF($E483=4,IF(INDEX(ME!$AL$4:$AL$1002,MATCH($C483,ME!$E$4:$E$1002,0))="","",INDEX(ME!$AL$4:$AL$1002,MATCH($C483,ME!$E$4:$E$1002,0))),
IF($E483=5,IF(INDEX(ME!$AQ$4:$AQ$1002,MATCH($C483,ME!$E$4:$E$1002,0))="","",INDEX(ME!$AQ$4:$AQ$1002,MATCH($C483,ME!$E$4:$E$1002,0))),"")))))))</f>
        <v/>
      </c>
      <c r="K483" s="459">
        <f>VLOOKUP(C483,ME!$E$4:$J$1009,6,0)</f>
        <v>0</v>
      </c>
      <c r="L483" s="460" t="e" cm="1">
        <f t="array" aca="1" ref="L483" ca="1">_xlfn.IFS(AND($E483&lt;&gt;"",$M483="Pending",$K483="CTA"),TODAY()-$G483,AND($E483&lt;&gt;"",$M483="Pending",$K483="AUR"),TODAY()-$H483,AND($E483&lt;&gt;"",$M483="Pending",$K483="STT"),TODAY()-$I483,OR(K483="Closed",K483=""),"")</f>
        <v>#N/A</v>
      </c>
      <c r="M483" s="461">
        <f>VLOOKUP(C483,ME!$E$4:$AC$623,7,0)</f>
        <v>0</v>
      </c>
      <c r="N483" s="454" t="str">
        <f t="shared" si="20"/>
        <v/>
      </c>
      <c r="O483" s="743" t="str">
        <f>ME!M39</f>
        <v>GC</v>
      </c>
      <c r="P483" s="748" t="str">
        <v>YES</v>
      </c>
    </row>
    <row r="484" spans="1:16" s="385" customFormat="1" ht="24.75" hidden="1" customHeight="1">
      <c r="A484" s="399">
        <v>37</v>
      </c>
      <c r="B484" s="455" t="s">
        <v>20</v>
      </c>
      <c r="C484" s="454" t="s">
        <v>1337</v>
      </c>
      <c r="D484" s="493" t="str">
        <f>_xlfn.XLOOKUP(C484,ME!$E$4:$E$999,ME!$D$4:$D$999)</f>
        <v>Mechanical Service Electrical Single Line Diagram Sheet-4</v>
      </c>
      <c r="E484" s="454" t="str">
        <f>IF(VLOOKUP(C484,ME!$E$4:$AC$488,5,0)="","",VLOOKUP(C484,ME!$E$4:$AC$987,5,0))</f>
        <v/>
      </c>
      <c r="F484" s="457"/>
      <c r="G484" s="459" t="str">
        <f>IF(VLOOKUP(C484,ME!$E$4:$AC$488,3,0)="","",VLOOKUP(C484,ME!$E$4:$AC$488,3,0))</f>
        <v/>
      </c>
      <c r="H484" s="459" t="str">
        <f>IF(ISNA(MATCH($C484,ME!$E$4:$E$1002,0)),"",
IF($E484=0,IF(INDEX(ME!$P$4:$P$1002,MATCH($C484,ME!$E$4:$E$1002,0))="","",INDEX(ME!$P$4:$P$1002,MATCH($C484,ME!$E$4:$E$1002,0))),
IF($E484=1,IF(INDEX(ME!$U$4:$U$1002,MATCH($C484,ME!$E$4:$E$1002,0))="","",INDEX(ME!$U$4:$U$1002,MATCH($C484,ME!$E$4:$E$1002,0))),
IF($E484=2,IF(INDEX(ME!$Z$4:$Z$1002,MATCH($C484,ME!$E$4:$E$1002,0))="","",INDEX(ME!$Z$4:$Z$1002,MATCH($C484,ME!$E$4:$E$1002,0))),
IF($E484=3,IF(INDEX(ME!$AE$4:$AE$1002,MATCH($C484,ME!$E$4:$E$1002,0))="","",INDEX(ME!$AE$4:$AE$1002,MATCH($C484,ME!$E$4:$E$1002,0))),
IF($E484=4,IF(INDEX(ME!$AJ$4:$AJ$1002,MATCH($C484,ME!$E$4:$E$1002,0))="","",INDEX(ME!$AJ$4:$AJ$1002,MATCH($C484,ME!$E$4:$E$1002,0))),
IF($E484=5,IF(INDEX(ME!$AO$4:$AO$1002,MATCH($C484,ME!$E$4:$E$1002,0))="","",INDEX(ME!$AO$4:$AO$1002,MATCH($C484,ME!$E$4:$E$1002,0))),"")))))))</f>
        <v/>
      </c>
      <c r="I484" s="459" t="str">
        <f>IF(ISNA(MATCH($C484,ME!$E$4:$E$1002,0)),"",
IF($E484=0,IF(INDEX(ME!$Q$4:$Q$1002,MATCH($C484,ME!$E$4:$E$1002,0))="","",INDEX(ME!$Q$4:$Q$1002,MATCH($C484,ME!$E$4:$E$1002,0))),
IF($E484=1,IF(INDEX(ME!$V$4:$V$1002,MATCH($C484,ME!$E$4:$E$1002,0))="","",INDEX(ME!$V$4:$V$1002,MATCH($C484,ME!$E$4:$E$1002,0))),
IF($E484=2,IF(INDEX(ME!$AA$4:$AA$1002,MATCH($C484,ME!$E$4:$E$1002,0))="","",INDEX(ME!$AA$4:$AA$1002,MATCH($C484,ME!$E$4:$E$1002,0))),
IF($E484=3,IF(INDEX(ME!$AF$4:$AF$1002,MATCH($C484,ME!$E$4:$E$1002,0))="","",INDEX(ME!$AF$4:$AF$1002,MATCH($C484,ME!$E$4:$E$1002,0))),
IF($E484=4,IF(INDEX(ME!$AK$4:$AK$1002,MATCH($C484,ME!$E$4:$E$1002,0))="","",INDEX(ME!$AK$4:$AK$1002,MATCH($C484,ME!$E$4:$E$1002,0))),
IF($E484=5,IF(INDEX(ME!$AP$4:$AP$1002,MATCH($C484,ME!$E$4:$E$1002,0))="","",INDEX(ME!$AP$4:$AP$1002,MATCH($C484,ME!$E$4:$E$1002,0))),"")))))))</f>
        <v/>
      </c>
      <c r="J484" s="459" t="str">
        <f>IF(ISNA(MATCH($C484,ME!$E$4:$E$1002,0)),"",
IF($E484=0,IF(INDEX(ME!$R$4:$R$1002,MATCH($C484,ME!$E$4:$E$1002,0))="","",INDEX(ME!$R$4:$R$1002,MATCH($C484,ME!$E$4:$E$1002,0))),
IF($E484=1,IF(INDEX(ME!$W$4:$W$1002,MATCH($C484,ME!$E$4:$E$1002,0))="","",INDEX(ME!$W$4:$W$1002,MATCH($C484,ME!$E$4:$E$1002,0))),
IF($E484=2,IF(INDEX(ME!$AB$4:$AB$1002,MATCH($C484,ME!$E$4:$E$1002,0))="","",INDEX(ME!$AB$4:$AB$1002,MATCH($C484,ME!$E$4:$E$1002,0))),
IF($E484=3,IF(INDEX(ME!$AG$4:$AG$1002,MATCH($C484,ME!$E$4:$E$1002,0))="","",INDEX(ME!$AG$4:$AG$1002,MATCH($C484,ME!$E$4:$E$1002,0))),
IF($E484=4,IF(INDEX(ME!$AL$4:$AL$1002,MATCH($C484,ME!$E$4:$E$1002,0))="","",INDEX(ME!$AL$4:$AL$1002,MATCH($C484,ME!$E$4:$E$1002,0))),
IF($E484=5,IF(INDEX(ME!$AQ$4:$AQ$1002,MATCH($C484,ME!$E$4:$E$1002,0))="","",INDEX(ME!$AQ$4:$AQ$1002,MATCH($C484,ME!$E$4:$E$1002,0))),"")))))))</f>
        <v/>
      </c>
      <c r="K484" s="459">
        <f>VLOOKUP(C484,ME!$E$4:$J$1009,6,0)</f>
        <v>0</v>
      </c>
      <c r="L484" s="460" t="e" cm="1">
        <f t="array" aca="1" ref="L484" ca="1">_xlfn.IFS(AND($E484&lt;&gt;"",$M484="Pending",$K484="CTA"),TODAY()-$G484,AND($E484&lt;&gt;"",$M484="Pending",$K484="AUR"),TODAY()-$H484,AND($E484&lt;&gt;"",$M484="Pending",$K484="STT"),TODAY()-$I484,OR(K484="Closed",K484=""),"")</f>
        <v>#N/A</v>
      </c>
      <c r="M484" s="461">
        <f>VLOOKUP(C484,ME!$E$4:$AC$623,7,0)</f>
        <v>0</v>
      </c>
      <c r="N484" s="454" t="str">
        <f t="shared" si="20"/>
        <v/>
      </c>
      <c r="O484" s="743" t="str">
        <f>ME!M40</f>
        <v>GC</v>
      </c>
      <c r="P484" s="748" t="str">
        <v>YES</v>
      </c>
    </row>
    <row r="485" spans="1:16" s="385" customFormat="1" ht="24.75" hidden="1" customHeight="1">
      <c r="A485" s="399">
        <v>38</v>
      </c>
      <c r="B485" s="455" t="s">
        <v>20</v>
      </c>
      <c r="C485" s="454" t="s">
        <v>1340</v>
      </c>
      <c r="D485" s="493" t="str">
        <f>_xlfn.XLOOKUP(C485,ME!$E$4:$E$999,ME!$D$4:$D$999)</f>
        <v>Mechanical Service Electrical Single Line Diagram Sheet-5</v>
      </c>
      <c r="E485" s="454" t="str">
        <f>IF(VLOOKUP(C485,ME!$E$4:$AC$488,5,0)="","",VLOOKUP(C485,ME!$E$4:$AC$987,5,0))</f>
        <v/>
      </c>
      <c r="F485" s="457"/>
      <c r="G485" s="459" t="str">
        <f>IF(VLOOKUP(C485,ME!$E$4:$AC$488,3,0)="","",VLOOKUP(C485,ME!$E$4:$AC$488,3,0))</f>
        <v/>
      </c>
      <c r="H485" s="459" t="str">
        <f>IF(ISNA(MATCH($C485,ME!$E$4:$E$1002,0)),"",
IF($E485=0,IF(INDEX(ME!$P$4:$P$1002,MATCH($C485,ME!$E$4:$E$1002,0))="","",INDEX(ME!$P$4:$P$1002,MATCH($C485,ME!$E$4:$E$1002,0))),
IF($E485=1,IF(INDEX(ME!$U$4:$U$1002,MATCH($C485,ME!$E$4:$E$1002,0))="","",INDEX(ME!$U$4:$U$1002,MATCH($C485,ME!$E$4:$E$1002,0))),
IF($E485=2,IF(INDEX(ME!$Z$4:$Z$1002,MATCH($C485,ME!$E$4:$E$1002,0))="","",INDEX(ME!$Z$4:$Z$1002,MATCH($C485,ME!$E$4:$E$1002,0))),
IF($E485=3,IF(INDEX(ME!$AE$4:$AE$1002,MATCH($C485,ME!$E$4:$E$1002,0))="","",INDEX(ME!$AE$4:$AE$1002,MATCH($C485,ME!$E$4:$E$1002,0))),
IF($E485=4,IF(INDEX(ME!$AJ$4:$AJ$1002,MATCH($C485,ME!$E$4:$E$1002,0))="","",INDEX(ME!$AJ$4:$AJ$1002,MATCH($C485,ME!$E$4:$E$1002,0))),
IF($E485=5,IF(INDEX(ME!$AO$4:$AO$1002,MATCH($C485,ME!$E$4:$E$1002,0))="","",INDEX(ME!$AO$4:$AO$1002,MATCH($C485,ME!$E$4:$E$1002,0))),"")))))))</f>
        <v/>
      </c>
      <c r="I485" s="459" t="str">
        <f>IF(ISNA(MATCH($C485,ME!$E$4:$E$1002,0)),"",
IF($E485=0,IF(INDEX(ME!$Q$4:$Q$1002,MATCH($C485,ME!$E$4:$E$1002,0))="","",INDEX(ME!$Q$4:$Q$1002,MATCH($C485,ME!$E$4:$E$1002,0))),
IF($E485=1,IF(INDEX(ME!$V$4:$V$1002,MATCH($C485,ME!$E$4:$E$1002,0))="","",INDEX(ME!$V$4:$V$1002,MATCH($C485,ME!$E$4:$E$1002,0))),
IF($E485=2,IF(INDEX(ME!$AA$4:$AA$1002,MATCH($C485,ME!$E$4:$E$1002,0))="","",INDEX(ME!$AA$4:$AA$1002,MATCH($C485,ME!$E$4:$E$1002,0))),
IF($E485=3,IF(INDEX(ME!$AF$4:$AF$1002,MATCH($C485,ME!$E$4:$E$1002,0))="","",INDEX(ME!$AF$4:$AF$1002,MATCH($C485,ME!$E$4:$E$1002,0))),
IF($E485=4,IF(INDEX(ME!$AK$4:$AK$1002,MATCH($C485,ME!$E$4:$E$1002,0))="","",INDEX(ME!$AK$4:$AK$1002,MATCH($C485,ME!$E$4:$E$1002,0))),
IF($E485=5,IF(INDEX(ME!$AP$4:$AP$1002,MATCH($C485,ME!$E$4:$E$1002,0))="","",INDEX(ME!$AP$4:$AP$1002,MATCH($C485,ME!$E$4:$E$1002,0))),"")))))))</f>
        <v/>
      </c>
      <c r="J485" s="459" t="str">
        <f>IF(ISNA(MATCH($C485,ME!$E$4:$E$1002,0)),"",
IF($E485=0,IF(INDEX(ME!$R$4:$R$1002,MATCH($C485,ME!$E$4:$E$1002,0))="","",INDEX(ME!$R$4:$R$1002,MATCH($C485,ME!$E$4:$E$1002,0))),
IF($E485=1,IF(INDEX(ME!$W$4:$W$1002,MATCH($C485,ME!$E$4:$E$1002,0))="","",INDEX(ME!$W$4:$W$1002,MATCH($C485,ME!$E$4:$E$1002,0))),
IF($E485=2,IF(INDEX(ME!$AB$4:$AB$1002,MATCH($C485,ME!$E$4:$E$1002,0))="","",INDEX(ME!$AB$4:$AB$1002,MATCH($C485,ME!$E$4:$E$1002,0))),
IF($E485=3,IF(INDEX(ME!$AG$4:$AG$1002,MATCH($C485,ME!$E$4:$E$1002,0))="","",INDEX(ME!$AG$4:$AG$1002,MATCH($C485,ME!$E$4:$E$1002,0))),
IF($E485=4,IF(INDEX(ME!$AL$4:$AL$1002,MATCH($C485,ME!$E$4:$E$1002,0))="","",INDEX(ME!$AL$4:$AL$1002,MATCH($C485,ME!$E$4:$E$1002,0))),
IF($E485=5,IF(INDEX(ME!$AQ$4:$AQ$1002,MATCH($C485,ME!$E$4:$E$1002,0))="","",INDEX(ME!$AQ$4:$AQ$1002,MATCH($C485,ME!$E$4:$E$1002,0))),"")))))))</f>
        <v/>
      </c>
      <c r="K485" s="459">
        <f>VLOOKUP(C485,ME!$E$4:$J$1009,6,0)</f>
        <v>0</v>
      </c>
      <c r="L485" s="460" t="e" cm="1">
        <f t="array" aca="1" ref="L485" ca="1">_xlfn.IFS(AND($E485&lt;&gt;"",$M485="Pending",$K485="CTA"),TODAY()-$G485,AND($E485&lt;&gt;"",$M485="Pending",$K485="AUR"),TODAY()-$H485,AND($E485&lt;&gt;"",$M485="Pending",$K485="STT"),TODAY()-$I485,OR(K485="Closed",K485=""),"")</f>
        <v>#N/A</v>
      </c>
      <c r="M485" s="461">
        <f>VLOOKUP(C485,ME!$E$4:$AC$623,7,0)</f>
        <v>0</v>
      </c>
      <c r="N485" s="454" t="str">
        <f t="shared" si="20"/>
        <v/>
      </c>
      <c r="O485" s="743" t="str">
        <f>ME!M41</f>
        <v>GC</v>
      </c>
      <c r="P485" s="748" t="str">
        <v>YES</v>
      </c>
    </row>
    <row r="486" spans="1:16" s="385" customFormat="1" ht="24.75" hidden="1" customHeight="1">
      <c r="A486" s="399">
        <v>39</v>
      </c>
      <c r="B486" s="455" t="s">
        <v>20</v>
      </c>
      <c r="C486" s="454" t="s">
        <v>1343</v>
      </c>
      <c r="D486" s="493" t="str">
        <f>_xlfn.XLOOKUP(C486,ME!$E$4:$E$999,ME!$D$4:$D$999)</f>
        <v>Mechanical Service Electrical Single Line Diagram Sheet-6</v>
      </c>
      <c r="E486" s="454" t="str">
        <f>IF(VLOOKUP(C486,ME!$E$4:$AC$488,5,0)="","",VLOOKUP(C486,ME!$E$4:$AC$987,5,0))</f>
        <v/>
      </c>
      <c r="F486" s="457"/>
      <c r="G486" s="459" t="str">
        <f>IF(VLOOKUP(C486,ME!$E$4:$AC$488,3,0)="","",VLOOKUP(C486,ME!$E$4:$AC$488,3,0))</f>
        <v/>
      </c>
      <c r="H486" s="459" t="str">
        <f>IF(ISNA(MATCH($C486,ME!$E$4:$E$1002,0)),"",
IF($E486=0,IF(INDEX(ME!$P$4:$P$1002,MATCH($C486,ME!$E$4:$E$1002,0))="","",INDEX(ME!$P$4:$P$1002,MATCH($C486,ME!$E$4:$E$1002,0))),
IF($E486=1,IF(INDEX(ME!$U$4:$U$1002,MATCH($C486,ME!$E$4:$E$1002,0))="","",INDEX(ME!$U$4:$U$1002,MATCH($C486,ME!$E$4:$E$1002,0))),
IF($E486=2,IF(INDEX(ME!$Z$4:$Z$1002,MATCH($C486,ME!$E$4:$E$1002,0))="","",INDEX(ME!$Z$4:$Z$1002,MATCH($C486,ME!$E$4:$E$1002,0))),
IF($E486=3,IF(INDEX(ME!$AE$4:$AE$1002,MATCH($C486,ME!$E$4:$E$1002,0))="","",INDEX(ME!$AE$4:$AE$1002,MATCH($C486,ME!$E$4:$E$1002,0))),
IF($E486=4,IF(INDEX(ME!$AJ$4:$AJ$1002,MATCH($C486,ME!$E$4:$E$1002,0))="","",INDEX(ME!$AJ$4:$AJ$1002,MATCH($C486,ME!$E$4:$E$1002,0))),
IF($E486=5,IF(INDEX(ME!$AO$4:$AO$1002,MATCH($C486,ME!$E$4:$E$1002,0))="","",INDEX(ME!$AO$4:$AO$1002,MATCH($C486,ME!$E$4:$E$1002,0))),"")))))))</f>
        <v/>
      </c>
      <c r="I486" s="459" t="str">
        <f>IF(ISNA(MATCH($C486,ME!$E$4:$E$1002,0)),"",
IF($E486=0,IF(INDEX(ME!$Q$4:$Q$1002,MATCH($C486,ME!$E$4:$E$1002,0))="","",INDEX(ME!$Q$4:$Q$1002,MATCH($C486,ME!$E$4:$E$1002,0))),
IF($E486=1,IF(INDEX(ME!$V$4:$V$1002,MATCH($C486,ME!$E$4:$E$1002,0))="","",INDEX(ME!$V$4:$V$1002,MATCH($C486,ME!$E$4:$E$1002,0))),
IF($E486=2,IF(INDEX(ME!$AA$4:$AA$1002,MATCH($C486,ME!$E$4:$E$1002,0))="","",INDEX(ME!$AA$4:$AA$1002,MATCH($C486,ME!$E$4:$E$1002,0))),
IF($E486=3,IF(INDEX(ME!$AF$4:$AF$1002,MATCH($C486,ME!$E$4:$E$1002,0))="","",INDEX(ME!$AF$4:$AF$1002,MATCH($C486,ME!$E$4:$E$1002,0))),
IF($E486=4,IF(INDEX(ME!$AK$4:$AK$1002,MATCH($C486,ME!$E$4:$E$1002,0))="","",INDEX(ME!$AK$4:$AK$1002,MATCH($C486,ME!$E$4:$E$1002,0))),
IF($E486=5,IF(INDEX(ME!$AP$4:$AP$1002,MATCH($C486,ME!$E$4:$E$1002,0))="","",INDEX(ME!$AP$4:$AP$1002,MATCH($C486,ME!$E$4:$E$1002,0))),"")))))))</f>
        <v/>
      </c>
      <c r="J486" s="459" t="str">
        <f>IF(ISNA(MATCH($C486,ME!$E$4:$E$1002,0)),"",
IF($E486=0,IF(INDEX(ME!$R$4:$R$1002,MATCH($C486,ME!$E$4:$E$1002,0))="","",INDEX(ME!$R$4:$R$1002,MATCH($C486,ME!$E$4:$E$1002,0))),
IF($E486=1,IF(INDEX(ME!$W$4:$W$1002,MATCH($C486,ME!$E$4:$E$1002,0))="","",INDEX(ME!$W$4:$W$1002,MATCH($C486,ME!$E$4:$E$1002,0))),
IF($E486=2,IF(INDEX(ME!$AB$4:$AB$1002,MATCH($C486,ME!$E$4:$E$1002,0))="","",INDEX(ME!$AB$4:$AB$1002,MATCH($C486,ME!$E$4:$E$1002,0))),
IF($E486=3,IF(INDEX(ME!$AG$4:$AG$1002,MATCH($C486,ME!$E$4:$E$1002,0))="","",INDEX(ME!$AG$4:$AG$1002,MATCH($C486,ME!$E$4:$E$1002,0))),
IF($E486=4,IF(INDEX(ME!$AL$4:$AL$1002,MATCH($C486,ME!$E$4:$E$1002,0))="","",INDEX(ME!$AL$4:$AL$1002,MATCH($C486,ME!$E$4:$E$1002,0))),
IF($E486=5,IF(INDEX(ME!$AQ$4:$AQ$1002,MATCH($C486,ME!$E$4:$E$1002,0))="","",INDEX(ME!$AQ$4:$AQ$1002,MATCH($C486,ME!$E$4:$E$1002,0))),"")))))))</f>
        <v/>
      </c>
      <c r="K486" s="459">
        <f>VLOOKUP(C486,ME!$E$4:$J$1009,6,0)</f>
        <v>0</v>
      </c>
      <c r="L486" s="460" t="e" cm="1">
        <f t="array" aca="1" ref="L486" ca="1">_xlfn.IFS(AND($E486&lt;&gt;"",$M486="Pending",$K486="CTA"),TODAY()-$G486,AND($E486&lt;&gt;"",$M486="Pending",$K486="AUR"),TODAY()-$H486,AND($E486&lt;&gt;"",$M486="Pending",$K486="STT"),TODAY()-$I486,OR(K486="Closed",K486=""),"")</f>
        <v>#N/A</v>
      </c>
      <c r="M486" s="461">
        <f>VLOOKUP(C486,ME!$E$4:$AC$623,7,0)</f>
        <v>0</v>
      </c>
      <c r="N486" s="454" t="str">
        <f t="shared" si="20"/>
        <v/>
      </c>
      <c r="O486" s="743" t="str">
        <f>ME!M42</f>
        <v>GC</v>
      </c>
      <c r="P486" s="748" t="str">
        <v>YES</v>
      </c>
    </row>
    <row r="487" spans="1:16" s="385" customFormat="1" ht="24.75" hidden="1" customHeight="1">
      <c r="A487" s="399">
        <v>40</v>
      </c>
      <c r="B487" s="455" t="s">
        <v>20</v>
      </c>
      <c r="C487" s="454" t="s">
        <v>1346</v>
      </c>
      <c r="D487" s="493" t="str">
        <f>_xlfn.XLOOKUP(C487,ME!$E$4:$E$999,ME!$D$4:$D$999)</f>
        <v>Mechanical Service Electrical Single Line Diagram Sheet-7</v>
      </c>
      <c r="E487" s="454" t="str">
        <f>IF(VLOOKUP(C487,ME!$E$4:$AC$488,5,0)="","",VLOOKUP(C487,ME!$E$4:$AC$987,5,0))</f>
        <v/>
      </c>
      <c r="F487" s="457"/>
      <c r="G487" s="459" t="str">
        <f>IF(VLOOKUP(C487,ME!$E$4:$AC$488,3,0)="","",VLOOKUP(C487,ME!$E$4:$AC$488,3,0))</f>
        <v/>
      </c>
      <c r="H487" s="459" t="str">
        <f>IF(ISNA(MATCH($C487,ME!$E$4:$E$1002,0)),"",
IF($E487=0,IF(INDEX(ME!$P$4:$P$1002,MATCH($C487,ME!$E$4:$E$1002,0))="","",INDEX(ME!$P$4:$P$1002,MATCH($C487,ME!$E$4:$E$1002,0))),
IF($E487=1,IF(INDEX(ME!$U$4:$U$1002,MATCH($C487,ME!$E$4:$E$1002,0))="","",INDEX(ME!$U$4:$U$1002,MATCH($C487,ME!$E$4:$E$1002,0))),
IF($E487=2,IF(INDEX(ME!$Z$4:$Z$1002,MATCH($C487,ME!$E$4:$E$1002,0))="","",INDEX(ME!$Z$4:$Z$1002,MATCH($C487,ME!$E$4:$E$1002,0))),
IF($E487=3,IF(INDEX(ME!$AE$4:$AE$1002,MATCH($C487,ME!$E$4:$E$1002,0))="","",INDEX(ME!$AE$4:$AE$1002,MATCH($C487,ME!$E$4:$E$1002,0))),
IF($E487=4,IF(INDEX(ME!$AJ$4:$AJ$1002,MATCH($C487,ME!$E$4:$E$1002,0))="","",INDEX(ME!$AJ$4:$AJ$1002,MATCH($C487,ME!$E$4:$E$1002,0))),
IF($E487=5,IF(INDEX(ME!$AO$4:$AO$1002,MATCH($C487,ME!$E$4:$E$1002,0))="","",INDEX(ME!$AO$4:$AO$1002,MATCH($C487,ME!$E$4:$E$1002,0))),"")))))))</f>
        <v/>
      </c>
      <c r="I487" s="459" t="str">
        <f>IF(ISNA(MATCH($C487,ME!$E$4:$E$1002,0)),"",
IF($E487=0,IF(INDEX(ME!$Q$4:$Q$1002,MATCH($C487,ME!$E$4:$E$1002,0))="","",INDEX(ME!$Q$4:$Q$1002,MATCH($C487,ME!$E$4:$E$1002,0))),
IF($E487=1,IF(INDEX(ME!$V$4:$V$1002,MATCH($C487,ME!$E$4:$E$1002,0))="","",INDEX(ME!$V$4:$V$1002,MATCH($C487,ME!$E$4:$E$1002,0))),
IF($E487=2,IF(INDEX(ME!$AA$4:$AA$1002,MATCH($C487,ME!$E$4:$E$1002,0))="","",INDEX(ME!$AA$4:$AA$1002,MATCH($C487,ME!$E$4:$E$1002,0))),
IF($E487=3,IF(INDEX(ME!$AF$4:$AF$1002,MATCH($C487,ME!$E$4:$E$1002,0))="","",INDEX(ME!$AF$4:$AF$1002,MATCH($C487,ME!$E$4:$E$1002,0))),
IF($E487=4,IF(INDEX(ME!$AK$4:$AK$1002,MATCH($C487,ME!$E$4:$E$1002,0))="","",INDEX(ME!$AK$4:$AK$1002,MATCH($C487,ME!$E$4:$E$1002,0))),
IF($E487=5,IF(INDEX(ME!$AP$4:$AP$1002,MATCH($C487,ME!$E$4:$E$1002,0))="","",INDEX(ME!$AP$4:$AP$1002,MATCH($C487,ME!$E$4:$E$1002,0))),"")))))))</f>
        <v/>
      </c>
      <c r="J487" s="459" t="str">
        <f>IF(ISNA(MATCH($C487,ME!$E$4:$E$1002,0)),"",
IF($E487=0,IF(INDEX(ME!$R$4:$R$1002,MATCH($C487,ME!$E$4:$E$1002,0))="","",INDEX(ME!$R$4:$R$1002,MATCH($C487,ME!$E$4:$E$1002,0))),
IF($E487=1,IF(INDEX(ME!$W$4:$W$1002,MATCH($C487,ME!$E$4:$E$1002,0))="","",INDEX(ME!$W$4:$W$1002,MATCH($C487,ME!$E$4:$E$1002,0))),
IF($E487=2,IF(INDEX(ME!$AB$4:$AB$1002,MATCH($C487,ME!$E$4:$E$1002,0))="","",INDEX(ME!$AB$4:$AB$1002,MATCH($C487,ME!$E$4:$E$1002,0))),
IF($E487=3,IF(INDEX(ME!$AG$4:$AG$1002,MATCH($C487,ME!$E$4:$E$1002,0))="","",INDEX(ME!$AG$4:$AG$1002,MATCH($C487,ME!$E$4:$E$1002,0))),
IF($E487=4,IF(INDEX(ME!$AL$4:$AL$1002,MATCH($C487,ME!$E$4:$E$1002,0))="","",INDEX(ME!$AL$4:$AL$1002,MATCH($C487,ME!$E$4:$E$1002,0))),
IF($E487=5,IF(INDEX(ME!$AQ$4:$AQ$1002,MATCH($C487,ME!$E$4:$E$1002,0))="","",INDEX(ME!$AQ$4:$AQ$1002,MATCH($C487,ME!$E$4:$E$1002,0))),"")))))))</f>
        <v/>
      </c>
      <c r="K487" s="459">
        <f>VLOOKUP(C487,ME!$E$4:$J$1009,6,0)</f>
        <v>0</v>
      </c>
      <c r="L487" s="460" t="e" cm="1">
        <f t="array" aca="1" ref="L487" ca="1">_xlfn.IFS(AND($E487&lt;&gt;"",$M487="Pending",$K487="CTA"),TODAY()-$G487,AND($E487&lt;&gt;"",$M487="Pending",$K487="AUR"),TODAY()-$H487,AND($E487&lt;&gt;"",$M487="Pending",$K487="STT"),TODAY()-$I487,OR(K487="Closed",K487=""),"")</f>
        <v>#N/A</v>
      </c>
      <c r="M487" s="461">
        <f>VLOOKUP(C487,ME!$E$4:$AC$623,7,0)</f>
        <v>0</v>
      </c>
      <c r="N487" s="454" t="str">
        <f t="shared" si="20"/>
        <v/>
      </c>
      <c r="O487" s="743" t="str">
        <f>ME!M43</f>
        <v>GC</v>
      </c>
      <c r="P487" s="748" t="str">
        <v>YES</v>
      </c>
    </row>
    <row r="488" spans="1:16" s="385" customFormat="1" ht="24.75" hidden="1" customHeight="1">
      <c r="A488" s="399">
        <v>41</v>
      </c>
      <c r="B488" s="455" t="s">
        <v>20</v>
      </c>
      <c r="C488" s="454" t="s">
        <v>1349</v>
      </c>
      <c r="D488" s="493" t="str">
        <f>_xlfn.XLOOKUP(C488,ME!$E$4:$E$999,ME!$D$4:$D$999)</f>
        <v>Mechanical Service Electrical Single Line Diagram Sheet-8</v>
      </c>
      <c r="E488" s="454" t="str">
        <f>IF(VLOOKUP(C488,ME!$E$4:$AC$488,5,0)="","",VLOOKUP(C488,ME!$E$4:$AC$987,5,0))</f>
        <v/>
      </c>
      <c r="F488" s="457"/>
      <c r="G488" s="459" t="str">
        <f>IF(VLOOKUP(C488,ME!$E$4:$AC$488,3,0)="","",VLOOKUP(C488,ME!$E$4:$AC$488,3,0))</f>
        <v/>
      </c>
      <c r="H488" s="459" t="str">
        <f>IF(ISNA(MATCH($C488,ME!$E$4:$E$1002,0)),"",
IF($E488=0,IF(INDEX(ME!$P$4:$P$1002,MATCH($C488,ME!$E$4:$E$1002,0))="","",INDEX(ME!$P$4:$P$1002,MATCH($C488,ME!$E$4:$E$1002,0))),
IF($E488=1,IF(INDEX(ME!$U$4:$U$1002,MATCH($C488,ME!$E$4:$E$1002,0))="","",INDEX(ME!$U$4:$U$1002,MATCH($C488,ME!$E$4:$E$1002,0))),
IF($E488=2,IF(INDEX(ME!$Z$4:$Z$1002,MATCH($C488,ME!$E$4:$E$1002,0))="","",INDEX(ME!$Z$4:$Z$1002,MATCH($C488,ME!$E$4:$E$1002,0))),
IF($E488=3,IF(INDEX(ME!$AE$4:$AE$1002,MATCH($C488,ME!$E$4:$E$1002,0))="","",INDEX(ME!$AE$4:$AE$1002,MATCH($C488,ME!$E$4:$E$1002,0))),
IF($E488=4,IF(INDEX(ME!$AJ$4:$AJ$1002,MATCH($C488,ME!$E$4:$E$1002,0))="","",INDEX(ME!$AJ$4:$AJ$1002,MATCH($C488,ME!$E$4:$E$1002,0))),
IF($E488=5,IF(INDEX(ME!$AO$4:$AO$1002,MATCH($C488,ME!$E$4:$E$1002,0))="","",INDEX(ME!$AO$4:$AO$1002,MATCH($C488,ME!$E$4:$E$1002,0))),"")))))))</f>
        <v/>
      </c>
      <c r="I488" s="459" t="str">
        <f>IF(ISNA(MATCH($C488,ME!$E$4:$E$1002,0)),"",
IF($E488=0,IF(INDEX(ME!$Q$4:$Q$1002,MATCH($C488,ME!$E$4:$E$1002,0))="","",INDEX(ME!$Q$4:$Q$1002,MATCH($C488,ME!$E$4:$E$1002,0))),
IF($E488=1,IF(INDEX(ME!$V$4:$V$1002,MATCH($C488,ME!$E$4:$E$1002,0))="","",INDEX(ME!$V$4:$V$1002,MATCH($C488,ME!$E$4:$E$1002,0))),
IF($E488=2,IF(INDEX(ME!$AA$4:$AA$1002,MATCH($C488,ME!$E$4:$E$1002,0))="","",INDEX(ME!$AA$4:$AA$1002,MATCH($C488,ME!$E$4:$E$1002,0))),
IF($E488=3,IF(INDEX(ME!$AF$4:$AF$1002,MATCH($C488,ME!$E$4:$E$1002,0))="","",INDEX(ME!$AF$4:$AF$1002,MATCH($C488,ME!$E$4:$E$1002,0))),
IF($E488=4,IF(INDEX(ME!$AK$4:$AK$1002,MATCH($C488,ME!$E$4:$E$1002,0))="","",INDEX(ME!$AK$4:$AK$1002,MATCH($C488,ME!$E$4:$E$1002,0))),
IF($E488=5,IF(INDEX(ME!$AP$4:$AP$1002,MATCH($C488,ME!$E$4:$E$1002,0))="","",INDEX(ME!$AP$4:$AP$1002,MATCH($C488,ME!$E$4:$E$1002,0))),"")))))))</f>
        <v/>
      </c>
      <c r="J488" s="459" t="str">
        <f>IF(ISNA(MATCH($C488,ME!$E$4:$E$1002,0)),"",
IF($E488=0,IF(INDEX(ME!$R$4:$R$1002,MATCH($C488,ME!$E$4:$E$1002,0))="","",INDEX(ME!$R$4:$R$1002,MATCH($C488,ME!$E$4:$E$1002,0))),
IF($E488=1,IF(INDEX(ME!$W$4:$W$1002,MATCH($C488,ME!$E$4:$E$1002,0))="","",INDEX(ME!$W$4:$W$1002,MATCH($C488,ME!$E$4:$E$1002,0))),
IF($E488=2,IF(INDEX(ME!$AB$4:$AB$1002,MATCH($C488,ME!$E$4:$E$1002,0))="","",INDEX(ME!$AB$4:$AB$1002,MATCH($C488,ME!$E$4:$E$1002,0))),
IF($E488=3,IF(INDEX(ME!$AG$4:$AG$1002,MATCH($C488,ME!$E$4:$E$1002,0))="","",INDEX(ME!$AG$4:$AG$1002,MATCH($C488,ME!$E$4:$E$1002,0))),
IF($E488=4,IF(INDEX(ME!$AL$4:$AL$1002,MATCH($C488,ME!$E$4:$E$1002,0))="","",INDEX(ME!$AL$4:$AL$1002,MATCH($C488,ME!$E$4:$E$1002,0))),
IF($E488=5,IF(INDEX(ME!$AQ$4:$AQ$1002,MATCH($C488,ME!$E$4:$E$1002,0))="","",INDEX(ME!$AQ$4:$AQ$1002,MATCH($C488,ME!$E$4:$E$1002,0))),"")))))))</f>
        <v/>
      </c>
      <c r="K488" s="459">
        <f>VLOOKUP(C488,ME!$E$4:$J$1009,6,0)</f>
        <v>0</v>
      </c>
      <c r="L488" s="460" t="e" cm="1">
        <f t="array" aca="1" ref="L488" ca="1">_xlfn.IFS(AND($E488&lt;&gt;"",$M488="Pending",$K488="CTA"),TODAY()-$G488,AND($E488&lt;&gt;"",$M488="Pending",$K488="AUR"),TODAY()-$H488,AND($E488&lt;&gt;"",$M488="Pending",$K488="STT"),TODAY()-$I488,OR(K488="Closed",K488=""),"")</f>
        <v>#N/A</v>
      </c>
      <c r="M488" s="461">
        <f>VLOOKUP(C488,ME!$E$4:$AC$623,7,0)</f>
        <v>0</v>
      </c>
      <c r="N488" s="454" t="str">
        <f t="shared" si="20"/>
        <v/>
      </c>
      <c r="O488" s="743" t="str">
        <f>ME!M44</f>
        <v>GC</v>
      </c>
      <c r="P488" s="748" t="str">
        <v>YES</v>
      </c>
    </row>
    <row r="489" spans="1:16" s="385" customFormat="1" ht="24.75" hidden="1" customHeight="1">
      <c r="A489" s="399">
        <v>42</v>
      </c>
      <c r="B489" s="455" t="s">
        <v>20</v>
      </c>
      <c r="C489" s="454" t="s">
        <v>1352</v>
      </c>
      <c r="D489" s="493" t="str">
        <f>_xlfn.XLOOKUP(C489,ME!$E$4:$E$999,ME!$D$4:$D$999)</f>
        <v>Mechanical Service Electrical Single Line Diagram Sheet-9</v>
      </c>
      <c r="E489" s="454" t="str">
        <f>IF(VLOOKUP(C489,ME!$E$4:$AC$488,5,0)="","",VLOOKUP(C489,ME!$E$4:$AC$987,5,0))</f>
        <v/>
      </c>
      <c r="F489" s="457"/>
      <c r="G489" s="459" t="str">
        <f>IF(VLOOKUP(C489,ME!$E$4:$AC$488,3,0)="","",VLOOKUP(C489,ME!$E$4:$AC$488,3,0))</f>
        <v/>
      </c>
      <c r="H489" s="459" t="str">
        <f>IF(ISNA(MATCH($C489,ME!$E$4:$E$1002,0)),"",
IF($E489=0,IF(INDEX(ME!$P$4:$P$1002,MATCH($C489,ME!$E$4:$E$1002,0))="","",INDEX(ME!$P$4:$P$1002,MATCH($C489,ME!$E$4:$E$1002,0))),
IF($E489=1,IF(INDEX(ME!$U$4:$U$1002,MATCH($C489,ME!$E$4:$E$1002,0))="","",INDEX(ME!$U$4:$U$1002,MATCH($C489,ME!$E$4:$E$1002,0))),
IF($E489=2,IF(INDEX(ME!$Z$4:$Z$1002,MATCH($C489,ME!$E$4:$E$1002,0))="","",INDEX(ME!$Z$4:$Z$1002,MATCH($C489,ME!$E$4:$E$1002,0))),
IF($E489=3,IF(INDEX(ME!$AE$4:$AE$1002,MATCH($C489,ME!$E$4:$E$1002,0))="","",INDEX(ME!$AE$4:$AE$1002,MATCH($C489,ME!$E$4:$E$1002,0))),
IF($E489=4,IF(INDEX(ME!$AJ$4:$AJ$1002,MATCH($C489,ME!$E$4:$E$1002,0))="","",INDEX(ME!$AJ$4:$AJ$1002,MATCH($C489,ME!$E$4:$E$1002,0))),
IF($E489=5,IF(INDEX(ME!$AO$4:$AO$1002,MATCH($C489,ME!$E$4:$E$1002,0))="","",INDEX(ME!$AO$4:$AO$1002,MATCH($C489,ME!$E$4:$E$1002,0))),"")))))))</f>
        <v/>
      </c>
      <c r="I489" s="459" t="str">
        <f>IF(ISNA(MATCH($C489,ME!$E$4:$E$1002,0)),"",
IF($E489=0,IF(INDEX(ME!$Q$4:$Q$1002,MATCH($C489,ME!$E$4:$E$1002,0))="","",INDEX(ME!$Q$4:$Q$1002,MATCH($C489,ME!$E$4:$E$1002,0))),
IF($E489=1,IF(INDEX(ME!$V$4:$V$1002,MATCH($C489,ME!$E$4:$E$1002,0))="","",INDEX(ME!$V$4:$V$1002,MATCH($C489,ME!$E$4:$E$1002,0))),
IF($E489=2,IF(INDEX(ME!$AA$4:$AA$1002,MATCH($C489,ME!$E$4:$E$1002,0))="","",INDEX(ME!$AA$4:$AA$1002,MATCH($C489,ME!$E$4:$E$1002,0))),
IF($E489=3,IF(INDEX(ME!$AF$4:$AF$1002,MATCH($C489,ME!$E$4:$E$1002,0))="","",INDEX(ME!$AF$4:$AF$1002,MATCH($C489,ME!$E$4:$E$1002,0))),
IF($E489=4,IF(INDEX(ME!$AK$4:$AK$1002,MATCH($C489,ME!$E$4:$E$1002,0))="","",INDEX(ME!$AK$4:$AK$1002,MATCH($C489,ME!$E$4:$E$1002,0))),
IF($E489=5,IF(INDEX(ME!$AP$4:$AP$1002,MATCH($C489,ME!$E$4:$E$1002,0))="","",INDEX(ME!$AP$4:$AP$1002,MATCH($C489,ME!$E$4:$E$1002,0))),"")))))))</f>
        <v/>
      </c>
      <c r="J489" s="459" t="str">
        <f>IF(ISNA(MATCH($C489,ME!$E$4:$E$1002,0)),"",
IF($E489=0,IF(INDEX(ME!$R$4:$R$1002,MATCH($C489,ME!$E$4:$E$1002,0))="","",INDEX(ME!$R$4:$R$1002,MATCH($C489,ME!$E$4:$E$1002,0))),
IF($E489=1,IF(INDEX(ME!$W$4:$W$1002,MATCH($C489,ME!$E$4:$E$1002,0))="","",INDEX(ME!$W$4:$W$1002,MATCH($C489,ME!$E$4:$E$1002,0))),
IF($E489=2,IF(INDEX(ME!$AB$4:$AB$1002,MATCH($C489,ME!$E$4:$E$1002,0))="","",INDEX(ME!$AB$4:$AB$1002,MATCH($C489,ME!$E$4:$E$1002,0))),
IF($E489=3,IF(INDEX(ME!$AG$4:$AG$1002,MATCH($C489,ME!$E$4:$E$1002,0))="","",INDEX(ME!$AG$4:$AG$1002,MATCH($C489,ME!$E$4:$E$1002,0))),
IF($E489=4,IF(INDEX(ME!$AL$4:$AL$1002,MATCH($C489,ME!$E$4:$E$1002,0))="","",INDEX(ME!$AL$4:$AL$1002,MATCH($C489,ME!$E$4:$E$1002,0))),
IF($E489=5,IF(INDEX(ME!$AQ$4:$AQ$1002,MATCH($C489,ME!$E$4:$E$1002,0))="","",INDEX(ME!$AQ$4:$AQ$1002,MATCH($C489,ME!$E$4:$E$1002,0))),"")))))))</f>
        <v/>
      </c>
      <c r="K489" s="459">
        <f>VLOOKUP(C489,ME!$E$4:$J$1009,6,0)</f>
        <v>0</v>
      </c>
      <c r="L489" s="460" t="e" cm="1">
        <f t="array" aca="1" ref="L489" ca="1">_xlfn.IFS(AND($E489&lt;&gt;"",$M489="Pending",$K489="CTA"),TODAY()-$G489,AND($E489&lt;&gt;"",$M489="Pending",$K489="AUR"),TODAY()-$H489,AND($E489&lt;&gt;"",$M489="Pending",$K489="STT"),TODAY()-$I489,OR(K489="Closed",K489=""),"")</f>
        <v>#N/A</v>
      </c>
      <c r="M489" s="461">
        <f>VLOOKUP(C489,ME!$E$4:$AC$623,7,0)</f>
        <v>0</v>
      </c>
      <c r="N489" s="454" t="str">
        <f t="shared" si="20"/>
        <v/>
      </c>
      <c r="O489" s="743" t="str">
        <f>ME!M45</f>
        <v>GC</v>
      </c>
      <c r="P489" s="748" t="str">
        <v>YES</v>
      </c>
    </row>
    <row r="490" spans="1:16" s="385" customFormat="1" ht="24.75" hidden="1" customHeight="1">
      <c r="A490" s="399">
        <v>43</v>
      </c>
      <c r="B490" s="455" t="s">
        <v>20</v>
      </c>
      <c r="C490" s="454" t="s">
        <v>1355</v>
      </c>
      <c r="D490" s="493" t="str">
        <f>_xlfn.XLOOKUP(C490,ME!$E$4:$E$999,ME!$D$4:$D$999)</f>
        <v>Mechanical Service Electrical Single Line Diagram Sheet-10</v>
      </c>
      <c r="E490" s="454" t="str">
        <f>IF(VLOOKUP(C490,ME!$E$4:$AC$488,5,0)="","",VLOOKUP(C490,ME!$E$4:$AC$987,5,0))</f>
        <v/>
      </c>
      <c r="F490" s="457"/>
      <c r="G490" s="459" t="str">
        <f>IF(VLOOKUP(C490,ME!$E$4:$AC$488,3,0)="","",VLOOKUP(C490,ME!$E$4:$AC$488,3,0))</f>
        <v/>
      </c>
      <c r="H490" s="459" t="str">
        <f>IF(ISNA(MATCH($C490,ME!$E$4:$E$1002,0)),"",
IF($E490=0,IF(INDEX(ME!$P$4:$P$1002,MATCH($C490,ME!$E$4:$E$1002,0))="","",INDEX(ME!$P$4:$P$1002,MATCH($C490,ME!$E$4:$E$1002,0))),
IF($E490=1,IF(INDEX(ME!$U$4:$U$1002,MATCH($C490,ME!$E$4:$E$1002,0))="","",INDEX(ME!$U$4:$U$1002,MATCH($C490,ME!$E$4:$E$1002,0))),
IF($E490=2,IF(INDEX(ME!$Z$4:$Z$1002,MATCH($C490,ME!$E$4:$E$1002,0))="","",INDEX(ME!$Z$4:$Z$1002,MATCH($C490,ME!$E$4:$E$1002,0))),
IF($E490=3,IF(INDEX(ME!$AE$4:$AE$1002,MATCH($C490,ME!$E$4:$E$1002,0))="","",INDEX(ME!$AE$4:$AE$1002,MATCH($C490,ME!$E$4:$E$1002,0))),
IF($E490=4,IF(INDEX(ME!$AJ$4:$AJ$1002,MATCH($C490,ME!$E$4:$E$1002,0))="","",INDEX(ME!$AJ$4:$AJ$1002,MATCH($C490,ME!$E$4:$E$1002,0))),
IF($E490=5,IF(INDEX(ME!$AO$4:$AO$1002,MATCH($C490,ME!$E$4:$E$1002,0))="","",INDEX(ME!$AO$4:$AO$1002,MATCH($C490,ME!$E$4:$E$1002,0))),"")))))))</f>
        <v/>
      </c>
      <c r="I490" s="459" t="str">
        <f>IF(ISNA(MATCH($C490,ME!$E$4:$E$1002,0)),"",
IF($E490=0,IF(INDEX(ME!$Q$4:$Q$1002,MATCH($C490,ME!$E$4:$E$1002,0))="","",INDEX(ME!$Q$4:$Q$1002,MATCH($C490,ME!$E$4:$E$1002,0))),
IF($E490=1,IF(INDEX(ME!$V$4:$V$1002,MATCH($C490,ME!$E$4:$E$1002,0))="","",INDEX(ME!$V$4:$V$1002,MATCH($C490,ME!$E$4:$E$1002,0))),
IF($E490=2,IF(INDEX(ME!$AA$4:$AA$1002,MATCH($C490,ME!$E$4:$E$1002,0))="","",INDEX(ME!$AA$4:$AA$1002,MATCH($C490,ME!$E$4:$E$1002,0))),
IF($E490=3,IF(INDEX(ME!$AF$4:$AF$1002,MATCH($C490,ME!$E$4:$E$1002,0))="","",INDEX(ME!$AF$4:$AF$1002,MATCH($C490,ME!$E$4:$E$1002,0))),
IF($E490=4,IF(INDEX(ME!$AK$4:$AK$1002,MATCH($C490,ME!$E$4:$E$1002,0))="","",INDEX(ME!$AK$4:$AK$1002,MATCH($C490,ME!$E$4:$E$1002,0))),
IF($E490=5,IF(INDEX(ME!$AP$4:$AP$1002,MATCH($C490,ME!$E$4:$E$1002,0))="","",INDEX(ME!$AP$4:$AP$1002,MATCH($C490,ME!$E$4:$E$1002,0))),"")))))))</f>
        <v/>
      </c>
      <c r="J490" s="459" t="str">
        <f>IF(ISNA(MATCH($C490,ME!$E$4:$E$1002,0)),"",
IF($E490=0,IF(INDEX(ME!$R$4:$R$1002,MATCH($C490,ME!$E$4:$E$1002,0))="","",INDEX(ME!$R$4:$R$1002,MATCH($C490,ME!$E$4:$E$1002,0))),
IF($E490=1,IF(INDEX(ME!$W$4:$W$1002,MATCH($C490,ME!$E$4:$E$1002,0))="","",INDEX(ME!$W$4:$W$1002,MATCH($C490,ME!$E$4:$E$1002,0))),
IF($E490=2,IF(INDEX(ME!$AB$4:$AB$1002,MATCH($C490,ME!$E$4:$E$1002,0))="","",INDEX(ME!$AB$4:$AB$1002,MATCH($C490,ME!$E$4:$E$1002,0))),
IF($E490=3,IF(INDEX(ME!$AG$4:$AG$1002,MATCH($C490,ME!$E$4:$E$1002,0))="","",INDEX(ME!$AG$4:$AG$1002,MATCH($C490,ME!$E$4:$E$1002,0))),
IF($E490=4,IF(INDEX(ME!$AL$4:$AL$1002,MATCH($C490,ME!$E$4:$E$1002,0))="","",INDEX(ME!$AL$4:$AL$1002,MATCH($C490,ME!$E$4:$E$1002,0))),
IF($E490=5,IF(INDEX(ME!$AQ$4:$AQ$1002,MATCH($C490,ME!$E$4:$E$1002,0))="","",INDEX(ME!$AQ$4:$AQ$1002,MATCH($C490,ME!$E$4:$E$1002,0))),"")))))))</f>
        <v/>
      </c>
      <c r="K490" s="459">
        <f>VLOOKUP(C490,ME!$E$4:$J$1009,6,0)</f>
        <v>0</v>
      </c>
      <c r="L490" s="460" t="e" cm="1">
        <f t="array" aca="1" ref="L490" ca="1">_xlfn.IFS(AND($E490&lt;&gt;"",$M490="Pending",$K490="CTA"),TODAY()-$G490,AND($E490&lt;&gt;"",$M490="Pending",$K490="AUR"),TODAY()-$H490,AND($E490&lt;&gt;"",$M490="Pending",$K490="STT"),TODAY()-$I490,OR(K490="Closed",K490=""),"")</f>
        <v>#N/A</v>
      </c>
      <c r="M490" s="461">
        <f>VLOOKUP(C490,ME!$E$4:$AC$623,7,0)</f>
        <v>0</v>
      </c>
      <c r="N490" s="454" t="str">
        <f t="shared" si="20"/>
        <v/>
      </c>
      <c r="O490" s="743" t="str">
        <f>ME!M46</f>
        <v>GC</v>
      </c>
      <c r="P490" s="748" t="str">
        <v>YES</v>
      </c>
    </row>
    <row r="491" spans="1:16" s="385" customFormat="1" ht="24.75" hidden="1" customHeight="1">
      <c r="A491" s="399">
        <v>44</v>
      </c>
      <c r="B491" s="455" t="s">
        <v>20</v>
      </c>
      <c r="C491" s="454" t="s">
        <v>1358</v>
      </c>
      <c r="D491" s="493" t="str">
        <f>_xlfn.XLOOKUP(C491,ME!$E$4:$E$999,ME!$D$4:$D$999)</f>
        <v>Mechanical Service Electrical Single Line Diagram Sheet-11</v>
      </c>
      <c r="E491" s="454" t="str">
        <f>IF(VLOOKUP(C491,ME!$E$4:$AC$488,5,0)="","",VLOOKUP(C491,ME!$E$4:$AC$987,5,0))</f>
        <v/>
      </c>
      <c r="F491" s="457"/>
      <c r="G491" s="459" t="str">
        <f>IF(VLOOKUP(C491,ME!$E$4:$AC$488,3,0)="","",VLOOKUP(C491,ME!$E$4:$AC$488,3,0))</f>
        <v/>
      </c>
      <c r="H491" s="459" t="str">
        <f>IF(ISNA(MATCH($C491,ME!$E$4:$E$1002,0)),"",
IF($E491=0,IF(INDEX(ME!$P$4:$P$1002,MATCH($C491,ME!$E$4:$E$1002,0))="","",INDEX(ME!$P$4:$P$1002,MATCH($C491,ME!$E$4:$E$1002,0))),
IF($E491=1,IF(INDEX(ME!$U$4:$U$1002,MATCH($C491,ME!$E$4:$E$1002,0))="","",INDEX(ME!$U$4:$U$1002,MATCH($C491,ME!$E$4:$E$1002,0))),
IF($E491=2,IF(INDEX(ME!$Z$4:$Z$1002,MATCH($C491,ME!$E$4:$E$1002,0))="","",INDEX(ME!$Z$4:$Z$1002,MATCH($C491,ME!$E$4:$E$1002,0))),
IF($E491=3,IF(INDEX(ME!$AE$4:$AE$1002,MATCH($C491,ME!$E$4:$E$1002,0))="","",INDEX(ME!$AE$4:$AE$1002,MATCH($C491,ME!$E$4:$E$1002,0))),
IF($E491=4,IF(INDEX(ME!$AJ$4:$AJ$1002,MATCH($C491,ME!$E$4:$E$1002,0))="","",INDEX(ME!$AJ$4:$AJ$1002,MATCH($C491,ME!$E$4:$E$1002,0))),
IF($E491=5,IF(INDEX(ME!$AO$4:$AO$1002,MATCH($C491,ME!$E$4:$E$1002,0))="","",INDEX(ME!$AO$4:$AO$1002,MATCH($C491,ME!$E$4:$E$1002,0))),"")))))))</f>
        <v/>
      </c>
      <c r="I491" s="459" t="str">
        <f>IF(ISNA(MATCH($C491,ME!$E$4:$E$1002,0)),"",
IF($E491=0,IF(INDEX(ME!$Q$4:$Q$1002,MATCH($C491,ME!$E$4:$E$1002,0))="","",INDEX(ME!$Q$4:$Q$1002,MATCH($C491,ME!$E$4:$E$1002,0))),
IF($E491=1,IF(INDEX(ME!$V$4:$V$1002,MATCH($C491,ME!$E$4:$E$1002,0))="","",INDEX(ME!$V$4:$V$1002,MATCH($C491,ME!$E$4:$E$1002,0))),
IF($E491=2,IF(INDEX(ME!$AA$4:$AA$1002,MATCH($C491,ME!$E$4:$E$1002,0))="","",INDEX(ME!$AA$4:$AA$1002,MATCH($C491,ME!$E$4:$E$1002,0))),
IF($E491=3,IF(INDEX(ME!$AF$4:$AF$1002,MATCH($C491,ME!$E$4:$E$1002,0))="","",INDEX(ME!$AF$4:$AF$1002,MATCH($C491,ME!$E$4:$E$1002,0))),
IF($E491=4,IF(INDEX(ME!$AK$4:$AK$1002,MATCH($C491,ME!$E$4:$E$1002,0))="","",INDEX(ME!$AK$4:$AK$1002,MATCH($C491,ME!$E$4:$E$1002,0))),
IF($E491=5,IF(INDEX(ME!$AP$4:$AP$1002,MATCH($C491,ME!$E$4:$E$1002,0))="","",INDEX(ME!$AP$4:$AP$1002,MATCH($C491,ME!$E$4:$E$1002,0))),"")))))))</f>
        <v/>
      </c>
      <c r="J491" s="459" t="str">
        <f>IF(ISNA(MATCH($C491,ME!$E$4:$E$1002,0)),"",
IF($E491=0,IF(INDEX(ME!$R$4:$R$1002,MATCH($C491,ME!$E$4:$E$1002,0))="","",INDEX(ME!$R$4:$R$1002,MATCH($C491,ME!$E$4:$E$1002,0))),
IF($E491=1,IF(INDEX(ME!$W$4:$W$1002,MATCH($C491,ME!$E$4:$E$1002,0))="","",INDEX(ME!$W$4:$W$1002,MATCH($C491,ME!$E$4:$E$1002,0))),
IF($E491=2,IF(INDEX(ME!$AB$4:$AB$1002,MATCH($C491,ME!$E$4:$E$1002,0))="","",INDEX(ME!$AB$4:$AB$1002,MATCH($C491,ME!$E$4:$E$1002,0))),
IF($E491=3,IF(INDEX(ME!$AG$4:$AG$1002,MATCH($C491,ME!$E$4:$E$1002,0))="","",INDEX(ME!$AG$4:$AG$1002,MATCH($C491,ME!$E$4:$E$1002,0))),
IF($E491=4,IF(INDEX(ME!$AL$4:$AL$1002,MATCH($C491,ME!$E$4:$E$1002,0))="","",INDEX(ME!$AL$4:$AL$1002,MATCH($C491,ME!$E$4:$E$1002,0))),
IF($E491=5,IF(INDEX(ME!$AQ$4:$AQ$1002,MATCH($C491,ME!$E$4:$E$1002,0))="","",INDEX(ME!$AQ$4:$AQ$1002,MATCH($C491,ME!$E$4:$E$1002,0))),"")))))))</f>
        <v/>
      </c>
      <c r="K491" s="459">
        <f>VLOOKUP(C491,ME!$E$4:$J$1009,6,0)</f>
        <v>0</v>
      </c>
      <c r="L491" s="460" t="e" cm="1">
        <f t="array" aca="1" ref="L491" ca="1">_xlfn.IFS(AND($E491&lt;&gt;"",$M491="Pending",$K491="CTA"),TODAY()-$G491,AND($E491&lt;&gt;"",$M491="Pending",$K491="AUR"),TODAY()-$H491,AND($E491&lt;&gt;"",$M491="Pending",$K491="STT"),TODAY()-$I491,OR(K491="Closed",K491=""),"")</f>
        <v>#N/A</v>
      </c>
      <c r="M491" s="461">
        <f>VLOOKUP(C491,ME!$E$4:$AC$623,7,0)</f>
        <v>0</v>
      </c>
      <c r="N491" s="454" t="str">
        <f t="shared" si="20"/>
        <v/>
      </c>
      <c r="O491" s="743" t="str">
        <f>ME!M47</f>
        <v>GC</v>
      </c>
      <c r="P491" s="748" t="str">
        <v>YES</v>
      </c>
    </row>
    <row r="492" spans="1:16" s="385" customFormat="1" ht="24.75" hidden="1" customHeight="1">
      <c r="A492" s="399">
        <v>45</v>
      </c>
      <c r="B492" s="455" t="s">
        <v>20</v>
      </c>
      <c r="C492" s="454" t="s">
        <v>1361</v>
      </c>
      <c r="D492" s="493" t="str">
        <f>_xlfn.XLOOKUP(C492,ME!$E$4:$E$999,ME!$D$4:$D$999)</f>
        <v>Mechanical Service Electrical Single Line Diagram Sheet-12</v>
      </c>
      <c r="E492" s="454" t="str">
        <f>IF(VLOOKUP(C492,ME!$E$4:$AC$488,5,0)="","",VLOOKUP(C492,ME!$E$4:$AC$987,5,0))</f>
        <v/>
      </c>
      <c r="F492" s="457"/>
      <c r="G492" s="459" t="str">
        <f>IF(VLOOKUP(C492,ME!$E$4:$AC$488,3,0)="","",VLOOKUP(C492,ME!$E$4:$AC$488,3,0))</f>
        <v/>
      </c>
      <c r="H492" s="459" t="str">
        <f>IF(ISNA(MATCH($C492,ME!$E$4:$E$1002,0)),"",
IF($E492=0,IF(INDEX(ME!$P$4:$P$1002,MATCH($C492,ME!$E$4:$E$1002,0))="","",INDEX(ME!$P$4:$P$1002,MATCH($C492,ME!$E$4:$E$1002,0))),
IF($E492=1,IF(INDEX(ME!$U$4:$U$1002,MATCH($C492,ME!$E$4:$E$1002,0))="","",INDEX(ME!$U$4:$U$1002,MATCH($C492,ME!$E$4:$E$1002,0))),
IF($E492=2,IF(INDEX(ME!$Z$4:$Z$1002,MATCH($C492,ME!$E$4:$E$1002,0))="","",INDEX(ME!$Z$4:$Z$1002,MATCH($C492,ME!$E$4:$E$1002,0))),
IF($E492=3,IF(INDEX(ME!$AE$4:$AE$1002,MATCH($C492,ME!$E$4:$E$1002,0))="","",INDEX(ME!$AE$4:$AE$1002,MATCH($C492,ME!$E$4:$E$1002,0))),
IF($E492=4,IF(INDEX(ME!$AJ$4:$AJ$1002,MATCH($C492,ME!$E$4:$E$1002,0))="","",INDEX(ME!$AJ$4:$AJ$1002,MATCH($C492,ME!$E$4:$E$1002,0))),
IF($E492=5,IF(INDEX(ME!$AO$4:$AO$1002,MATCH($C492,ME!$E$4:$E$1002,0))="","",INDEX(ME!$AO$4:$AO$1002,MATCH($C492,ME!$E$4:$E$1002,0))),"")))))))</f>
        <v/>
      </c>
      <c r="I492" s="459" t="str">
        <f>IF(ISNA(MATCH($C492,ME!$E$4:$E$1002,0)),"",
IF($E492=0,IF(INDEX(ME!$Q$4:$Q$1002,MATCH($C492,ME!$E$4:$E$1002,0))="","",INDEX(ME!$Q$4:$Q$1002,MATCH($C492,ME!$E$4:$E$1002,0))),
IF($E492=1,IF(INDEX(ME!$V$4:$V$1002,MATCH($C492,ME!$E$4:$E$1002,0))="","",INDEX(ME!$V$4:$V$1002,MATCH($C492,ME!$E$4:$E$1002,0))),
IF($E492=2,IF(INDEX(ME!$AA$4:$AA$1002,MATCH($C492,ME!$E$4:$E$1002,0))="","",INDEX(ME!$AA$4:$AA$1002,MATCH($C492,ME!$E$4:$E$1002,0))),
IF($E492=3,IF(INDEX(ME!$AF$4:$AF$1002,MATCH($C492,ME!$E$4:$E$1002,0))="","",INDEX(ME!$AF$4:$AF$1002,MATCH($C492,ME!$E$4:$E$1002,0))),
IF($E492=4,IF(INDEX(ME!$AK$4:$AK$1002,MATCH($C492,ME!$E$4:$E$1002,0))="","",INDEX(ME!$AK$4:$AK$1002,MATCH($C492,ME!$E$4:$E$1002,0))),
IF($E492=5,IF(INDEX(ME!$AP$4:$AP$1002,MATCH($C492,ME!$E$4:$E$1002,0))="","",INDEX(ME!$AP$4:$AP$1002,MATCH($C492,ME!$E$4:$E$1002,0))),"")))))))</f>
        <v/>
      </c>
      <c r="J492" s="459" t="str">
        <f>IF(ISNA(MATCH($C492,ME!$E$4:$E$1002,0)),"",
IF($E492=0,IF(INDEX(ME!$R$4:$R$1002,MATCH($C492,ME!$E$4:$E$1002,0))="","",INDEX(ME!$R$4:$R$1002,MATCH($C492,ME!$E$4:$E$1002,0))),
IF($E492=1,IF(INDEX(ME!$W$4:$W$1002,MATCH($C492,ME!$E$4:$E$1002,0))="","",INDEX(ME!$W$4:$W$1002,MATCH($C492,ME!$E$4:$E$1002,0))),
IF($E492=2,IF(INDEX(ME!$AB$4:$AB$1002,MATCH($C492,ME!$E$4:$E$1002,0))="","",INDEX(ME!$AB$4:$AB$1002,MATCH($C492,ME!$E$4:$E$1002,0))),
IF($E492=3,IF(INDEX(ME!$AG$4:$AG$1002,MATCH($C492,ME!$E$4:$E$1002,0))="","",INDEX(ME!$AG$4:$AG$1002,MATCH($C492,ME!$E$4:$E$1002,0))),
IF($E492=4,IF(INDEX(ME!$AL$4:$AL$1002,MATCH($C492,ME!$E$4:$E$1002,0))="","",INDEX(ME!$AL$4:$AL$1002,MATCH($C492,ME!$E$4:$E$1002,0))),
IF($E492=5,IF(INDEX(ME!$AQ$4:$AQ$1002,MATCH($C492,ME!$E$4:$E$1002,0))="","",INDEX(ME!$AQ$4:$AQ$1002,MATCH($C492,ME!$E$4:$E$1002,0))),"")))))))</f>
        <v/>
      </c>
      <c r="K492" s="459">
        <f>VLOOKUP(C492,ME!$E$4:$J$1009,6,0)</f>
        <v>0</v>
      </c>
      <c r="L492" s="460" t="e" cm="1">
        <f t="array" aca="1" ref="L492" ca="1">_xlfn.IFS(AND($E492&lt;&gt;"",$M492="Pending",$K492="CTA"),TODAY()-$G492,AND($E492&lt;&gt;"",$M492="Pending",$K492="AUR"),TODAY()-$H492,AND($E492&lt;&gt;"",$M492="Pending",$K492="STT"),TODAY()-$I492,OR(K492="Closed",K492=""),"")</f>
        <v>#N/A</v>
      </c>
      <c r="M492" s="461">
        <f>VLOOKUP(C492,ME!$E$4:$AC$623,7,0)</f>
        <v>0</v>
      </c>
      <c r="N492" s="454" t="str">
        <f t="shared" si="20"/>
        <v/>
      </c>
      <c r="O492" s="743" t="str">
        <f>ME!M48</f>
        <v>GC</v>
      </c>
      <c r="P492" s="748" t="str">
        <v>YES</v>
      </c>
    </row>
    <row r="493" spans="1:16" s="385" customFormat="1" ht="24.75" hidden="1" customHeight="1">
      <c r="A493" s="399">
        <v>46</v>
      </c>
      <c r="B493" s="455" t="s">
        <v>20</v>
      </c>
      <c r="C493" s="454" t="s">
        <v>1364</v>
      </c>
      <c r="D493" s="493" t="str">
        <f>_xlfn.XLOOKUP(C493,ME!$E$4:$E$999,ME!$D$4:$D$999)</f>
        <v>Mechanical Service Electrical Single Line Diagram Sheet-13</v>
      </c>
      <c r="E493" s="454" t="str">
        <f>IF(VLOOKUP(C493,ME!$E$4:$AC$488,5,0)="","",VLOOKUP(C493,ME!$E$4:$AC$987,5,0))</f>
        <v/>
      </c>
      <c r="F493" s="457"/>
      <c r="G493" s="459" t="str">
        <f>IF(VLOOKUP(C493,ME!$E$4:$AC$488,3,0)="","",VLOOKUP(C493,ME!$E$4:$AC$488,3,0))</f>
        <v/>
      </c>
      <c r="H493" s="459" t="str">
        <f>IF(ISNA(MATCH($C493,ME!$E$4:$E$1002,0)),"",
IF($E493=0,IF(INDEX(ME!$P$4:$P$1002,MATCH($C493,ME!$E$4:$E$1002,0))="","",INDEX(ME!$P$4:$P$1002,MATCH($C493,ME!$E$4:$E$1002,0))),
IF($E493=1,IF(INDEX(ME!$U$4:$U$1002,MATCH($C493,ME!$E$4:$E$1002,0))="","",INDEX(ME!$U$4:$U$1002,MATCH($C493,ME!$E$4:$E$1002,0))),
IF($E493=2,IF(INDEX(ME!$Z$4:$Z$1002,MATCH($C493,ME!$E$4:$E$1002,0))="","",INDEX(ME!$Z$4:$Z$1002,MATCH($C493,ME!$E$4:$E$1002,0))),
IF($E493=3,IF(INDEX(ME!$AE$4:$AE$1002,MATCH($C493,ME!$E$4:$E$1002,0))="","",INDEX(ME!$AE$4:$AE$1002,MATCH($C493,ME!$E$4:$E$1002,0))),
IF($E493=4,IF(INDEX(ME!$AJ$4:$AJ$1002,MATCH($C493,ME!$E$4:$E$1002,0))="","",INDEX(ME!$AJ$4:$AJ$1002,MATCH($C493,ME!$E$4:$E$1002,0))),
IF($E493=5,IF(INDEX(ME!$AO$4:$AO$1002,MATCH($C493,ME!$E$4:$E$1002,0))="","",INDEX(ME!$AO$4:$AO$1002,MATCH($C493,ME!$E$4:$E$1002,0))),"")))))))</f>
        <v/>
      </c>
      <c r="I493" s="459" t="str">
        <f>IF(ISNA(MATCH($C493,ME!$E$4:$E$1002,0)),"",
IF($E493=0,IF(INDEX(ME!$Q$4:$Q$1002,MATCH($C493,ME!$E$4:$E$1002,0))="","",INDEX(ME!$Q$4:$Q$1002,MATCH($C493,ME!$E$4:$E$1002,0))),
IF($E493=1,IF(INDEX(ME!$V$4:$V$1002,MATCH($C493,ME!$E$4:$E$1002,0))="","",INDEX(ME!$V$4:$V$1002,MATCH($C493,ME!$E$4:$E$1002,0))),
IF($E493=2,IF(INDEX(ME!$AA$4:$AA$1002,MATCH($C493,ME!$E$4:$E$1002,0))="","",INDEX(ME!$AA$4:$AA$1002,MATCH($C493,ME!$E$4:$E$1002,0))),
IF($E493=3,IF(INDEX(ME!$AF$4:$AF$1002,MATCH($C493,ME!$E$4:$E$1002,0))="","",INDEX(ME!$AF$4:$AF$1002,MATCH($C493,ME!$E$4:$E$1002,0))),
IF($E493=4,IF(INDEX(ME!$AK$4:$AK$1002,MATCH($C493,ME!$E$4:$E$1002,0))="","",INDEX(ME!$AK$4:$AK$1002,MATCH($C493,ME!$E$4:$E$1002,0))),
IF($E493=5,IF(INDEX(ME!$AP$4:$AP$1002,MATCH($C493,ME!$E$4:$E$1002,0))="","",INDEX(ME!$AP$4:$AP$1002,MATCH($C493,ME!$E$4:$E$1002,0))),"")))))))</f>
        <v/>
      </c>
      <c r="J493" s="459" t="str">
        <f>IF(ISNA(MATCH($C493,ME!$E$4:$E$1002,0)),"",
IF($E493=0,IF(INDEX(ME!$R$4:$R$1002,MATCH($C493,ME!$E$4:$E$1002,0))="","",INDEX(ME!$R$4:$R$1002,MATCH($C493,ME!$E$4:$E$1002,0))),
IF($E493=1,IF(INDEX(ME!$W$4:$W$1002,MATCH($C493,ME!$E$4:$E$1002,0))="","",INDEX(ME!$W$4:$W$1002,MATCH($C493,ME!$E$4:$E$1002,0))),
IF($E493=2,IF(INDEX(ME!$AB$4:$AB$1002,MATCH($C493,ME!$E$4:$E$1002,0))="","",INDEX(ME!$AB$4:$AB$1002,MATCH($C493,ME!$E$4:$E$1002,0))),
IF($E493=3,IF(INDEX(ME!$AG$4:$AG$1002,MATCH($C493,ME!$E$4:$E$1002,0))="","",INDEX(ME!$AG$4:$AG$1002,MATCH($C493,ME!$E$4:$E$1002,0))),
IF($E493=4,IF(INDEX(ME!$AL$4:$AL$1002,MATCH($C493,ME!$E$4:$E$1002,0))="","",INDEX(ME!$AL$4:$AL$1002,MATCH($C493,ME!$E$4:$E$1002,0))),
IF($E493=5,IF(INDEX(ME!$AQ$4:$AQ$1002,MATCH($C493,ME!$E$4:$E$1002,0))="","",INDEX(ME!$AQ$4:$AQ$1002,MATCH($C493,ME!$E$4:$E$1002,0))),"")))))))</f>
        <v/>
      </c>
      <c r="K493" s="459">
        <f>VLOOKUP(C493,ME!$E$4:$J$1009,6,0)</f>
        <v>0</v>
      </c>
      <c r="L493" s="460" t="e" cm="1">
        <f t="array" aca="1" ref="L493" ca="1">_xlfn.IFS(AND($E493&lt;&gt;"",$M493="Pending",$K493="CTA"),TODAY()-$G493,AND($E493&lt;&gt;"",$M493="Pending",$K493="AUR"),TODAY()-$H493,AND($E493&lt;&gt;"",$M493="Pending",$K493="STT"),TODAY()-$I493,OR(K493="Closed",K493=""),"")</f>
        <v>#N/A</v>
      </c>
      <c r="M493" s="461">
        <f>VLOOKUP(C493,ME!$E$4:$AC$623,7,0)</f>
        <v>0</v>
      </c>
      <c r="N493" s="454" t="str">
        <f t="shared" si="20"/>
        <v/>
      </c>
      <c r="O493" s="743" t="str">
        <f>ME!M49</f>
        <v>GC</v>
      </c>
      <c r="P493" s="748" t="str">
        <v>YES</v>
      </c>
    </row>
    <row r="494" spans="1:16" s="385" customFormat="1" ht="24.75" hidden="1" customHeight="1">
      <c r="A494" s="399">
        <v>47</v>
      </c>
      <c r="B494" s="455" t="s">
        <v>20</v>
      </c>
      <c r="C494" s="454" t="s">
        <v>1367</v>
      </c>
      <c r="D494" s="493" t="str">
        <f>_xlfn.XLOOKUP(C494,ME!$E$4:$E$999,ME!$D$4:$D$999)</f>
        <v>Mechanical Service Electrical Single Line Diagram Sheet-14</v>
      </c>
      <c r="E494" s="454" t="str">
        <f>IF(VLOOKUP(C494,ME!$E$4:$AC$488,5,0)="","",VLOOKUP(C494,ME!$E$4:$AC$987,5,0))</f>
        <v/>
      </c>
      <c r="F494" s="457"/>
      <c r="G494" s="459" t="str">
        <f>IF(VLOOKUP(C494,ME!$E$4:$AC$488,3,0)="","",VLOOKUP(C494,ME!$E$4:$AC$488,3,0))</f>
        <v/>
      </c>
      <c r="H494" s="459" t="str">
        <f>IF(ISNA(MATCH($C494,ME!$E$4:$E$1002,0)),"",
IF($E494=0,IF(INDEX(ME!$P$4:$P$1002,MATCH($C494,ME!$E$4:$E$1002,0))="","",INDEX(ME!$P$4:$P$1002,MATCH($C494,ME!$E$4:$E$1002,0))),
IF($E494=1,IF(INDEX(ME!$U$4:$U$1002,MATCH($C494,ME!$E$4:$E$1002,0))="","",INDEX(ME!$U$4:$U$1002,MATCH($C494,ME!$E$4:$E$1002,0))),
IF($E494=2,IF(INDEX(ME!$Z$4:$Z$1002,MATCH($C494,ME!$E$4:$E$1002,0))="","",INDEX(ME!$Z$4:$Z$1002,MATCH($C494,ME!$E$4:$E$1002,0))),
IF($E494=3,IF(INDEX(ME!$AE$4:$AE$1002,MATCH($C494,ME!$E$4:$E$1002,0))="","",INDEX(ME!$AE$4:$AE$1002,MATCH($C494,ME!$E$4:$E$1002,0))),
IF($E494=4,IF(INDEX(ME!$AJ$4:$AJ$1002,MATCH($C494,ME!$E$4:$E$1002,0))="","",INDEX(ME!$AJ$4:$AJ$1002,MATCH($C494,ME!$E$4:$E$1002,0))),
IF($E494=5,IF(INDEX(ME!$AO$4:$AO$1002,MATCH($C494,ME!$E$4:$E$1002,0))="","",INDEX(ME!$AO$4:$AO$1002,MATCH($C494,ME!$E$4:$E$1002,0))),"")))))))</f>
        <v/>
      </c>
      <c r="I494" s="459" t="str">
        <f>IF(ISNA(MATCH($C494,ME!$E$4:$E$1002,0)),"",
IF($E494=0,IF(INDEX(ME!$Q$4:$Q$1002,MATCH($C494,ME!$E$4:$E$1002,0))="","",INDEX(ME!$Q$4:$Q$1002,MATCH($C494,ME!$E$4:$E$1002,0))),
IF($E494=1,IF(INDEX(ME!$V$4:$V$1002,MATCH($C494,ME!$E$4:$E$1002,0))="","",INDEX(ME!$V$4:$V$1002,MATCH($C494,ME!$E$4:$E$1002,0))),
IF($E494=2,IF(INDEX(ME!$AA$4:$AA$1002,MATCH($C494,ME!$E$4:$E$1002,0))="","",INDEX(ME!$AA$4:$AA$1002,MATCH($C494,ME!$E$4:$E$1002,0))),
IF($E494=3,IF(INDEX(ME!$AF$4:$AF$1002,MATCH($C494,ME!$E$4:$E$1002,0))="","",INDEX(ME!$AF$4:$AF$1002,MATCH($C494,ME!$E$4:$E$1002,0))),
IF($E494=4,IF(INDEX(ME!$AK$4:$AK$1002,MATCH($C494,ME!$E$4:$E$1002,0))="","",INDEX(ME!$AK$4:$AK$1002,MATCH($C494,ME!$E$4:$E$1002,0))),
IF($E494=5,IF(INDEX(ME!$AP$4:$AP$1002,MATCH($C494,ME!$E$4:$E$1002,0))="","",INDEX(ME!$AP$4:$AP$1002,MATCH($C494,ME!$E$4:$E$1002,0))),"")))))))</f>
        <v/>
      </c>
      <c r="J494" s="459" t="str">
        <f>IF(ISNA(MATCH($C494,ME!$E$4:$E$1002,0)),"",
IF($E494=0,IF(INDEX(ME!$R$4:$R$1002,MATCH($C494,ME!$E$4:$E$1002,0))="","",INDEX(ME!$R$4:$R$1002,MATCH($C494,ME!$E$4:$E$1002,0))),
IF($E494=1,IF(INDEX(ME!$W$4:$W$1002,MATCH($C494,ME!$E$4:$E$1002,0))="","",INDEX(ME!$W$4:$W$1002,MATCH($C494,ME!$E$4:$E$1002,0))),
IF($E494=2,IF(INDEX(ME!$AB$4:$AB$1002,MATCH($C494,ME!$E$4:$E$1002,0))="","",INDEX(ME!$AB$4:$AB$1002,MATCH($C494,ME!$E$4:$E$1002,0))),
IF($E494=3,IF(INDEX(ME!$AG$4:$AG$1002,MATCH($C494,ME!$E$4:$E$1002,0))="","",INDEX(ME!$AG$4:$AG$1002,MATCH($C494,ME!$E$4:$E$1002,0))),
IF($E494=4,IF(INDEX(ME!$AL$4:$AL$1002,MATCH($C494,ME!$E$4:$E$1002,0))="","",INDEX(ME!$AL$4:$AL$1002,MATCH($C494,ME!$E$4:$E$1002,0))),
IF($E494=5,IF(INDEX(ME!$AQ$4:$AQ$1002,MATCH($C494,ME!$E$4:$E$1002,0))="","",INDEX(ME!$AQ$4:$AQ$1002,MATCH($C494,ME!$E$4:$E$1002,0))),"")))))))</f>
        <v/>
      </c>
      <c r="K494" s="459">
        <f>VLOOKUP(C494,ME!$E$4:$J$1009,6,0)</f>
        <v>0</v>
      </c>
      <c r="L494" s="460" t="e" cm="1">
        <f t="array" aca="1" ref="L494" ca="1">_xlfn.IFS(AND($E494&lt;&gt;"",$M494="Pending",$K494="CTA"),TODAY()-$G494,AND($E494&lt;&gt;"",$M494="Pending",$K494="AUR"),TODAY()-$H494,AND($E494&lt;&gt;"",$M494="Pending",$K494="STT"),TODAY()-$I494,OR(K494="Closed",K494=""),"")</f>
        <v>#N/A</v>
      </c>
      <c r="M494" s="461">
        <f>VLOOKUP(C494,ME!$E$4:$AC$623,7,0)</f>
        <v>0</v>
      </c>
      <c r="N494" s="454" t="str">
        <f t="shared" ref="N494:N498" si="21">IF(AND(E494&lt;&gt;"",M494="Pending"),IF(L494&gt;=5,"Overdue",IF(L494&gt;=3,"High","")),"")</f>
        <v/>
      </c>
      <c r="O494" s="743" t="str">
        <f>ME!M50</f>
        <v>GC</v>
      </c>
      <c r="P494" s="748" t="str">
        <v>YES</v>
      </c>
    </row>
    <row r="495" spans="1:16" s="385" customFormat="1" ht="24.75" hidden="1" customHeight="1">
      <c r="A495" s="399">
        <v>48</v>
      </c>
      <c r="B495" s="455" t="s">
        <v>20</v>
      </c>
      <c r="C495" s="454" t="s">
        <v>1370</v>
      </c>
      <c r="D495" s="493" t="str">
        <f>_xlfn.XLOOKUP(C495,ME!$E$4:$E$999,ME!$D$4:$D$999)</f>
        <v>Mechanical Service Electrical Single Line Diagram Sheet-15</v>
      </c>
      <c r="E495" s="454" t="str">
        <f>IF(VLOOKUP(C495,ME!$E$4:$AC$488,5,0)="","",VLOOKUP(C495,ME!$E$4:$AC$987,5,0))</f>
        <v/>
      </c>
      <c r="F495" s="457"/>
      <c r="G495" s="459" t="str">
        <f>IF(VLOOKUP(C495,ME!$E$4:$AC$488,3,0)="","",VLOOKUP(C495,ME!$E$4:$AC$488,3,0))</f>
        <v/>
      </c>
      <c r="H495" s="459" t="str">
        <f>IF(ISNA(MATCH($C495,ME!$E$4:$E$1002,0)),"",
IF($E495=0,IF(INDEX(ME!$P$4:$P$1002,MATCH($C495,ME!$E$4:$E$1002,0))="","",INDEX(ME!$P$4:$P$1002,MATCH($C495,ME!$E$4:$E$1002,0))),
IF($E495=1,IF(INDEX(ME!$U$4:$U$1002,MATCH($C495,ME!$E$4:$E$1002,0))="","",INDEX(ME!$U$4:$U$1002,MATCH($C495,ME!$E$4:$E$1002,0))),
IF($E495=2,IF(INDEX(ME!$Z$4:$Z$1002,MATCH($C495,ME!$E$4:$E$1002,0))="","",INDEX(ME!$Z$4:$Z$1002,MATCH($C495,ME!$E$4:$E$1002,0))),
IF($E495=3,IF(INDEX(ME!$AE$4:$AE$1002,MATCH($C495,ME!$E$4:$E$1002,0))="","",INDEX(ME!$AE$4:$AE$1002,MATCH($C495,ME!$E$4:$E$1002,0))),
IF($E495=4,IF(INDEX(ME!$AJ$4:$AJ$1002,MATCH($C495,ME!$E$4:$E$1002,0))="","",INDEX(ME!$AJ$4:$AJ$1002,MATCH($C495,ME!$E$4:$E$1002,0))),
IF($E495=5,IF(INDEX(ME!$AO$4:$AO$1002,MATCH($C495,ME!$E$4:$E$1002,0))="","",INDEX(ME!$AO$4:$AO$1002,MATCH($C495,ME!$E$4:$E$1002,0))),"")))))))</f>
        <v/>
      </c>
      <c r="I495" s="459" t="str">
        <f>IF(ISNA(MATCH($C495,ME!$E$4:$E$1002,0)),"",
IF($E495=0,IF(INDEX(ME!$Q$4:$Q$1002,MATCH($C495,ME!$E$4:$E$1002,0))="","",INDEX(ME!$Q$4:$Q$1002,MATCH($C495,ME!$E$4:$E$1002,0))),
IF($E495=1,IF(INDEX(ME!$V$4:$V$1002,MATCH($C495,ME!$E$4:$E$1002,0))="","",INDEX(ME!$V$4:$V$1002,MATCH($C495,ME!$E$4:$E$1002,0))),
IF($E495=2,IF(INDEX(ME!$AA$4:$AA$1002,MATCH($C495,ME!$E$4:$E$1002,0))="","",INDEX(ME!$AA$4:$AA$1002,MATCH($C495,ME!$E$4:$E$1002,0))),
IF($E495=3,IF(INDEX(ME!$AF$4:$AF$1002,MATCH($C495,ME!$E$4:$E$1002,0))="","",INDEX(ME!$AF$4:$AF$1002,MATCH($C495,ME!$E$4:$E$1002,0))),
IF($E495=4,IF(INDEX(ME!$AK$4:$AK$1002,MATCH($C495,ME!$E$4:$E$1002,0))="","",INDEX(ME!$AK$4:$AK$1002,MATCH($C495,ME!$E$4:$E$1002,0))),
IF($E495=5,IF(INDEX(ME!$AP$4:$AP$1002,MATCH($C495,ME!$E$4:$E$1002,0))="","",INDEX(ME!$AP$4:$AP$1002,MATCH($C495,ME!$E$4:$E$1002,0))),"")))))))</f>
        <v/>
      </c>
      <c r="J495" s="459" t="str">
        <f>IF(ISNA(MATCH($C495,ME!$E$4:$E$1002,0)),"",
IF($E495=0,IF(INDEX(ME!$R$4:$R$1002,MATCH($C495,ME!$E$4:$E$1002,0))="","",INDEX(ME!$R$4:$R$1002,MATCH($C495,ME!$E$4:$E$1002,0))),
IF($E495=1,IF(INDEX(ME!$W$4:$W$1002,MATCH($C495,ME!$E$4:$E$1002,0))="","",INDEX(ME!$W$4:$W$1002,MATCH($C495,ME!$E$4:$E$1002,0))),
IF($E495=2,IF(INDEX(ME!$AB$4:$AB$1002,MATCH($C495,ME!$E$4:$E$1002,0))="","",INDEX(ME!$AB$4:$AB$1002,MATCH($C495,ME!$E$4:$E$1002,0))),
IF($E495=3,IF(INDEX(ME!$AG$4:$AG$1002,MATCH($C495,ME!$E$4:$E$1002,0))="","",INDEX(ME!$AG$4:$AG$1002,MATCH($C495,ME!$E$4:$E$1002,0))),
IF($E495=4,IF(INDEX(ME!$AL$4:$AL$1002,MATCH($C495,ME!$E$4:$E$1002,0))="","",INDEX(ME!$AL$4:$AL$1002,MATCH($C495,ME!$E$4:$E$1002,0))),
IF($E495=5,IF(INDEX(ME!$AQ$4:$AQ$1002,MATCH($C495,ME!$E$4:$E$1002,0))="","",INDEX(ME!$AQ$4:$AQ$1002,MATCH($C495,ME!$E$4:$E$1002,0))),"")))))))</f>
        <v/>
      </c>
      <c r="K495" s="459">
        <f>VLOOKUP(C495,ME!$E$4:$J$1009,6,0)</f>
        <v>0</v>
      </c>
      <c r="L495" s="460" t="e" cm="1">
        <f t="array" aca="1" ref="L495" ca="1">_xlfn.IFS(AND($E495&lt;&gt;"",$M495="Pending",$K495="CTA"),TODAY()-$G495,AND($E495&lt;&gt;"",$M495="Pending",$K495="AUR"),TODAY()-$H495,AND($E495&lt;&gt;"",$M495="Pending",$K495="STT"),TODAY()-$I495,OR(K495="Closed",K495=""),"")</f>
        <v>#N/A</v>
      </c>
      <c r="M495" s="461">
        <f>VLOOKUP(C495,ME!$E$4:$AC$623,7,0)</f>
        <v>0</v>
      </c>
      <c r="N495" s="454" t="str">
        <f t="shared" si="21"/>
        <v/>
      </c>
      <c r="O495" s="743" t="str">
        <f>ME!M51</f>
        <v>GC</v>
      </c>
      <c r="P495" s="748" t="str">
        <v>YES</v>
      </c>
    </row>
    <row r="496" spans="1:16" s="385" customFormat="1" ht="24.75" hidden="1" customHeight="1">
      <c r="A496" s="399">
        <v>49</v>
      </c>
      <c r="B496" s="455" t="s">
        <v>20</v>
      </c>
      <c r="C496" s="454" t="s">
        <v>1373</v>
      </c>
      <c r="D496" s="493" t="str">
        <f>_xlfn.XLOOKUP(C496,ME!$E$4:$E$999,ME!$D$4:$D$999)</f>
        <v>Mechanical Service Electrical Single Line Diagram Sheet-16</v>
      </c>
      <c r="E496" s="454" t="str">
        <f>IF(VLOOKUP(C496,ME!$E$4:$AC$488,5,0)="","",VLOOKUP(C496,ME!$E$4:$AC$987,5,0))</f>
        <v/>
      </c>
      <c r="F496" s="457"/>
      <c r="G496" s="459" t="str">
        <f>IF(VLOOKUP(C496,ME!$E$4:$AC$488,3,0)="","",VLOOKUP(C496,ME!$E$4:$AC$488,3,0))</f>
        <v/>
      </c>
      <c r="H496" s="459" t="str">
        <f>IF(ISNA(MATCH($C496,ME!$E$4:$E$1002,0)),"",
IF($E496=0,IF(INDEX(ME!$P$4:$P$1002,MATCH($C496,ME!$E$4:$E$1002,0))="","",INDEX(ME!$P$4:$P$1002,MATCH($C496,ME!$E$4:$E$1002,0))),
IF($E496=1,IF(INDEX(ME!$U$4:$U$1002,MATCH($C496,ME!$E$4:$E$1002,0))="","",INDEX(ME!$U$4:$U$1002,MATCH($C496,ME!$E$4:$E$1002,0))),
IF($E496=2,IF(INDEX(ME!$Z$4:$Z$1002,MATCH($C496,ME!$E$4:$E$1002,0))="","",INDEX(ME!$Z$4:$Z$1002,MATCH($C496,ME!$E$4:$E$1002,0))),
IF($E496=3,IF(INDEX(ME!$AE$4:$AE$1002,MATCH($C496,ME!$E$4:$E$1002,0))="","",INDEX(ME!$AE$4:$AE$1002,MATCH($C496,ME!$E$4:$E$1002,0))),
IF($E496=4,IF(INDEX(ME!$AJ$4:$AJ$1002,MATCH($C496,ME!$E$4:$E$1002,0))="","",INDEX(ME!$AJ$4:$AJ$1002,MATCH($C496,ME!$E$4:$E$1002,0))),
IF($E496=5,IF(INDEX(ME!$AO$4:$AO$1002,MATCH($C496,ME!$E$4:$E$1002,0))="","",INDEX(ME!$AO$4:$AO$1002,MATCH($C496,ME!$E$4:$E$1002,0))),"")))))))</f>
        <v/>
      </c>
      <c r="I496" s="459" t="str">
        <f>IF(ISNA(MATCH($C496,ME!$E$4:$E$1002,0)),"",
IF($E496=0,IF(INDEX(ME!$Q$4:$Q$1002,MATCH($C496,ME!$E$4:$E$1002,0))="","",INDEX(ME!$Q$4:$Q$1002,MATCH($C496,ME!$E$4:$E$1002,0))),
IF($E496=1,IF(INDEX(ME!$V$4:$V$1002,MATCH($C496,ME!$E$4:$E$1002,0))="","",INDEX(ME!$V$4:$V$1002,MATCH($C496,ME!$E$4:$E$1002,0))),
IF($E496=2,IF(INDEX(ME!$AA$4:$AA$1002,MATCH($C496,ME!$E$4:$E$1002,0))="","",INDEX(ME!$AA$4:$AA$1002,MATCH($C496,ME!$E$4:$E$1002,0))),
IF($E496=3,IF(INDEX(ME!$AF$4:$AF$1002,MATCH($C496,ME!$E$4:$E$1002,0))="","",INDEX(ME!$AF$4:$AF$1002,MATCH($C496,ME!$E$4:$E$1002,0))),
IF($E496=4,IF(INDEX(ME!$AK$4:$AK$1002,MATCH($C496,ME!$E$4:$E$1002,0))="","",INDEX(ME!$AK$4:$AK$1002,MATCH($C496,ME!$E$4:$E$1002,0))),
IF($E496=5,IF(INDEX(ME!$AP$4:$AP$1002,MATCH($C496,ME!$E$4:$E$1002,0))="","",INDEX(ME!$AP$4:$AP$1002,MATCH($C496,ME!$E$4:$E$1002,0))),"")))))))</f>
        <v/>
      </c>
      <c r="J496" s="459" t="str">
        <f>IF(ISNA(MATCH($C496,ME!$E$4:$E$1002,0)),"",
IF($E496=0,IF(INDEX(ME!$R$4:$R$1002,MATCH($C496,ME!$E$4:$E$1002,0))="","",INDEX(ME!$R$4:$R$1002,MATCH($C496,ME!$E$4:$E$1002,0))),
IF($E496=1,IF(INDEX(ME!$W$4:$W$1002,MATCH($C496,ME!$E$4:$E$1002,0))="","",INDEX(ME!$W$4:$W$1002,MATCH($C496,ME!$E$4:$E$1002,0))),
IF($E496=2,IF(INDEX(ME!$AB$4:$AB$1002,MATCH($C496,ME!$E$4:$E$1002,0))="","",INDEX(ME!$AB$4:$AB$1002,MATCH($C496,ME!$E$4:$E$1002,0))),
IF($E496=3,IF(INDEX(ME!$AG$4:$AG$1002,MATCH($C496,ME!$E$4:$E$1002,0))="","",INDEX(ME!$AG$4:$AG$1002,MATCH($C496,ME!$E$4:$E$1002,0))),
IF($E496=4,IF(INDEX(ME!$AL$4:$AL$1002,MATCH($C496,ME!$E$4:$E$1002,0))="","",INDEX(ME!$AL$4:$AL$1002,MATCH($C496,ME!$E$4:$E$1002,0))),
IF($E496=5,IF(INDEX(ME!$AQ$4:$AQ$1002,MATCH($C496,ME!$E$4:$E$1002,0))="","",INDEX(ME!$AQ$4:$AQ$1002,MATCH($C496,ME!$E$4:$E$1002,0))),"")))))))</f>
        <v/>
      </c>
      <c r="K496" s="459">
        <f>VLOOKUP(C496,ME!$E$4:$J$1009,6,0)</f>
        <v>0</v>
      </c>
      <c r="L496" s="460" t="e" cm="1">
        <f t="array" aca="1" ref="L496" ca="1">_xlfn.IFS(AND($E496&lt;&gt;"",$M496="Pending",$K496="CTA"),TODAY()-$G496,AND($E496&lt;&gt;"",$M496="Pending",$K496="AUR"),TODAY()-$H496,AND($E496&lt;&gt;"",$M496="Pending",$K496="STT"),TODAY()-$I496,OR(K496="Closed",K496=""),"")</f>
        <v>#N/A</v>
      </c>
      <c r="M496" s="461">
        <f>VLOOKUP(C496,ME!$E$4:$AC$623,7,0)</f>
        <v>0</v>
      </c>
      <c r="N496" s="454" t="str">
        <f t="shared" si="21"/>
        <v/>
      </c>
      <c r="O496" s="743" t="str">
        <f>ME!M52</f>
        <v>GC</v>
      </c>
      <c r="P496" s="748" t="str">
        <v>YES</v>
      </c>
    </row>
    <row r="497" spans="1:16" s="385" customFormat="1" ht="24.75" hidden="1" customHeight="1">
      <c r="A497" s="399">
        <v>50</v>
      </c>
      <c r="B497" s="455" t="s">
        <v>20</v>
      </c>
      <c r="C497" s="454" t="s">
        <v>1376</v>
      </c>
      <c r="D497" s="493" t="str">
        <f>_xlfn.XLOOKUP(C497,ME!$E$4:$E$999,ME!$D$4:$D$999)</f>
        <v>Mechanical Service Electrical Single Line Diagram Sheet-17</v>
      </c>
      <c r="E497" s="454" t="str">
        <f>IF(VLOOKUP(C497,ME!$E$4:$AC$488,5,0)="","",VLOOKUP(C497,ME!$E$4:$AC$987,5,0))</f>
        <v/>
      </c>
      <c r="F497" s="457"/>
      <c r="G497" s="459" t="str">
        <f>IF(VLOOKUP(C497,ME!$E$4:$AC$488,3,0)="","",VLOOKUP(C497,ME!$E$4:$AC$488,3,0))</f>
        <v/>
      </c>
      <c r="H497" s="459" t="str">
        <f>IF(ISNA(MATCH($C497,ME!$E$4:$E$1002,0)),"",
IF($E497=0,IF(INDEX(ME!$P$4:$P$1002,MATCH($C497,ME!$E$4:$E$1002,0))="","",INDEX(ME!$P$4:$P$1002,MATCH($C497,ME!$E$4:$E$1002,0))),
IF($E497=1,IF(INDEX(ME!$U$4:$U$1002,MATCH($C497,ME!$E$4:$E$1002,0))="","",INDEX(ME!$U$4:$U$1002,MATCH($C497,ME!$E$4:$E$1002,0))),
IF($E497=2,IF(INDEX(ME!$Z$4:$Z$1002,MATCH($C497,ME!$E$4:$E$1002,0))="","",INDEX(ME!$Z$4:$Z$1002,MATCH($C497,ME!$E$4:$E$1002,0))),
IF($E497=3,IF(INDEX(ME!$AE$4:$AE$1002,MATCH($C497,ME!$E$4:$E$1002,0))="","",INDEX(ME!$AE$4:$AE$1002,MATCH($C497,ME!$E$4:$E$1002,0))),
IF($E497=4,IF(INDEX(ME!$AJ$4:$AJ$1002,MATCH($C497,ME!$E$4:$E$1002,0))="","",INDEX(ME!$AJ$4:$AJ$1002,MATCH($C497,ME!$E$4:$E$1002,0))),
IF($E497=5,IF(INDEX(ME!$AO$4:$AO$1002,MATCH($C497,ME!$E$4:$E$1002,0))="","",INDEX(ME!$AO$4:$AO$1002,MATCH($C497,ME!$E$4:$E$1002,0))),"")))))))</f>
        <v/>
      </c>
      <c r="I497" s="459" t="str">
        <f>IF(ISNA(MATCH($C497,ME!$E$4:$E$1002,0)),"",
IF($E497=0,IF(INDEX(ME!$Q$4:$Q$1002,MATCH($C497,ME!$E$4:$E$1002,0))="","",INDEX(ME!$Q$4:$Q$1002,MATCH($C497,ME!$E$4:$E$1002,0))),
IF($E497=1,IF(INDEX(ME!$V$4:$V$1002,MATCH($C497,ME!$E$4:$E$1002,0))="","",INDEX(ME!$V$4:$V$1002,MATCH($C497,ME!$E$4:$E$1002,0))),
IF($E497=2,IF(INDEX(ME!$AA$4:$AA$1002,MATCH($C497,ME!$E$4:$E$1002,0))="","",INDEX(ME!$AA$4:$AA$1002,MATCH($C497,ME!$E$4:$E$1002,0))),
IF($E497=3,IF(INDEX(ME!$AF$4:$AF$1002,MATCH($C497,ME!$E$4:$E$1002,0))="","",INDEX(ME!$AF$4:$AF$1002,MATCH($C497,ME!$E$4:$E$1002,0))),
IF($E497=4,IF(INDEX(ME!$AK$4:$AK$1002,MATCH($C497,ME!$E$4:$E$1002,0))="","",INDEX(ME!$AK$4:$AK$1002,MATCH($C497,ME!$E$4:$E$1002,0))),
IF($E497=5,IF(INDEX(ME!$AP$4:$AP$1002,MATCH($C497,ME!$E$4:$E$1002,0))="","",INDEX(ME!$AP$4:$AP$1002,MATCH($C497,ME!$E$4:$E$1002,0))),"")))))))</f>
        <v/>
      </c>
      <c r="J497" s="459" t="str">
        <f>IF(ISNA(MATCH($C497,ME!$E$4:$E$1002,0)),"",
IF($E497=0,IF(INDEX(ME!$R$4:$R$1002,MATCH($C497,ME!$E$4:$E$1002,0))="","",INDEX(ME!$R$4:$R$1002,MATCH($C497,ME!$E$4:$E$1002,0))),
IF($E497=1,IF(INDEX(ME!$W$4:$W$1002,MATCH($C497,ME!$E$4:$E$1002,0))="","",INDEX(ME!$W$4:$W$1002,MATCH($C497,ME!$E$4:$E$1002,0))),
IF($E497=2,IF(INDEX(ME!$AB$4:$AB$1002,MATCH($C497,ME!$E$4:$E$1002,0))="","",INDEX(ME!$AB$4:$AB$1002,MATCH($C497,ME!$E$4:$E$1002,0))),
IF($E497=3,IF(INDEX(ME!$AG$4:$AG$1002,MATCH($C497,ME!$E$4:$E$1002,0))="","",INDEX(ME!$AG$4:$AG$1002,MATCH($C497,ME!$E$4:$E$1002,0))),
IF($E497=4,IF(INDEX(ME!$AL$4:$AL$1002,MATCH($C497,ME!$E$4:$E$1002,0))="","",INDEX(ME!$AL$4:$AL$1002,MATCH($C497,ME!$E$4:$E$1002,0))),
IF($E497=5,IF(INDEX(ME!$AQ$4:$AQ$1002,MATCH($C497,ME!$E$4:$E$1002,0))="","",INDEX(ME!$AQ$4:$AQ$1002,MATCH($C497,ME!$E$4:$E$1002,0))),"")))))))</f>
        <v/>
      </c>
      <c r="K497" s="459">
        <f>VLOOKUP(C497,ME!$E$4:$J$1009,6,0)</f>
        <v>0</v>
      </c>
      <c r="L497" s="460" t="e" cm="1">
        <f t="array" aca="1" ref="L497" ca="1">_xlfn.IFS(AND($E497&lt;&gt;"",$M497="Pending",$K497="CTA"),TODAY()-$G497,AND($E497&lt;&gt;"",$M497="Pending",$K497="AUR"),TODAY()-$H497,AND($E497&lt;&gt;"",$M497="Pending",$K497="STT"),TODAY()-$I497,OR(K497="Closed",K497=""),"")</f>
        <v>#N/A</v>
      </c>
      <c r="M497" s="461">
        <f>VLOOKUP(C497,ME!$E$4:$AC$623,7,0)</f>
        <v>0</v>
      </c>
      <c r="N497" s="454" t="str">
        <f t="shared" si="21"/>
        <v/>
      </c>
      <c r="O497" s="743" t="str">
        <f>ME!M53</f>
        <v>GC</v>
      </c>
      <c r="P497" s="748" t="str">
        <v>YES</v>
      </c>
    </row>
    <row r="498" spans="1:16" s="385" customFormat="1" ht="24.75" hidden="1" customHeight="1">
      <c r="A498" s="399">
        <v>51</v>
      </c>
      <c r="B498" s="455" t="s">
        <v>20</v>
      </c>
      <c r="C498" s="454" t="s">
        <v>1379</v>
      </c>
      <c r="D498" s="493" t="str">
        <f>_xlfn.XLOOKUP(C498,ME!$E$4:$E$999,ME!$D$4:$D$999)</f>
        <v>Mechanical Service Electrical Single Line Diagram Sheet-18</v>
      </c>
      <c r="E498" s="454" t="str">
        <f>IF(VLOOKUP(C498,ME!$E$4:$AC$488,5,0)="","",VLOOKUP(C498,ME!$E$4:$AC$987,5,0))</f>
        <v/>
      </c>
      <c r="F498" s="457"/>
      <c r="G498" s="459" t="str">
        <f>IF(VLOOKUP(C498,ME!$E$4:$AC$488,3,0)="","",VLOOKUP(C498,ME!$E$4:$AC$488,3,0))</f>
        <v/>
      </c>
      <c r="H498" s="459" t="str">
        <f>IF(ISNA(MATCH($C498,ME!$E$4:$E$1002,0)),"",
IF($E498=0,IF(INDEX(ME!$P$4:$P$1002,MATCH($C498,ME!$E$4:$E$1002,0))="","",INDEX(ME!$P$4:$P$1002,MATCH($C498,ME!$E$4:$E$1002,0))),
IF($E498=1,IF(INDEX(ME!$U$4:$U$1002,MATCH($C498,ME!$E$4:$E$1002,0))="","",INDEX(ME!$U$4:$U$1002,MATCH($C498,ME!$E$4:$E$1002,0))),
IF($E498=2,IF(INDEX(ME!$Z$4:$Z$1002,MATCH($C498,ME!$E$4:$E$1002,0))="","",INDEX(ME!$Z$4:$Z$1002,MATCH($C498,ME!$E$4:$E$1002,0))),
IF($E498=3,IF(INDEX(ME!$AE$4:$AE$1002,MATCH($C498,ME!$E$4:$E$1002,0))="","",INDEX(ME!$AE$4:$AE$1002,MATCH($C498,ME!$E$4:$E$1002,0))),
IF($E498=4,IF(INDEX(ME!$AJ$4:$AJ$1002,MATCH($C498,ME!$E$4:$E$1002,0))="","",INDEX(ME!$AJ$4:$AJ$1002,MATCH($C498,ME!$E$4:$E$1002,0))),
IF($E498=5,IF(INDEX(ME!$AO$4:$AO$1002,MATCH($C498,ME!$E$4:$E$1002,0))="","",INDEX(ME!$AO$4:$AO$1002,MATCH($C498,ME!$E$4:$E$1002,0))),"")))))))</f>
        <v/>
      </c>
      <c r="I498" s="459" t="str">
        <f>IF(ISNA(MATCH($C498,ME!$E$4:$E$1002,0)),"",
IF($E498=0,IF(INDEX(ME!$Q$4:$Q$1002,MATCH($C498,ME!$E$4:$E$1002,0))="","",INDEX(ME!$Q$4:$Q$1002,MATCH($C498,ME!$E$4:$E$1002,0))),
IF($E498=1,IF(INDEX(ME!$V$4:$V$1002,MATCH($C498,ME!$E$4:$E$1002,0))="","",INDEX(ME!$V$4:$V$1002,MATCH($C498,ME!$E$4:$E$1002,0))),
IF($E498=2,IF(INDEX(ME!$AA$4:$AA$1002,MATCH($C498,ME!$E$4:$E$1002,0))="","",INDEX(ME!$AA$4:$AA$1002,MATCH($C498,ME!$E$4:$E$1002,0))),
IF($E498=3,IF(INDEX(ME!$AF$4:$AF$1002,MATCH($C498,ME!$E$4:$E$1002,0))="","",INDEX(ME!$AF$4:$AF$1002,MATCH($C498,ME!$E$4:$E$1002,0))),
IF($E498=4,IF(INDEX(ME!$AK$4:$AK$1002,MATCH($C498,ME!$E$4:$E$1002,0))="","",INDEX(ME!$AK$4:$AK$1002,MATCH($C498,ME!$E$4:$E$1002,0))),
IF($E498=5,IF(INDEX(ME!$AP$4:$AP$1002,MATCH($C498,ME!$E$4:$E$1002,0))="","",INDEX(ME!$AP$4:$AP$1002,MATCH($C498,ME!$E$4:$E$1002,0))),"")))))))</f>
        <v/>
      </c>
      <c r="J498" s="459" t="str">
        <f>IF(ISNA(MATCH($C498,ME!$E$4:$E$1002,0)),"",
IF($E498=0,IF(INDEX(ME!$R$4:$R$1002,MATCH($C498,ME!$E$4:$E$1002,0))="","",INDEX(ME!$R$4:$R$1002,MATCH($C498,ME!$E$4:$E$1002,0))),
IF($E498=1,IF(INDEX(ME!$W$4:$W$1002,MATCH($C498,ME!$E$4:$E$1002,0))="","",INDEX(ME!$W$4:$W$1002,MATCH($C498,ME!$E$4:$E$1002,0))),
IF($E498=2,IF(INDEX(ME!$AB$4:$AB$1002,MATCH($C498,ME!$E$4:$E$1002,0))="","",INDEX(ME!$AB$4:$AB$1002,MATCH($C498,ME!$E$4:$E$1002,0))),
IF($E498=3,IF(INDEX(ME!$AG$4:$AG$1002,MATCH($C498,ME!$E$4:$E$1002,0))="","",INDEX(ME!$AG$4:$AG$1002,MATCH($C498,ME!$E$4:$E$1002,0))),
IF($E498=4,IF(INDEX(ME!$AL$4:$AL$1002,MATCH($C498,ME!$E$4:$E$1002,0))="","",INDEX(ME!$AL$4:$AL$1002,MATCH($C498,ME!$E$4:$E$1002,0))),
IF($E498=5,IF(INDEX(ME!$AQ$4:$AQ$1002,MATCH($C498,ME!$E$4:$E$1002,0))="","",INDEX(ME!$AQ$4:$AQ$1002,MATCH($C498,ME!$E$4:$E$1002,0))),"")))))))</f>
        <v/>
      </c>
      <c r="K498" s="459">
        <f>VLOOKUP(C498,ME!$E$4:$J$1009,6,0)</f>
        <v>0</v>
      </c>
      <c r="L498" s="460" t="e" cm="1">
        <f t="array" aca="1" ref="L498" ca="1">_xlfn.IFS(AND($E498&lt;&gt;"",$M498="Pending",$K498="CTA"),TODAY()-$G498,AND($E498&lt;&gt;"",$M498="Pending",$K498="AUR"),TODAY()-$H498,AND($E498&lt;&gt;"",$M498="Pending",$K498="STT"),TODAY()-$I498,OR(K498="Closed",K498=""),"")</f>
        <v>#N/A</v>
      </c>
      <c r="M498" s="461">
        <f>VLOOKUP(C498,ME!$E$4:$AC$623,7,0)</f>
        <v>0</v>
      </c>
      <c r="N498" s="454" t="str">
        <f t="shared" si="21"/>
        <v/>
      </c>
      <c r="O498" s="743" t="str">
        <f>ME!M54</f>
        <v>GC</v>
      </c>
      <c r="P498" s="748" t="str">
        <v>YES</v>
      </c>
    </row>
    <row r="499" spans="1:16" s="385" customFormat="1" ht="24.75" hidden="1" customHeight="1">
      <c r="A499" s="399"/>
      <c r="B499" s="455"/>
      <c r="C499" s="454"/>
      <c r="D499" s="469"/>
      <c r="E499" s="454"/>
      <c r="F499" s="457"/>
      <c r="G499" s="459"/>
      <c r="H499" s="470"/>
      <c r="I499" s="470"/>
      <c r="J499" s="470"/>
      <c r="K499" s="470"/>
      <c r="L499" s="460"/>
      <c r="M499" s="461"/>
      <c r="N499" s="454" t="str">
        <f t="shared" si="20"/>
        <v/>
      </c>
      <c r="O499" s="741"/>
      <c r="P499" s="748"/>
    </row>
    <row r="500" spans="1:16" s="385" customFormat="1" ht="24.95" hidden="1" customHeight="1">
      <c r="A500" s="391" t="s">
        <v>1716</v>
      </c>
      <c r="B500" s="471"/>
      <c r="C500" s="472"/>
      <c r="D500" s="473"/>
      <c r="E500" s="472"/>
      <c r="F500" s="474"/>
      <c r="G500" s="472"/>
      <c r="H500" s="475"/>
      <c r="I500" s="475"/>
      <c r="J500" s="475"/>
      <c r="K500" s="475"/>
      <c r="L500" s="475"/>
      <c r="M500" s="459"/>
      <c r="N500" s="475"/>
      <c r="O500" s="475"/>
      <c r="P500" s="475"/>
    </row>
    <row r="501" spans="1:16" s="385" customFormat="1" ht="24.75" hidden="1" customHeight="1">
      <c r="A501" s="399">
        <v>1</v>
      </c>
      <c r="B501" s="455" t="s">
        <v>332</v>
      </c>
      <c r="C501" s="454" t="s">
        <v>335</v>
      </c>
      <c r="D501" s="493" t="str">
        <f>_xlfn.XLOOKUP(C501,ST!$E$4:$E$998,ST!$D$4:$D$998)</f>
        <v>Structural Drawing Index</v>
      </c>
      <c r="E501" s="454" t="str">
        <f>IF(VLOOKUP(C501,ST!$E$4:$AC$508,5,0)="","",VLOOKUP(C501,ST!$E$4:$AC$1007,5,0))</f>
        <v/>
      </c>
      <c r="F501" s="457"/>
      <c r="G501" s="459" t="str">
        <f>IF(VLOOKUP(C501,ST!$E$4:$AC$508,3,0)="","",VLOOKUP(C501,ST!$E$4:$AC$508,3,0))</f>
        <v/>
      </c>
      <c r="H501" s="459" t="str">
        <f>IF(ISNA(MATCH($C501,ST!$E$4:$E$1026,0)),"",
IF($E501=0,IF(INDEX(ST!$P$4:$P$1026,MATCH($C501,ST!$E$4:$E$1026,0))="","",INDEX(ST!$P$4:$P$1026,MATCH($C501,ST!$E$4:$E$1026,0))),
IF($E501=1,IF(INDEX(ST!$U$4:$U$1026,MATCH($C501,ST!$E$4:$E$1026,0))="","",INDEX(ST!$U$4:$U$1026,MATCH($C501,ST!$E$4:$E$1026,0))),
IF($E501=2,IF(INDEX(ST!$Z$4:$Z$1026,MATCH($C501,ST!$E$4:$E$1026,0))="","",INDEX(ST!$Z$4:$Z$1026,MATCH($C501,ST!$E$4:$E$1026,0))),
IF($E501=3,IF(INDEX(ST!$AE$4:$AE$1026,MATCH($C501,ST!$E$4:$E$1026,0))="","",INDEX(ST!$AE$4:$AE$1026,MATCH($C501,ST!$E$4:$E$1026,0))),
IF($E501=4,IF(INDEX(ST!$AJ$4:$AJ$1026,MATCH($C501,ST!$E$4:$E$1026,0))="","",INDEX(ST!$AJ$4:$AJ$1026,MATCH($C501,ST!$E$4:$E$1026,0))),
IF($E501=5,IF(INDEX(ST!$AO$4:$AO$1026,MATCH($C501,ST!$E$4:$E$1026,0))="","",INDEX(ST!$AO$4:$AO$1026,MATCH($C501,ST!$E$4:$E$1026,0))),"")))))))</f>
        <v/>
      </c>
      <c r="I501" s="459" t="str">
        <f>IF(ISNA(MATCH($C501,ST!$E$4:$E$1026,0)),"",
IF($E501=0,IF(INDEX(ST!$Q$4:$Q$1026,MATCH($C501,ST!$E$4:$E$1026,0))="","",INDEX(ST!$Q$4:$Q$1026,MATCH($C501,ST!$E$4:$E$1026,0))),
IF($E501=1,IF(INDEX(ST!$V$4:$V$1026,MATCH($C501,ST!$E$4:$E$1026,0))="","",INDEX(ST!$V$4:$V$1026,MATCH($C501,ST!$E$4:$E$1026,0))),
IF($E501=2,IF(INDEX(ST!$AA$4:$AA$1026,MATCH($C501,ST!$E$4:$E$1026,0))="","",INDEX(ST!$AA$4:$AA$1026,MATCH($C501,ST!$E$4:$E$1026,0))),
IF($E501=3,IF(INDEX(ST!$AF$4:$AF$1026,MATCH($C501,ST!$E$4:$E$1026,0))="","",INDEX(ST!$AF$4:$AF$1026,MATCH($C501,ST!$E$4:$E$1026,0))),
IF($E501=4,IF(INDEX(ST!$AK$4:$AK$1026,MATCH($C501,ST!$E$4:$E$1026,0))="","",INDEX(ST!$AK$4:$AK$1026,MATCH($C501,ST!$E$4:$E$1026,0))),
IF($E501=5,IF(INDEX(ST!$AP$4:$AP$1026,MATCH($C501,ST!$E$4:$E$1026,0))="","",INDEX(ST!$AP$4:$AP$1026,MATCH($C501,ST!$E$4:$E$1026,0))),"")))))))</f>
        <v/>
      </c>
      <c r="J501" s="459" t="str">
        <f>IF(ISNA(MATCH($C501,ST!$E$4:$E$1026,0)),"",
IF($E501=0,IF(INDEX(ST!$R$4:$R$1026,MATCH($C501,ST!$E$4:$E$1026,0))="","",INDEX(ST!$R$4:$R$1026,MATCH($C501,ST!$E$4:$E$1026,0))),
IF($E501=1,IF(INDEX(ST!$W$4:$W$1026,MATCH($C501,ST!$E$4:$E$1026,0))="","",INDEX(ST!$W$4:$W$1026,MATCH($C501,ST!$E$4:$E$1026,0))),
IF($E501=2,IF(INDEX(ST!$AB$4:$AB$1026,MATCH($C501,ST!$E$4:$E$1026,0))="","",INDEX(ST!$AB$4:$AB$1026,MATCH($C501,ST!$E$4:$E$1026,0))),
IF($E501=3,IF(INDEX(ST!$AG$4:$AG$1026,MATCH($C501,ST!$E$4:$E$1026,0))="","",INDEX(ST!$AG$4:$AG$1026,MATCH($C501,ST!$E$4:$E$1026,0))),
IF($E501=4,IF(INDEX(ST!$AL$4:$AL$1026,MATCH($C501,ST!$E$4:$E$1026,0))="","",INDEX(ST!$AL$4:$AL$1026,MATCH($C501,ST!$E$4:$E$1026,0))),
IF($E501=5,IF(INDEX(ST!$AQ$4:$AQ$1026,MATCH($C501,ST!$E$4:$E$1026,0))="","",INDEX(ST!$AQ$4:$AQ$1026,MATCH($C501,ST!$E$4:$E$1026,0))),"")))))))</f>
        <v/>
      </c>
      <c r="K501" s="459">
        <f>ST!J4</f>
        <v>0</v>
      </c>
      <c r="L501" s="460" t="e" cm="1">
        <f t="array" aca="1" ref="L501" ca="1">_xlfn.IFS(AND($E501&lt;&gt;"",$M501="Pending",$K501="CTA"),TODAY()-$G501,AND($E501&lt;&gt;"",$M501="Pending",$K501="AUR"),TODAY()-$H501,AND($E501&lt;&gt;"",$M501="Pending",$K501="STT"),TODAY()-$I501,OR(K501="Closed",K501=""),"")</f>
        <v>#N/A</v>
      </c>
      <c r="M501" s="461" t="e">
        <f>VLOOKUP(C501,EL!$E$4:$AC$622,7,0)</f>
        <v>#N/A</v>
      </c>
      <c r="N501" s="454" t="e">
        <f t="shared" si="20"/>
        <v>#N/A</v>
      </c>
      <c r="O501" s="739" t="str">
        <f>ST!M4</f>
        <v>GC</v>
      </c>
      <c r="P501" s="746" t="str" cm="1">
        <f t="array" ref="P501:P519">ST!AS4:AS22</f>
        <v>NO</v>
      </c>
    </row>
    <row r="502" spans="1:16" s="385" customFormat="1" ht="24.75" hidden="1" customHeight="1">
      <c r="A502" s="399">
        <v>2</v>
      </c>
      <c r="B502" s="455" t="s">
        <v>332</v>
      </c>
      <c r="C502" s="454" t="s">
        <v>338</v>
      </c>
      <c r="D502" s="493" t="str">
        <f>_xlfn.XLOOKUP(C502,ST!$E$4:$E$998,ST!$D$4:$D$998)</f>
        <v>Level 1 - Concrete Plinth Layout Plan &amp; Details</v>
      </c>
      <c r="E502" s="454" t="str">
        <f>IF(VLOOKUP(C502,ST!$E$4:$AC$508,5,0)="","",VLOOKUP(C502,ST!$E$4:$AC$1007,5,0))</f>
        <v/>
      </c>
      <c r="F502" s="457"/>
      <c r="G502" s="459" t="str">
        <f>IF(VLOOKUP(C502,ST!$E$4:$AC$508,3,0)="","",VLOOKUP(C502,ST!$E$4:$AC$508,3,0))</f>
        <v/>
      </c>
      <c r="H502" s="459" t="str">
        <f>IF(ISNA(MATCH($C502,ST!$E$4:$E$1026,0)),"",
IF($E502=0,IF(INDEX(ST!$P$4:$P$1026,MATCH($C502,ST!$E$4:$E$1026,0))="","",INDEX(ST!$P$4:$P$1026,MATCH($C502,ST!$E$4:$E$1026,0))),
IF($E502=1,IF(INDEX(ST!$U$4:$U$1026,MATCH($C502,ST!$E$4:$E$1026,0))="","",INDEX(ST!$U$4:$U$1026,MATCH($C502,ST!$E$4:$E$1026,0))),
IF($E502=2,IF(INDEX(ST!$Z$4:$Z$1026,MATCH($C502,ST!$E$4:$E$1026,0))="","",INDEX(ST!$Z$4:$Z$1026,MATCH($C502,ST!$E$4:$E$1026,0))),
IF($E502=3,IF(INDEX(ST!$AE$4:$AE$1026,MATCH($C502,ST!$E$4:$E$1026,0))="","",INDEX(ST!$AE$4:$AE$1026,MATCH($C502,ST!$E$4:$E$1026,0))),
IF($E502=4,IF(INDEX(ST!$AJ$4:$AJ$1026,MATCH($C502,ST!$E$4:$E$1026,0))="","",INDEX(ST!$AJ$4:$AJ$1026,MATCH($C502,ST!$E$4:$E$1026,0))),
IF($E502=5,IF(INDEX(ST!$AO$4:$AO$1026,MATCH($C502,ST!$E$4:$E$1026,0))="","",INDEX(ST!$AO$4:$AO$1026,MATCH($C502,ST!$E$4:$E$1026,0))),"")))))))</f>
        <v/>
      </c>
      <c r="I502" s="459" t="str">
        <f>IF(ISNA(MATCH($C502,ST!$E$4:$E$1026,0)),"",
IF($E502=0,IF(INDEX(ST!$Q$4:$Q$1026,MATCH($C502,ST!$E$4:$E$1026,0))="","",INDEX(ST!$Q$4:$Q$1026,MATCH($C502,ST!$E$4:$E$1026,0))),
IF($E502=1,IF(INDEX(ST!$V$4:$V$1026,MATCH($C502,ST!$E$4:$E$1026,0))="","",INDEX(ST!$V$4:$V$1026,MATCH($C502,ST!$E$4:$E$1026,0))),
IF($E502=2,IF(INDEX(ST!$AA$4:$AA$1026,MATCH($C502,ST!$E$4:$E$1026,0))="","",INDEX(ST!$AA$4:$AA$1026,MATCH($C502,ST!$E$4:$E$1026,0))),
IF($E502=3,IF(INDEX(ST!$AF$4:$AF$1026,MATCH($C502,ST!$E$4:$E$1026,0))="","",INDEX(ST!$AF$4:$AF$1026,MATCH($C502,ST!$E$4:$E$1026,0))),
IF($E502=4,IF(INDEX(ST!$AK$4:$AK$1026,MATCH($C502,ST!$E$4:$E$1026,0))="","",INDEX(ST!$AK$4:$AK$1026,MATCH($C502,ST!$E$4:$E$1026,0))),
IF($E502=5,IF(INDEX(ST!$AP$4:$AP$1026,MATCH($C502,ST!$E$4:$E$1026,0))="","",INDEX(ST!$AP$4:$AP$1026,MATCH($C502,ST!$E$4:$E$1026,0))),"")))))))</f>
        <v/>
      </c>
      <c r="J502" s="459" t="str">
        <f>IF(ISNA(MATCH($C502,ST!$E$4:$E$1026,0)),"",
IF($E502=0,IF(INDEX(ST!$R$4:$R$1026,MATCH($C502,ST!$E$4:$E$1026,0))="","",INDEX(ST!$R$4:$R$1026,MATCH($C502,ST!$E$4:$E$1026,0))),
IF($E502=1,IF(INDEX(ST!$W$4:$W$1026,MATCH($C502,ST!$E$4:$E$1026,0))="","",INDEX(ST!$W$4:$W$1026,MATCH($C502,ST!$E$4:$E$1026,0))),
IF($E502=2,IF(INDEX(ST!$AB$4:$AB$1026,MATCH($C502,ST!$E$4:$E$1026,0))="","",INDEX(ST!$AB$4:$AB$1026,MATCH($C502,ST!$E$4:$E$1026,0))),
IF($E502=3,IF(INDEX(ST!$AG$4:$AG$1026,MATCH($C502,ST!$E$4:$E$1026,0))="","",INDEX(ST!$AG$4:$AG$1026,MATCH($C502,ST!$E$4:$E$1026,0))),
IF($E502=4,IF(INDEX(ST!$AL$4:$AL$1026,MATCH($C502,ST!$E$4:$E$1026,0))="","",INDEX(ST!$AL$4:$AL$1026,MATCH($C502,ST!$E$4:$E$1026,0))),
IF($E502=5,IF(INDEX(ST!$AQ$4:$AQ$1026,MATCH($C502,ST!$E$4:$E$1026,0))="","",INDEX(ST!$AQ$4:$AQ$1026,MATCH($C502,ST!$E$4:$E$1026,0))),"")))))))</f>
        <v/>
      </c>
      <c r="K502" s="459">
        <f>ST!J5</f>
        <v>0</v>
      </c>
      <c r="L502" s="460" t="e" cm="1">
        <f t="array" aca="1" ref="L502" ca="1">_xlfn.IFS(AND($E502&lt;&gt;"",$M502="Pending",$K502="CTA"),TODAY()-$G502,AND($E502&lt;&gt;"",$M502="Pending",$K502="AUR"),TODAY()-$H502,AND($E502&lt;&gt;"",$M502="Pending",$K502="STT"),TODAY()-$I502,OR(K502="Closed",K502=""),"")</f>
        <v>#N/A</v>
      </c>
      <c r="M502" s="461" t="e">
        <f>VLOOKUP(C502,EL!$E$4:$AC$622,7,0)</f>
        <v>#N/A</v>
      </c>
      <c r="N502" s="454" t="e">
        <f t="shared" si="20"/>
        <v>#N/A</v>
      </c>
      <c r="O502" s="739" t="str">
        <f>ST!M5</f>
        <v>GC</v>
      </c>
      <c r="P502" s="746" t="str">
        <v>NO</v>
      </c>
    </row>
    <row r="503" spans="1:16" s="385" customFormat="1" ht="24.75" hidden="1" customHeight="1">
      <c r="A503" s="399">
        <v>3</v>
      </c>
      <c r="B503" s="455" t="s">
        <v>332</v>
      </c>
      <c r="C503" s="454" t="s">
        <v>341</v>
      </c>
      <c r="D503" s="493" t="str">
        <f>_xlfn.XLOOKUP(C503,ST!$E$4:$E$998,ST!$D$4:$D$998)</f>
        <v>Level 2 - Concrete Plinth Layout Plan &amp; Details</v>
      </c>
      <c r="E503" s="454" t="str">
        <f>IF(VLOOKUP(C503,ST!$E$4:$AC$508,5,0)="","",VLOOKUP(C503,ST!$E$4:$AC$1007,5,0))</f>
        <v/>
      </c>
      <c r="F503" s="457"/>
      <c r="G503" s="459" t="str">
        <f>IF(VLOOKUP(C503,ST!$E$4:$AC$508,3,0)="","",VLOOKUP(C503,ST!$E$4:$AC$508,3,0))</f>
        <v/>
      </c>
      <c r="H503" s="459" t="str">
        <f>IF(ISNA(MATCH($C503,ST!$E$4:$E$1026,0)),"",
IF($E503=0,IF(INDEX(ST!$P$4:$P$1026,MATCH($C503,ST!$E$4:$E$1026,0))="","",INDEX(ST!$P$4:$P$1026,MATCH($C503,ST!$E$4:$E$1026,0))),
IF($E503=1,IF(INDEX(ST!$U$4:$U$1026,MATCH($C503,ST!$E$4:$E$1026,0))="","",INDEX(ST!$U$4:$U$1026,MATCH($C503,ST!$E$4:$E$1026,0))),
IF($E503=2,IF(INDEX(ST!$Z$4:$Z$1026,MATCH($C503,ST!$E$4:$E$1026,0))="","",INDEX(ST!$Z$4:$Z$1026,MATCH($C503,ST!$E$4:$E$1026,0))),
IF($E503=3,IF(INDEX(ST!$AE$4:$AE$1026,MATCH($C503,ST!$E$4:$E$1026,0))="","",INDEX(ST!$AE$4:$AE$1026,MATCH($C503,ST!$E$4:$E$1026,0))),
IF($E503=4,IF(INDEX(ST!$AJ$4:$AJ$1026,MATCH($C503,ST!$E$4:$E$1026,0))="","",INDEX(ST!$AJ$4:$AJ$1026,MATCH($C503,ST!$E$4:$E$1026,0))),
IF($E503=5,IF(INDEX(ST!$AO$4:$AO$1026,MATCH($C503,ST!$E$4:$E$1026,0))="","",INDEX(ST!$AO$4:$AO$1026,MATCH($C503,ST!$E$4:$E$1026,0))),"")))))))</f>
        <v/>
      </c>
      <c r="I503" s="459" t="str">
        <f>IF(ISNA(MATCH($C503,ST!$E$4:$E$1026,0)),"",
IF($E503=0,IF(INDEX(ST!$Q$4:$Q$1026,MATCH($C503,ST!$E$4:$E$1026,0))="","",INDEX(ST!$Q$4:$Q$1026,MATCH($C503,ST!$E$4:$E$1026,0))),
IF($E503=1,IF(INDEX(ST!$V$4:$V$1026,MATCH($C503,ST!$E$4:$E$1026,0))="","",INDEX(ST!$V$4:$V$1026,MATCH($C503,ST!$E$4:$E$1026,0))),
IF($E503=2,IF(INDEX(ST!$AA$4:$AA$1026,MATCH($C503,ST!$E$4:$E$1026,0))="","",INDEX(ST!$AA$4:$AA$1026,MATCH($C503,ST!$E$4:$E$1026,0))),
IF($E503=3,IF(INDEX(ST!$AF$4:$AF$1026,MATCH($C503,ST!$E$4:$E$1026,0))="","",INDEX(ST!$AF$4:$AF$1026,MATCH($C503,ST!$E$4:$E$1026,0))),
IF($E503=4,IF(INDEX(ST!$AK$4:$AK$1026,MATCH($C503,ST!$E$4:$E$1026,0))="","",INDEX(ST!$AK$4:$AK$1026,MATCH($C503,ST!$E$4:$E$1026,0))),
IF($E503=5,IF(INDEX(ST!$AP$4:$AP$1026,MATCH($C503,ST!$E$4:$E$1026,0))="","",INDEX(ST!$AP$4:$AP$1026,MATCH($C503,ST!$E$4:$E$1026,0))),"")))))))</f>
        <v/>
      </c>
      <c r="J503" s="459" t="str">
        <f>IF(ISNA(MATCH($C503,ST!$E$4:$E$1026,0)),"",
IF($E503=0,IF(INDEX(ST!$R$4:$R$1026,MATCH($C503,ST!$E$4:$E$1026,0))="","",INDEX(ST!$R$4:$R$1026,MATCH($C503,ST!$E$4:$E$1026,0))),
IF($E503=1,IF(INDEX(ST!$W$4:$W$1026,MATCH($C503,ST!$E$4:$E$1026,0))="","",INDEX(ST!$W$4:$W$1026,MATCH($C503,ST!$E$4:$E$1026,0))),
IF($E503=2,IF(INDEX(ST!$AB$4:$AB$1026,MATCH($C503,ST!$E$4:$E$1026,0))="","",INDEX(ST!$AB$4:$AB$1026,MATCH($C503,ST!$E$4:$E$1026,0))),
IF($E503=3,IF(INDEX(ST!$AG$4:$AG$1026,MATCH($C503,ST!$E$4:$E$1026,0))="","",INDEX(ST!$AG$4:$AG$1026,MATCH($C503,ST!$E$4:$E$1026,0))),
IF($E503=4,IF(INDEX(ST!$AL$4:$AL$1026,MATCH($C503,ST!$E$4:$E$1026,0))="","",INDEX(ST!$AL$4:$AL$1026,MATCH($C503,ST!$E$4:$E$1026,0))),
IF($E503=5,IF(INDEX(ST!$AQ$4:$AQ$1026,MATCH($C503,ST!$E$4:$E$1026,0))="","",INDEX(ST!$AQ$4:$AQ$1026,MATCH($C503,ST!$E$4:$E$1026,0))),"")))))))</f>
        <v/>
      </c>
      <c r="K503" s="459">
        <f>ST!J6</f>
        <v>0</v>
      </c>
      <c r="L503" s="460" t="e" cm="1">
        <f t="array" aca="1" ref="L503" ca="1">_xlfn.IFS(AND($E503&lt;&gt;"",$M503="Pending",$K503="CTA"),TODAY()-$G503,AND($E503&lt;&gt;"",$M503="Pending",$K503="AUR"),TODAY()-$H503,AND($E503&lt;&gt;"",$M503="Pending",$K503="STT"),TODAY()-$I503,OR(K503="Closed",K503=""),"")</f>
        <v>#N/A</v>
      </c>
      <c r="M503" s="461" t="e">
        <f>VLOOKUP(C503,EL!$E$4:$AC$622,7,0)</f>
        <v>#N/A</v>
      </c>
      <c r="N503" s="454" t="e">
        <f t="shared" si="20"/>
        <v>#N/A</v>
      </c>
      <c r="O503" s="739" t="str">
        <f>ST!M6</f>
        <v>GC</v>
      </c>
      <c r="P503" s="746" t="str">
        <v>NO</v>
      </c>
    </row>
    <row r="504" spans="1:16" s="385" customFormat="1" ht="24.75" hidden="1" customHeight="1">
      <c r="A504" s="399">
        <v>4</v>
      </c>
      <c r="B504" s="455" t="s">
        <v>332</v>
      </c>
      <c r="C504" s="454" t="s">
        <v>344</v>
      </c>
      <c r="D504" s="493" t="str">
        <f>_xlfn.XLOOKUP(C504,ST!$E$4:$E$998,ST!$D$4:$D$998)</f>
        <v>Level 2 - Ladder Cover Sections &amp; Details</v>
      </c>
      <c r="E504" s="454" t="str">
        <f>IF(VLOOKUP(C504,ST!$E$4:$AC$508,5,0)="","",VLOOKUP(C504,ST!$E$4:$AC$1007,5,0))</f>
        <v/>
      </c>
      <c r="F504" s="457"/>
      <c r="G504" s="459" t="str">
        <f>IF(VLOOKUP(C504,ST!$E$4:$AC$508,3,0)="","",VLOOKUP(C504,ST!$E$4:$AC$508,3,0))</f>
        <v/>
      </c>
      <c r="H504" s="459" t="str">
        <f>IF(ISNA(MATCH($C504,ST!$E$4:$E$1026,0)),"",
IF($E504=0,IF(INDEX(ST!$P$4:$P$1026,MATCH($C504,ST!$E$4:$E$1026,0))="","",INDEX(ST!$P$4:$P$1026,MATCH($C504,ST!$E$4:$E$1026,0))),
IF($E504=1,IF(INDEX(ST!$U$4:$U$1026,MATCH($C504,ST!$E$4:$E$1026,0))="","",INDEX(ST!$U$4:$U$1026,MATCH($C504,ST!$E$4:$E$1026,0))),
IF($E504=2,IF(INDEX(ST!$Z$4:$Z$1026,MATCH($C504,ST!$E$4:$E$1026,0))="","",INDEX(ST!$Z$4:$Z$1026,MATCH($C504,ST!$E$4:$E$1026,0))),
IF($E504=3,IF(INDEX(ST!$AE$4:$AE$1026,MATCH($C504,ST!$E$4:$E$1026,0))="","",INDEX(ST!$AE$4:$AE$1026,MATCH($C504,ST!$E$4:$E$1026,0))),
IF($E504=4,IF(INDEX(ST!$AJ$4:$AJ$1026,MATCH($C504,ST!$E$4:$E$1026,0))="","",INDEX(ST!$AJ$4:$AJ$1026,MATCH($C504,ST!$E$4:$E$1026,0))),
IF($E504=5,IF(INDEX(ST!$AO$4:$AO$1026,MATCH($C504,ST!$E$4:$E$1026,0))="","",INDEX(ST!$AO$4:$AO$1026,MATCH($C504,ST!$E$4:$E$1026,0))),"")))))))</f>
        <v/>
      </c>
      <c r="I504" s="459" t="str">
        <f>IF(ISNA(MATCH($C504,ST!$E$4:$E$1026,0)),"",
IF($E504=0,IF(INDEX(ST!$Q$4:$Q$1026,MATCH($C504,ST!$E$4:$E$1026,0))="","",INDEX(ST!$Q$4:$Q$1026,MATCH($C504,ST!$E$4:$E$1026,0))),
IF($E504=1,IF(INDEX(ST!$V$4:$V$1026,MATCH($C504,ST!$E$4:$E$1026,0))="","",INDEX(ST!$V$4:$V$1026,MATCH($C504,ST!$E$4:$E$1026,0))),
IF($E504=2,IF(INDEX(ST!$AA$4:$AA$1026,MATCH($C504,ST!$E$4:$E$1026,0))="","",INDEX(ST!$AA$4:$AA$1026,MATCH($C504,ST!$E$4:$E$1026,0))),
IF($E504=3,IF(INDEX(ST!$AF$4:$AF$1026,MATCH($C504,ST!$E$4:$E$1026,0))="","",INDEX(ST!$AF$4:$AF$1026,MATCH($C504,ST!$E$4:$E$1026,0))),
IF($E504=4,IF(INDEX(ST!$AK$4:$AK$1026,MATCH($C504,ST!$E$4:$E$1026,0))="","",INDEX(ST!$AK$4:$AK$1026,MATCH($C504,ST!$E$4:$E$1026,0))),
IF($E504=5,IF(INDEX(ST!$AP$4:$AP$1026,MATCH($C504,ST!$E$4:$E$1026,0))="","",INDEX(ST!$AP$4:$AP$1026,MATCH($C504,ST!$E$4:$E$1026,0))),"")))))))</f>
        <v/>
      </c>
      <c r="J504" s="459" t="str">
        <f>IF(ISNA(MATCH($C504,ST!$E$4:$E$1026,0)),"",
IF($E504=0,IF(INDEX(ST!$R$4:$R$1026,MATCH($C504,ST!$E$4:$E$1026,0))="","",INDEX(ST!$R$4:$R$1026,MATCH($C504,ST!$E$4:$E$1026,0))),
IF($E504=1,IF(INDEX(ST!$W$4:$W$1026,MATCH($C504,ST!$E$4:$E$1026,0))="","",INDEX(ST!$W$4:$W$1026,MATCH($C504,ST!$E$4:$E$1026,0))),
IF($E504=2,IF(INDEX(ST!$AB$4:$AB$1026,MATCH($C504,ST!$E$4:$E$1026,0))="","",INDEX(ST!$AB$4:$AB$1026,MATCH($C504,ST!$E$4:$E$1026,0))),
IF($E504=3,IF(INDEX(ST!$AG$4:$AG$1026,MATCH($C504,ST!$E$4:$E$1026,0))="","",INDEX(ST!$AG$4:$AG$1026,MATCH($C504,ST!$E$4:$E$1026,0))),
IF($E504=4,IF(INDEX(ST!$AL$4:$AL$1026,MATCH($C504,ST!$E$4:$E$1026,0))="","",INDEX(ST!$AL$4:$AL$1026,MATCH($C504,ST!$E$4:$E$1026,0))),
IF($E504=5,IF(INDEX(ST!$AQ$4:$AQ$1026,MATCH($C504,ST!$E$4:$E$1026,0))="","",INDEX(ST!$AQ$4:$AQ$1026,MATCH($C504,ST!$E$4:$E$1026,0))),"")))))))</f>
        <v/>
      </c>
      <c r="K504" s="459">
        <f>ST!J7</f>
        <v>0</v>
      </c>
      <c r="L504" s="460" t="e" cm="1">
        <f t="array" aca="1" ref="L504" ca="1">_xlfn.IFS(AND($E504&lt;&gt;"",$M504="Pending",$K504="CTA"),TODAY()-$G504,AND($E504&lt;&gt;"",$M504="Pending",$K504="AUR"),TODAY()-$H504,AND($E504&lt;&gt;"",$M504="Pending",$K504="STT"),TODAY()-$I504,OR(K504="Closed",K504=""),"")</f>
        <v>#N/A</v>
      </c>
      <c r="M504" s="461" t="e">
        <f>VLOOKUP(C504,EL!$E$4:$AC$622,7,0)</f>
        <v>#N/A</v>
      </c>
      <c r="N504" s="454" t="e">
        <f t="shared" si="20"/>
        <v>#N/A</v>
      </c>
      <c r="O504" s="739" t="str">
        <f>ST!M7</f>
        <v>GC</v>
      </c>
      <c r="P504" s="746" t="str">
        <v>NO</v>
      </c>
    </row>
    <row r="505" spans="1:16" s="385" customFormat="1" ht="24.75" hidden="1" customHeight="1">
      <c r="A505" s="399">
        <v>5</v>
      </c>
      <c r="B505" s="455" t="s">
        <v>332</v>
      </c>
      <c r="C505" s="454" t="s">
        <v>347</v>
      </c>
      <c r="D505" s="493" t="str">
        <f>_xlfn.XLOOKUP(C505,ST!$E$4:$E$998,ST!$D$4:$D$998)</f>
        <v>Level 3 - Concrete Plinth Layout Plan &amp; Details</v>
      </c>
      <c r="E505" s="454" t="str">
        <f>IF(VLOOKUP(C505,ST!$E$4:$AC$508,5,0)="","",VLOOKUP(C505,ST!$E$4:$AC$1007,5,0))</f>
        <v/>
      </c>
      <c r="F505" s="457"/>
      <c r="G505" s="459" t="str">
        <f>IF(VLOOKUP(C505,ST!$E$4:$AC$508,3,0)="","",VLOOKUP(C505,ST!$E$4:$AC$508,3,0))</f>
        <v/>
      </c>
      <c r="H505" s="459" t="str">
        <f>IF(ISNA(MATCH($C505,ST!$E$4:$E$1026,0)),"",
IF($E505=0,IF(INDEX(ST!$P$4:$P$1026,MATCH($C505,ST!$E$4:$E$1026,0))="","",INDEX(ST!$P$4:$P$1026,MATCH($C505,ST!$E$4:$E$1026,0))),
IF($E505=1,IF(INDEX(ST!$U$4:$U$1026,MATCH($C505,ST!$E$4:$E$1026,0))="","",INDEX(ST!$U$4:$U$1026,MATCH($C505,ST!$E$4:$E$1026,0))),
IF($E505=2,IF(INDEX(ST!$Z$4:$Z$1026,MATCH($C505,ST!$E$4:$E$1026,0))="","",INDEX(ST!$Z$4:$Z$1026,MATCH($C505,ST!$E$4:$E$1026,0))),
IF($E505=3,IF(INDEX(ST!$AE$4:$AE$1026,MATCH($C505,ST!$E$4:$E$1026,0))="","",INDEX(ST!$AE$4:$AE$1026,MATCH($C505,ST!$E$4:$E$1026,0))),
IF($E505=4,IF(INDEX(ST!$AJ$4:$AJ$1026,MATCH($C505,ST!$E$4:$E$1026,0))="","",INDEX(ST!$AJ$4:$AJ$1026,MATCH($C505,ST!$E$4:$E$1026,0))),
IF($E505=5,IF(INDEX(ST!$AO$4:$AO$1026,MATCH($C505,ST!$E$4:$E$1026,0))="","",INDEX(ST!$AO$4:$AO$1026,MATCH($C505,ST!$E$4:$E$1026,0))),"")))))))</f>
        <v/>
      </c>
      <c r="I505" s="459" t="str">
        <f>IF(ISNA(MATCH($C505,ST!$E$4:$E$1026,0)),"",
IF($E505=0,IF(INDEX(ST!$Q$4:$Q$1026,MATCH($C505,ST!$E$4:$E$1026,0))="","",INDEX(ST!$Q$4:$Q$1026,MATCH($C505,ST!$E$4:$E$1026,0))),
IF($E505=1,IF(INDEX(ST!$V$4:$V$1026,MATCH($C505,ST!$E$4:$E$1026,0))="","",INDEX(ST!$V$4:$V$1026,MATCH($C505,ST!$E$4:$E$1026,0))),
IF($E505=2,IF(INDEX(ST!$AA$4:$AA$1026,MATCH($C505,ST!$E$4:$E$1026,0))="","",INDEX(ST!$AA$4:$AA$1026,MATCH($C505,ST!$E$4:$E$1026,0))),
IF($E505=3,IF(INDEX(ST!$AF$4:$AF$1026,MATCH($C505,ST!$E$4:$E$1026,0))="","",INDEX(ST!$AF$4:$AF$1026,MATCH($C505,ST!$E$4:$E$1026,0))),
IF($E505=4,IF(INDEX(ST!$AK$4:$AK$1026,MATCH($C505,ST!$E$4:$E$1026,0))="","",INDEX(ST!$AK$4:$AK$1026,MATCH($C505,ST!$E$4:$E$1026,0))),
IF($E505=5,IF(INDEX(ST!$AP$4:$AP$1026,MATCH($C505,ST!$E$4:$E$1026,0))="","",INDEX(ST!$AP$4:$AP$1026,MATCH($C505,ST!$E$4:$E$1026,0))),"")))))))</f>
        <v/>
      </c>
      <c r="J505" s="459" t="str">
        <f>IF(ISNA(MATCH($C505,ST!$E$4:$E$1026,0)),"",
IF($E505=0,IF(INDEX(ST!$R$4:$R$1026,MATCH($C505,ST!$E$4:$E$1026,0))="","",INDEX(ST!$R$4:$R$1026,MATCH($C505,ST!$E$4:$E$1026,0))),
IF($E505=1,IF(INDEX(ST!$W$4:$W$1026,MATCH($C505,ST!$E$4:$E$1026,0))="","",INDEX(ST!$W$4:$W$1026,MATCH($C505,ST!$E$4:$E$1026,0))),
IF($E505=2,IF(INDEX(ST!$AB$4:$AB$1026,MATCH($C505,ST!$E$4:$E$1026,0))="","",INDEX(ST!$AB$4:$AB$1026,MATCH($C505,ST!$E$4:$E$1026,0))),
IF($E505=3,IF(INDEX(ST!$AG$4:$AG$1026,MATCH($C505,ST!$E$4:$E$1026,0))="","",INDEX(ST!$AG$4:$AG$1026,MATCH($C505,ST!$E$4:$E$1026,0))),
IF($E505=4,IF(INDEX(ST!$AL$4:$AL$1026,MATCH($C505,ST!$E$4:$E$1026,0))="","",INDEX(ST!$AL$4:$AL$1026,MATCH($C505,ST!$E$4:$E$1026,0))),
IF($E505=5,IF(INDEX(ST!$AQ$4:$AQ$1026,MATCH($C505,ST!$E$4:$E$1026,0))="","",INDEX(ST!$AQ$4:$AQ$1026,MATCH($C505,ST!$E$4:$E$1026,0))),"")))))))</f>
        <v/>
      </c>
      <c r="K505" s="459">
        <f>ST!J8</f>
        <v>0</v>
      </c>
      <c r="L505" s="460" t="e" cm="1">
        <f t="array" aca="1" ref="L505" ca="1">_xlfn.IFS(AND($E505&lt;&gt;"",$M505="Pending",$K505="CTA"),TODAY()-$G505,AND($E505&lt;&gt;"",$M505="Pending",$K505="AUR"),TODAY()-$H505,AND($E505&lt;&gt;"",$M505="Pending",$K505="STT"),TODAY()-$I505,OR(K505="Closed",K505=""),"")</f>
        <v>#N/A</v>
      </c>
      <c r="M505" s="461" t="e">
        <f>VLOOKUP(C505,EL!$E$4:$AC$622,7,0)</f>
        <v>#N/A</v>
      </c>
      <c r="N505" s="454" t="e">
        <f t="shared" si="20"/>
        <v>#N/A</v>
      </c>
      <c r="O505" s="739" t="str">
        <f>ST!M8</f>
        <v>GC</v>
      </c>
      <c r="P505" s="746" t="str">
        <v>NO</v>
      </c>
    </row>
    <row r="506" spans="1:16" s="385" customFormat="1" ht="24.75" hidden="1" customHeight="1">
      <c r="A506" s="399">
        <v>6</v>
      </c>
      <c r="B506" s="455" t="s">
        <v>332</v>
      </c>
      <c r="C506" s="454" t="s">
        <v>350</v>
      </c>
      <c r="D506" s="493" t="str">
        <f>_xlfn.XLOOKUP(C506,ST!$E$4:$E$998,ST!$D$4:$D$998)</f>
        <v>Level 3 - Ladder Cover Sections &amp; Details</v>
      </c>
      <c r="E506" s="454" t="str">
        <f>IF(VLOOKUP(C506,ST!$E$4:$AC$508,5,0)="","",VLOOKUP(C506,ST!$E$4:$AC$1007,5,0))</f>
        <v/>
      </c>
      <c r="F506" s="457"/>
      <c r="G506" s="459" t="str">
        <f>IF(VLOOKUP(C506,ST!$E$4:$AC$508,3,0)="","",VLOOKUP(C506,ST!$E$4:$AC$508,3,0))</f>
        <v/>
      </c>
      <c r="H506" s="459" t="str">
        <f>IF(ISNA(MATCH($C506,ST!$E$4:$E$1026,0)),"",
IF($E506=0,IF(INDEX(ST!$P$4:$P$1026,MATCH($C506,ST!$E$4:$E$1026,0))="","",INDEX(ST!$P$4:$P$1026,MATCH($C506,ST!$E$4:$E$1026,0))),
IF($E506=1,IF(INDEX(ST!$U$4:$U$1026,MATCH($C506,ST!$E$4:$E$1026,0))="","",INDEX(ST!$U$4:$U$1026,MATCH($C506,ST!$E$4:$E$1026,0))),
IF($E506=2,IF(INDEX(ST!$Z$4:$Z$1026,MATCH($C506,ST!$E$4:$E$1026,0))="","",INDEX(ST!$Z$4:$Z$1026,MATCH($C506,ST!$E$4:$E$1026,0))),
IF($E506=3,IF(INDEX(ST!$AE$4:$AE$1026,MATCH($C506,ST!$E$4:$E$1026,0))="","",INDEX(ST!$AE$4:$AE$1026,MATCH($C506,ST!$E$4:$E$1026,0))),
IF($E506=4,IF(INDEX(ST!$AJ$4:$AJ$1026,MATCH($C506,ST!$E$4:$E$1026,0))="","",INDEX(ST!$AJ$4:$AJ$1026,MATCH($C506,ST!$E$4:$E$1026,0))),
IF($E506=5,IF(INDEX(ST!$AO$4:$AO$1026,MATCH($C506,ST!$E$4:$E$1026,0))="","",INDEX(ST!$AO$4:$AO$1026,MATCH($C506,ST!$E$4:$E$1026,0))),"")))))))</f>
        <v/>
      </c>
      <c r="I506" s="459" t="str">
        <f>IF(ISNA(MATCH($C506,ST!$E$4:$E$1026,0)),"",
IF($E506=0,IF(INDEX(ST!$Q$4:$Q$1026,MATCH($C506,ST!$E$4:$E$1026,0))="","",INDEX(ST!$Q$4:$Q$1026,MATCH($C506,ST!$E$4:$E$1026,0))),
IF($E506=1,IF(INDEX(ST!$V$4:$V$1026,MATCH($C506,ST!$E$4:$E$1026,0))="","",INDEX(ST!$V$4:$V$1026,MATCH($C506,ST!$E$4:$E$1026,0))),
IF($E506=2,IF(INDEX(ST!$AA$4:$AA$1026,MATCH($C506,ST!$E$4:$E$1026,0))="","",INDEX(ST!$AA$4:$AA$1026,MATCH($C506,ST!$E$4:$E$1026,0))),
IF($E506=3,IF(INDEX(ST!$AF$4:$AF$1026,MATCH($C506,ST!$E$4:$E$1026,0))="","",INDEX(ST!$AF$4:$AF$1026,MATCH($C506,ST!$E$4:$E$1026,0))),
IF($E506=4,IF(INDEX(ST!$AK$4:$AK$1026,MATCH($C506,ST!$E$4:$E$1026,0))="","",INDEX(ST!$AK$4:$AK$1026,MATCH($C506,ST!$E$4:$E$1026,0))),
IF($E506=5,IF(INDEX(ST!$AP$4:$AP$1026,MATCH($C506,ST!$E$4:$E$1026,0))="","",INDEX(ST!$AP$4:$AP$1026,MATCH($C506,ST!$E$4:$E$1026,0))),"")))))))</f>
        <v/>
      </c>
      <c r="J506" s="459" t="str">
        <f>IF(ISNA(MATCH($C506,ST!$E$4:$E$1026,0)),"",
IF($E506=0,IF(INDEX(ST!$R$4:$R$1026,MATCH($C506,ST!$E$4:$E$1026,0))="","",INDEX(ST!$R$4:$R$1026,MATCH($C506,ST!$E$4:$E$1026,0))),
IF($E506=1,IF(INDEX(ST!$W$4:$W$1026,MATCH($C506,ST!$E$4:$E$1026,0))="","",INDEX(ST!$W$4:$W$1026,MATCH($C506,ST!$E$4:$E$1026,0))),
IF($E506=2,IF(INDEX(ST!$AB$4:$AB$1026,MATCH($C506,ST!$E$4:$E$1026,0))="","",INDEX(ST!$AB$4:$AB$1026,MATCH($C506,ST!$E$4:$E$1026,0))),
IF($E506=3,IF(INDEX(ST!$AG$4:$AG$1026,MATCH($C506,ST!$E$4:$E$1026,0))="","",INDEX(ST!$AG$4:$AG$1026,MATCH($C506,ST!$E$4:$E$1026,0))),
IF($E506=4,IF(INDEX(ST!$AL$4:$AL$1026,MATCH($C506,ST!$E$4:$E$1026,0))="","",INDEX(ST!$AL$4:$AL$1026,MATCH($C506,ST!$E$4:$E$1026,0))),
IF($E506=5,IF(INDEX(ST!$AQ$4:$AQ$1026,MATCH($C506,ST!$E$4:$E$1026,0))="","",INDEX(ST!$AQ$4:$AQ$1026,MATCH($C506,ST!$E$4:$E$1026,0))),"")))))))</f>
        <v/>
      </c>
      <c r="K506" s="459">
        <f>ST!J9</f>
        <v>0</v>
      </c>
      <c r="L506" s="460" t="e" cm="1">
        <f t="array" aca="1" ref="L506" ca="1">_xlfn.IFS(AND($E506&lt;&gt;"",$M506="Pending",$K506="CTA"),TODAY()-$G506,AND($E506&lt;&gt;"",$M506="Pending",$K506="AUR"),TODAY()-$H506,AND($E506&lt;&gt;"",$M506="Pending",$K506="STT"),TODAY()-$I506,OR(K506="Closed",K506=""),"")</f>
        <v>#N/A</v>
      </c>
      <c r="M506" s="461" t="e">
        <f>VLOOKUP(C506,EL!$E$4:$AC$622,7,0)</f>
        <v>#N/A</v>
      </c>
      <c r="N506" s="454" t="e">
        <f t="shared" si="20"/>
        <v>#N/A</v>
      </c>
      <c r="O506" s="739" t="str">
        <f>ST!M9</f>
        <v>GC</v>
      </c>
      <c r="P506" s="746" t="str">
        <v>NO</v>
      </c>
    </row>
    <row r="507" spans="1:16" s="385" customFormat="1" ht="24.75" hidden="1" customHeight="1">
      <c r="A507" s="399">
        <v>7</v>
      </c>
      <c r="B507" s="455" t="s">
        <v>332</v>
      </c>
      <c r="C507" s="454" t="s">
        <v>353</v>
      </c>
      <c r="D507" s="493" t="str">
        <f>_xlfn.XLOOKUP(C507,ST!$E$4:$E$998,ST!$D$4:$D$998)</f>
        <v>Level 4 - Concrete Plinth Layout Plan &amp; Details</v>
      </c>
      <c r="E507" s="454" t="str">
        <f>IF(VLOOKUP(C507,ST!$E$4:$AC$508,5,0)="","",VLOOKUP(C507,ST!$E$4:$AC$1007,5,0))</f>
        <v/>
      </c>
      <c r="F507" s="457"/>
      <c r="G507" s="459" t="str">
        <f>IF(VLOOKUP(C507,ST!$E$4:$AC$508,3,0)="","",VLOOKUP(C507,ST!$E$4:$AC$508,3,0))</f>
        <v/>
      </c>
      <c r="H507" s="459" t="str">
        <f>IF(ISNA(MATCH($C507,ST!$E$4:$E$1026,0)),"",
IF($E507=0,IF(INDEX(ST!$P$4:$P$1026,MATCH($C507,ST!$E$4:$E$1026,0))="","",INDEX(ST!$P$4:$P$1026,MATCH($C507,ST!$E$4:$E$1026,0))),
IF($E507=1,IF(INDEX(ST!$U$4:$U$1026,MATCH($C507,ST!$E$4:$E$1026,0))="","",INDEX(ST!$U$4:$U$1026,MATCH($C507,ST!$E$4:$E$1026,0))),
IF($E507=2,IF(INDEX(ST!$Z$4:$Z$1026,MATCH($C507,ST!$E$4:$E$1026,0))="","",INDEX(ST!$Z$4:$Z$1026,MATCH($C507,ST!$E$4:$E$1026,0))),
IF($E507=3,IF(INDEX(ST!$AE$4:$AE$1026,MATCH($C507,ST!$E$4:$E$1026,0))="","",INDEX(ST!$AE$4:$AE$1026,MATCH($C507,ST!$E$4:$E$1026,0))),
IF($E507=4,IF(INDEX(ST!$AJ$4:$AJ$1026,MATCH($C507,ST!$E$4:$E$1026,0))="","",INDEX(ST!$AJ$4:$AJ$1026,MATCH($C507,ST!$E$4:$E$1026,0))),
IF($E507=5,IF(INDEX(ST!$AO$4:$AO$1026,MATCH($C507,ST!$E$4:$E$1026,0))="","",INDEX(ST!$AO$4:$AO$1026,MATCH($C507,ST!$E$4:$E$1026,0))),"")))))))</f>
        <v/>
      </c>
      <c r="I507" s="459" t="str">
        <f>IF(ISNA(MATCH($C507,ST!$E$4:$E$1026,0)),"",
IF($E507=0,IF(INDEX(ST!$Q$4:$Q$1026,MATCH($C507,ST!$E$4:$E$1026,0))="","",INDEX(ST!$Q$4:$Q$1026,MATCH($C507,ST!$E$4:$E$1026,0))),
IF($E507=1,IF(INDEX(ST!$V$4:$V$1026,MATCH($C507,ST!$E$4:$E$1026,0))="","",INDEX(ST!$V$4:$V$1026,MATCH($C507,ST!$E$4:$E$1026,0))),
IF($E507=2,IF(INDEX(ST!$AA$4:$AA$1026,MATCH($C507,ST!$E$4:$E$1026,0))="","",INDEX(ST!$AA$4:$AA$1026,MATCH($C507,ST!$E$4:$E$1026,0))),
IF($E507=3,IF(INDEX(ST!$AF$4:$AF$1026,MATCH($C507,ST!$E$4:$E$1026,0))="","",INDEX(ST!$AF$4:$AF$1026,MATCH($C507,ST!$E$4:$E$1026,0))),
IF($E507=4,IF(INDEX(ST!$AK$4:$AK$1026,MATCH($C507,ST!$E$4:$E$1026,0))="","",INDEX(ST!$AK$4:$AK$1026,MATCH($C507,ST!$E$4:$E$1026,0))),
IF($E507=5,IF(INDEX(ST!$AP$4:$AP$1026,MATCH($C507,ST!$E$4:$E$1026,0))="","",INDEX(ST!$AP$4:$AP$1026,MATCH($C507,ST!$E$4:$E$1026,0))),"")))))))</f>
        <v/>
      </c>
      <c r="J507" s="459" t="str">
        <f>IF(ISNA(MATCH($C507,ST!$E$4:$E$1026,0)),"",
IF($E507=0,IF(INDEX(ST!$R$4:$R$1026,MATCH($C507,ST!$E$4:$E$1026,0))="","",INDEX(ST!$R$4:$R$1026,MATCH($C507,ST!$E$4:$E$1026,0))),
IF($E507=1,IF(INDEX(ST!$W$4:$W$1026,MATCH($C507,ST!$E$4:$E$1026,0))="","",INDEX(ST!$W$4:$W$1026,MATCH($C507,ST!$E$4:$E$1026,0))),
IF($E507=2,IF(INDEX(ST!$AB$4:$AB$1026,MATCH($C507,ST!$E$4:$E$1026,0))="","",INDEX(ST!$AB$4:$AB$1026,MATCH($C507,ST!$E$4:$E$1026,0))),
IF($E507=3,IF(INDEX(ST!$AG$4:$AG$1026,MATCH($C507,ST!$E$4:$E$1026,0))="","",INDEX(ST!$AG$4:$AG$1026,MATCH($C507,ST!$E$4:$E$1026,0))),
IF($E507=4,IF(INDEX(ST!$AL$4:$AL$1026,MATCH($C507,ST!$E$4:$E$1026,0))="","",INDEX(ST!$AL$4:$AL$1026,MATCH($C507,ST!$E$4:$E$1026,0))),
IF($E507=5,IF(INDEX(ST!$AQ$4:$AQ$1026,MATCH($C507,ST!$E$4:$E$1026,0))="","",INDEX(ST!$AQ$4:$AQ$1026,MATCH($C507,ST!$E$4:$E$1026,0))),"")))))))</f>
        <v/>
      </c>
      <c r="K507" s="459">
        <f>ST!J10</f>
        <v>0</v>
      </c>
      <c r="L507" s="460" t="e" cm="1">
        <f t="array" aca="1" ref="L507" ca="1">_xlfn.IFS(AND($E507&lt;&gt;"",$M507="Pending",$K507="CTA"),TODAY()-$G507,AND($E507&lt;&gt;"",$M507="Pending",$K507="AUR"),TODAY()-$H507,AND($E507&lt;&gt;"",$M507="Pending",$K507="STT"),TODAY()-$I507,OR(K507="Closed",K507=""),"")</f>
        <v>#N/A</v>
      </c>
      <c r="M507" s="461" t="e">
        <f>VLOOKUP(C507,EL!$E$4:$AC$622,7,0)</f>
        <v>#N/A</v>
      </c>
      <c r="N507" s="454" t="e">
        <f t="shared" si="20"/>
        <v>#N/A</v>
      </c>
      <c r="O507" s="739" t="str">
        <f>ST!M10</f>
        <v>GC</v>
      </c>
      <c r="P507" s="746" t="str">
        <v>NO</v>
      </c>
    </row>
    <row r="508" spans="1:16" s="385" customFormat="1" ht="24.75" hidden="1" customHeight="1">
      <c r="A508" s="399">
        <v>8</v>
      </c>
      <c r="B508" s="455" t="s">
        <v>332</v>
      </c>
      <c r="C508" s="454" t="s">
        <v>356</v>
      </c>
      <c r="D508" s="493" t="str">
        <f>_xlfn.XLOOKUP(C508,ST!$E$4:$E$998,ST!$D$4:$D$998)</f>
        <v>Level 4 - Ladder Cover Sections &amp; Details</v>
      </c>
      <c r="E508" s="454" t="str">
        <f>IF(VLOOKUP(C508,ST!$E$4:$AC$508,5,0)="","",VLOOKUP(C508,ST!$E$4:$AC$1007,5,0))</f>
        <v/>
      </c>
      <c r="F508" s="457"/>
      <c r="G508" s="459" t="str">
        <f>IF(VLOOKUP(C508,ST!$E$4:$AC$508,3,0)="","",VLOOKUP(C508,ST!$E$4:$AC$508,3,0))</f>
        <v/>
      </c>
      <c r="H508" s="459" t="str">
        <f>IF(ISNA(MATCH($C508,ST!$E$4:$E$1026,0)),"",
IF($E508=0,IF(INDEX(ST!$P$4:$P$1026,MATCH($C508,ST!$E$4:$E$1026,0))="","",INDEX(ST!$P$4:$P$1026,MATCH($C508,ST!$E$4:$E$1026,0))),
IF($E508=1,IF(INDEX(ST!$U$4:$U$1026,MATCH($C508,ST!$E$4:$E$1026,0))="","",INDEX(ST!$U$4:$U$1026,MATCH($C508,ST!$E$4:$E$1026,0))),
IF($E508=2,IF(INDEX(ST!$Z$4:$Z$1026,MATCH($C508,ST!$E$4:$E$1026,0))="","",INDEX(ST!$Z$4:$Z$1026,MATCH($C508,ST!$E$4:$E$1026,0))),
IF($E508=3,IF(INDEX(ST!$AE$4:$AE$1026,MATCH($C508,ST!$E$4:$E$1026,0))="","",INDEX(ST!$AE$4:$AE$1026,MATCH($C508,ST!$E$4:$E$1026,0))),
IF($E508=4,IF(INDEX(ST!$AJ$4:$AJ$1026,MATCH($C508,ST!$E$4:$E$1026,0))="","",INDEX(ST!$AJ$4:$AJ$1026,MATCH($C508,ST!$E$4:$E$1026,0))),
IF($E508=5,IF(INDEX(ST!$AO$4:$AO$1026,MATCH($C508,ST!$E$4:$E$1026,0))="","",INDEX(ST!$AO$4:$AO$1026,MATCH($C508,ST!$E$4:$E$1026,0))),"")))))))</f>
        <v/>
      </c>
      <c r="I508" s="459" t="str">
        <f>IF(ISNA(MATCH($C508,ST!$E$4:$E$1026,0)),"",
IF($E508=0,IF(INDEX(ST!$Q$4:$Q$1026,MATCH($C508,ST!$E$4:$E$1026,0))="","",INDEX(ST!$Q$4:$Q$1026,MATCH($C508,ST!$E$4:$E$1026,0))),
IF($E508=1,IF(INDEX(ST!$V$4:$V$1026,MATCH($C508,ST!$E$4:$E$1026,0))="","",INDEX(ST!$V$4:$V$1026,MATCH($C508,ST!$E$4:$E$1026,0))),
IF($E508=2,IF(INDEX(ST!$AA$4:$AA$1026,MATCH($C508,ST!$E$4:$E$1026,0))="","",INDEX(ST!$AA$4:$AA$1026,MATCH($C508,ST!$E$4:$E$1026,0))),
IF($E508=3,IF(INDEX(ST!$AF$4:$AF$1026,MATCH($C508,ST!$E$4:$E$1026,0))="","",INDEX(ST!$AF$4:$AF$1026,MATCH($C508,ST!$E$4:$E$1026,0))),
IF($E508=4,IF(INDEX(ST!$AK$4:$AK$1026,MATCH($C508,ST!$E$4:$E$1026,0))="","",INDEX(ST!$AK$4:$AK$1026,MATCH($C508,ST!$E$4:$E$1026,0))),
IF($E508=5,IF(INDEX(ST!$AP$4:$AP$1026,MATCH($C508,ST!$E$4:$E$1026,0))="","",INDEX(ST!$AP$4:$AP$1026,MATCH($C508,ST!$E$4:$E$1026,0))),"")))))))</f>
        <v/>
      </c>
      <c r="J508" s="459" t="str">
        <f>IF(ISNA(MATCH($C508,ST!$E$4:$E$1026,0)),"",
IF($E508=0,IF(INDEX(ST!$R$4:$R$1026,MATCH($C508,ST!$E$4:$E$1026,0))="","",INDEX(ST!$R$4:$R$1026,MATCH($C508,ST!$E$4:$E$1026,0))),
IF($E508=1,IF(INDEX(ST!$W$4:$W$1026,MATCH($C508,ST!$E$4:$E$1026,0))="","",INDEX(ST!$W$4:$W$1026,MATCH($C508,ST!$E$4:$E$1026,0))),
IF($E508=2,IF(INDEX(ST!$AB$4:$AB$1026,MATCH($C508,ST!$E$4:$E$1026,0))="","",INDEX(ST!$AB$4:$AB$1026,MATCH($C508,ST!$E$4:$E$1026,0))),
IF($E508=3,IF(INDEX(ST!$AG$4:$AG$1026,MATCH($C508,ST!$E$4:$E$1026,0))="","",INDEX(ST!$AG$4:$AG$1026,MATCH($C508,ST!$E$4:$E$1026,0))),
IF($E508=4,IF(INDEX(ST!$AL$4:$AL$1026,MATCH($C508,ST!$E$4:$E$1026,0))="","",INDEX(ST!$AL$4:$AL$1026,MATCH($C508,ST!$E$4:$E$1026,0))),
IF($E508=5,IF(INDEX(ST!$AQ$4:$AQ$1026,MATCH($C508,ST!$E$4:$E$1026,0))="","",INDEX(ST!$AQ$4:$AQ$1026,MATCH($C508,ST!$E$4:$E$1026,0))),"")))))))</f>
        <v/>
      </c>
      <c r="K508" s="459">
        <f>ST!J11</f>
        <v>0</v>
      </c>
      <c r="L508" s="460" t="e" cm="1">
        <f t="array" aca="1" ref="L508" ca="1">_xlfn.IFS(AND($E508&lt;&gt;"",$M508="Pending",$K508="CTA"),TODAY()-$G508,AND($E508&lt;&gt;"",$M508="Pending",$K508="AUR"),TODAY()-$H508,AND($E508&lt;&gt;"",$M508="Pending",$K508="STT"),TODAY()-$I508,OR(K508="Closed",K508=""),"")</f>
        <v>#N/A</v>
      </c>
      <c r="M508" s="461" t="e">
        <f>VLOOKUP(C508,EL!$E$4:$AC$622,7,0)</f>
        <v>#N/A</v>
      </c>
      <c r="N508" s="454" t="e">
        <f t="shared" si="20"/>
        <v>#N/A</v>
      </c>
      <c r="O508" s="739" t="str">
        <f>ST!M11</f>
        <v>GC</v>
      </c>
      <c r="P508" s="746" t="str">
        <v>NO</v>
      </c>
    </row>
    <row r="509" spans="1:16" s="385" customFormat="1" ht="24.75" hidden="1" customHeight="1">
      <c r="A509" s="399">
        <v>9</v>
      </c>
      <c r="B509" s="455" t="s">
        <v>332</v>
      </c>
      <c r="C509" s="454" t="s">
        <v>359</v>
      </c>
      <c r="D509" s="493" t="str">
        <f>_xlfn.XLOOKUP(C509,ST!$E$4:$E$998,ST!$D$4:$D$998)</f>
        <v>Level 5 - Concrete Plinth Layout Plan &amp; Details</v>
      </c>
      <c r="E509" s="454" t="str">
        <f>IF(VLOOKUP(C509,ST!$E$4:$AC$508,5,0)="","",VLOOKUP(C509,ST!$E$4:$AC$1007,5,0))</f>
        <v/>
      </c>
      <c r="F509" s="457"/>
      <c r="G509" s="459" t="str">
        <f>IF(VLOOKUP(C509,ST!$E$4:$AC$508,3,0)="","",VLOOKUP(C509,ST!$E$4:$AC$508,3,0))</f>
        <v/>
      </c>
      <c r="H509" s="459" t="str">
        <f>IF(ISNA(MATCH($C509,ST!$E$4:$E$1026,0)),"",
IF($E509=0,IF(INDEX(ST!$P$4:$P$1026,MATCH($C509,ST!$E$4:$E$1026,0))="","",INDEX(ST!$P$4:$P$1026,MATCH($C509,ST!$E$4:$E$1026,0))),
IF($E509=1,IF(INDEX(ST!$U$4:$U$1026,MATCH($C509,ST!$E$4:$E$1026,0))="","",INDEX(ST!$U$4:$U$1026,MATCH($C509,ST!$E$4:$E$1026,0))),
IF($E509=2,IF(INDEX(ST!$Z$4:$Z$1026,MATCH($C509,ST!$E$4:$E$1026,0))="","",INDEX(ST!$Z$4:$Z$1026,MATCH($C509,ST!$E$4:$E$1026,0))),
IF($E509=3,IF(INDEX(ST!$AE$4:$AE$1026,MATCH($C509,ST!$E$4:$E$1026,0))="","",INDEX(ST!$AE$4:$AE$1026,MATCH($C509,ST!$E$4:$E$1026,0))),
IF($E509=4,IF(INDEX(ST!$AJ$4:$AJ$1026,MATCH($C509,ST!$E$4:$E$1026,0))="","",INDEX(ST!$AJ$4:$AJ$1026,MATCH($C509,ST!$E$4:$E$1026,0))),
IF($E509=5,IF(INDEX(ST!$AO$4:$AO$1026,MATCH($C509,ST!$E$4:$E$1026,0))="","",INDEX(ST!$AO$4:$AO$1026,MATCH($C509,ST!$E$4:$E$1026,0))),"")))))))</f>
        <v/>
      </c>
      <c r="I509" s="459" t="str">
        <f>IF(ISNA(MATCH($C509,ST!$E$4:$E$1026,0)),"",
IF($E509=0,IF(INDEX(ST!$Q$4:$Q$1026,MATCH($C509,ST!$E$4:$E$1026,0))="","",INDEX(ST!$Q$4:$Q$1026,MATCH($C509,ST!$E$4:$E$1026,0))),
IF($E509=1,IF(INDEX(ST!$V$4:$V$1026,MATCH($C509,ST!$E$4:$E$1026,0))="","",INDEX(ST!$V$4:$V$1026,MATCH($C509,ST!$E$4:$E$1026,0))),
IF($E509=2,IF(INDEX(ST!$AA$4:$AA$1026,MATCH($C509,ST!$E$4:$E$1026,0))="","",INDEX(ST!$AA$4:$AA$1026,MATCH($C509,ST!$E$4:$E$1026,0))),
IF($E509=3,IF(INDEX(ST!$AF$4:$AF$1026,MATCH($C509,ST!$E$4:$E$1026,0))="","",INDEX(ST!$AF$4:$AF$1026,MATCH($C509,ST!$E$4:$E$1026,0))),
IF($E509=4,IF(INDEX(ST!$AK$4:$AK$1026,MATCH($C509,ST!$E$4:$E$1026,0))="","",INDEX(ST!$AK$4:$AK$1026,MATCH($C509,ST!$E$4:$E$1026,0))),
IF($E509=5,IF(INDEX(ST!$AP$4:$AP$1026,MATCH($C509,ST!$E$4:$E$1026,0))="","",INDEX(ST!$AP$4:$AP$1026,MATCH($C509,ST!$E$4:$E$1026,0))),"")))))))</f>
        <v/>
      </c>
      <c r="J509" s="459" t="str">
        <f>IF(ISNA(MATCH($C509,ST!$E$4:$E$1026,0)),"",
IF($E509=0,IF(INDEX(ST!$R$4:$R$1026,MATCH($C509,ST!$E$4:$E$1026,0))="","",INDEX(ST!$R$4:$R$1026,MATCH($C509,ST!$E$4:$E$1026,0))),
IF($E509=1,IF(INDEX(ST!$W$4:$W$1026,MATCH($C509,ST!$E$4:$E$1026,0))="","",INDEX(ST!$W$4:$W$1026,MATCH($C509,ST!$E$4:$E$1026,0))),
IF($E509=2,IF(INDEX(ST!$AB$4:$AB$1026,MATCH($C509,ST!$E$4:$E$1026,0))="","",INDEX(ST!$AB$4:$AB$1026,MATCH($C509,ST!$E$4:$E$1026,0))),
IF($E509=3,IF(INDEX(ST!$AG$4:$AG$1026,MATCH($C509,ST!$E$4:$E$1026,0))="","",INDEX(ST!$AG$4:$AG$1026,MATCH($C509,ST!$E$4:$E$1026,0))),
IF($E509=4,IF(INDEX(ST!$AL$4:$AL$1026,MATCH($C509,ST!$E$4:$E$1026,0))="","",INDEX(ST!$AL$4:$AL$1026,MATCH($C509,ST!$E$4:$E$1026,0))),
IF($E509=5,IF(INDEX(ST!$AQ$4:$AQ$1026,MATCH($C509,ST!$E$4:$E$1026,0))="","",INDEX(ST!$AQ$4:$AQ$1026,MATCH($C509,ST!$E$4:$E$1026,0))),"")))))))</f>
        <v/>
      </c>
      <c r="K509" s="459">
        <f>ST!J12</f>
        <v>0</v>
      </c>
      <c r="L509" s="460" t="e" cm="1">
        <f t="array" aca="1" ref="L509" ca="1">_xlfn.IFS(AND($E509&lt;&gt;"",$M509="Pending",$K509="CTA"),TODAY()-$G509,AND($E509&lt;&gt;"",$M509="Pending",$K509="AUR"),TODAY()-$H509,AND($E509&lt;&gt;"",$M509="Pending",$K509="STT"),TODAY()-$I509,OR(K509="Closed",K509=""),"")</f>
        <v>#N/A</v>
      </c>
      <c r="M509" s="461" t="e">
        <f>VLOOKUP(C509,EL!$E$4:$AC$622,7,0)</f>
        <v>#N/A</v>
      </c>
      <c r="N509" s="454" t="e">
        <f t="shared" si="20"/>
        <v>#N/A</v>
      </c>
      <c r="O509" s="739" t="str">
        <f>ST!M12</f>
        <v>GC</v>
      </c>
      <c r="P509" s="746" t="str">
        <v>NO</v>
      </c>
    </row>
    <row r="510" spans="1:16" s="385" customFormat="1" ht="24.75" hidden="1" customHeight="1">
      <c r="A510" s="399">
        <v>10</v>
      </c>
      <c r="B510" s="455" t="s">
        <v>332</v>
      </c>
      <c r="C510" s="454" t="s">
        <v>362</v>
      </c>
      <c r="D510" s="493" t="str">
        <f>_xlfn.XLOOKUP(C510,ST!$E$4:$E$998,ST!$D$4:$D$998)</f>
        <v>Level 5 - Ladder Cover Sections &amp; Details</v>
      </c>
      <c r="E510" s="454" t="str">
        <f>IF(VLOOKUP(C510,ST!$E$4:$AC$508,5,0)="","",VLOOKUP(C510,ST!$E$4:$AC$1007,5,0))</f>
        <v/>
      </c>
      <c r="F510" s="457"/>
      <c r="G510" s="459" t="str">
        <f>IF(VLOOKUP(C510,ST!$E$4:$AC$508,3,0)="","",VLOOKUP(C510,ST!$E$4:$AC$508,3,0))</f>
        <v/>
      </c>
      <c r="H510" s="459" t="str">
        <f>IF(ISNA(MATCH($C510,ST!$E$4:$E$1026,0)),"",
IF($E510=0,IF(INDEX(ST!$P$4:$P$1026,MATCH($C510,ST!$E$4:$E$1026,0))="","",INDEX(ST!$P$4:$P$1026,MATCH($C510,ST!$E$4:$E$1026,0))),
IF($E510=1,IF(INDEX(ST!$U$4:$U$1026,MATCH($C510,ST!$E$4:$E$1026,0))="","",INDEX(ST!$U$4:$U$1026,MATCH($C510,ST!$E$4:$E$1026,0))),
IF($E510=2,IF(INDEX(ST!$Z$4:$Z$1026,MATCH($C510,ST!$E$4:$E$1026,0))="","",INDEX(ST!$Z$4:$Z$1026,MATCH($C510,ST!$E$4:$E$1026,0))),
IF($E510=3,IF(INDEX(ST!$AE$4:$AE$1026,MATCH($C510,ST!$E$4:$E$1026,0))="","",INDEX(ST!$AE$4:$AE$1026,MATCH($C510,ST!$E$4:$E$1026,0))),
IF($E510=4,IF(INDEX(ST!$AJ$4:$AJ$1026,MATCH($C510,ST!$E$4:$E$1026,0))="","",INDEX(ST!$AJ$4:$AJ$1026,MATCH($C510,ST!$E$4:$E$1026,0))),
IF($E510=5,IF(INDEX(ST!$AO$4:$AO$1026,MATCH($C510,ST!$E$4:$E$1026,0))="","",INDEX(ST!$AO$4:$AO$1026,MATCH($C510,ST!$E$4:$E$1026,0))),"")))))))</f>
        <v/>
      </c>
      <c r="I510" s="459" t="str">
        <f>IF(ISNA(MATCH($C510,ST!$E$4:$E$1026,0)),"",
IF($E510=0,IF(INDEX(ST!$Q$4:$Q$1026,MATCH($C510,ST!$E$4:$E$1026,0))="","",INDEX(ST!$Q$4:$Q$1026,MATCH($C510,ST!$E$4:$E$1026,0))),
IF($E510=1,IF(INDEX(ST!$V$4:$V$1026,MATCH($C510,ST!$E$4:$E$1026,0))="","",INDEX(ST!$V$4:$V$1026,MATCH($C510,ST!$E$4:$E$1026,0))),
IF($E510=2,IF(INDEX(ST!$AA$4:$AA$1026,MATCH($C510,ST!$E$4:$E$1026,0))="","",INDEX(ST!$AA$4:$AA$1026,MATCH($C510,ST!$E$4:$E$1026,0))),
IF($E510=3,IF(INDEX(ST!$AF$4:$AF$1026,MATCH($C510,ST!$E$4:$E$1026,0))="","",INDEX(ST!$AF$4:$AF$1026,MATCH($C510,ST!$E$4:$E$1026,0))),
IF($E510=4,IF(INDEX(ST!$AK$4:$AK$1026,MATCH($C510,ST!$E$4:$E$1026,0))="","",INDEX(ST!$AK$4:$AK$1026,MATCH($C510,ST!$E$4:$E$1026,0))),
IF($E510=5,IF(INDEX(ST!$AP$4:$AP$1026,MATCH($C510,ST!$E$4:$E$1026,0))="","",INDEX(ST!$AP$4:$AP$1026,MATCH($C510,ST!$E$4:$E$1026,0))),"")))))))</f>
        <v/>
      </c>
      <c r="J510" s="459" t="str">
        <f>IF(ISNA(MATCH($C510,ST!$E$4:$E$1026,0)),"",
IF($E510=0,IF(INDEX(ST!$R$4:$R$1026,MATCH($C510,ST!$E$4:$E$1026,0))="","",INDEX(ST!$R$4:$R$1026,MATCH($C510,ST!$E$4:$E$1026,0))),
IF($E510=1,IF(INDEX(ST!$W$4:$W$1026,MATCH($C510,ST!$E$4:$E$1026,0))="","",INDEX(ST!$W$4:$W$1026,MATCH($C510,ST!$E$4:$E$1026,0))),
IF($E510=2,IF(INDEX(ST!$AB$4:$AB$1026,MATCH($C510,ST!$E$4:$E$1026,0))="","",INDEX(ST!$AB$4:$AB$1026,MATCH($C510,ST!$E$4:$E$1026,0))),
IF($E510=3,IF(INDEX(ST!$AG$4:$AG$1026,MATCH($C510,ST!$E$4:$E$1026,0))="","",INDEX(ST!$AG$4:$AG$1026,MATCH($C510,ST!$E$4:$E$1026,0))),
IF($E510=4,IF(INDEX(ST!$AL$4:$AL$1026,MATCH($C510,ST!$E$4:$E$1026,0))="","",INDEX(ST!$AL$4:$AL$1026,MATCH($C510,ST!$E$4:$E$1026,0))),
IF($E510=5,IF(INDEX(ST!$AQ$4:$AQ$1026,MATCH($C510,ST!$E$4:$E$1026,0))="","",INDEX(ST!$AQ$4:$AQ$1026,MATCH($C510,ST!$E$4:$E$1026,0))),"")))))))</f>
        <v/>
      </c>
      <c r="K510" s="459">
        <f>ST!J13</f>
        <v>0</v>
      </c>
      <c r="L510" s="460" t="e" cm="1">
        <f t="array" aca="1" ref="L510" ca="1">_xlfn.IFS(AND($E510&lt;&gt;"",$M510="Pending",$K510="CTA"),TODAY()-$G510,AND($E510&lt;&gt;"",$M510="Pending",$K510="AUR"),TODAY()-$H510,AND($E510&lt;&gt;"",$M510="Pending",$K510="STT"),TODAY()-$I510,OR(K510="Closed",K510=""),"")</f>
        <v>#N/A</v>
      </c>
      <c r="M510" s="461" t="e">
        <f>VLOOKUP(C510,EL!$E$4:$AC$622,7,0)</f>
        <v>#N/A</v>
      </c>
      <c r="N510" s="454" t="e">
        <f t="shared" si="20"/>
        <v>#N/A</v>
      </c>
      <c r="O510" s="739" t="str">
        <f>ST!M13</f>
        <v>GC</v>
      </c>
      <c r="P510" s="746" t="str">
        <v>NO</v>
      </c>
    </row>
    <row r="511" spans="1:16" s="385" customFormat="1" ht="24.75" hidden="1" customHeight="1">
      <c r="A511" s="399">
        <v>11</v>
      </c>
      <c r="B511" s="455" t="s">
        <v>332</v>
      </c>
      <c r="C511" s="454" t="s">
        <v>364</v>
      </c>
      <c r="D511" s="493" t="str">
        <f>_xlfn.XLOOKUP(C511,ST!$E$4:$E$998,ST!$D$4:$D$998)</f>
        <v>Level 6 - Concrete Plinth Layout Plan &amp; Details</v>
      </c>
      <c r="E511" s="454" t="str">
        <f>IF(VLOOKUP(C511,ST!$E$4:$AC$508,5,0)="","",VLOOKUP(C511,ST!$E$4:$AC$1007,5,0))</f>
        <v/>
      </c>
      <c r="F511" s="457"/>
      <c r="G511" s="459" t="str">
        <f>IF(VLOOKUP(C511,ST!$E$4:$AC$508,3,0)="","",VLOOKUP(C511,ST!$E$4:$AC$508,3,0))</f>
        <v/>
      </c>
      <c r="H511" s="459" t="str">
        <f>IF(ISNA(MATCH($C511,ST!$E$4:$E$1026,0)),"",
IF($E511=0,IF(INDEX(ST!$P$4:$P$1026,MATCH($C511,ST!$E$4:$E$1026,0))="","",INDEX(ST!$P$4:$P$1026,MATCH($C511,ST!$E$4:$E$1026,0))),
IF($E511=1,IF(INDEX(ST!$U$4:$U$1026,MATCH($C511,ST!$E$4:$E$1026,0))="","",INDEX(ST!$U$4:$U$1026,MATCH($C511,ST!$E$4:$E$1026,0))),
IF($E511=2,IF(INDEX(ST!$Z$4:$Z$1026,MATCH($C511,ST!$E$4:$E$1026,0))="","",INDEX(ST!$Z$4:$Z$1026,MATCH($C511,ST!$E$4:$E$1026,0))),
IF($E511=3,IF(INDEX(ST!$AE$4:$AE$1026,MATCH($C511,ST!$E$4:$E$1026,0))="","",INDEX(ST!$AE$4:$AE$1026,MATCH($C511,ST!$E$4:$E$1026,0))),
IF($E511=4,IF(INDEX(ST!$AJ$4:$AJ$1026,MATCH($C511,ST!$E$4:$E$1026,0))="","",INDEX(ST!$AJ$4:$AJ$1026,MATCH($C511,ST!$E$4:$E$1026,0))),
IF($E511=5,IF(INDEX(ST!$AO$4:$AO$1026,MATCH($C511,ST!$E$4:$E$1026,0))="","",INDEX(ST!$AO$4:$AO$1026,MATCH($C511,ST!$E$4:$E$1026,0))),"")))))))</f>
        <v/>
      </c>
      <c r="I511" s="459" t="str">
        <f>IF(ISNA(MATCH($C511,ST!$E$4:$E$1026,0)),"",
IF($E511=0,IF(INDEX(ST!$Q$4:$Q$1026,MATCH($C511,ST!$E$4:$E$1026,0))="","",INDEX(ST!$Q$4:$Q$1026,MATCH($C511,ST!$E$4:$E$1026,0))),
IF($E511=1,IF(INDEX(ST!$V$4:$V$1026,MATCH($C511,ST!$E$4:$E$1026,0))="","",INDEX(ST!$V$4:$V$1026,MATCH($C511,ST!$E$4:$E$1026,0))),
IF($E511=2,IF(INDEX(ST!$AA$4:$AA$1026,MATCH($C511,ST!$E$4:$E$1026,0))="","",INDEX(ST!$AA$4:$AA$1026,MATCH($C511,ST!$E$4:$E$1026,0))),
IF($E511=3,IF(INDEX(ST!$AF$4:$AF$1026,MATCH($C511,ST!$E$4:$E$1026,0))="","",INDEX(ST!$AF$4:$AF$1026,MATCH($C511,ST!$E$4:$E$1026,0))),
IF($E511=4,IF(INDEX(ST!$AK$4:$AK$1026,MATCH($C511,ST!$E$4:$E$1026,0))="","",INDEX(ST!$AK$4:$AK$1026,MATCH($C511,ST!$E$4:$E$1026,0))),
IF($E511=5,IF(INDEX(ST!$AP$4:$AP$1026,MATCH($C511,ST!$E$4:$E$1026,0))="","",INDEX(ST!$AP$4:$AP$1026,MATCH($C511,ST!$E$4:$E$1026,0))),"")))))))</f>
        <v/>
      </c>
      <c r="J511" s="459" t="str">
        <f>IF(ISNA(MATCH($C511,ST!$E$4:$E$1026,0)),"",
IF($E511=0,IF(INDEX(ST!$R$4:$R$1026,MATCH($C511,ST!$E$4:$E$1026,0))="","",INDEX(ST!$R$4:$R$1026,MATCH($C511,ST!$E$4:$E$1026,0))),
IF($E511=1,IF(INDEX(ST!$W$4:$W$1026,MATCH($C511,ST!$E$4:$E$1026,0))="","",INDEX(ST!$W$4:$W$1026,MATCH($C511,ST!$E$4:$E$1026,0))),
IF($E511=2,IF(INDEX(ST!$AB$4:$AB$1026,MATCH($C511,ST!$E$4:$E$1026,0))="","",INDEX(ST!$AB$4:$AB$1026,MATCH($C511,ST!$E$4:$E$1026,0))),
IF($E511=3,IF(INDEX(ST!$AG$4:$AG$1026,MATCH($C511,ST!$E$4:$E$1026,0))="","",INDEX(ST!$AG$4:$AG$1026,MATCH($C511,ST!$E$4:$E$1026,0))),
IF($E511=4,IF(INDEX(ST!$AL$4:$AL$1026,MATCH($C511,ST!$E$4:$E$1026,0))="","",INDEX(ST!$AL$4:$AL$1026,MATCH($C511,ST!$E$4:$E$1026,0))),
IF($E511=5,IF(INDEX(ST!$AQ$4:$AQ$1026,MATCH($C511,ST!$E$4:$E$1026,0))="","",INDEX(ST!$AQ$4:$AQ$1026,MATCH($C511,ST!$E$4:$E$1026,0))),"")))))))</f>
        <v/>
      </c>
      <c r="K511" s="459">
        <f>ST!J14</f>
        <v>0</v>
      </c>
      <c r="L511" s="460" t="e" cm="1">
        <f t="array" aca="1" ref="L511" ca="1">_xlfn.IFS(AND($E511&lt;&gt;"",$M511="Pending",$K511="CTA"),TODAY()-$G511,AND($E511&lt;&gt;"",$M511="Pending",$K511="AUR"),TODAY()-$H511,AND($E511&lt;&gt;"",$M511="Pending",$K511="STT"),TODAY()-$I511,OR(K511="Closed",K511=""),"")</f>
        <v>#N/A</v>
      </c>
      <c r="M511" s="461" t="e">
        <f>VLOOKUP(C511,EL!$E$4:$AC$622,7,0)</f>
        <v>#N/A</v>
      </c>
      <c r="N511" s="454" t="e">
        <f t="shared" si="20"/>
        <v>#N/A</v>
      </c>
      <c r="O511" s="739" t="str">
        <f>ST!M14</f>
        <v>GC</v>
      </c>
      <c r="P511" s="746" t="str">
        <v>NO</v>
      </c>
    </row>
    <row r="512" spans="1:16" s="385" customFormat="1" ht="24.75" hidden="1" customHeight="1">
      <c r="A512" s="399">
        <v>12</v>
      </c>
      <c r="B512" s="455" t="s">
        <v>332</v>
      </c>
      <c r="C512" s="454" t="s">
        <v>367</v>
      </c>
      <c r="D512" s="493" t="str">
        <f>_xlfn.XLOOKUP(C512,ST!$E$4:$E$998,ST!$D$4:$D$998)</f>
        <v>Level 1 - Steel Support &amp; Details</v>
      </c>
      <c r="E512" s="454" t="str">
        <f>IF(VLOOKUP(C512,ST!$E$4:$AC$508,5,0)="","",VLOOKUP(C512,ST!$E$4:$AC$1007,5,0))</f>
        <v/>
      </c>
      <c r="F512" s="457"/>
      <c r="G512" s="459" t="str">
        <f>IF(VLOOKUP(C512,ST!$E$4:$AC$508,3,0)="","",VLOOKUP(C512,ST!$E$4:$AC$508,3,0))</f>
        <v/>
      </c>
      <c r="H512" s="459" t="str">
        <f>IF(ISNA(MATCH($C512,ST!$E$4:$E$1026,0)),"",
IF($E512=0,IF(INDEX(ST!$P$4:$P$1026,MATCH($C512,ST!$E$4:$E$1026,0))="","",INDEX(ST!$P$4:$P$1026,MATCH($C512,ST!$E$4:$E$1026,0))),
IF($E512=1,IF(INDEX(ST!$U$4:$U$1026,MATCH($C512,ST!$E$4:$E$1026,0))="","",INDEX(ST!$U$4:$U$1026,MATCH($C512,ST!$E$4:$E$1026,0))),
IF($E512=2,IF(INDEX(ST!$Z$4:$Z$1026,MATCH($C512,ST!$E$4:$E$1026,0))="","",INDEX(ST!$Z$4:$Z$1026,MATCH($C512,ST!$E$4:$E$1026,0))),
IF($E512=3,IF(INDEX(ST!$AE$4:$AE$1026,MATCH($C512,ST!$E$4:$E$1026,0))="","",INDEX(ST!$AE$4:$AE$1026,MATCH($C512,ST!$E$4:$E$1026,0))),
IF($E512=4,IF(INDEX(ST!$AJ$4:$AJ$1026,MATCH($C512,ST!$E$4:$E$1026,0))="","",INDEX(ST!$AJ$4:$AJ$1026,MATCH($C512,ST!$E$4:$E$1026,0))),
IF($E512=5,IF(INDEX(ST!$AO$4:$AO$1026,MATCH($C512,ST!$E$4:$E$1026,0))="","",INDEX(ST!$AO$4:$AO$1026,MATCH($C512,ST!$E$4:$E$1026,0))),"")))))))</f>
        <v/>
      </c>
      <c r="I512" s="459" t="str">
        <f>IF(ISNA(MATCH($C512,ST!$E$4:$E$1026,0)),"",
IF($E512=0,IF(INDEX(ST!$Q$4:$Q$1026,MATCH($C512,ST!$E$4:$E$1026,0))="","",INDEX(ST!$Q$4:$Q$1026,MATCH($C512,ST!$E$4:$E$1026,0))),
IF($E512=1,IF(INDEX(ST!$V$4:$V$1026,MATCH($C512,ST!$E$4:$E$1026,0))="","",INDEX(ST!$V$4:$V$1026,MATCH($C512,ST!$E$4:$E$1026,0))),
IF($E512=2,IF(INDEX(ST!$AA$4:$AA$1026,MATCH($C512,ST!$E$4:$E$1026,0))="","",INDEX(ST!$AA$4:$AA$1026,MATCH($C512,ST!$E$4:$E$1026,0))),
IF($E512=3,IF(INDEX(ST!$AF$4:$AF$1026,MATCH($C512,ST!$E$4:$E$1026,0))="","",INDEX(ST!$AF$4:$AF$1026,MATCH($C512,ST!$E$4:$E$1026,0))),
IF($E512=4,IF(INDEX(ST!$AK$4:$AK$1026,MATCH($C512,ST!$E$4:$E$1026,0))="","",INDEX(ST!$AK$4:$AK$1026,MATCH($C512,ST!$E$4:$E$1026,0))),
IF($E512=5,IF(INDEX(ST!$AP$4:$AP$1026,MATCH($C512,ST!$E$4:$E$1026,0))="","",INDEX(ST!$AP$4:$AP$1026,MATCH($C512,ST!$E$4:$E$1026,0))),"")))))))</f>
        <v/>
      </c>
      <c r="J512" s="459" t="str">
        <f>IF(ISNA(MATCH($C512,ST!$E$4:$E$1026,0)),"",
IF($E512=0,IF(INDEX(ST!$R$4:$R$1026,MATCH($C512,ST!$E$4:$E$1026,0))="","",INDEX(ST!$R$4:$R$1026,MATCH($C512,ST!$E$4:$E$1026,0))),
IF($E512=1,IF(INDEX(ST!$W$4:$W$1026,MATCH($C512,ST!$E$4:$E$1026,0))="","",INDEX(ST!$W$4:$W$1026,MATCH($C512,ST!$E$4:$E$1026,0))),
IF($E512=2,IF(INDEX(ST!$AB$4:$AB$1026,MATCH($C512,ST!$E$4:$E$1026,0))="","",INDEX(ST!$AB$4:$AB$1026,MATCH($C512,ST!$E$4:$E$1026,0))),
IF($E512=3,IF(INDEX(ST!$AG$4:$AG$1026,MATCH($C512,ST!$E$4:$E$1026,0))="","",INDEX(ST!$AG$4:$AG$1026,MATCH($C512,ST!$E$4:$E$1026,0))),
IF($E512=4,IF(INDEX(ST!$AL$4:$AL$1026,MATCH($C512,ST!$E$4:$E$1026,0))="","",INDEX(ST!$AL$4:$AL$1026,MATCH($C512,ST!$E$4:$E$1026,0))),
IF($E512=5,IF(INDEX(ST!$AQ$4:$AQ$1026,MATCH($C512,ST!$E$4:$E$1026,0))="","",INDEX(ST!$AQ$4:$AQ$1026,MATCH($C512,ST!$E$4:$E$1026,0))),"")))))))</f>
        <v/>
      </c>
      <c r="K512" s="459">
        <f>ST!J15</f>
        <v>0</v>
      </c>
      <c r="L512" s="460" t="e" cm="1">
        <f t="array" aca="1" ref="L512" ca="1">_xlfn.IFS(AND($E512&lt;&gt;"",$M512="Pending",$K512="CTA"),TODAY()-$G512,AND($E512&lt;&gt;"",$M512="Pending",$K512="AUR"),TODAY()-$H512,AND($E512&lt;&gt;"",$M512="Pending",$K512="STT"),TODAY()-$I512,OR(K512="Closed",K512=""),"")</f>
        <v>#N/A</v>
      </c>
      <c r="M512" s="461" t="e">
        <f>VLOOKUP(C512,EL!$E$4:$AC$622,7,0)</f>
        <v>#N/A</v>
      </c>
      <c r="N512" s="454" t="e">
        <f t="shared" si="20"/>
        <v>#N/A</v>
      </c>
      <c r="O512" s="739" t="str">
        <f>ST!M15</f>
        <v>GC</v>
      </c>
      <c r="P512" s="746" t="str">
        <v>NO</v>
      </c>
    </row>
    <row r="513" spans="1:16" s="385" customFormat="1" ht="24.75" hidden="1" customHeight="1">
      <c r="A513" s="399">
        <v>13</v>
      </c>
      <c r="B513" s="455" t="s">
        <v>332</v>
      </c>
      <c r="C513" s="454" t="s">
        <v>370</v>
      </c>
      <c r="D513" s="493" t="str">
        <f>_xlfn.XLOOKUP(C513,ST!$E$4:$E$998,ST!$D$4:$D$998)</f>
        <v>Level 2 - Steel Support &amp; Details</v>
      </c>
      <c r="E513" s="454" t="str">
        <f>IF(VLOOKUP(C513,ST!$E$4:$AC$508,5,0)="","",VLOOKUP(C513,ST!$E$4:$AC$1007,5,0))</f>
        <v/>
      </c>
      <c r="F513" s="457"/>
      <c r="G513" s="459" t="str">
        <f>IF(VLOOKUP(C513,ST!$E$4:$AC$508,3,0)="","",VLOOKUP(C513,ST!$E$4:$AC$508,3,0))</f>
        <v/>
      </c>
      <c r="H513" s="459" t="str">
        <f>IF(ISNA(MATCH($C513,ST!$E$4:$E$1026,0)),"",
IF($E513=0,IF(INDEX(ST!$P$4:$P$1026,MATCH($C513,ST!$E$4:$E$1026,0))="","",INDEX(ST!$P$4:$P$1026,MATCH($C513,ST!$E$4:$E$1026,0))),
IF($E513=1,IF(INDEX(ST!$U$4:$U$1026,MATCH($C513,ST!$E$4:$E$1026,0))="","",INDEX(ST!$U$4:$U$1026,MATCH($C513,ST!$E$4:$E$1026,0))),
IF($E513=2,IF(INDEX(ST!$Z$4:$Z$1026,MATCH($C513,ST!$E$4:$E$1026,0))="","",INDEX(ST!$Z$4:$Z$1026,MATCH($C513,ST!$E$4:$E$1026,0))),
IF($E513=3,IF(INDEX(ST!$AE$4:$AE$1026,MATCH($C513,ST!$E$4:$E$1026,0))="","",INDEX(ST!$AE$4:$AE$1026,MATCH($C513,ST!$E$4:$E$1026,0))),
IF($E513=4,IF(INDEX(ST!$AJ$4:$AJ$1026,MATCH($C513,ST!$E$4:$E$1026,0))="","",INDEX(ST!$AJ$4:$AJ$1026,MATCH($C513,ST!$E$4:$E$1026,0))),
IF($E513=5,IF(INDEX(ST!$AO$4:$AO$1026,MATCH($C513,ST!$E$4:$E$1026,0))="","",INDEX(ST!$AO$4:$AO$1026,MATCH($C513,ST!$E$4:$E$1026,0))),"")))))))</f>
        <v/>
      </c>
      <c r="I513" s="459" t="str">
        <f>IF(ISNA(MATCH($C513,ST!$E$4:$E$1026,0)),"",
IF($E513=0,IF(INDEX(ST!$Q$4:$Q$1026,MATCH($C513,ST!$E$4:$E$1026,0))="","",INDEX(ST!$Q$4:$Q$1026,MATCH($C513,ST!$E$4:$E$1026,0))),
IF($E513=1,IF(INDEX(ST!$V$4:$V$1026,MATCH($C513,ST!$E$4:$E$1026,0))="","",INDEX(ST!$V$4:$V$1026,MATCH($C513,ST!$E$4:$E$1026,0))),
IF($E513=2,IF(INDEX(ST!$AA$4:$AA$1026,MATCH($C513,ST!$E$4:$E$1026,0))="","",INDEX(ST!$AA$4:$AA$1026,MATCH($C513,ST!$E$4:$E$1026,0))),
IF($E513=3,IF(INDEX(ST!$AF$4:$AF$1026,MATCH($C513,ST!$E$4:$E$1026,0))="","",INDEX(ST!$AF$4:$AF$1026,MATCH($C513,ST!$E$4:$E$1026,0))),
IF($E513=4,IF(INDEX(ST!$AK$4:$AK$1026,MATCH($C513,ST!$E$4:$E$1026,0))="","",INDEX(ST!$AK$4:$AK$1026,MATCH($C513,ST!$E$4:$E$1026,0))),
IF($E513=5,IF(INDEX(ST!$AP$4:$AP$1026,MATCH($C513,ST!$E$4:$E$1026,0))="","",INDEX(ST!$AP$4:$AP$1026,MATCH($C513,ST!$E$4:$E$1026,0))),"")))))))</f>
        <v/>
      </c>
      <c r="J513" s="459" t="str">
        <f>IF(ISNA(MATCH($C513,ST!$E$4:$E$1026,0)),"",
IF($E513=0,IF(INDEX(ST!$R$4:$R$1026,MATCH($C513,ST!$E$4:$E$1026,0))="","",INDEX(ST!$R$4:$R$1026,MATCH($C513,ST!$E$4:$E$1026,0))),
IF($E513=1,IF(INDEX(ST!$W$4:$W$1026,MATCH($C513,ST!$E$4:$E$1026,0))="","",INDEX(ST!$W$4:$W$1026,MATCH($C513,ST!$E$4:$E$1026,0))),
IF($E513=2,IF(INDEX(ST!$AB$4:$AB$1026,MATCH($C513,ST!$E$4:$E$1026,0))="","",INDEX(ST!$AB$4:$AB$1026,MATCH($C513,ST!$E$4:$E$1026,0))),
IF($E513=3,IF(INDEX(ST!$AG$4:$AG$1026,MATCH($C513,ST!$E$4:$E$1026,0))="","",INDEX(ST!$AG$4:$AG$1026,MATCH($C513,ST!$E$4:$E$1026,0))),
IF($E513=4,IF(INDEX(ST!$AL$4:$AL$1026,MATCH($C513,ST!$E$4:$E$1026,0))="","",INDEX(ST!$AL$4:$AL$1026,MATCH($C513,ST!$E$4:$E$1026,0))),
IF($E513=5,IF(INDEX(ST!$AQ$4:$AQ$1026,MATCH($C513,ST!$E$4:$E$1026,0))="","",INDEX(ST!$AQ$4:$AQ$1026,MATCH($C513,ST!$E$4:$E$1026,0))),"")))))))</f>
        <v/>
      </c>
      <c r="K513" s="459">
        <f>ST!J16</f>
        <v>0</v>
      </c>
      <c r="L513" s="460" t="e" cm="1">
        <f t="array" aca="1" ref="L513" ca="1">_xlfn.IFS(AND($E513&lt;&gt;"",$M513="Pending",$K513="CTA"),TODAY()-$G513,AND($E513&lt;&gt;"",$M513="Pending",$K513="AUR"),TODAY()-$H513,AND($E513&lt;&gt;"",$M513="Pending",$K513="STT"),TODAY()-$I513,OR(K513="Closed",K513=""),"")</f>
        <v>#N/A</v>
      </c>
      <c r="M513" s="461" t="e">
        <f>VLOOKUP(C513,EL!$E$4:$AC$622,7,0)</f>
        <v>#N/A</v>
      </c>
      <c r="N513" s="454" t="e">
        <f t="shared" ref="N513:N519" si="22">IF(AND(E513&lt;&gt;"",M513="Pending"),IF(L513&gt;=5,"Overdue",IF(L513&gt;=3,"High","")),"")</f>
        <v>#N/A</v>
      </c>
      <c r="O513" s="739" t="str">
        <f>ST!M16</f>
        <v>GC</v>
      </c>
      <c r="P513" s="746" t="str">
        <v>NO</v>
      </c>
    </row>
    <row r="514" spans="1:16" s="385" customFormat="1" ht="24.75" hidden="1" customHeight="1">
      <c r="A514" s="399">
        <v>14</v>
      </c>
      <c r="B514" s="455" t="s">
        <v>332</v>
      </c>
      <c r="C514" s="454" t="s">
        <v>373</v>
      </c>
      <c r="D514" s="493" t="str">
        <f>_xlfn.XLOOKUP(C514,ST!$E$4:$E$998,ST!$D$4:$D$998)</f>
        <v>Level 3 - Steel Support &amp; Details</v>
      </c>
      <c r="E514" s="454" t="str">
        <f>IF(VLOOKUP(C514,ST!$E$4:$AC$508,5,0)="","",VLOOKUP(C514,ST!$E$4:$AC$1007,5,0))</f>
        <v/>
      </c>
      <c r="F514" s="457"/>
      <c r="G514" s="459" t="str">
        <f>IF(VLOOKUP(C514,ST!$E$4:$AC$508,3,0)="","",VLOOKUP(C514,ST!$E$4:$AC$508,3,0))</f>
        <v/>
      </c>
      <c r="H514" s="459" t="str">
        <f>IF(ISNA(MATCH($C514,ST!$E$4:$E$1026,0)),"",
IF($E514=0,IF(INDEX(ST!$P$4:$P$1026,MATCH($C514,ST!$E$4:$E$1026,0))="","",INDEX(ST!$P$4:$P$1026,MATCH($C514,ST!$E$4:$E$1026,0))),
IF($E514=1,IF(INDEX(ST!$U$4:$U$1026,MATCH($C514,ST!$E$4:$E$1026,0))="","",INDEX(ST!$U$4:$U$1026,MATCH($C514,ST!$E$4:$E$1026,0))),
IF($E514=2,IF(INDEX(ST!$Z$4:$Z$1026,MATCH($C514,ST!$E$4:$E$1026,0))="","",INDEX(ST!$Z$4:$Z$1026,MATCH($C514,ST!$E$4:$E$1026,0))),
IF($E514=3,IF(INDEX(ST!$AE$4:$AE$1026,MATCH($C514,ST!$E$4:$E$1026,0))="","",INDEX(ST!$AE$4:$AE$1026,MATCH($C514,ST!$E$4:$E$1026,0))),
IF($E514=4,IF(INDEX(ST!$AJ$4:$AJ$1026,MATCH($C514,ST!$E$4:$E$1026,0))="","",INDEX(ST!$AJ$4:$AJ$1026,MATCH($C514,ST!$E$4:$E$1026,0))),
IF($E514=5,IF(INDEX(ST!$AO$4:$AO$1026,MATCH($C514,ST!$E$4:$E$1026,0))="","",INDEX(ST!$AO$4:$AO$1026,MATCH($C514,ST!$E$4:$E$1026,0))),"")))))))</f>
        <v/>
      </c>
      <c r="I514" s="459" t="str">
        <f>IF(ISNA(MATCH($C514,ST!$E$4:$E$1026,0)),"",
IF($E514=0,IF(INDEX(ST!$Q$4:$Q$1026,MATCH($C514,ST!$E$4:$E$1026,0))="","",INDEX(ST!$Q$4:$Q$1026,MATCH($C514,ST!$E$4:$E$1026,0))),
IF($E514=1,IF(INDEX(ST!$V$4:$V$1026,MATCH($C514,ST!$E$4:$E$1026,0))="","",INDEX(ST!$V$4:$V$1026,MATCH($C514,ST!$E$4:$E$1026,0))),
IF($E514=2,IF(INDEX(ST!$AA$4:$AA$1026,MATCH($C514,ST!$E$4:$E$1026,0))="","",INDEX(ST!$AA$4:$AA$1026,MATCH($C514,ST!$E$4:$E$1026,0))),
IF($E514=3,IF(INDEX(ST!$AF$4:$AF$1026,MATCH($C514,ST!$E$4:$E$1026,0))="","",INDEX(ST!$AF$4:$AF$1026,MATCH($C514,ST!$E$4:$E$1026,0))),
IF($E514=4,IF(INDEX(ST!$AK$4:$AK$1026,MATCH($C514,ST!$E$4:$E$1026,0))="","",INDEX(ST!$AK$4:$AK$1026,MATCH($C514,ST!$E$4:$E$1026,0))),
IF($E514=5,IF(INDEX(ST!$AP$4:$AP$1026,MATCH($C514,ST!$E$4:$E$1026,0))="","",INDEX(ST!$AP$4:$AP$1026,MATCH($C514,ST!$E$4:$E$1026,0))),"")))))))</f>
        <v/>
      </c>
      <c r="J514" s="459" t="str">
        <f>IF(ISNA(MATCH($C514,ST!$E$4:$E$1026,0)),"",
IF($E514=0,IF(INDEX(ST!$R$4:$R$1026,MATCH($C514,ST!$E$4:$E$1026,0))="","",INDEX(ST!$R$4:$R$1026,MATCH($C514,ST!$E$4:$E$1026,0))),
IF($E514=1,IF(INDEX(ST!$W$4:$W$1026,MATCH($C514,ST!$E$4:$E$1026,0))="","",INDEX(ST!$W$4:$W$1026,MATCH($C514,ST!$E$4:$E$1026,0))),
IF($E514=2,IF(INDEX(ST!$AB$4:$AB$1026,MATCH($C514,ST!$E$4:$E$1026,0))="","",INDEX(ST!$AB$4:$AB$1026,MATCH($C514,ST!$E$4:$E$1026,0))),
IF($E514=3,IF(INDEX(ST!$AG$4:$AG$1026,MATCH($C514,ST!$E$4:$E$1026,0))="","",INDEX(ST!$AG$4:$AG$1026,MATCH($C514,ST!$E$4:$E$1026,0))),
IF($E514=4,IF(INDEX(ST!$AL$4:$AL$1026,MATCH($C514,ST!$E$4:$E$1026,0))="","",INDEX(ST!$AL$4:$AL$1026,MATCH($C514,ST!$E$4:$E$1026,0))),
IF($E514=5,IF(INDEX(ST!$AQ$4:$AQ$1026,MATCH($C514,ST!$E$4:$E$1026,0))="","",INDEX(ST!$AQ$4:$AQ$1026,MATCH($C514,ST!$E$4:$E$1026,0))),"")))))))</f>
        <v/>
      </c>
      <c r="K514" s="459">
        <f>ST!J17</f>
        <v>0</v>
      </c>
      <c r="L514" s="460" t="e" cm="1">
        <f t="array" aca="1" ref="L514" ca="1">_xlfn.IFS(AND($E514&lt;&gt;"",$M514="Pending",$K514="CTA"),TODAY()-$G514,AND($E514&lt;&gt;"",$M514="Pending",$K514="AUR"),TODAY()-$H514,AND($E514&lt;&gt;"",$M514="Pending",$K514="STT"),TODAY()-$I514,OR(K514="Closed",K514=""),"")</f>
        <v>#N/A</v>
      </c>
      <c r="M514" s="461" t="e">
        <f>VLOOKUP(C514,EL!$E$4:$AC$622,7,0)</f>
        <v>#N/A</v>
      </c>
      <c r="N514" s="454" t="e">
        <f t="shared" si="22"/>
        <v>#N/A</v>
      </c>
      <c r="O514" s="739" t="str">
        <f>ST!M17</f>
        <v>GC</v>
      </c>
      <c r="P514" s="746" t="str">
        <v>NO</v>
      </c>
    </row>
    <row r="515" spans="1:16" s="385" customFormat="1" ht="24.75" hidden="1" customHeight="1">
      <c r="A515" s="399">
        <v>15</v>
      </c>
      <c r="B515" s="455" t="s">
        <v>332</v>
      </c>
      <c r="C515" s="454" t="s">
        <v>376</v>
      </c>
      <c r="D515" s="493" t="str">
        <f>_xlfn.XLOOKUP(C515,ST!$E$4:$E$998,ST!$D$4:$D$998)</f>
        <v>Level 4 - Steel Support &amp; Details</v>
      </c>
      <c r="E515" s="454" t="str">
        <f>IF(VLOOKUP(C515,ST!$E$4:$AC$508,5,0)="","",VLOOKUP(C515,ST!$E$4:$AC$1007,5,0))</f>
        <v/>
      </c>
      <c r="F515" s="457"/>
      <c r="G515" s="459" t="str">
        <f>IF(VLOOKUP(C515,ST!$E$4:$AC$508,3,0)="","",VLOOKUP(C515,ST!$E$4:$AC$508,3,0))</f>
        <v/>
      </c>
      <c r="H515" s="459" t="str">
        <f>IF(ISNA(MATCH($C515,ST!$E$4:$E$1026,0)),"",
IF($E515=0,IF(INDEX(ST!$P$4:$P$1026,MATCH($C515,ST!$E$4:$E$1026,0))="","",INDEX(ST!$P$4:$P$1026,MATCH($C515,ST!$E$4:$E$1026,0))),
IF($E515=1,IF(INDEX(ST!$U$4:$U$1026,MATCH($C515,ST!$E$4:$E$1026,0))="","",INDEX(ST!$U$4:$U$1026,MATCH($C515,ST!$E$4:$E$1026,0))),
IF($E515=2,IF(INDEX(ST!$Z$4:$Z$1026,MATCH($C515,ST!$E$4:$E$1026,0))="","",INDEX(ST!$Z$4:$Z$1026,MATCH($C515,ST!$E$4:$E$1026,0))),
IF($E515=3,IF(INDEX(ST!$AE$4:$AE$1026,MATCH($C515,ST!$E$4:$E$1026,0))="","",INDEX(ST!$AE$4:$AE$1026,MATCH($C515,ST!$E$4:$E$1026,0))),
IF($E515=4,IF(INDEX(ST!$AJ$4:$AJ$1026,MATCH($C515,ST!$E$4:$E$1026,0))="","",INDEX(ST!$AJ$4:$AJ$1026,MATCH($C515,ST!$E$4:$E$1026,0))),
IF($E515=5,IF(INDEX(ST!$AO$4:$AO$1026,MATCH($C515,ST!$E$4:$E$1026,0))="","",INDEX(ST!$AO$4:$AO$1026,MATCH($C515,ST!$E$4:$E$1026,0))),"")))))))</f>
        <v/>
      </c>
      <c r="I515" s="459" t="str">
        <f>IF(ISNA(MATCH($C515,ST!$E$4:$E$1026,0)),"",
IF($E515=0,IF(INDEX(ST!$Q$4:$Q$1026,MATCH($C515,ST!$E$4:$E$1026,0))="","",INDEX(ST!$Q$4:$Q$1026,MATCH($C515,ST!$E$4:$E$1026,0))),
IF($E515=1,IF(INDEX(ST!$V$4:$V$1026,MATCH($C515,ST!$E$4:$E$1026,0))="","",INDEX(ST!$V$4:$V$1026,MATCH($C515,ST!$E$4:$E$1026,0))),
IF($E515=2,IF(INDEX(ST!$AA$4:$AA$1026,MATCH($C515,ST!$E$4:$E$1026,0))="","",INDEX(ST!$AA$4:$AA$1026,MATCH($C515,ST!$E$4:$E$1026,0))),
IF($E515=3,IF(INDEX(ST!$AF$4:$AF$1026,MATCH($C515,ST!$E$4:$E$1026,0))="","",INDEX(ST!$AF$4:$AF$1026,MATCH($C515,ST!$E$4:$E$1026,0))),
IF($E515=4,IF(INDEX(ST!$AK$4:$AK$1026,MATCH($C515,ST!$E$4:$E$1026,0))="","",INDEX(ST!$AK$4:$AK$1026,MATCH($C515,ST!$E$4:$E$1026,0))),
IF($E515=5,IF(INDEX(ST!$AP$4:$AP$1026,MATCH($C515,ST!$E$4:$E$1026,0))="","",INDEX(ST!$AP$4:$AP$1026,MATCH($C515,ST!$E$4:$E$1026,0))),"")))))))</f>
        <v/>
      </c>
      <c r="J515" s="459" t="str">
        <f>IF(ISNA(MATCH($C515,ST!$E$4:$E$1026,0)),"",
IF($E515=0,IF(INDEX(ST!$R$4:$R$1026,MATCH($C515,ST!$E$4:$E$1026,0))="","",INDEX(ST!$R$4:$R$1026,MATCH($C515,ST!$E$4:$E$1026,0))),
IF($E515=1,IF(INDEX(ST!$W$4:$W$1026,MATCH($C515,ST!$E$4:$E$1026,0))="","",INDEX(ST!$W$4:$W$1026,MATCH($C515,ST!$E$4:$E$1026,0))),
IF($E515=2,IF(INDEX(ST!$AB$4:$AB$1026,MATCH($C515,ST!$E$4:$E$1026,0))="","",INDEX(ST!$AB$4:$AB$1026,MATCH($C515,ST!$E$4:$E$1026,0))),
IF($E515=3,IF(INDEX(ST!$AG$4:$AG$1026,MATCH($C515,ST!$E$4:$E$1026,0))="","",INDEX(ST!$AG$4:$AG$1026,MATCH($C515,ST!$E$4:$E$1026,0))),
IF($E515=4,IF(INDEX(ST!$AL$4:$AL$1026,MATCH($C515,ST!$E$4:$E$1026,0))="","",INDEX(ST!$AL$4:$AL$1026,MATCH($C515,ST!$E$4:$E$1026,0))),
IF($E515=5,IF(INDEX(ST!$AQ$4:$AQ$1026,MATCH($C515,ST!$E$4:$E$1026,0))="","",INDEX(ST!$AQ$4:$AQ$1026,MATCH($C515,ST!$E$4:$E$1026,0))),"")))))))</f>
        <v/>
      </c>
      <c r="K515" s="459">
        <f>ST!J18</f>
        <v>0</v>
      </c>
      <c r="L515" s="460" t="e" cm="1">
        <f t="array" aca="1" ref="L515" ca="1">_xlfn.IFS(AND($E515&lt;&gt;"",$M515="Pending",$K515="CTA"),TODAY()-$G515,AND($E515&lt;&gt;"",$M515="Pending",$K515="AUR"),TODAY()-$H515,AND($E515&lt;&gt;"",$M515="Pending",$K515="STT"),TODAY()-$I515,OR(K515="Closed",K515=""),"")</f>
        <v>#N/A</v>
      </c>
      <c r="M515" s="461" t="e">
        <f>VLOOKUP(C515,EL!$E$4:$AC$622,7,0)</f>
        <v>#N/A</v>
      </c>
      <c r="N515" s="454" t="e">
        <f t="shared" si="22"/>
        <v>#N/A</v>
      </c>
      <c r="O515" s="739" t="str">
        <f>ST!M18</f>
        <v>GC</v>
      </c>
      <c r="P515" s="746" t="str">
        <v>NO</v>
      </c>
    </row>
    <row r="516" spans="1:16" s="385" customFormat="1" ht="24.75" hidden="1" customHeight="1">
      <c r="A516" s="399">
        <v>16</v>
      </c>
      <c r="B516" s="455" t="s">
        <v>332</v>
      </c>
      <c r="C516" s="454" t="s">
        <v>379</v>
      </c>
      <c r="D516" s="493" t="str">
        <f>_xlfn.XLOOKUP(C516,ST!$E$4:$E$998,ST!$D$4:$D$998)</f>
        <v>Level 5 - Steel Support &amp; Details</v>
      </c>
      <c r="E516" s="454" t="str">
        <f>IF(VLOOKUP(C516,ST!$E$4:$AC$508,5,0)="","",VLOOKUP(C516,ST!$E$4:$AC$1007,5,0))</f>
        <v/>
      </c>
      <c r="F516" s="457"/>
      <c r="G516" s="459" t="str">
        <f>IF(VLOOKUP(C516,ST!$E$4:$AC$508,3,0)="","",VLOOKUP(C516,ST!$E$4:$AC$508,3,0))</f>
        <v/>
      </c>
      <c r="H516" s="459" t="str">
        <f>IF(ISNA(MATCH($C516,ST!$E$4:$E$1026,0)),"",
IF($E516=0,IF(INDEX(ST!$P$4:$P$1026,MATCH($C516,ST!$E$4:$E$1026,0))="","",INDEX(ST!$P$4:$P$1026,MATCH($C516,ST!$E$4:$E$1026,0))),
IF($E516=1,IF(INDEX(ST!$U$4:$U$1026,MATCH($C516,ST!$E$4:$E$1026,0))="","",INDEX(ST!$U$4:$U$1026,MATCH($C516,ST!$E$4:$E$1026,0))),
IF($E516=2,IF(INDEX(ST!$Z$4:$Z$1026,MATCH($C516,ST!$E$4:$E$1026,0))="","",INDEX(ST!$Z$4:$Z$1026,MATCH($C516,ST!$E$4:$E$1026,0))),
IF($E516=3,IF(INDEX(ST!$AE$4:$AE$1026,MATCH($C516,ST!$E$4:$E$1026,0))="","",INDEX(ST!$AE$4:$AE$1026,MATCH($C516,ST!$E$4:$E$1026,0))),
IF($E516=4,IF(INDEX(ST!$AJ$4:$AJ$1026,MATCH($C516,ST!$E$4:$E$1026,0))="","",INDEX(ST!$AJ$4:$AJ$1026,MATCH($C516,ST!$E$4:$E$1026,0))),
IF($E516=5,IF(INDEX(ST!$AO$4:$AO$1026,MATCH($C516,ST!$E$4:$E$1026,0))="","",INDEX(ST!$AO$4:$AO$1026,MATCH($C516,ST!$E$4:$E$1026,0))),"")))))))</f>
        <v/>
      </c>
      <c r="I516" s="459" t="str">
        <f>IF(ISNA(MATCH($C516,ST!$E$4:$E$1026,0)),"",
IF($E516=0,IF(INDEX(ST!$Q$4:$Q$1026,MATCH($C516,ST!$E$4:$E$1026,0))="","",INDEX(ST!$Q$4:$Q$1026,MATCH($C516,ST!$E$4:$E$1026,0))),
IF($E516=1,IF(INDEX(ST!$V$4:$V$1026,MATCH($C516,ST!$E$4:$E$1026,0))="","",INDEX(ST!$V$4:$V$1026,MATCH($C516,ST!$E$4:$E$1026,0))),
IF($E516=2,IF(INDEX(ST!$AA$4:$AA$1026,MATCH($C516,ST!$E$4:$E$1026,0))="","",INDEX(ST!$AA$4:$AA$1026,MATCH($C516,ST!$E$4:$E$1026,0))),
IF($E516=3,IF(INDEX(ST!$AF$4:$AF$1026,MATCH($C516,ST!$E$4:$E$1026,0))="","",INDEX(ST!$AF$4:$AF$1026,MATCH($C516,ST!$E$4:$E$1026,0))),
IF($E516=4,IF(INDEX(ST!$AK$4:$AK$1026,MATCH($C516,ST!$E$4:$E$1026,0))="","",INDEX(ST!$AK$4:$AK$1026,MATCH($C516,ST!$E$4:$E$1026,0))),
IF($E516=5,IF(INDEX(ST!$AP$4:$AP$1026,MATCH($C516,ST!$E$4:$E$1026,0))="","",INDEX(ST!$AP$4:$AP$1026,MATCH($C516,ST!$E$4:$E$1026,0))),"")))))))</f>
        <v/>
      </c>
      <c r="J516" s="459" t="str">
        <f>IF(ISNA(MATCH($C516,ST!$E$4:$E$1026,0)),"",
IF($E516=0,IF(INDEX(ST!$R$4:$R$1026,MATCH($C516,ST!$E$4:$E$1026,0))="","",INDEX(ST!$R$4:$R$1026,MATCH($C516,ST!$E$4:$E$1026,0))),
IF($E516=1,IF(INDEX(ST!$W$4:$W$1026,MATCH($C516,ST!$E$4:$E$1026,0))="","",INDEX(ST!$W$4:$W$1026,MATCH($C516,ST!$E$4:$E$1026,0))),
IF($E516=2,IF(INDEX(ST!$AB$4:$AB$1026,MATCH($C516,ST!$E$4:$E$1026,0))="","",INDEX(ST!$AB$4:$AB$1026,MATCH($C516,ST!$E$4:$E$1026,0))),
IF($E516=3,IF(INDEX(ST!$AG$4:$AG$1026,MATCH($C516,ST!$E$4:$E$1026,0))="","",INDEX(ST!$AG$4:$AG$1026,MATCH($C516,ST!$E$4:$E$1026,0))),
IF($E516=4,IF(INDEX(ST!$AL$4:$AL$1026,MATCH($C516,ST!$E$4:$E$1026,0))="","",INDEX(ST!$AL$4:$AL$1026,MATCH($C516,ST!$E$4:$E$1026,0))),
IF($E516=5,IF(INDEX(ST!$AQ$4:$AQ$1026,MATCH($C516,ST!$E$4:$E$1026,0))="","",INDEX(ST!$AQ$4:$AQ$1026,MATCH($C516,ST!$E$4:$E$1026,0))),"")))))))</f>
        <v/>
      </c>
      <c r="K516" s="459">
        <f>ST!J19</f>
        <v>0</v>
      </c>
      <c r="L516" s="460" t="e" cm="1">
        <f t="array" aca="1" ref="L516" ca="1">_xlfn.IFS(AND($E516&lt;&gt;"",$M516="Pending",$K516="CTA"),TODAY()-$G516,AND($E516&lt;&gt;"",$M516="Pending",$K516="AUR"),TODAY()-$H516,AND($E516&lt;&gt;"",$M516="Pending",$K516="STT"),TODAY()-$I516,OR(K516="Closed",K516=""),"")</f>
        <v>#N/A</v>
      </c>
      <c r="M516" s="461" t="e">
        <f>VLOOKUP(C516,EL!$E$4:$AC$622,7,0)</f>
        <v>#N/A</v>
      </c>
      <c r="N516" s="454" t="e">
        <f t="shared" si="22"/>
        <v>#N/A</v>
      </c>
      <c r="O516" s="739" t="str">
        <f>ST!M19</f>
        <v>GC</v>
      </c>
      <c r="P516" s="746" t="str">
        <v>NO</v>
      </c>
    </row>
    <row r="517" spans="1:16" s="385" customFormat="1" ht="24.75" hidden="1" customHeight="1">
      <c r="A517" s="399">
        <v>17</v>
      </c>
      <c r="B517" s="455" t="s">
        <v>332</v>
      </c>
      <c r="C517" s="454" t="s">
        <v>382</v>
      </c>
      <c r="D517" s="493" t="str">
        <f>_xlfn.XLOOKUP(C517,ST!$E$4:$E$998,ST!$D$4:$D$998)</f>
        <v>Level 6 - Steel Support &amp; Details</v>
      </c>
      <c r="E517" s="454" t="str">
        <f>IF(VLOOKUP(C517,ST!$E$4:$AC$508,5,0)="","",VLOOKUP(C517,ST!$E$4:$AC$1007,5,0))</f>
        <v/>
      </c>
      <c r="F517" s="457"/>
      <c r="G517" s="459" t="str">
        <f>IF(VLOOKUP(C517,ST!$E$4:$AC$508,3,0)="","",VLOOKUP(C517,ST!$E$4:$AC$508,3,0))</f>
        <v/>
      </c>
      <c r="H517" s="459" t="str">
        <f>IF(ISNA(MATCH($C517,ST!$E$4:$E$1026,0)),"",
IF($E517=0,IF(INDEX(ST!$P$4:$P$1026,MATCH($C517,ST!$E$4:$E$1026,0))="","",INDEX(ST!$P$4:$P$1026,MATCH($C517,ST!$E$4:$E$1026,0))),
IF($E517=1,IF(INDEX(ST!$U$4:$U$1026,MATCH($C517,ST!$E$4:$E$1026,0))="","",INDEX(ST!$U$4:$U$1026,MATCH($C517,ST!$E$4:$E$1026,0))),
IF($E517=2,IF(INDEX(ST!$Z$4:$Z$1026,MATCH($C517,ST!$E$4:$E$1026,0))="","",INDEX(ST!$Z$4:$Z$1026,MATCH($C517,ST!$E$4:$E$1026,0))),
IF($E517=3,IF(INDEX(ST!$AE$4:$AE$1026,MATCH($C517,ST!$E$4:$E$1026,0))="","",INDEX(ST!$AE$4:$AE$1026,MATCH($C517,ST!$E$4:$E$1026,0))),
IF($E517=4,IF(INDEX(ST!$AJ$4:$AJ$1026,MATCH($C517,ST!$E$4:$E$1026,0))="","",INDEX(ST!$AJ$4:$AJ$1026,MATCH($C517,ST!$E$4:$E$1026,0))),
IF($E517=5,IF(INDEX(ST!$AO$4:$AO$1026,MATCH($C517,ST!$E$4:$E$1026,0))="","",INDEX(ST!$AO$4:$AO$1026,MATCH($C517,ST!$E$4:$E$1026,0))),"")))))))</f>
        <v/>
      </c>
      <c r="I517" s="459" t="str">
        <f>IF(ISNA(MATCH($C517,ST!$E$4:$E$1026,0)),"",
IF($E517=0,IF(INDEX(ST!$Q$4:$Q$1026,MATCH($C517,ST!$E$4:$E$1026,0))="","",INDEX(ST!$Q$4:$Q$1026,MATCH($C517,ST!$E$4:$E$1026,0))),
IF($E517=1,IF(INDEX(ST!$V$4:$V$1026,MATCH($C517,ST!$E$4:$E$1026,0))="","",INDEX(ST!$V$4:$V$1026,MATCH($C517,ST!$E$4:$E$1026,0))),
IF($E517=2,IF(INDEX(ST!$AA$4:$AA$1026,MATCH($C517,ST!$E$4:$E$1026,0))="","",INDEX(ST!$AA$4:$AA$1026,MATCH($C517,ST!$E$4:$E$1026,0))),
IF($E517=3,IF(INDEX(ST!$AF$4:$AF$1026,MATCH($C517,ST!$E$4:$E$1026,0))="","",INDEX(ST!$AF$4:$AF$1026,MATCH($C517,ST!$E$4:$E$1026,0))),
IF($E517=4,IF(INDEX(ST!$AK$4:$AK$1026,MATCH($C517,ST!$E$4:$E$1026,0))="","",INDEX(ST!$AK$4:$AK$1026,MATCH($C517,ST!$E$4:$E$1026,0))),
IF($E517=5,IF(INDEX(ST!$AP$4:$AP$1026,MATCH($C517,ST!$E$4:$E$1026,0))="","",INDEX(ST!$AP$4:$AP$1026,MATCH($C517,ST!$E$4:$E$1026,0))),"")))))))</f>
        <v/>
      </c>
      <c r="J517" s="459" t="str">
        <f>IF(ISNA(MATCH($C517,ST!$E$4:$E$1026,0)),"",
IF($E517=0,IF(INDEX(ST!$R$4:$R$1026,MATCH($C517,ST!$E$4:$E$1026,0))="","",INDEX(ST!$R$4:$R$1026,MATCH($C517,ST!$E$4:$E$1026,0))),
IF($E517=1,IF(INDEX(ST!$W$4:$W$1026,MATCH($C517,ST!$E$4:$E$1026,0))="","",INDEX(ST!$W$4:$W$1026,MATCH($C517,ST!$E$4:$E$1026,0))),
IF($E517=2,IF(INDEX(ST!$AB$4:$AB$1026,MATCH($C517,ST!$E$4:$E$1026,0))="","",INDEX(ST!$AB$4:$AB$1026,MATCH($C517,ST!$E$4:$E$1026,0))),
IF($E517=3,IF(INDEX(ST!$AG$4:$AG$1026,MATCH($C517,ST!$E$4:$E$1026,0))="","",INDEX(ST!$AG$4:$AG$1026,MATCH($C517,ST!$E$4:$E$1026,0))),
IF($E517=4,IF(INDEX(ST!$AL$4:$AL$1026,MATCH($C517,ST!$E$4:$E$1026,0))="","",INDEX(ST!$AL$4:$AL$1026,MATCH($C517,ST!$E$4:$E$1026,0))),
IF($E517=5,IF(INDEX(ST!$AQ$4:$AQ$1026,MATCH($C517,ST!$E$4:$E$1026,0))="","",INDEX(ST!$AQ$4:$AQ$1026,MATCH($C517,ST!$E$4:$E$1026,0))),"")))))))</f>
        <v/>
      </c>
      <c r="K517" s="459">
        <f>ST!J20</f>
        <v>0</v>
      </c>
      <c r="L517" s="460" t="e" cm="1">
        <f t="array" aca="1" ref="L517" ca="1">_xlfn.IFS(AND($E517&lt;&gt;"",$M517="Pending",$K517="CTA"),TODAY()-$G517,AND($E517&lt;&gt;"",$M517="Pending",$K517="AUR"),TODAY()-$H517,AND($E517&lt;&gt;"",$M517="Pending",$K517="STT"),TODAY()-$I517,OR(K517="Closed",K517=""),"")</f>
        <v>#N/A</v>
      </c>
      <c r="M517" s="461" t="e">
        <f>VLOOKUP(C517,EL!$E$4:$AC$622,7,0)</f>
        <v>#N/A</v>
      </c>
      <c r="N517" s="454" t="e">
        <f t="shared" si="22"/>
        <v>#N/A</v>
      </c>
      <c r="O517" s="739" t="str">
        <f>ST!M20</f>
        <v>GC</v>
      </c>
      <c r="P517" s="746" t="str">
        <v>NO</v>
      </c>
    </row>
    <row r="518" spans="1:16" s="385" customFormat="1" ht="24.75" hidden="1" customHeight="1">
      <c r="A518" s="405">
        <v>18</v>
      </c>
      <c r="B518" s="495" t="s">
        <v>332</v>
      </c>
      <c r="C518" s="454" t="s">
        <v>385</v>
      </c>
      <c r="D518" s="493" t="str">
        <f>_xlfn.XLOOKUP(C518,ST!$E$4:$E$998,ST!$D$4:$D$998)</f>
        <v>Roof Deck Cooling Tower Platform Steel Details</v>
      </c>
      <c r="E518" s="454" t="str">
        <f>IF(VLOOKUP(C518,ST!$E$4:$AC$508,5,0)="","",VLOOKUP(C518,ST!$E$4:$AC$1007,5,0))</f>
        <v/>
      </c>
      <c r="F518" s="457"/>
      <c r="G518" s="459" t="str">
        <f>IF(VLOOKUP(C518,ST!$E$4:$AC$508,3,0)="","",VLOOKUP(C518,ST!$E$4:$AC$508,3,0))</f>
        <v/>
      </c>
      <c r="H518" s="459" t="str">
        <f>IF(ISNA(MATCH($C518,ST!$E$4:$E$1026,0)),"",
IF($E518=0,IF(INDEX(ST!$P$4:$P$1026,MATCH($C518,ST!$E$4:$E$1026,0))="","",INDEX(ST!$P$4:$P$1026,MATCH($C518,ST!$E$4:$E$1026,0))),
IF($E518=1,IF(INDEX(ST!$U$4:$U$1026,MATCH($C518,ST!$E$4:$E$1026,0))="","",INDEX(ST!$U$4:$U$1026,MATCH($C518,ST!$E$4:$E$1026,0))),
IF($E518=2,IF(INDEX(ST!$Z$4:$Z$1026,MATCH($C518,ST!$E$4:$E$1026,0))="","",INDEX(ST!$Z$4:$Z$1026,MATCH($C518,ST!$E$4:$E$1026,0))),
IF($E518=3,IF(INDEX(ST!$AE$4:$AE$1026,MATCH($C518,ST!$E$4:$E$1026,0))="","",INDEX(ST!$AE$4:$AE$1026,MATCH($C518,ST!$E$4:$E$1026,0))),
IF($E518=4,IF(INDEX(ST!$AJ$4:$AJ$1026,MATCH($C518,ST!$E$4:$E$1026,0))="","",INDEX(ST!$AJ$4:$AJ$1026,MATCH($C518,ST!$E$4:$E$1026,0))),
IF($E518=5,IF(INDEX(ST!$AO$4:$AO$1026,MATCH($C518,ST!$E$4:$E$1026,0))="","",INDEX(ST!$AO$4:$AO$1026,MATCH($C518,ST!$E$4:$E$1026,0))),"")))))))</f>
        <v/>
      </c>
      <c r="I518" s="459" t="str">
        <f>IF(ISNA(MATCH($C518,ST!$E$4:$E$1026,0)),"",
IF($E518=0,IF(INDEX(ST!$Q$4:$Q$1026,MATCH($C518,ST!$E$4:$E$1026,0))="","",INDEX(ST!$Q$4:$Q$1026,MATCH($C518,ST!$E$4:$E$1026,0))),
IF($E518=1,IF(INDEX(ST!$V$4:$V$1026,MATCH($C518,ST!$E$4:$E$1026,0))="","",INDEX(ST!$V$4:$V$1026,MATCH($C518,ST!$E$4:$E$1026,0))),
IF($E518=2,IF(INDEX(ST!$AA$4:$AA$1026,MATCH($C518,ST!$E$4:$E$1026,0))="","",INDEX(ST!$AA$4:$AA$1026,MATCH($C518,ST!$E$4:$E$1026,0))),
IF($E518=3,IF(INDEX(ST!$AF$4:$AF$1026,MATCH($C518,ST!$E$4:$E$1026,0))="","",INDEX(ST!$AF$4:$AF$1026,MATCH($C518,ST!$E$4:$E$1026,0))),
IF($E518=4,IF(INDEX(ST!$AK$4:$AK$1026,MATCH($C518,ST!$E$4:$E$1026,0))="","",INDEX(ST!$AK$4:$AK$1026,MATCH($C518,ST!$E$4:$E$1026,0))),
IF($E518=5,IF(INDEX(ST!$AP$4:$AP$1026,MATCH($C518,ST!$E$4:$E$1026,0))="","",INDEX(ST!$AP$4:$AP$1026,MATCH($C518,ST!$E$4:$E$1026,0))),"")))))))</f>
        <v/>
      </c>
      <c r="J518" s="459" t="str">
        <f>IF(ISNA(MATCH($C518,ST!$E$4:$E$1026,0)),"",
IF($E518=0,IF(INDEX(ST!$R$4:$R$1026,MATCH($C518,ST!$E$4:$E$1026,0))="","",INDEX(ST!$R$4:$R$1026,MATCH($C518,ST!$E$4:$E$1026,0))),
IF($E518=1,IF(INDEX(ST!$W$4:$W$1026,MATCH($C518,ST!$E$4:$E$1026,0))="","",INDEX(ST!$W$4:$W$1026,MATCH($C518,ST!$E$4:$E$1026,0))),
IF($E518=2,IF(INDEX(ST!$AB$4:$AB$1026,MATCH($C518,ST!$E$4:$E$1026,0))="","",INDEX(ST!$AB$4:$AB$1026,MATCH($C518,ST!$E$4:$E$1026,0))),
IF($E518=3,IF(INDEX(ST!$AG$4:$AG$1026,MATCH($C518,ST!$E$4:$E$1026,0))="","",INDEX(ST!$AG$4:$AG$1026,MATCH($C518,ST!$E$4:$E$1026,0))),
IF($E518=4,IF(INDEX(ST!$AL$4:$AL$1026,MATCH($C518,ST!$E$4:$E$1026,0))="","",INDEX(ST!$AL$4:$AL$1026,MATCH($C518,ST!$E$4:$E$1026,0))),
IF($E518=5,IF(INDEX(ST!$AQ$4:$AQ$1026,MATCH($C518,ST!$E$4:$E$1026,0))="","",INDEX(ST!$AQ$4:$AQ$1026,MATCH($C518,ST!$E$4:$E$1026,0))),"")))))))</f>
        <v/>
      </c>
      <c r="K518" s="459">
        <f>ST!J21</f>
        <v>0</v>
      </c>
      <c r="L518" s="460" t="e" cm="1">
        <f t="array" aca="1" ref="L518" ca="1">_xlfn.IFS(AND($E518&lt;&gt;"",$M518="Pending",$K518="CTA"),TODAY()-$G518,AND($E518&lt;&gt;"",$M518="Pending",$K518="AUR"),TODAY()-$H518,AND($E518&lt;&gt;"",$M518="Pending",$K518="STT"),TODAY()-$I518,OR(K518="Closed",K518=""),"")</f>
        <v>#N/A</v>
      </c>
      <c r="M518" s="461" t="e">
        <f>VLOOKUP(C518,EL!$E$4:$AC$622,7,0)</f>
        <v>#N/A</v>
      </c>
      <c r="N518" s="454" t="e">
        <f t="shared" si="22"/>
        <v>#N/A</v>
      </c>
      <c r="O518" s="739" t="str">
        <f>ST!M21</f>
        <v>GC</v>
      </c>
      <c r="P518" s="746" t="str">
        <v>NO</v>
      </c>
    </row>
    <row r="519" spans="1:16" s="385" customFormat="1" ht="24.75" hidden="1" customHeight="1">
      <c r="A519" s="405">
        <v>19</v>
      </c>
      <c r="B519" s="495" t="s">
        <v>332</v>
      </c>
      <c r="C519" s="454" t="s">
        <v>388</v>
      </c>
      <c r="D519" s="493" t="str">
        <f>_xlfn.XLOOKUP(C519,ST!$E$4:$E$998,ST!$D$4:$D$998)</f>
        <v>Typical Detail</v>
      </c>
      <c r="E519" s="454" t="str">
        <f>IF(VLOOKUP(C519,ST!$E$4:$AC$508,5,0)="","",VLOOKUP(C519,ST!$E$4:$AC$1007,5,0))</f>
        <v/>
      </c>
      <c r="F519" s="457"/>
      <c r="G519" s="459" t="str">
        <f>IF(VLOOKUP(C519,ST!$E$4:$AC$508,3,0)="","",VLOOKUP(C519,ST!$E$4:$AC$508,3,0))</f>
        <v/>
      </c>
      <c r="H519" s="459" t="str">
        <f>IF(ISNA(MATCH($C519,ST!$E$4:$E$1026,0)),"",
IF($E519=0,IF(INDEX(ST!$P$4:$P$1026,MATCH($C519,ST!$E$4:$E$1026,0))="","",INDEX(ST!$P$4:$P$1026,MATCH($C519,ST!$E$4:$E$1026,0))),
IF($E519=1,IF(INDEX(ST!$U$4:$U$1026,MATCH($C519,ST!$E$4:$E$1026,0))="","",INDEX(ST!$U$4:$U$1026,MATCH($C519,ST!$E$4:$E$1026,0))),
IF($E519=2,IF(INDEX(ST!$Z$4:$Z$1026,MATCH($C519,ST!$E$4:$E$1026,0))="","",INDEX(ST!$Z$4:$Z$1026,MATCH($C519,ST!$E$4:$E$1026,0))),
IF($E519=3,IF(INDEX(ST!$AE$4:$AE$1026,MATCH($C519,ST!$E$4:$E$1026,0))="","",INDEX(ST!$AE$4:$AE$1026,MATCH($C519,ST!$E$4:$E$1026,0))),
IF($E519=4,IF(INDEX(ST!$AJ$4:$AJ$1026,MATCH($C519,ST!$E$4:$E$1026,0))="","",INDEX(ST!$AJ$4:$AJ$1026,MATCH($C519,ST!$E$4:$E$1026,0))),
IF($E519=5,IF(INDEX(ST!$AO$4:$AO$1026,MATCH($C519,ST!$E$4:$E$1026,0))="","",INDEX(ST!$AO$4:$AO$1026,MATCH($C519,ST!$E$4:$E$1026,0))),"")))))))</f>
        <v/>
      </c>
      <c r="I519" s="459" t="str">
        <f>IF(ISNA(MATCH($C519,ST!$E$4:$E$1026,0)),"",
IF($E519=0,IF(INDEX(ST!$Q$4:$Q$1026,MATCH($C519,ST!$E$4:$E$1026,0))="","",INDEX(ST!$Q$4:$Q$1026,MATCH($C519,ST!$E$4:$E$1026,0))),
IF($E519=1,IF(INDEX(ST!$V$4:$V$1026,MATCH($C519,ST!$E$4:$E$1026,0))="","",INDEX(ST!$V$4:$V$1026,MATCH($C519,ST!$E$4:$E$1026,0))),
IF($E519=2,IF(INDEX(ST!$AA$4:$AA$1026,MATCH($C519,ST!$E$4:$E$1026,0))="","",INDEX(ST!$AA$4:$AA$1026,MATCH($C519,ST!$E$4:$E$1026,0))),
IF($E519=3,IF(INDEX(ST!$AF$4:$AF$1026,MATCH($C519,ST!$E$4:$E$1026,0))="","",INDEX(ST!$AF$4:$AF$1026,MATCH($C519,ST!$E$4:$E$1026,0))),
IF($E519=4,IF(INDEX(ST!$AK$4:$AK$1026,MATCH($C519,ST!$E$4:$E$1026,0))="","",INDEX(ST!$AK$4:$AK$1026,MATCH($C519,ST!$E$4:$E$1026,0))),
IF($E519=5,IF(INDEX(ST!$AP$4:$AP$1026,MATCH($C519,ST!$E$4:$E$1026,0))="","",INDEX(ST!$AP$4:$AP$1026,MATCH($C519,ST!$E$4:$E$1026,0))),"")))))))</f>
        <v/>
      </c>
      <c r="J519" s="459" t="str">
        <f>IF(ISNA(MATCH($C519,ST!$E$4:$E$1026,0)),"",
IF($E519=0,IF(INDEX(ST!$R$4:$R$1026,MATCH($C519,ST!$E$4:$E$1026,0))="","",INDEX(ST!$R$4:$R$1026,MATCH($C519,ST!$E$4:$E$1026,0))),
IF($E519=1,IF(INDEX(ST!$W$4:$W$1026,MATCH($C519,ST!$E$4:$E$1026,0))="","",INDEX(ST!$W$4:$W$1026,MATCH($C519,ST!$E$4:$E$1026,0))),
IF($E519=2,IF(INDEX(ST!$AB$4:$AB$1026,MATCH($C519,ST!$E$4:$E$1026,0))="","",INDEX(ST!$AB$4:$AB$1026,MATCH($C519,ST!$E$4:$E$1026,0))),
IF($E519=3,IF(INDEX(ST!$AG$4:$AG$1026,MATCH($C519,ST!$E$4:$E$1026,0))="","",INDEX(ST!$AG$4:$AG$1026,MATCH($C519,ST!$E$4:$E$1026,0))),
IF($E519=4,IF(INDEX(ST!$AL$4:$AL$1026,MATCH($C519,ST!$E$4:$E$1026,0))="","",INDEX(ST!$AL$4:$AL$1026,MATCH($C519,ST!$E$4:$E$1026,0))),
IF($E519=5,IF(INDEX(ST!$AQ$4:$AQ$1026,MATCH($C519,ST!$E$4:$E$1026,0))="","",INDEX(ST!$AQ$4:$AQ$1026,MATCH($C519,ST!$E$4:$E$1026,0))),"")))))))</f>
        <v/>
      </c>
      <c r="K519" s="459">
        <f>ST!J22</f>
        <v>0</v>
      </c>
      <c r="L519" s="460" t="e" cm="1">
        <f t="array" aca="1" ref="L519" ca="1">_xlfn.IFS(AND($E519&lt;&gt;"",$M519="Pending",$K519="CTA"),TODAY()-$G519,AND($E519&lt;&gt;"",$M519="Pending",$K519="AUR"),TODAY()-$H519,AND($E519&lt;&gt;"",$M519="Pending",$K519="STT"),TODAY()-$I519,OR(K519="Closed",K519=""),"")</f>
        <v>#N/A</v>
      </c>
      <c r="M519" s="461" t="e">
        <f>VLOOKUP(C519,EL!$E$4:$AC$622,7,0)</f>
        <v>#N/A</v>
      </c>
      <c r="N519" s="454" t="e">
        <f t="shared" si="22"/>
        <v>#N/A</v>
      </c>
      <c r="O519" s="739" t="str">
        <f>ST!M22</f>
        <v>GC</v>
      </c>
      <c r="P519" s="746" t="str">
        <v>NO</v>
      </c>
    </row>
    <row r="520" spans="1:16" s="385" customFormat="1" ht="24.75" hidden="1" customHeight="1">
      <c r="A520" s="399">
        <v>20</v>
      </c>
      <c r="B520" s="455" t="s">
        <v>332</v>
      </c>
      <c r="C520" s="454"/>
      <c r="D520" s="493"/>
      <c r="E520" s="454"/>
      <c r="F520" s="457"/>
      <c r="G520" s="459"/>
      <c r="H520" s="459"/>
      <c r="I520" s="459"/>
      <c r="J520" s="459"/>
      <c r="K520" s="459"/>
      <c r="L520" s="460"/>
      <c r="M520" s="461"/>
      <c r="N520" s="454"/>
      <c r="O520" s="741"/>
      <c r="P520" s="748"/>
    </row>
    <row r="521" spans="1:16" s="385" customFormat="1" ht="24.75" hidden="1" customHeight="1">
      <c r="A521" s="399"/>
      <c r="B521" s="455"/>
      <c r="C521" s="454"/>
      <c r="D521" s="493"/>
      <c r="E521" s="454"/>
      <c r="F521" s="457"/>
      <c r="G521" s="459"/>
      <c r="H521" s="459"/>
      <c r="I521" s="459"/>
      <c r="J521" s="459"/>
      <c r="K521" s="459"/>
      <c r="L521" s="460"/>
      <c r="M521" s="461"/>
      <c r="N521" s="454"/>
      <c r="O521" s="741"/>
      <c r="P521" s="748"/>
    </row>
    <row r="522" spans="1:16" s="385" customFormat="1" ht="24.95" hidden="1" customHeight="1">
      <c r="A522" s="391" t="s">
        <v>1717</v>
      </c>
      <c r="B522" s="471"/>
      <c r="C522" s="472"/>
      <c r="D522" s="473"/>
      <c r="E522" s="472"/>
      <c r="F522" s="474" t="s">
        <v>1693</v>
      </c>
      <c r="G522" s="472"/>
      <c r="H522" s="475"/>
      <c r="I522" s="475"/>
      <c r="J522" s="475"/>
      <c r="K522" s="475"/>
      <c r="L522" s="475"/>
      <c r="M522" s="459"/>
      <c r="N522" s="475"/>
      <c r="O522" s="475"/>
      <c r="P522" s="475"/>
    </row>
    <row r="523" spans="1:16" s="385" customFormat="1" ht="24.75" hidden="1" customHeight="1">
      <c r="A523" s="399">
        <v>1</v>
      </c>
      <c r="B523" s="496" t="s">
        <v>1596</v>
      </c>
      <c r="C523" s="497" t="s">
        <v>1599</v>
      </c>
      <c r="D523" s="493" t="str">
        <f>_xlfn.XLOOKUP(C523,CSD!$E$4:$E$1009,CSD!$D$4:$D$1009)</f>
        <v>Level 1 - Combine Wall Layout Plan Index</v>
      </c>
      <c r="E523" s="454" t="str">
        <f>IF(VLOOKUP(C523,CSD!$E$4:$AC$507,5,0)="","",VLOOKUP(C523,CSD!$E$4:$AC$1006,5,0))</f>
        <v/>
      </c>
      <c r="F523" s="457"/>
      <c r="G523" s="459" t="str">
        <f>IF(VLOOKUP(C523,CSD!$E$4:$AC$507,3,0)="","",VLOOKUP(C523,CSD!$E$4:$AC$507,3,0))</f>
        <v/>
      </c>
      <c r="H523" s="459" t="str">
        <f>IF(ISNA(MATCH($C523,CSD!$E$4:$E$1022,0)),"",
IF($E523=0,IF(INDEX(CSD!$P$4:$P$1022,MATCH($C523,CSD!$E$4:$E$1022,0))="","",INDEX(CSD!$P$4:$P$1022,MATCH($C523,CSD!$E$4:$E$1022,0))),
IF($E523=1,IF(INDEX(CSD!$U$4:$U$1022,MATCH($C523,CSD!$E$4:$E$1022,0))="","",INDEX(CSD!$U$4:$U$1022,MATCH($C523,CSD!$E$4:$E$1022,0))),
IF($E523=2,IF(INDEX(CSD!$Z$4:$Z$1022,MATCH($C523,CSD!$E$4:$E$1022,0))="","",INDEX(CSD!$Z$4:$Z$1022,MATCH($C523,CSD!$E$4:$E$1022,0))),
IF($E523=3,IF(INDEX(CSD!$AE$4:$AE$1022,MATCH($C523,CSD!$E$4:$E$1022,0))="","",INDEX(CSD!$AE$4:$AE$1022,MATCH($C523,CSD!$E$4:$E$1022,0))),
IF($E523=4,IF(INDEX(CSD!$AJ$4:$AJ$1022,MATCH($C523,CSD!$E$4:$E$1022,0))="","",INDEX(CSD!$AJ$4:$AJ$1022,MATCH($C523,CSD!$E$4:$E$1022,0))),
IF($E523=5,IF(INDEX(CSD!$AO$4:$AO$1022,MATCH($C523,CSD!$E$4:$E$1022,0))="","",INDEX(CSD!$AO$4:$AO$1022,MATCH($C523,CSD!$E$4:$E$1022,0))),"")))))))</f>
        <v/>
      </c>
      <c r="I523" s="459" t="str">
        <f>IF(ISNA(MATCH($C523,CSD!$E$4:$E$1022,0)),"",
IF($E523=0,IF(INDEX(CSD!$Q$4:$Q$1022,MATCH($C523,CSD!$E$4:$E$1022,0))="","",INDEX(CSD!$Q$4:$Q$1022,MATCH($C523,CSD!$E$4:$E$1022,0))),
IF($E523=1,IF(INDEX(CSD!$V$4:$V$1022,MATCH($C523,CSD!$E$4:$E$1022,0))="","",INDEX(CSD!$V$4:$V$1022,MATCH($C523,CSD!$E$4:$E$1022,0))),
IF($E523=2,IF(INDEX(CSD!$AA$4:$AA$1022,MATCH($C523,CSD!$E$4:$E$1022,0))="","",INDEX(CSD!$AA$4:$AA$1022,MATCH($C523,CSD!$E$4:$E$1022,0))),
IF($E523=3,IF(INDEX(CSD!$AF$4:$AF$1022,MATCH($C523,CSD!$E$4:$E$1022,0))="","",INDEX(CSD!$AF$4:$AF$1022,MATCH($C523,CSD!$E$4:$E$1022,0))),
IF($E523=4,IF(INDEX(CSD!$AK$4:$AK$1022,MATCH($C523,CSD!$E$4:$E$1022,0))="","",INDEX(CSD!$AK$4:$AK$1022,MATCH($C523,CSD!$E$4:$E$1022,0))),
IF($E523=5,IF(INDEX(CSD!$AP$4:$AP$1022,MATCH($C523,CSD!$E$4:$E$1022,0))="","",INDEX(CSD!$AP$4:$AP$1022,MATCH($C523,CSD!$E$4:$E$1022,0))),"")))))))</f>
        <v/>
      </c>
      <c r="J523" s="459" t="str">
        <f>IF(ISNA(MATCH($C523,CSD!$E$4:$E$1022,0)),"",
IF($E523=0,IF(INDEX(CSD!$R$4:$R$1022,MATCH($C523,CSD!$E$4:$E$1022,0))="","",INDEX(CSD!$R$4:$R$1022,MATCH($C523,CSD!$E$4:$E$1022,0))),
IF($E523=1,IF(INDEX(CSD!$W$4:$W$1022,MATCH($C523,CSD!$E$4:$E$1022,0))="","",INDEX(CSD!$W$4:$W$1022,MATCH($C523,CSD!$E$4:$E$1022,0))),
IF($E523=2,IF(INDEX(CSD!$AB$4:$AB$1022,MATCH($C523,CSD!$E$4:$E$1022,0))="","",INDEX(CSD!$AB$4:$AB$1022,MATCH($C523,CSD!$E$4:$E$1022,0))),
IF($E523=3,IF(INDEX(CSD!$AG$4:$AG$1022,MATCH($C523,CSD!$E$4:$E$1022,0))="","",INDEX(CSD!$AG$4:$AG$1022,MATCH($C523,CSD!$E$4:$E$1022,0))),
IF($E523=4,IF(INDEX(CSD!$AL$4:$AL$1022,MATCH($C523,CSD!$E$4:$E$1022,0))="","",INDEX(CSD!$AL$4:$AL$1022,MATCH($C523,CSD!$E$4:$E$1022,0))),
IF($E523=5,IF(INDEX(CSD!$AQ$4:$AQ$1022,MATCH($C523,CSD!$E$4:$E$1022,0))="","",INDEX(CSD!$AQ$4:$AQ$1022,MATCH($C523,CSD!$E$4:$E$1022,0))),"")))))))</f>
        <v/>
      </c>
      <c r="K523" s="459">
        <f>CSD!J4</f>
        <v>0</v>
      </c>
      <c r="L523" s="460" t="e" cm="1">
        <f t="array" aca="1" ref="L523" ca="1">_xlfn.IFS(AND($E523&lt;&gt;"",$M523="Pending",$K523="CTA"),TODAY()-$G523,AND($E523&lt;&gt;"",$M523="Pending",$K523="AUR"),TODAY()-$H523,AND($E523&lt;&gt;"",$M523="Pending",$K523="STT"),TODAY()-$I523,OR(K523="Closed",K523=""),"")</f>
        <v>#N/A</v>
      </c>
      <c r="M523" s="461" t="e">
        <f>VLOOKUP(C523,EL!$E$4:$AC$622,7,0)</f>
        <v>#N/A</v>
      </c>
      <c r="N523" s="454" t="e">
        <f t="shared" ref="N523:N527" si="23">IF(AND(E523&lt;&gt;"",M523="Pending"),IF(L523&gt;=5,"Overdue",IF(L523&gt;=3,"High","")),"")</f>
        <v>#N/A</v>
      </c>
      <c r="O523" s="743" t="str">
        <f>CSD!M4</f>
        <v>GC</v>
      </c>
      <c r="P523" s="746" t="str" cm="1">
        <f t="array" ref="P523:P549">CSD!AS4:AS30</f>
        <v>NO</v>
      </c>
    </row>
    <row r="524" spans="1:16" s="385" customFormat="1" ht="24.75" customHeight="1">
      <c r="A524" s="399">
        <v>2</v>
      </c>
      <c r="B524" s="498" t="s">
        <v>1596</v>
      </c>
      <c r="C524" s="497" t="s">
        <v>1602</v>
      </c>
      <c r="D524" s="493" t="str">
        <f>_xlfn.XLOOKUP(C524,CSD!$E$4:$E$1009,CSD!$D$4:$D$1009)</f>
        <v>Level 2 - Combine Wall Genset 1-2</v>
      </c>
      <c r="E524" s="454">
        <f>IF(VLOOKUP(C524,CSD!$E$4:$AC$507,5,0)="","",VLOOKUP(C524,CSD!$E$4:$AC$1006,5,0))</f>
        <v>0</v>
      </c>
      <c r="F524" s="457"/>
      <c r="G524" s="459">
        <f>IF(VLOOKUP(C524,CSD!$E$4:$AC$507,3,0)="","",VLOOKUP(C524,CSD!$E$4:$AC$507,3,0))</f>
        <v>46043</v>
      </c>
      <c r="H524" s="459" t="str">
        <f>IF(ISNA(MATCH($C524,CSD!$E$4:$E$1022,0)),"",
IF($E524=0,IF(INDEX(CSD!$P$4:$P$1022,MATCH($C524,CSD!$E$4:$E$1022,0))="","",INDEX(CSD!$P$4:$P$1022,MATCH($C524,CSD!$E$4:$E$1022,0))),
IF($E524=1,IF(INDEX(CSD!$U$4:$U$1022,MATCH($C524,CSD!$E$4:$E$1022,0))="","",INDEX(CSD!$U$4:$U$1022,MATCH($C524,CSD!$E$4:$E$1022,0))),
IF($E524=2,IF(INDEX(CSD!$Z$4:$Z$1022,MATCH($C524,CSD!$E$4:$E$1022,0))="","",INDEX(CSD!$Z$4:$Z$1022,MATCH($C524,CSD!$E$4:$E$1022,0))),
IF($E524=3,IF(INDEX(CSD!$AE$4:$AE$1022,MATCH($C524,CSD!$E$4:$E$1022,0))="","",INDEX(CSD!$AE$4:$AE$1022,MATCH($C524,CSD!$E$4:$E$1022,0))),
IF($E524=4,IF(INDEX(CSD!$AJ$4:$AJ$1022,MATCH($C524,CSD!$E$4:$E$1022,0))="","",INDEX(CSD!$AJ$4:$AJ$1022,MATCH($C524,CSD!$E$4:$E$1022,0))),
IF($E524=5,IF(INDEX(CSD!$AO$4:$AO$1022,MATCH($C524,CSD!$E$4:$E$1022,0))="","",INDEX(CSD!$AO$4:$AO$1022,MATCH($C524,CSD!$E$4:$E$1022,0))),"")))))))</f>
        <v/>
      </c>
      <c r="I524" s="459" t="str">
        <f>IF(ISNA(MATCH($C524,CSD!$E$4:$E$1022,0)),"",
IF($E524=0,IF(INDEX(CSD!$Q$4:$Q$1022,MATCH($C524,CSD!$E$4:$E$1022,0))="","",INDEX(CSD!$Q$4:$Q$1022,MATCH($C524,CSD!$E$4:$E$1022,0))),
IF($E524=1,IF(INDEX(CSD!$V$4:$V$1022,MATCH($C524,CSD!$E$4:$E$1022,0))="","",INDEX(CSD!$V$4:$V$1022,MATCH($C524,CSD!$E$4:$E$1022,0))),
IF($E524=2,IF(INDEX(CSD!$AA$4:$AA$1022,MATCH($C524,CSD!$E$4:$E$1022,0))="","",INDEX(CSD!$AA$4:$AA$1022,MATCH($C524,CSD!$E$4:$E$1022,0))),
IF($E524=3,IF(INDEX(CSD!$AF$4:$AF$1022,MATCH($C524,CSD!$E$4:$E$1022,0))="","",INDEX(CSD!$AF$4:$AF$1022,MATCH($C524,CSD!$E$4:$E$1022,0))),
IF($E524=4,IF(INDEX(CSD!$AK$4:$AK$1022,MATCH($C524,CSD!$E$4:$E$1022,0))="","",INDEX(CSD!$AK$4:$AK$1022,MATCH($C524,CSD!$E$4:$E$1022,0))),
IF($E524=5,IF(INDEX(CSD!$AP$4:$AP$1022,MATCH($C524,CSD!$E$4:$E$1022,0))="","",INDEX(CSD!$AP$4:$AP$1022,MATCH($C524,CSD!$E$4:$E$1022,0))),"")))))))</f>
        <v/>
      </c>
      <c r="J524" s="459" t="str">
        <f>IF(ISNA(MATCH($C524,CSD!$E$4:$E$1022,0)),"",
IF($E524=0,IF(INDEX(CSD!$R$4:$R$1022,MATCH($C524,CSD!$E$4:$E$1022,0))="","",INDEX(CSD!$R$4:$R$1022,MATCH($C524,CSD!$E$4:$E$1022,0))),
IF($E524=1,IF(INDEX(CSD!$W$4:$W$1022,MATCH($C524,CSD!$E$4:$E$1022,0))="","",INDEX(CSD!$W$4:$W$1022,MATCH($C524,CSD!$E$4:$E$1022,0))),
IF($E524=2,IF(INDEX(CSD!$AB$4:$AB$1022,MATCH($C524,CSD!$E$4:$E$1022,0))="","",INDEX(CSD!$AB$4:$AB$1022,MATCH($C524,CSD!$E$4:$E$1022,0))),
IF($E524=3,IF(INDEX(CSD!$AG$4:$AG$1022,MATCH($C524,CSD!$E$4:$E$1022,0))="","",INDEX(CSD!$AG$4:$AG$1022,MATCH($C524,CSD!$E$4:$E$1022,0))),
IF($E524=4,IF(INDEX(CSD!$AL$4:$AL$1022,MATCH($C524,CSD!$E$4:$E$1022,0))="","",INDEX(CSD!$AL$4:$AL$1022,MATCH($C524,CSD!$E$4:$E$1022,0))),
IF($E524=5,IF(INDEX(CSD!$AQ$4:$AQ$1022,MATCH($C524,CSD!$E$4:$E$1022,0))="","",INDEX(CSD!$AQ$4:$AQ$1022,MATCH($C524,CSD!$E$4:$E$1022,0))),"")))))))</f>
        <v/>
      </c>
      <c r="K524" s="459" t="str">
        <f>CSD!J5</f>
        <v>CTA</v>
      </c>
      <c r="L524" s="460" cm="1">
        <f t="array" aca="1" ref="L524" ca="1">_xlfn.IFS(AND($E524&lt;&gt;"",$M524="Pending",$K524="CTA"),TODAY()-$G524,AND($E524&lt;&gt;"",$M524="Pending",$K524="AUR"),TODAY()-$H524,AND($E524&lt;&gt;"",$M524="Pending",$K524="STT"),TODAY()-$I524,OR(K524="Closed",K524=""),"")</f>
        <v>23</v>
      </c>
      <c r="M524" s="461" t="str">
        <f>VLOOKUP(C524,CSD!$E$4:$AC$624,7,0)</f>
        <v>Pending</v>
      </c>
      <c r="N524" s="454" t="str">
        <f t="shared" ca="1" si="23"/>
        <v>Overdue</v>
      </c>
      <c r="O524" s="743" t="str">
        <f>CSD!M5</f>
        <v>GC</v>
      </c>
      <c r="P524" s="748" t="str">
        <v>NO</v>
      </c>
    </row>
    <row r="525" spans="1:16" s="385" customFormat="1" ht="24.75" customHeight="1">
      <c r="A525" s="399">
        <v>3</v>
      </c>
      <c r="B525" s="498" t="s">
        <v>1596</v>
      </c>
      <c r="C525" s="497" t="s">
        <v>1605</v>
      </c>
      <c r="D525" s="493" t="str">
        <f>_xlfn.XLOOKUP(C525,CSD!$E$4:$E$1009,CSD!$D$4:$D$1009)</f>
        <v xml:space="preserve">Level 2 - Combine Wall Lv Switch Room A </v>
      </c>
      <c r="E525" s="454">
        <f>IF(VLOOKUP(C525,CSD!$E$4:$AC$507,5,0)="","",VLOOKUP(C525,CSD!$E$4:$AC$1006,5,0))</f>
        <v>0</v>
      </c>
      <c r="F525" s="457"/>
      <c r="G525" s="459">
        <f>IF(VLOOKUP(C525,CSD!$E$4:$AC$507,3,0)="","",VLOOKUP(C525,CSD!$E$4:$AC$507,3,0))</f>
        <v>46043</v>
      </c>
      <c r="H525" s="459" t="str">
        <f>IF(ISNA(MATCH($C525,CSD!$E$4:$E$1022,0)),"",
IF($E525=0,IF(INDEX(CSD!$P$4:$P$1022,MATCH($C525,CSD!$E$4:$E$1022,0))="","",INDEX(CSD!$P$4:$P$1022,MATCH($C525,CSD!$E$4:$E$1022,0))),
IF($E525=1,IF(INDEX(CSD!$U$4:$U$1022,MATCH($C525,CSD!$E$4:$E$1022,0))="","",INDEX(CSD!$U$4:$U$1022,MATCH($C525,CSD!$E$4:$E$1022,0))),
IF($E525=2,IF(INDEX(CSD!$Z$4:$Z$1022,MATCH($C525,CSD!$E$4:$E$1022,0))="","",INDEX(CSD!$Z$4:$Z$1022,MATCH($C525,CSD!$E$4:$E$1022,0))),
IF($E525=3,IF(INDEX(CSD!$AE$4:$AE$1022,MATCH($C525,CSD!$E$4:$E$1022,0))="","",INDEX(CSD!$AE$4:$AE$1022,MATCH($C525,CSD!$E$4:$E$1022,0))),
IF($E525=4,IF(INDEX(CSD!$AJ$4:$AJ$1022,MATCH($C525,CSD!$E$4:$E$1022,0))="","",INDEX(CSD!$AJ$4:$AJ$1022,MATCH($C525,CSD!$E$4:$E$1022,0))),
IF($E525=5,IF(INDEX(CSD!$AO$4:$AO$1022,MATCH($C525,CSD!$E$4:$E$1022,0))="","",INDEX(CSD!$AO$4:$AO$1022,MATCH($C525,CSD!$E$4:$E$1022,0))),"")))))))</f>
        <v/>
      </c>
      <c r="I525" s="459" t="str">
        <f>IF(ISNA(MATCH($C525,CSD!$E$4:$E$1022,0)),"",
IF($E525=0,IF(INDEX(CSD!$Q$4:$Q$1022,MATCH($C525,CSD!$E$4:$E$1022,0))="","",INDEX(CSD!$Q$4:$Q$1022,MATCH($C525,CSD!$E$4:$E$1022,0))),
IF($E525=1,IF(INDEX(CSD!$V$4:$V$1022,MATCH($C525,CSD!$E$4:$E$1022,0))="","",INDEX(CSD!$V$4:$V$1022,MATCH($C525,CSD!$E$4:$E$1022,0))),
IF($E525=2,IF(INDEX(CSD!$AA$4:$AA$1022,MATCH($C525,CSD!$E$4:$E$1022,0))="","",INDEX(CSD!$AA$4:$AA$1022,MATCH($C525,CSD!$E$4:$E$1022,0))),
IF($E525=3,IF(INDEX(CSD!$AF$4:$AF$1022,MATCH($C525,CSD!$E$4:$E$1022,0))="","",INDEX(CSD!$AF$4:$AF$1022,MATCH($C525,CSD!$E$4:$E$1022,0))),
IF($E525=4,IF(INDEX(CSD!$AK$4:$AK$1022,MATCH($C525,CSD!$E$4:$E$1022,0))="","",INDEX(CSD!$AK$4:$AK$1022,MATCH($C525,CSD!$E$4:$E$1022,0))),
IF($E525=5,IF(INDEX(CSD!$AP$4:$AP$1022,MATCH($C525,CSD!$E$4:$E$1022,0))="","",INDEX(CSD!$AP$4:$AP$1022,MATCH($C525,CSD!$E$4:$E$1022,0))),"")))))))</f>
        <v/>
      </c>
      <c r="J525" s="459" t="str">
        <f>IF(ISNA(MATCH($C525,CSD!$E$4:$E$1022,0)),"",
IF($E525=0,IF(INDEX(CSD!$R$4:$R$1022,MATCH($C525,CSD!$E$4:$E$1022,0))="","",INDEX(CSD!$R$4:$R$1022,MATCH($C525,CSD!$E$4:$E$1022,0))),
IF($E525=1,IF(INDEX(CSD!$W$4:$W$1022,MATCH($C525,CSD!$E$4:$E$1022,0))="","",INDEX(CSD!$W$4:$W$1022,MATCH($C525,CSD!$E$4:$E$1022,0))),
IF($E525=2,IF(INDEX(CSD!$AB$4:$AB$1022,MATCH($C525,CSD!$E$4:$E$1022,0))="","",INDEX(CSD!$AB$4:$AB$1022,MATCH($C525,CSD!$E$4:$E$1022,0))),
IF($E525=3,IF(INDEX(CSD!$AG$4:$AG$1022,MATCH($C525,CSD!$E$4:$E$1022,0))="","",INDEX(CSD!$AG$4:$AG$1022,MATCH($C525,CSD!$E$4:$E$1022,0))),
IF($E525=4,IF(INDEX(CSD!$AL$4:$AL$1022,MATCH($C525,CSD!$E$4:$E$1022,0))="","",INDEX(CSD!$AL$4:$AL$1022,MATCH($C525,CSD!$E$4:$E$1022,0))),
IF($E525=5,IF(INDEX(CSD!$AQ$4:$AQ$1022,MATCH($C525,CSD!$E$4:$E$1022,0))="","",INDEX(CSD!$AQ$4:$AQ$1022,MATCH($C525,CSD!$E$4:$E$1022,0))),"")))))))</f>
        <v/>
      </c>
      <c r="K525" s="459" t="str">
        <f>CSD!J6</f>
        <v>CTA</v>
      </c>
      <c r="L525" s="460" cm="1">
        <f t="array" aca="1" ref="L525" ca="1">_xlfn.IFS(AND($E525&lt;&gt;"",$M525="Pending",$K525="CTA"),TODAY()-$G525,AND($E525&lt;&gt;"",$M525="Pending",$K525="AUR"),TODAY()-$H525,AND($E525&lt;&gt;"",$M525="Pending",$K525="STT"),TODAY()-$I525,OR(K525="Closed",K525=""),"")</f>
        <v>23</v>
      </c>
      <c r="M525" s="461" t="str">
        <f>VLOOKUP(C525,CSD!$E$4:$AC$624,7,0)</f>
        <v>Pending</v>
      </c>
      <c r="N525" s="454" t="str">
        <f t="shared" ca="1" si="23"/>
        <v>Overdue</v>
      </c>
      <c r="O525" s="743" t="str">
        <f>CSD!M6</f>
        <v>GC</v>
      </c>
      <c r="P525" s="748" t="str">
        <v>NO</v>
      </c>
    </row>
    <row r="526" spans="1:16" s="385" customFormat="1" ht="24.75" customHeight="1">
      <c r="A526" s="399">
        <v>4</v>
      </c>
      <c r="B526" s="498" t="s">
        <v>1596</v>
      </c>
      <c r="C526" s="497" t="s">
        <v>1608</v>
      </c>
      <c r="D526" s="493" t="str">
        <f>_xlfn.XLOOKUP(C526,CSD!$E$4:$E$1009,CSD!$D$4:$D$1009)</f>
        <v>Level 2 - Combine Wall Lv Switch Room B</v>
      </c>
      <c r="E526" s="454">
        <f>IF(VLOOKUP(C526,CSD!$E$4:$AC$507,5,0)="","",VLOOKUP(C526,CSD!$E$4:$AC$1006,5,0))</f>
        <v>0</v>
      </c>
      <c r="F526" s="457"/>
      <c r="G526" s="459">
        <f>IF(VLOOKUP(C526,CSD!$E$4:$AC$507,3,0)="","",VLOOKUP(C526,CSD!$E$4:$AC$507,3,0))</f>
        <v>46043</v>
      </c>
      <c r="H526" s="459" t="str">
        <f>IF(ISNA(MATCH($C526,CSD!$E$4:$E$1022,0)),"",
IF($E526=0,IF(INDEX(CSD!$P$4:$P$1022,MATCH($C526,CSD!$E$4:$E$1022,0))="","",INDEX(CSD!$P$4:$P$1022,MATCH($C526,CSD!$E$4:$E$1022,0))),
IF($E526=1,IF(INDEX(CSD!$U$4:$U$1022,MATCH($C526,CSD!$E$4:$E$1022,0))="","",INDEX(CSD!$U$4:$U$1022,MATCH($C526,CSD!$E$4:$E$1022,0))),
IF($E526=2,IF(INDEX(CSD!$Z$4:$Z$1022,MATCH($C526,CSD!$E$4:$E$1022,0))="","",INDEX(CSD!$Z$4:$Z$1022,MATCH($C526,CSD!$E$4:$E$1022,0))),
IF($E526=3,IF(INDEX(CSD!$AE$4:$AE$1022,MATCH($C526,CSD!$E$4:$E$1022,0))="","",INDEX(CSD!$AE$4:$AE$1022,MATCH($C526,CSD!$E$4:$E$1022,0))),
IF($E526=4,IF(INDEX(CSD!$AJ$4:$AJ$1022,MATCH($C526,CSD!$E$4:$E$1022,0))="","",INDEX(CSD!$AJ$4:$AJ$1022,MATCH($C526,CSD!$E$4:$E$1022,0))),
IF($E526=5,IF(INDEX(CSD!$AO$4:$AO$1022,MATCH($C526,CSD!$E$4:$E$1022,0))="","",INDEX(CSD!$AO$4:$AO$1022,MATCH($C526,CSD!$E$4:$E$1022,0))),"")))))))</f>
        <v/>
      </c>
      <c r="I526" s="459" t="str">
        <f>IF(ISNA(MATCH($C526,CSD!$E$4:$E$1022,0)),"",
IF($E526=0,IF(INDEX(CSD!$Q$4:$Q$1022,MATCH($C526,CSD!$E$4:$E$1022,0))="","",INDEX(CSD!$Q$4:$Q$1022,MATCH($C526,CSD!$E$4:$E$1022,0))),
IF($E526=1,IF(INDEX(CSD!$V$4:$V$1022,MATCH($C526,CSD!$E$4:$E$1022,0))="","",INDEX(CSD!$V$4:$V$1022,MATCH($C526,CSD!$E$4:$E$1022,0))),
IF($E526=2,IF(INDEX(CSD!$AA$4:$AA$1022,MATCH($C526,CSD!$E$4:$E$1022,0))="","",INDEX(CSD!$AA$4:$AA$1022,MATCH($C526,CSD!$E$4:$E$1022,0))),
IF($E526=3,IF(INDEX(CSD!$AF$4:$AF$1022,MATCH($C526,CSD!$E$4:$E$1022,0))="","",INDEX(CSD!$AF$4:$AF$1022,MATCH($C526,CSD!$E$4:$E$1022,0))),
IF($E526=4,IF(INDEX(CSD!$AK$4:$AK$1022,MATCH($C526,CSD!$E$4:$E$1022,0))="","",INDEX(CSD!$AK$4:$AK$1022,MATCH($C526,CSD!$E$4:$E$1022,0))),
IF($E526=5,IF(INDEX(CSD!$AP$4:$AP$1022,MATCH($C526,CSD!$E$4:$E$1022,0))="","",INDEX(CSD!$AP$4:$AP$1022,MATCH($C526,CSD!$E$4:$E$1022,0))),"")))))))</f>
        <v/>
      </c>
      <c r="J526" s="459" t="str">
        <f>IF(ISNA(MATCH($C526,CSD!$E$4:$E$1022,0)),"",
IF($E526=0,IF(INDEX(CSD!$R$4:$R$1022,MATCH($C526,CSD!$E$4:$E$1022,0))="","",INDEX(CSD!$R$4:$R$1022,MATCH($C526,CSD!$E$4:$E$1022,0))),
IF($E526=1,IF(INDEX(CSD!$W$4:$W$1022,MATCH($C526,CSD!$E$4:$E$1022,0))="","",INDEX(CSD!$W$4:$W$1022,MATCH($C526,CSD!$E$4:$E$1022,0))),
IF($E526=2,IF(INDEX(CSD!$AB$4:$AB$1022,MATCH($C526,CSD!$E$4:$E$1022,0))="","",INDEX(CSD!$AB$4:$AB$1022,MATCH($C526,CSD!$E$4:$E$1022,0))),
IF($E526=3,IF(INDEX(CSD!$AG$4:$AG$1022,MATCH($C526,CSD!$E$4:$E$1022,0))="","",INDEX(CSD!$AG$4:$AG$1022,MATCH($C526,CSD!$E$4:$E$1022,0))),
IF($E526=4,IF(INDEX(CSD!$AL$4:$AL$1022,MATCH($C526,CSD!$E$4:$E$1022,0))="","",INDEX(CSD!$AL$4:$AL$1022,MATCH($C526,CSD!$E$4:$E$1022,0))),
IF($E526=5,IF(INDEX(CSD!$AQ$4:$AQ$1022,MATCH($C526,CSD!$E$4:$E$1022,0))="","",INDEX(CSD!$AQ$4:$AQ$1022,MATCH($C526,CSD!$E$4:$E$1022,0))),"")))))))</f>
        <v/>
      </c>
      <c r="K526" s="459" t="str">
        <f>CSD!J7</f>
        <v>CTA</v>
      </c>
      <c r="L526" s="460" cm="1">
        <f t="array" aca="1" ref="L526" ca="1">_xlfn.IFS(AND($E526&lt;&gt;"",$M526="Pending",$K526="CTA"),TODAY()-$G526,AND($E526&lt;&gt;"",$M526="Pending",$K526="AUR"),TODAY()-$H526,AND($E526&lt;&gt;"",$M526="Pending",$K526="STT"),TODAY()-$I526,OR(K526="Closed",K526=""),"")</f>
        <v>23</v>
      </c>
      <c r="M526" s="461" t="str">
        <f>VLOOKUP(C526,CSD!$E$4:$AC$624,7,0)</f>
        <v>Pending</v>
      </c>
      <c r="N526" s="454" t="str">
        <f t="shared" ca="1" si="23"/>
        <v>Overdue</v>
      </c>
      <c r="O526" s="743" t="str">
        <f>CSD!M7</f>
        <v>GC</v>
      </c>
      <c r="P526" s="748" t="str">
        <v>NO</v>
      </c>
    </row>
    <row r="527" spans="1:16" s="385" customFormat="1" ht="24.75" customHeight="1">
      <c r="A527" s="399">
        <v>5</v>
      </c>
      <c r="B527" s="498" t="s">
        <v>1596</v>
      </c>
      <c r="C527" s="497" t="s">
        <v>1611</v>
      </c>
      <c r="D527" s="493" t="str">
        <f>_xlfn.XLOOKUP(C527,CSD!$E$4:$E$1009,CSD!$D$4:$D$1009)</f>
        <v>Level 2 - Combine Wall Genset 3-4</v>
      </c>
      <c r="E527" s="454">
        <f>IF(VLOOKUP(C527,CSD!$E$4:$AC$507,5,0)="","",VLOOKUP(C527,CSD!$E$4:$AC$1006,5,0))</f>
        <v>0</v>
      </c>
      <c r="F527" s="457"/>
      <c r="G527" s="459">
        <f>IF(VLOOKUP(C527,CSD!$E$4:$AC$507,3,0)="","",VLOOKUP(C527,CSD!$E$4:$AC$507,3,0))</f>
        <v>46043</v>
      </c>
      <c r="H527" s="459" t="str">
        <f>IF(ISNA(MATCH($C527,CSD!$E$4:$E$1022,0)),"",
IF($E527=0,IF(INDEX(CSD!$P$4:$P$1022,MATCH($C527,CSD!$E$4:$E$1022,0))="","",INDEX(CSD!$P$4:$P$1022,MATCH($C527,CSD!$E$4:$E$1022,0))),
IF($E527=1,IF(INDEX(CSD!$U$4:$U$1022,MATCH($C527,CSD!$E$4:$E$1022,0))="","",INDEX(CSD!$U$4:$U$1022,MATCH($C527,CSD!$E$4:$E$1022,0))),
IF($E527=2,IF(INDEX(CSD!$Z$4:$Z$1022,MATCH($C527,CSD!$E$4:$E$1022,0))="","",INDEX(CSD!$Z$4:$Z$1022,MATCH($C527,CSD!$E$4:$E$1022,0))),
IF($E527=3,IF(INDEX(CSD!$AE$4:$AE$1022,MATCH($C527,CSD!$E$4:$E$1022,0))="","",INDEX(CSD!$AE$4:$AE$1022,MATCH($C527,CSD!$E$4:$E$1022,0))),
IF($E527=4,IF(INDEX(CSD!$AJ$4:$AJ$1022,MATCH($C527,CSD!$E$4:$E$1022,0))="","",INDEX(CSD!$AJ$4:$AJ$1022,MATCH($C527,CSD!$E$4:$E$1022,0))),
IF($E527=5,IF(INDEX(CSD!$AO$4:$AO$1022,MATCH($C527,CSD!$E$4:$E$1022,0))="","",INDEX(CSD!$AO$4:$AO$1022,MATCH($C527,CSD!$E$4:$E$1022,0))),"")))))))</f>
        <v/>
      </c>
      <c r="I527" s="459" t="str">
        <f>IF(ISNA(MATCH($C527,CSD!$E$4:$E$1022,0)),"",
IF($E527=0,IF(INDEX(CSD!$Q$4:$Q$1022,MATCH($C527,CSD!$E$4:$E$1022,0))="","",INDEX(CSD!$Q$4:$Q$1022,MATCH($C527,CSD!$E$4:$E$1022,0))),
IF($E527=1,IF(INDEX(CSD!$V$4:$V$1022,MATCH($C527,CSD!$E$4:$E$1022,0))="","",INDEX(CSD!$V$4:$V$1022,MATCH($C527,CSD!$E$4:$E$1022,0))),
IF($E527=2,IF(INDEX(CSD!$AA$4:$AA$1022,MATCH($C527,CSD!$E$4:$E$1022,0))="","",INDEX(CSD!$AA$4:$AA$1022,MATCH($C527,CSD!$E$4:$E$1022,0))),
IF($E527=3,IF(INDEX(CSD!$AF$4:$AF$1022,MATCH($C527,CSD!$E$4:$E$1022,0))="","",INDEX(CSD!$AF$4:$AF$1022,MATCH($C527,CSD!$E$4:$E$1022,0))),
IF($E527=4,IF(INDEX(CSD!$AK$4:$AK$1022,MATCH($C527,CSD!$E$4:$E$1022,0))="","",INDEX(CSD!$AK$4:$AK$1022,MATCH($C527,CSD!$E$4:$E$1022,0))),
IF($E527=5,IF(INDEX(CSD!$AP$4:$AP$1022,MATCH($C527,CSD!$E$4:$E$1022,0))="","",INDEX(CSD!$AP$4:$AP$1022,MATCH($C527,CSD!$E$4:$E$1022,0))),"")))))))</f>
        <v/>
      </c>
      <c r="J527" s="459" t="str">
        <f>IF(ISNA(MATCH($C527,CSD!$E$4:$E$1022,0)),"",
IF($E527=0,IF(INDEX(CSD!$R$4:$R$1022,MATCH($C527,CSD!$E$4:$E$1022,0))="","",INDEX(CSD!$R$4:$R$1022,MATCH($C527,CSD!$E$4:$E$1022,0))),
IF($E527=1,IF(INDEX(CSD!$W$4:$W$1022,MATCH($C527,CSD!$E$4:$E$1022,0))="","",INDEX(CSD!$W$4:$W$1022,MATCH($C527,CSD!$E$4:$E$1022,0))),
IF($E527=2,IF(INDEX(CSD!$AB$4:$AB$1022,MATCH($C527,CSD!$E$4:$E$1022,0))="","",INDEX(CSD!$AB$4:$AB$1022,MATCH($C527,CSD!$E$4:$E$1022,0))),
IF($E527=3,IF(INDEX(CSD!$AG$4:$AG$1022,MATCH($C527,CSD!$E$4:$E$1022,0))="","",INDEX(CSD!$AG$4:$AG$1022,MATCH($C527,CSD!$E$4:$E$1022,0))),
IF($E527=4,IF(INDEX(CSD!$AL$4:$AL$1022,MATCH($C527,CSD!$E$4:$E$1022,0))="","",INDEX(CSD!$AL$4:$AL$1022,MATCH($C527,CSD!$E$4:$E$1022,0))),
IF($E527=5,IF(INDEX(CSD!$AQ$4:$AQ$1022,MATCH($C527,CSD!$E$4:$E$1022,0))="","",INDEX(CSD!$AQ$4:$AQ$1022,MATCH($C527,CSD!$E$4:$E$1022,0))),"")))))))</f>
        <v/>
      </c>
      <c r="K527" s="459" t="str">
        <f>CSD!J8</f>
        <v>CTA</v>
      </c>
      <c r="L527" s="460" cm="1">
        <f t="array" aca="1" ref="L527" ca="1">_xlfn.IFS(AND($E527&lt;&gt;"",$M527="Pending",$K527="CTA"),TODAY()-$G527,AND($E527&lt;&gt;"",$M527="Pending",$K527="AUR"),TODAY()-$H527,AND($E527&lt;&gt;"",$M527="Pending",$K527="STT"),TODAY()-$I527,OR(K527="Closed",K527=""),"")</f>
        <v>23</v>
      </c>
      <c r="M527" s="461" t="str">
        <f>VLOOKUP(C527,CSD!$E$4:$AC$624,7,0)</f>
        <v>Pending</v>
      </c>
      <c r="N527" s="454" t="str">
        <f t="shared" ca="1" si="23"/>
        <v>Overdue</v>
      </c>
      <c r="O527" s="743" t="str">
        <f>CSD!M8</f>
        <v>GC</v>
      </c>
      <c r="P527" s="748" t="str">
        <v>NO</v>
      </c>
    </row>
    <row r="528" spans="1:16" s="385" customFormat="1" ht="24.75" customHeight="1">
      <c r="A528" s="399">
        <v>6</v>
      </c>
      <c r="B528" s="496" t="s">
        <v>1596</v>
      </c>
      <c r="C528" s="497" t="s">
        <v>1614</v>
      </c>
      <c r="D528" s="493" t="str">
        <f>_xlfn.XLOOKUP(C528,CSD!$E$4:$E$1009,CSD!$D$4:$D$1009)</f>
        <v>Level 2 - Combine Wall Goods Lift Lobby , Stair ST-2</v>
      </c>
      <c r="E528" s="454">
        <f>IF(VLOOKUP(C528,CSD!$E$4:$AC$507,5,0)="","",VLOOKUP(C528,CSD!$E$4:$AC$1006,5,0))</f>
        <v>0</v>
      </c>
      <c r="F528" s="457"/>
      <c r="G528" s="459">
        <f>IF(VLOOKUP(C528,CSD!$E$4:$AC$507,3,0)="","",VLOOKUP(C528,CSD!$E$4:$AC$507,3,0))</f>
        <v>46048</v>
      </c>
      <c r="H528" s="459" t="str">
        <f>IF(ISNA(MATCH($C528,CSD!$E$4:$E$1022,0)),"",
IF($E528=0,IF(INDEX(CSD!$P$4:$P$1022,MATCH($C528,CSD!$E$4:$E$1022,0))="","",INDEX(CSD!$P$4:$P$1022,MATCH($C528,CSD!$E$4:$E$1022,0))),
IF($E528=1,IF(INDEX(CSD!$U$4:$U$1022,MATCH($C528,CSD!$E$4:$E$1022,0))="","",INDEX(CSD!$U$4:$U$1022,MATCH($C528,CSD!$E$4:$E$1022,0))),
IF($E528=2,IF(INDEX(CSD!$Z$4:$Z$1022,MATCH($C528,CSD!$E$4:$E$1022,0))="","",INDEX(CSD!$Z$4:$Z$1022,MATCH($C528,CSD!$E$4:$E$1022,0))),
IF($E528=3,IF(INDEX(CSD!$AE$4:$AE$1022,MATCH($C528,CSD!$E$4:$E$1022,0))="","",INDEX(CSD!$AE$4:$AE$1022,MATCH($C528,CSD!$E$4:$E$1022,0))),
IF($E528=4,IF(INDEX(CSD!$AJ$4:$AJ$1022,MATCH($C528,CSD!$E$4:$E$1022,0))="","",INDEX(CSD!$AJ$4:$AJ$1022,MATCH($C528,CSD!$E$4:$E$1022,0))),
IF($E528=5,IF(INDEX(CSD!$AO$4:$AO$1022,MATCH($C528,CSD!$E$4:$E$1022,0))="","",INDEX(CSD!$AO$4:$AO$1022,MATCH($C528,CSD!$E$4:$E$1022,0))),"")))))))</f>
        <v/>
      </c>
      <c r="I528" s="459" t="str">
        <f>IF(ISNA(MATCH($C528,CSD!$E$4:$E$1022,0)),"",
IF($E528=0,IF(INDEX(CSD!$Q$4:$Q$1022,MATCH($C528,CSD!$E$4:$E$1022,0))="","",INDEX(CSD!$Q$4:$Q$1022,MATCH($C528,CSD!$E$4:$E$1022,0))),
IF($E528=1,IF(INDEX(CSD!$V$4:$V$1022,MATCH($C528,CSD!$E$4:$E$1022,0))="","",INDEX(CSD!$V$4:$V$1022,MATCH($C528,CSD!$E$4:$E$1022,0))),
IF($E528=2,IF(INDEX(CSD!$AA$4:$AA$1022,MATCH($C528,CSD!$E$4:$E$1022,0))="","",INDEX(CSD!$AA$4:$AA$1022,MATCH($C528,CSD!$E$4:$E$1022,0))),
IF($E528=3,IF(INDEX(CSD!$AF$4:$AF$1022,MATCH($C528,CSD!$E$4:$E$1022,0))="","",INDEX(CSD!$AF$4:$AF$1022,MATCH($C528,CSD!$E$4:$E$1022,0))),
IF($E528=4,IF(INDEX(CSD!$AK$4:$AK$1022,MATCH($C528,CSD!$E$4:$E$1022,0))="","",INDEX(CSD!$AK$4:$AK$1022,MATCH($C528,CSD!$E$4:$E$1022,0))),
IF($E528=5,IF(INDEX(CSD!$AP$4:$AP$1022,MATCH($C528,CSD!$E$4:$E$1022,0))="","",INDEX(CSD!$AP$4:$AP$1022,MATCH($C528,CSD!$E$4:$E$1022,0))),"")))))))</f>
        <v/>
      </c>
      <c r="J528" s="459" t="str">
        <f>IF(ISNA(MATCH($C528,CSD!$E$4:$E$1022,0)),"",
IF($E528=0,IF(INDEX(CSD!$R$4:$R$1022,MATCH($C528,CSD!$E$4:$E$1022,0))="","",INDEX(CSD!$R$4:$R$1022,MATCH($C528,CSD!$E$4:$E$1022,0))),
IF($E528=1,IF(INDEX(CSD!$W$4:$W$1022,MATCH($C528,CSD!$E$4:$E$1022,0))="","",INDEX(CSD!$W$4:$W$1022,MATCH($C528,CSD!$E$4:$E$1022,0))),
IF($E528=2,IF(INDEX(CSD!$AB$4:$AB$1022,MATCH($C528,CSD!$E$4:$E$1022,0))="","",INDEX(CSD!$AB$4:$AB$1022,MATCH($C528,CSD!$E$4:$E$1022,0))),
IF($E528=3,IF(INDEX(CSD!$AG$4:$AG$1022,MATCH($C528,CSD!$E$4:$E$1022,0))="","",INDEX(CSD!$AG$4:$AG$1022,MATCH($C528,CSD!$E$4:$E$1022,0))),
IF($E528=4,IF(INDEX(CSD!$AL$4:$AL$1022,MATCH($C528,CSD!$E$4:$E$1022,0))="","",INDEX(CSD!$AL$4:$AL$1022,MATCH($C528,CSD!$E$4:$E$1022,0))),
IF($E528=5,IF(INDEX(CSD!$AQ$4:$AQ$1022,MATCH($C528,CSD!$E$4:$E$1022,0))="","",INDEX(CSD!$AQ$4:$AQ$1022,MATCH($C528,CSD!$E$4:$E$1022,0))),"")))))))</f>
        <v/>
      </c>
      <c r="K528" s="459" t="str">
        <f>CSD!J9</f>
        <v>CTA</v>
      </c>
      <c r="L528" s="460" cm="1">
        <f t="array" aca="1" ref="L528" ca="1">_xlfn.IFS(AND($E528&lt;&gt;"",$M528="Pending",$K528="CTA"),TODAY()-$G528,AND($E528&lt;&gt;"",$M528="Pending",$K528="AUR"),TODAY()-$H528,AND($E528&lt;&gt;"",$M528="Pending",$K528="STT"),TODAY()-$I528,OR(K528="Closed",K528=""),"")</f>
        <v>18</v>
      </c>
      <c r="M528" s="461" t="str">
        <f>VLOOKUP(C528,CSD!$E$4:$AC$624,7,0)</f>
        <v>Pending</v>
      </c>
      <c r="N528" s="454" t="str">
        <f t="shared" ref="N528:N538" ca="1" si="24">IF(AND(E528&lt;&gt;"",M528="Pending"),IF(L528&gt;=5,"Overdue",IF(L528&gt;=3,"High","")),"")</f>
        <v>Overdue</v>
      </c>
      <c r="O528" s="743" t="str">
        <f>CSD!M9</f>
        <v>GC</v>
      </c>
      <c r="P528" s="748" t="str">
        <v>NO</v>
      </c>
    </row>
    <row r="529" spans="1:16" s="385" customFormat="1" ht="24.75" customHeight="1">
      <c r="A529" s="399">
        <v>7</v>
      </c>
      <c r="B529" s="496" t="s">
        <v>1596</v>
      </c>
      <c r="C529" s="497" t="s">
        <v>1617</v>
      </c>
      <c r="D529" s="493" t="str">
        <f>_xlfn.XLOOKUP(C529,CSD!$E$4:$E$1009,CSD!$D$4:$D$1009)</f>
        <v>Level 2 - Combine Wall MDF A , ELV A , Fire Service , Battery A1</v>
      </c>
      <c r="E529" s="454">
        <f>IF(VLOOKUP(C529,CSD!$E$4:$AC$507,5,0)="","",VLOOKUP(C529,CSD!$E$4:$AC$1006,5,0))</f>
        <v>0</v>
      </c>
      <c r="F529" s="462"/>
      <c r="G529" s="459">
        <f>IF(VLOOKUP(C529,CSD!$E$4:$AC$507,3,0)="","",VLOOKUP(C529,CSD!$E$4:$AC$507,3,0))</f>
        <v>46048</v>
      </c>
      <c r="H529" s="459" t="str">
        <f>IF(ISNA(MATCH($C529,CSD!$E$4:$E$1022,0)),"",
IF($E529=0,IF(INDEX(CSD!$P$4:$P$1022,MATCH($C529,CSD!$E$4:$E$1022,0))="","",INDEX(CSD!$P$4:$P$1022,MATCH($C529,CSD!$E$4:$E$1022,0))),
IF($E529=1,IF(INDEX(CSD!$U$4:$U$1022,MATCH($C529,CSD!$E$4:$E$1022,0))="","",INDEX(CSD!$U$4:$U$1022,MATCH($C529,CSD!$E$4:$E$1022,0))),
IF($E529=2,IF(INDEX(CSD!$Z$4:$Z$1022,MATCH($C529,CSD!$E$4:$E$1022,0))="","",INDEX(CSD!$Z$4:$Z$1022,MATCH($C529,CSD!$E$4:$E$1022,0))),
IF($E529=3,IF(INDEX(CSD!$AE$4:$AE$1022,MATCH($C529,CSD!$E$4:$E$1022,0))="","",INDEX(CSD!$AE$4:$AE$1022,MATCH($C529,CSD!$E$4:$E$1022,0))),
IF($E529=4,IF(INDEX(CSD!$AJ$4:$AJ$1022,MATCH($C529,CSD!$E$4:$E$1022,0))="","",INDEX(CSD!$AJ$4:$AJ$1022,MATCH($C529,CSD!$E$4:$E$1022,0))),
IF($E529=5,IF(INDEX(CSD!$AO$4:$AO$1022,MATCH($C529,CSD!$E$4:$E$1022,0))="","",INDEX(CSD!$AO$4:$AO$1022,MATCH($C529,CSD!$E$4:$E$1022,0))),"")))))))</f>
        <v/>
      </c>
      <c r="I529" s="459" t="str">
        <f>IF(ISNA(MATCH($C529,CSD!$E$4:$E$1022,0)),"",
IF($E529=0,IF(INDEX(CSD!$Q$4:$Q$1022,MATCH($C529,CSD!$E$4:$E$1022,0))="","",INDEX(CSD!$Q$4:$Q$1022,MATCH($C529,CSD!$E$4:$E$1022,0))),
IF($E529=1,IF(INDEX(CSD!$V$4:$V$1022,MATCH($C529,CSD!$E$4:$E$1022,0))="","",INDEX(CSD!$V$4:$V$1022,MATCH($C529,CSD!$E$4:$E$1022,0))),
IF($E529=2,IF(INDEX(CSD!$AA$4:$AA$1022,MATCH($C529,CSD!$E$4:$E$1022,0))="","",INDEX(CSD!$AA$4:$AA$1022,MATCH($C529,CSD!$E$4:$E$1022,0))),
IF($E529=3,IF(INDEX(CSD!$AF$4:$AF$1022,MATCH($C529,CSD!$E$4:$E$1022,0))="","",INDEX(CSD!$AF$4:$AF$1022,MATCH($C529,CSD!$E$4:$E$1022,0))),
IF($E529=4,IF(INDEX(CSD!$AK$4:$AK$1022,MATCH($C529,CSD!$E$4:$E$1022,0))="","",INDEX(CSD!$AK$4:$AK$1022,MATCH($C529,CSD!$E$4:$E$1022,0))),
IF($E529=5,IF(INDEX(CSD!$AP$4:$AP$1022,MATCH($C529,CSD!$E$4:$E$1022,0))="","",INDEX(CSD!$AP$4:$AP$1022,MATCH($C529,CSD!$E$4:$E$1022,0))),"")))))))</f>
        <v/>
      </c>
      <c r="J529" s="459" t="str">
        <f>IF(ISNA(MATCH($C529,CSD!$E$4:$E$1022,0)),"",
IF($E529=0,IF(INDEX(CSD!$R$4:$R$1022,MATCH($C529,CSD!$E$4:$E$1022,0))="","",INDEX(CSD!$R$4:$R$1022,MATCH($C529,CSD!$E$4:$E$1022,0))),
IF($E529=1,IF(INDEX(CSD!$W$4:$W$1022,MATCH($C529,CSD!$E$4:$E$1022,0))="","",INDEX(CSD!$W$4:$W$1022,MATCH($C529,CSD!$E$4:$E$1022,0))),
IF($E529=2,IF(INDEX(CSD!$AB$4:$AB$1022,MATCH($C529,CSD!$E$4:$E$1022,0))="","",INDEX(CSD!$AB$4:$AB$1022,MATCH($C529,CSD!$E$4:$E$1022,0))),
IF($E529=3,IF(INDEX(CSD!$AG$4:$AG$1022,MATCH($C529,CSD!$E$4:$E$1022,0))="","",INDEX(CSD!$AG$4:$AG$1022,MATCH($C529,CSD!$E$4:$E$1022,0))),
IF($E529=4,IF(INDEX(CSD!$AL$4:$AL$1022,MATCH($C529,CSD!$E$4:$E$1022,0))="","",INDEX(CSD!$AL$4:$AL$1022,MATCH($C529,CSD!$E$4:$E$1022,0))),
IF($E529=5,IF(INDEX(CSD!$AQ$4:$AQ$1022,MATCH($C529,CSD!$E$4:$E$1022,0))="","",INDEX(CSD!$AQ$4:$AQ$1022,MATCH($C529,CSD!$E$4:$E$1022,0))),"")))))))</f>
        <v/>
      </c>
      <c r="K529" s="459" t="str">
        <f>CSD!J10</f>
        <v>CTA</v>
      </c>
      <c r="L529" s="460" cm="1">
        <f t="array" aca="1" ref="L529" ca="1">_xlfn.IFS(AND($E529&lt;&gt;"",$M529="Pending",$K529="CTA"),TODAY()-$G529,AND($E529&lt;&gt;"",$M529="Pending",$K529="AUR"),TODAY()-$H529,AND($E529&lt;&gt;"",$M529="Pending",$K529="STT"),TODAY()-$I529,OR(K529="Closed",K529=""),"")</f>
        <v>18</v>
      </c>
      <c r="M529" s="461" t="str">
        <f>VLOOKUP(C529,CSD!$E$4:$AC$624,7,0)</f>
        <v>Pending</v>
      </c>
      <c r="N529" s="454" t="str">
        <f t="shared" ca="1" si="24"/>
        <v>Overdue</v>
      </c>
      <c r="O529" s="743" t="str">
        <f>CSD!M10</f>
        <v>GC</v>
      </c>
      <c r="P529" s="748" t="str">
        <v>NO</v>
      </c>
    </row>
    <row r="530" spans="1:16" s="385" customFormat="1" ht="24.75" customHeight="1">
      <c r="A530" s="399">
        <v>8</v>
      </c>
      <c r="B530" s="496" t="s">
        <v>1596</v>
      </c>
      <c r="C530" s="497" t="s">
        <v>1620</v>
      </c>
      <c r="D530" s="493" t="str">
        <f>_xlfn.XLOOKUP(C530,CSD!$E$4:$E$1009,CSD!$D$4:$D$1009)</f>
        <v>Level 2 - Combine Wall MDF B , ELV B  , Battery B1 , Spare Room</v>
      </c>
      <c r="E530" s="454">
        <f>IF(VLOOKUP(C530,CSD!$E$4:$AC$507,5,0)="","",VLOOKUP(C530,CSD!$E$4:$AC$1006,5,0))</f>
        <v>0</v>
      </c>
      <c r="F530" s="457"/>
      <c r="G530" s="459">
        <f>IF(VLOOKUP(C530,CSD!$E$4:$AC$507,3,0)="","",VLOOKUP(C530,CSD!$E$4:$AC$507,3,0))</f>
        <v>46050</v>
      </c>
      <c r="H530" s="459" t="str">
        <f>IF(ISNA(MATCH($C530,CSD!$E$4:$E$1022,0)),"",
IF($E530=0,IF(INDEX(CSD!$P$4:$P$1022,MATCH($C530,CSD!$E$4:$E$1022,0))="","",INDEX(CSD!$P$4:$P$1022,MATCH($C530,CSD!$E$4:$E$1022,0))),
IF($E530=1,IF(INDEX(CSD!$U$4:$U$1022,MATCH($C530,CSD!$E$4:$E$1022,0))="","",INDEX(CSD!$U$4:$U$1022,MATCH($C530,CSD!$E$4:$E$1022,0))),
IF($E530=2,IF(INDEX(CSD!$Z$4:$Z$1022,MATCH($C530,CSD!$E$4:$E$1022,0))="","",INDEX(CSD!$Z$4:$Z$1022,MATCH($C530,CSD!$E$4:$E$1022,0))),
IF($E530=3,IF(INDEX(CSD!$AE$4:$AE$1022,MATCH($C530,CSD!$E$4:$E$1022,0))="","",INDEX(CSD!$AE$4:$AE$1022,MATCH($C530,CSD!$E$4:$E$1022,0))),
IF($E530=4,IF(INDEX(CSD!$AJ$4:$AJ$1022,MATCH($C530,CSD!$E$4:$E$1022,0))="","",INDEX(CSD!$AJ$4:$AJ$1022,MATCH($C530,CSD!$E$4:$E$1022,0))),
IF($E530=5,IF(INDEX(CSD!$AO$4:$AO$1022,MATCH($C530,CSD!$E$4:$E$1022,0))="","",INDEX(CSD!$AO$4:$AO$1022,MATCH($C530,CSD!$E$4:$E$1022,0))),"")))))))</f>
        <v/>
      </c>
      <c r="I530" s="459" t="str">
        <f>IF(ISNA(MATCH($C530,CSD!$E$4:$E$1022,0)),"",
IF($E530=0,IF(INDEX(CSD!$Q$4:$Q$1022,MATCH($C530,CSD!$E$4:$E$1022,0))="","",INDEX(CSD!$Q$4:$Q$1022,MATCH($C530,CSD!$E$4:$E$1022,0))),
IF($E530=1,IF(INDEX(CSD!$V$4:$V$1022,MATCH($C530,CSD!$E$4:$E$1022,0))="","",INDEX(CSD!$V$4:$V$1022,MATCH($C530,CSD!$E$4:$E$1022,0))),
IF($E530=2,IF(INDEX(CSD!$AA$4:$AA$1022,MATCH($C530,CSD!$E$4:$E$1022,0))="","",INDEX(CSD!$AA$4:$AA$1022,MATCH($C530,CSD!$E$4:$E$1022,0))),
IF($E530=3,IF(INDEX(CSD!$AF$4:$AF$1022,MATCH($C530,CSD!$E$4:$E$1022,0))="","",INDEX(CSD!$AF$4:$AF$1022,MATCH($C530,CSD!$E$4:$E$1022,0))),
IF($E530=4,IF(INDEX(CSD!$AK$4:$AK$1022,MATCH($C530,CSD!$E$4:$E$1022,0))="","",INDEX(CSD!$AK$4:$AK$1022,MATCH($C530,CSD!$E$4:$E$1022,0))),
IF($E530=5,IF(INDEX(CSD!$AP$4:$AP$1022,MATCH($C530,CSD!$E$4:$E$1022,0))="","",INDEX(CSD!$AP$4:$AP$1022,MATCH($C530,CSD!$E$4:$E$1022,0))),"")))))))</f>
        <v/>
      </c>
      <c r="J530" s="459" t="str">
        <f>IF(ISNA(MATCH($C530,CSD!$E$4:$E$1022,0)),"",
IF($E530=0,IF(INDEX(CSD!$R$4:$R$1022,MATCH($C530,CSD!$E$4:$E$1022,0))="","",INDEX(CSD!$R$4:$R$1022,MATCH($C530,CSD!$E$4:$E$1022,0))),
IF($E530=1,IF(INDEX(CSD!$W$4:$W$1022,MATCH($C530,CSD!$E$4:$E$1022,0))="","",INDEX(CSD!$W$4:$W$1022,MATCH($C530,CSD!$E$4:$E$1022,0))),
IF($E530=2,IF(INDEX(CSD!$AB$4:$AB$1022,MATCH($C530,CSD!$E$4:$E$1022,0))="","",INDEX(CSD!$AB$4:$AB$1022,MATCH($C530,CSD!$E$4:$E$1022,0))),
IF($E530=3,IF(INDEX(CSD!$AG$4:$AG$1022,MATCH($C530,CSD!$E$4:$E$1022,0))="","",INDEX(CSD!$AG$4:$AG$1022,MATCH($C530,CSD!$E$4:$E$1022,0))),
IF($E530=4,IF(INDEX(CSD!$AL$4:$AL$1022,MATCH($C530,CSD!$E$4:$E$1022,0))="","",INDEX(CSD!$AL$4:$AL$1022,MATCH($C530,CSD!$E$4:$E$1022,0))),
IF($E530=5,IF(INDEX(CSD!$AQ$4:$AQ$1022,MATCH($C530,CSD!$E$4:$E$1022,0))="","",INDEX(CSD!$AQ$4:$AQ$1022,MATCH($C530,CSD!$E$4:$E$1022,0))),"")))))))</f>
        <v/>
      </c>
      <c r="K530" s="459" t="str">
        <f>CSD!J11</f>
        <v>CTA</v>
      </c>
      <c r="L530" s="460" cm="1">
        <f t="array" aca="1" ref="L530" ca="1">_xlfn.IFS(AND($E530&lt;&gt;"",$M530="Pending",$K530="CTA"),TODAY()-$G530,AND($E530&lt;&gt;"",$M530="Pending",$K530="AUR"),TODAY()-$H530,AND($E530&lt;&gt;"",$M530="Pending",$K530="STT"),TODAY()-$I530,OR(K530="Closed",K530=""),"")</f>
        <v>16</v>
      </c>
      <c r="M530" s="461" t="str">
        <f>VLOOKUP(C530,CSD!$E$4:$AC$624,7,0)</f>
        <v>Pending</v>
      </c>
      <c r="N530" s="454" t="str">
        <f t="shared" ca="1" si="24"/>
        <v>Overdue</v>
      </c>
      <c r="O530" s="743" t="str">
        <f>CSD!M11</f>
        <v>GC</v>
      </c>
      <c r="P530" s="748" t="str">
        <v>NO</v>
      </c>
    </row>
    <row r="531" spans="1:16" s="385" customFormat="1" ht="24.75" customHeight="1">
      <c r="A531" s="399">
        <v>9</v>
      </c>
      <c r="B531" s="496" t="s">
        <v>1596</v>
      </c>
      <c r="C531" s="497" t="s">
        <v>1623</v>
      </c>
      <c r="D531" s="493" t="str">
        <f>_xlfn.XLOOKUP(C531,CSD!$E$4:$E$1009,CSD!$D$4:$D$1009)</f>
        <v>Level 2 - Combine Wall Fireman Lift , Toilet , Janitor , Stair 1</v>
      </c>
      <c r="E531" s="454">
        <f>IF(VLOOKUP(C531,CSD!$E$4:$AC$507,5,0)="","",VLOOKUP(C531,CSD!$E$4:$AC$1006,5,0))</f>
        <v>0</v>
      </c>
      <c r="F531" s="457"/>
      <c r="G531" s="459">
        <f>IF(VLOOKUP(C531,CSD!$E$4:$AC$507,3,0)="","",VLOOKUP(C531,CSD!$E$4:$AC$507,3,0))</f>
        <v>46055</v>
      </c>
      <c r="H531" s="459" t="str">
        <f>IF(ISNA(MATCH($C531,CSD!$E$4:$E$1022,0)),"",
IF($E531=0,IF(INDEX(CSD!$P$4:$P$1022,MATCH($C531,CSD!$E$4:$E$1022,0))="","",INDEX(CSD!$P$4:$P$1022,MATCH($C531,CSD!$E$4:$E$1022,0))),
IF($E531=1,IF(INDEX(CSD!$U$4:$U$1022,MATCH($C531,CSD!$E$4:$E$1022,0))="","",INDEX(CSD!$U$4:$U$1022,MATCH($C531,CSD!$E$4:$E$1022,0))),
IF($E531=2,IF(INDEX(CSD!$Z$4:$Z$1022,MATCH($C531,CSD!$E$4:$E$1022,0))="","",INDEX(CSD!$Z$4:$Z$1022,MATCH($C531,CSD!$E$4:$E$1022,0))),
IF($E531=3,IF(INDEX(CSD!$AE$4:$AE$1022,MATCH($C531,CSD!$E$4:$E$1022,0))="","",INDEX(CSD!$AE$4:$AE$1022,MATCH($C531,CSD!$E$4:$E$1022,0))),
IF($E531=4,IF(INDEX(CSD!$AJ$4:$AJ$1022,MATCH($C531,CSD!$E$4:$E$1022,0))="","",INDEX(CSD!$AJ$4:$AJ$1022,MATCH($C531,CSD!$E$4:$E$1022,0))),
IF($E531=5,IF(INDEX(CSD!$AO$4:$AO$1022,MATCH($C531,CSD!$E$4:$E$1022,0))="","",INDEX(CSD!$AO$4:$AO$1022,MATCH($C531,CSD!$E$4:$E$1022,0))),"")))))))</f>
        <v/>
      </c>
      <c r="I531" s="459" t="str">
        <f>IF(ISNA(MATCH($C531,CSD!$E$4:$E$1022,0)),"",
IF($E531=0,IF(INDEX(CSD!$Q$4:$Q$1022,MATCH($C531,CSD!$E$4:$E$1022,0))="","",INDEX(CSD!$Q$4:$Q$1022,MATCH($C531,CSD!$E$4:$E$1022,0))),
IF($E531=1,IF(INDEX(CSD!$V$4:$V$1022,MATCH($C531,CSD!$E$4:$E$1022,0))="","",INDEX(CSD!$V$4:$V$1022,MATCH($C531,CSD!$E$4:$E$1022,0))),
IF($E531=2,IF(INDEX(CSD!$AA$4:$AA$1022,MATCH($C531,CSD!$E$4:$E$1022,0))="","",INDEX(CSD!$AA$4:$AA$1022,MATCH($C531,CSD!$E$4:$E$1022,0))),
IF($E531=3,IF(INDEX(CSD!$AF$4:$AF$1022,MATCH($C531,CSD!$E$4:$E$1022,0))="","",INDEX(CSD!$AF$4:$AF$1022,MATCH($C531,CSD!$E$4:$E$1022,0))),
IF($E531=4,IF(INDEX(CSD!$AK$4:$AK$1022,MATCH($C531,CSD!$E$4:$E$1022,0))="","",INDEX(CSD!$AK$4:$AK$1022,MATCH($C531,CSD!$E$4:$E$1022,0))),
IF($E531=5,IF(INDEX(CSD!$AP$4:$AP$1022,MATCH($C531,CSD!$E$4:$E$1022,0))="","",INDEX(CSD!$AP$4:$AP$1022,MATCH($C531,CSD!$E$4:$E$1022,0))),"")))))))</f>
        <v/>
      </c>
      <c r="J531" s="459" t="str">
        <f>IF(ISNA(MATCH($C531,CSD!$E$4:$E$1022,0)),"",
IF($E531=0,IF(INDEX(CSD!$R$4:$R$1022,MATCH($C531,CSD!$E$4:$E$1022,0))="","",INDEX(CSD!$R$4:$R$1022,MATCH($C531,CSD!$E$4:$E$1022,0))),
IF($E531=1,IF(INDEX(CSD!$W$4:$W$1022,MATCH($C531,CSD!$E$4:$E$1022,0))="","",INDEX(CSD!$W$4:$W$1022,MATCH($C531,CSD!$E$4:$E$1022,0))),
IF($E531=2,IF(INDEX(CSD!$AB$4:$AB$1022,MATCH($C531,CSD!$E$4:$E$1022,0))="","",INDEX(CSD!$AB$4:$AB$1022,MATCH($C531,CSD!$E$4:$E$1022,0))),
IF($E531=3,IF(INDEX(CSD!$AG$4:$AG$1022,MATCH($C531,CSD!$E$4:$E$1022,0))="","",INDEX(CSD!$AG$4:$AG$1022,MATCH($C531,CSD!$E$4:$E$1022,0))),
IF($E531=4,IF(INDEX(CSD!$AL$4:$AL$1022,MATCH($C531,CSD!$E$4:$E$1022,0))="","",INDEX(CSD!$AL$4:$AL$1022,MATCH($C531,CSD!$E$4:$E$1022,0))),
IF($E531=5,IF(INDEX(CSD!$AQ$4:$AQ$1022,MATCH($C531,CSD!$E$4:$E$1022,0))="","",INDEX(CSD!$AQ$4:$AQ$1022,MATCH($C531,CSD!$E$4:$E$1022,0))),"")))))))</f>
        <v/>
      </c>
      <c r="K531" s="459" t="str">
        <f>CSD!J12</f>
        <v>CTA</v>
      </c>
      <c r="L531" s="460" cm="1">
        <f t="array" aca="1" ref="L531" ca="1">_xlfn.IFS(AND($E531&lt;&gt;"",$M531="Pending",$K531="CTA"),TODAY()-$G531,AND($E531&lt;&gt;"",$M531="Pending",$K531="AUR"),TODAY()-$H531,AND($E531&lt;&gt;"",$M531="Pending",$K531="STT"),TODAY()-$I531,OR(K531="Closed",K531=""),"")</f>
        <v>11</v>
      </c>
      <c r="M531" s="461" t="str">
        <f>VLOOKUP(C531,CSD!$E$4:$AC$624,7,0)</f>
        <v>Pending</v>
      </c>
      <c r="N531" s="454" t="str">
        <f t="shared" ca="1" si="24"/>
        <v>Overdue</v>
      </c>
      <c r="O531" s="743" t="str">
        <f>CSD!M12</f>
        <v>GC</v>
      </c>
      <c r="P531" s="748" t="str">
        <v>NO</v>
      </c>
    </row>
    <row r="532" spans="1:16" s="385" customFormat="1" ht="24.75" customHeight="1">
      <c r="A532" s="399">
        <v>10</v>
      </c>
      <c r="B532" s="496" t="s">
        <v>1596</v>
      </c>
      <c r="C532" s="497" t="s">
        <v>1626</v>
      </c>
      <c r="D532" s="493" t="str">
        <f>_xlfn.XLOOKUP(C532,CSD!$E$4:$E$1009,CSD!$D$4:$D$1009)</f>
        <v>Level 2 - Combine Wall Data Hall A , Fan Wall A</v>
      </c>
      <c r="E532" s="454">
        <f>IF(VLOOKUP(C532,CSD!$E$4:$AC$507,5,0)="","",VLOOKUP(C532,CSD!$E$4:$AC$1006,5,0))</f>
        <v>0</v>
      </c>
      <c r="F532" s="457"/>
      <c r="G532" s="459">
        <f>IF(VLOOKUP(C532,CSD!$E$4:$AC$507,3,0)="","",VLOOKUP(C532,CSD!$E$4:$AC$507,3,0))</f>
        <v>46055</v>
      </c>
      <c r="H532" s="459" t="str">
        <f>IF(ISNA(MATCH($C532,CSD!$E$4:$E$1022,0)),"",
IF($E532=0,IF(INDEX(CSD!$P$4:$P$1022,MATCH($C532,CSD!$E$4:$E$1022,0))="","",INDEX(CSD!$P$4:$P$1022,MATCH($C532,CSD!$E$4:$E$1022,0))),
IF($E532=1,IF(INDEX(CSD!$U$4:$U$1022,MATCH($C532,CSD!$E$4:$E$1022,0))="","",INDEX(CSD!$U$4:$U$1022,MATCH($C532,CSD!$E$4:$E$1022,0))),
IF($E532=2,IF(INDEX(CSD!$Z$4:$Z$1022,MATCH($C532,CSD!$E$4:$E$1022,0))="","",INDEX(CSD!$Z$4:$Z$1022,MATCH($C532,CSD!$E$4:$E$1022,0))),
IF($E532=3,IF(INDEX(CSD!$AE$4:$AE$1022,MATCH($C532,CSD!$E$4:$E$1022,0))="","",INDEX(CSD!$AE$4:$AE$1022,MATCH($C532,CSD!$E$4:$E$1022,0))),
IF($E532=4,IF(INDEX(CSD!$AJ$4:$AJ$1022,MATCH($C532,CSD!$E$4:$E$1022,0))="","",INDEX(CSD!$AJ$4:$AJ$1022,MATCH($C532,CSD!$E$4:$E$1022,0))),
IF($E532=5,IF(INDEX(CSD!$AO$4:$AO$1022,MATCH($C532,CSD!$E$4:$E$1022,0))="","",INDEX(CSD!$AO$4:$AO$1022,MATCH($C532,CSD!$E$4:$E$1022,0))),"")))))))</f>
        <v/>
      </c>
      <c r="I532" s="459" t="str">
        <f>IF(ISNA(MATCH($C532,CSD!$E$4:$E$1022,0)),"",
IF($E532=0,IF(INDEX(CSD!$Q$4:$Q$1022,MATCH($C532,CSD!$E$4:$E$1022,0))="","",INDEX(CSD!$Q$4:$Q$1022,MATCH($C532,CSD!$E$4:$E$1022,0))),
IF($E532=1,IF(INDEX(CSD!$V$4:$V$1022,MATCH($C532,CSD!$E$4:$E$1022,0))="","",INDEX(CSD!$V$4:$V$1022,MATCH($C532,CSD!$E$4:$E$1022,0))),
IF($E532=2,IF(INDEX(CSD!$AA$4:$AA$1022,MATCH($C532,CSD!$E$4:$E$1022,0))="","",INDEX(CSD!$AA$4:$AA$1022,MATCH($C532,CSD!$E$4:$E$1022,0))),
IF($E532=3,IF(INDEX(CSD!$AF$4:$AF$1022,MATCH($C532,CSD!$E$4:$E$1022,0))="","",INDEX(CSD!$AF$4:$AF$1022,MATCH($C532,CSD!$E$4:$E$1022,0))),
IF($E532=4,IF(INDEX(CSD!$AK$4:$AK$1022,MATCH($C532,CSD!$E$4:$E$1022,0))="","",INDEX(CSD!$AK$4:$AK$1022,MATCH($C532,CSD!$E$4:$E$1022,0))),
IF($E532=5,IF(INDEX(CSD!$AP$4:$AP$1022,MATCH($C532,CSD!$E$4:$E$1022,0))="","",INDEX(CSD!$AP$4:$AP$1022,MATCH($C532,CSD!$E$4:$E$1022,0))),"")))))))</f>
        <v/>
      </c>
      <c r="J532" s="459" t="str">
        <f>IF(ISNA(MATCH($C532,CSD!$E$4:$E$1022,0)),"",
IF($E532=0,IF(INDEX(CSD!$R$4:$R$1022,MATCH($C532,CSD!$E$4:$E$1022,0))="","",INDEX(CSD!$R$4:$R$1022,MATCH($C532,CSD!$E$4:$E$1022,0))),
IF($E532=1,IF(INDEX(CSD!$W$4:$W$1022,MATCH($C532,CSD!$E$4:$E$1022,0))="","",INDEX(CSD!$W$4:$W$1022,MATCH($C532,CSD!$E$4:$E$1022,0))),
IF($E532=2,IF(INDEX(CSD!$AB$4:$AB$1022,MATCH($C532,CSD!$E$4:$E$1022,0))="","",INDEX(CSD!$AB$4:$AB$1022,MATCH($C532,CSD!$E$4:$E$1022,0))),
IF($E532=3,IF(INDEX(CSD!$AG$4:$AG$1022,MATCH($C532,CSD!$E$4:$E$1022,0))="","",INDEX(CSD!$AG$4:$AG$1022,MATCH($C532,CSD!$E$4:$E$1022,0))),
IF($E532=4,IF(INDEX(CSD!$AL$4:$AL$1022,MATCH($C532,CSD!$E$4:$E$1022,0))="","",INDEX(CSD!$AL$4:$AL$1022,MATCH($C532,CSD!$E$4:$E$1022,0))),
IF($E532=5,IF(INDEX(CSD!$AQ$4:$AQ$1022,MATCH($C532,CSD!$E$4:$E$1022,0))="","",INDEX(CSD!$AQ$4:$AQ$1022,MATCH($C532,CSD!$E$4:$E$1022,0))),"")))))))</f>
        <v/>
      </c>
      <c r="K532" s="459" t="str">
        <f>CSD!J13</f>
        <v>CTA</v>
      </c>
      <c r="L532" s="460" cm="1">
        <f t="array" aca="1" ref="L532" ca="1">_xlfn.IFS(AND($E532&lt;&gt;"",$M532="Pending",$K532="CTA"),TODAY()-$G532,AND($E532&lt;&gt;"",$M532="Pending",$K532="AUR"),TODAY()-$H532,AND($E532&lt;&gt;"",$M532="Pending",$K532="STT"),TODAY()-$I532,OR(K532="Closed",K532=""),"")</f>
        <v>11</v>
      </c>
      <c r="M532" s="461" t="str">
        <f>VLOOKUP(C532,CSD!$E$4:$AC$624,7,0)</f>
        <v>Pending</v>
      </c>
      <c r="N532" s="454" t="str">
        <f t="shared" ca="1" si="24"/>
        <v>Overdue</v>
      </c>
      <c r="O532" s="743" t="str">
        <f>CSD!M13</f>
        <v>GC</v>
      </c>
      <c r="P532" s="748" t="str">
        <v>NO</v>
      </c>
    </row>
    <row r="533" spans="1:16" s="385" customFormat="1" ht="24.75" customHeight="1">
      <c r="A533" s="399">
        <v>11</v>
      </c>
      <c r="B533" s="498" t="s">
        <v>1596</v>
      </c>
      <c r="C533" s="497" t="s">
        <v>1629</v>
      </c>
      <c r="D533" s="493" t="str">
        <f>_xlfn.XLOOKUP(C533,CSD!$E$4:$E$1009,CSD!$D$4:$D$1009)</f>
        <v>Level 2 - Combine Wall Spare Space , Battery Room A2 &amp; B2</v>
      </c>
      <c r="E533" s="454">
        <f>IF(VLOOKUP(C533,CSD!$E$4:$AC$507,5,0)="","",VLOOKUP(C533,CSD!$E$4:$AC$1006,5,0))</f>
        <v>0</v>
      </c>
      <c r="F533" s="491"/>
      <c r="G533" s="459">
        <f>IF(VLOOKUP(C533,CSD!$E$4:$AC$507,3,0)="","",VLOOKUP(C533,CSD!$E$4:$AC$507,3,0))</f>
        <v>46058</v>
      </c>
      <c r="H533" s="459" t="str">
        <f>IF(ISNA(MATCH($C533,CSD!$E$4:$E$1022,0)),"",
IF($E533=0,IF(INDEX(CSD!$P$4:$P$1022,MATCH($C533,CSD!$E$4:$E$1022,0))="","",INDEX(CSD!$P$4:$P$1022,MATCH($C533,CSD!$E$4:$E$1022,0))),
IF($E533=1,IF(INDEX(CSD!$U$4:$U$1022,MATCH($C533,CSD!$E$4:$E$1022,0))="","",INDEX(CSD!$U$4:$U$1022,MATCH($C533,CSD!$E$4:$E$1022,0))),
IF($E533=2,IF(INDEX(CSD!$Z$4:$Z$1022,MATCH($C533,CSD!$E$4:$E$1022,0))="","",INDEX(CSD!$Z$4:$Z$1022,MATCH($C533,CSD!$E$4:$E$1022,0))),
IF($E533=3,IF(INDEX(CSD!$AE$4:$AE$1022,MATCH($C533,CSD!$E$4:$E$1022,0))="","",INDEX(CSD!$AE$4:$AE$1022,MATCH($C533,CSD!$E$4:$E$1022,0))),
IF($E533=4,IF(INDEX(CSD!$AJ$4:$AJ$1022,MATCH($C533,CSD!$E$4:$E$1022,0))="","",INDEX(CSD!$AJ$4:$AJ$1022,MATCH($C533,CSD!$E$4:$E$1022,0))),
IF($E533=5,IF(INDEX(CSD!$AO$4:$AO$1022,MATCH($C533,CSD!$E$4:$E$1022,0))="","",INDEX(CSD!$AO$4:$AO$1022,MATCH($C533,CSD!$E$4:$E$1022,0))),"")))))))</f>
        <v/>
      </c>
      <c r="I533" s="459" t="str">
        <f>IF(ISNA(MATCH($C533,CSD!$E$4:$E$1022,0)),"",
IF($E533=0,IF(INDEX(CSD!$Q$4:$Q$1022,MATCH($C533,CSD!$E$4:$E$1022,0))="","",INDEX(CSD!$Q$4:$Q$1022,MATCH($C533,CSD!$E$4:$E$1022,0))),
IF($E533=1,IF(INDEX(CSD!$V$4:$V$1022,MATCH($C533,CSD!$E$4:$E$1022,0))="","",INDEX(CSD!$V$4:$V$1022,MATCH($C533,CSD!$E$4:$E$1022,0))),
IF($E533=2,IF(INDEX(CSD!$AA$4:$AA$1022,MATCH($C533,CSD!$E$4:$E$1022,0))="","",INDEX(CSD!$AA$4:$AA$1022,MATCH($C533,CSD!$E$4:$E$1022,0))),
IF($E533=3,IF(INDEX(CSD!$AF$4:$AF$1022,MATCH($C533,CSD!$E$4:$E$1022,0))="","",INDEX(CSD!$AF$4:$AF$1022,MATCH($C533,CSD!$E$4:$E$1022,0))),
IF($E533=4,IF(INDEX(CSD!$AK$4:$AK$1022,MATCH($C533,CSD!$E$4:$E$1022,0))="","",INDEX(CSD!$AK$4:$AK$1022,MATCH($C533,CSD!$E$4:$E$1022,0))),
IF($E533=5,IF(INDEX(CSD!$AP$4:$AP$1022,MATCH($C533,CSD!$E$4:$E$1022,0))="","",INDEX(CSD!$AP$4:$AP$1022,MATCH($C533,CSD!$E$4:$E$1022,0))),"")))))))</f>
        <v/>
      </c>
      <c r="J533" s="459" t="str">
        <f>IF(ISNA(MATCH($C533,CSD!$E$4:$E$1022,0)),"",
IF($E533=0,IF(INDEX(CSD!$R$4:$R$1022,MATCH($C533,CSD!$E$4:$E$1022,0))="","",INDEX(CSD!$R$4:$R$1022,MATCH($C533,CSD!$E$4:$E$1022,0))),
IF($E533=1,IF(INDEX(CSD!$W$4:$W$1022,MATCH($C533,CSD!$E$4:$E$1022,0))="","",INDEX(CSD!$W$4:$W$1022,MATCH($C533,CSD!$E$4:$E$1022,0))),
IF($E533=2,IF(INDEX(CSD!$AB$4:$AB$1022,MATCH($C533,CSD!$E$4:$E$1022,0))="","",INDEX(CSD!$AB$4:$AB$1022,MATCH($C533,CSD!$E$4:$E$1022,0))),
IF($E533=3,IF(INDEX(CSD!$AG$4:$AG$1022,MATCH($C533,CSD!$E$4:$E$1022,0))="","",INDEX(CSD!$AG$4:$AG$1022,MATCH($C533,CSD!$E$4:$E$1022,0))),
IF($E533=4,IF(INDEX(CSD!$AL$4:$AL$1022,MATCH($C533,CSD!$E$4:$E$1022,0))="","",INDEX(CSD!$AL$4:$AL$1022,MATCH($C533,CSD!$E$4:$E$1022,0))),
IF($E533=5,IF(INDEX(CSD!$AQ$4:$AQ$1022,MATCH($C533,CSD!$E$4:$E$1022,0))="","",INDEX(CSD!$AQ$4:$AQ$1022,MATCH($C533,CSD!$E$4:$E$1022,0))),"")))))))</f>
        <v/>
      </c>
      <c r="K533" s="459" t="str">
        <f>CSD!J14</f>
        <v>CTA</v>
      </c>
      <c r="L533" s="460" cm="1">
        <f t="array" aca="1" ref="L533" ca="1">_xlfn.IFS(AND($E533&lt;&gt;"",$M533="Pending",$K533="CTA"),TODAY()-$G533,AND($E533&lt;&gt;"",$M533="Pending",$K533="AUR"),TODAY()-$H533,AND($E533&lt;&gt;"",$M533="Pending",$K533="STT"),TODAY()-$I533,OR(K533="Closed",K533=""),"")</f>
        <v>8</v>
      </c>
      <c r="M533" s="461" t="str">
        <f>VLOOKUP(C533,CSD!$E$4:$AC$624,7,0)</f>
        <v>Pending</v>
      </c>
      <c r="N533" s="454" t="str">
        <f t="shared" ca="1" si="24"/>
        <v>Overdue</v>
      </c>
      <c r="O533" s="743" t="str">
        <f>CSD!M14</f>
        <v>GC</v>
      </c>
      <c r="P533" s="748" t="str">
        <v>NO</v>
      </c>
    </row>
    <row r="534" spans="1:16" s="385" customFormat="1" ht="24.75" customHeight="1">
      <c r="A534" s="399">
        <v>12</v>
      </c>
      <c r="B534" s="496" t="s">
        <v>1596</v>
      </c>
      <c r="C534" s="497" t="s">
        <v>1632</v>
      </c>
      <c r="D534" s="493" t="str">
        <f>_xlfn.XLOOKUP(C534,CSD!$E$4:$E$1009,CSD!$D$4:$D$1009)</f>
        <v>Level 2 - Combine Wall Data Hall C , Fan Wall C</v>
      </c>
      <c r="E534" s="454">
        <f>IF(VLOOKUP(C534,CSD!$E$4:$AC$507,5,0)="","",VLOOKUP(C534,CSD!$E$4:$AC$1006,5,0))</f>
        <v>0</v>
      </c>
      <c r="F534" s="457"/>
      <c r="G534" s="459">
        <f>IF(VLOOKUP(C534,CSD!$E$4:$AC$507,3,0)="","",VLOOKUP(C534,CSD!$E$4:$AC$507,3,0))</f>
        <v>46060</v>
      </c>
      <c r="H534" s="459" t="str">
        <f>IF(ISNA(MATCH($C534,CSD!$E$4:$E$1022,0)),"",
IF($E534=0,IF(INDEX(CSD!$P$4:$P$1022,MATCH($C534,CSD!$E$4:$E$1022,0))="","",INDEX(CSD!$P$4:$P$1022,MATCH($C534,CSD!$E$4:$E$1022,0))),
IF($E534=1,IF(INDEX(CSD!$U$4:$U$1022,MATCH($C534,CSD!$E$4:$E$1022,0))="","",INDEX(CSD!$U$4:$U$1022,MATCH($C534,CSD!$E$4:$E$1022,0))),
IF($E534=2,IF(INDEX(CSD!$Z$4:$Z$1022,MATCH($C534,CSD!$E$4:$E$1022,0))="","",INDEX(CSD!$Z$4:$Z$1022,MATCH($C534,CSD!$E$4:$E$1022,0))),
IF($E534=3,IF(INDEX(CSD!$AE$4:$AE$1022,MATCH($C534,CSD!$E$4:$E$1022,0))="","",INDEX(CSD!$AE$4:$AE$1022,MATCH($C534,CSD!$E$4:$E$1022,0))),
IF($E534=4,IF(INDEX(CSD!$AJ$4:$AJ$1022,MATCH($C534,CSD!$E$4:$E$1022,0))="","",INDEX(CSD!$AJ$4:$AJ$1022,MATCH($C534,CSD!$E$4:$E$1022,0))),
IF($E534=5,IF(INDEX(CSD!$AO$4:$AO$1022,MATCH($C534,CSD!$E$4:$E$1022,0))="","",INDEX(CSD!$AO$4:$AO$1022,MATCH($C534,CSD!$E$4:$E$1022,0))),"")))))))</f>
        <v/>
      </c>
      <c r="I534" s="459" t="str">
        <f>IF(ISNA(MATCH($C534,CSD!$E$4:$E$1022,0)),"",
IF($E534=0,IF(INDEX(CSD!$Q$4:$Q$1022,MATCH($C534,CSD!$E$4:$E$1022,0))="","",INDEX(CSD!$Q$4:$Q$1022,MATCH($C534,CSD!$E$4:$E$1022,0))),
IF($E534=1,IF(INDEX(CSD!$V$4:$V$1022,MATCH($C534,CSD!$E$4:$E$1022,0))="","",INDEX(CSD!$V$4:$V$1022,MATCH($C534,CSD!$E$4:$E$1022,0))),
IF($E534=2,IF(INDEX(CSD!$AA$4:$AA$1022,MATCH($C534,CSD!$E$4:$E$1022,0))="","",INDEX(CSD!$AA$4:$AA$1022,MATCH($C534,CSD!$E$4:$E$1022,0))),
IF($E534=3,IF(INDEX(CSD!$AF$4:$AF$1022,MATCH($C534,CSD!$E$4:$E$1022,0))="","",INDEX(CSD!$AF$4:$AF$1022,MATCH($C534,CSD!$E$4:$E$1022,0))),
IF($E534=4,IF(INDEX(CSD!$AK$4:$AK$1022,MATCH($C534,CSD!$E$4:$E$1022,0))="","",INDEX(CSD!$AK$4:$AK$1022,MATCH($C534,CSD!$E$4:$E$1022,0))),
IF($E534=5,IF(INDEX(CSD!$AP$4:$AP$1022,MATCH($C534,CSD!$E$4:$E$1022,0))="","",INDEX(CSD!$AP$4:$AP$1022,MATCH($C534,CSD!$E$4:$E$1022,0))),"")))))))</f>
        <v/>
      </c>
      <c r="J534" s="459" t="str">
        <f>IF(ISNA(MATCH($C534,CSD!$E$4:$E$1022,0)),"",
IF($E534=0,IF(INDEX(CSD!$R$4:$R$1022,MATCH($C534,CSD!$E$4:$E$1022,0))="","",INDEX(CSD!$R$4:$R$1022,MATCH($C534,CSD!$E$4:$E$1022,0))),
IF($E534=1,IF(INDEX(CSD!$W$4:$W$1022,MATCH($C534,CSD!$E$4:$E$1022,0))="","",INDEX(CSD!$W$4:$W$1022,MATCH($C534,CSD!$E$4:$E$1022,0))),
IF($E534=2,IF(INDEX(CSD!$AB$4:$AB$1022,MATCH($C534,CSD!$E$4:$E$1022,0))="","",INDEX(CSD!$AB$4:$AB$1022,MATCH($C534,CSD!$E$4:$E$1022,0))),
IF($E534=3,IF(INDEX(CSD!$AG$4:$AG$1022,MATCH($C534,CSD!$E$4:$E$1022,0))="","",INDEX(CSD!$AG$4:$AG$1022,MATCH($C534,CSD!$E$4:$E$1022,0))),
IF($E534=4,IF(INDEX(CSD!$AL$4:$AL$1022,MATCH($C534,CSD!$E$4:$E$1022,0))="","",INDEX(CSD!$AL$4:$AL$1022,MATCH($C534,CSD!$E$4:$E$1022,0))),
IF($E534=5,IF(INDEX(CSD!$AQ$4:$AQ$1022,MATCH($C534,CSD!$E$4:$E$1022,0))="","",INDEX(CSD!$AQ$4:$AQ$1022,MATCH($C534,CSD!$E$4:$E$1022,0))),"")))))))</f>
        <v/>
      </c>
      <c r="K534" s="459" t="str">
        <f>CSD!J15</f>
        <v>CTA</v>
      </c>
      <c r="L534" s="460" cm="1">
        <f t="array" aca="1" ref="L534" ca="1">_xlfn.IFS(AND($E534&lt;&gt;"",$M534="Pending",$K534="CTA"),TODAY()-$G534,AND($E534&lt;&gt;"",$M534="Pending",$K534="AUR"),TODAY()-$H534,AND($E534&lt;&gt;"",$M534="Pending",$K534="STT"),TODAY()-$I534,OR(K534="Closed",K534=""),"")</f>
        <v>6</v>
      </c>
      <c r="M534" s="461" t="str">
        <f>VLOOKUP(C534,CSD!$E$4:$AC$624,7,0)</f>
        <v>Pending</v>
      </c>
      <c r="N534" s="454" t="str">
        <f t="shared" ca="1" si="24"/>
        <v>Overdue</v>
      </c>
      <c r="O534" s="743" t="str">
        <f>CSD!M15</f>
        <v>GC</v>
      </c>
      <c r="P534" s="748" t="str">
        <v>NO</v>
      </c>
    </row>
    <row r="535" spans="1:16" s="385" customFormat="1" ht="24.75" customHeight="1">
      <c r="A535" s="399">
        <v>13</v>
      </c>
      <c r="B535" s="496" t="s">
        <v>1596</v>
      </c>
      <c r="C535" s="497" t="s">
        <v>1635</v>
      </c>
      <c r="D535" s="493" t="str">
        <f>_xlfn.XLOOKUP(C535,CSD!$E$4:$E$1009,CSD!$D$4:$D$1009)</f>
        <v>Level 2 - Combine Wall Air Lock 2.1 , Comm Riser C1 , Stair ST-3</v>
      </c>
      <c r="E535" s="454">
        <f>IF(VLOOKUP(C535,CSD!$E$4:$AC$507,5,0)="","",VLOOKUP(C535,CSD!$E$4:$AC$1006,5,0))</f>
        <v>0</v>
      </c>
      <c r="F535" s="457"/>
      <c r="G535" s="459">
        <f>IF(VLOOKUP(C535,CSD!$E$4:$AC$507,3,0)="","",VLOOKUP(C535,CSD!$E$4:$AC$507,3,0))</f>
        <v>46057</v>
      </c>
      <c r="H535" s="459" t="str">
        <f>IF(ISNA(MATCH($C535,CSD!$E$4:$E$1022,0)),"",
IF($E535=0,IF(INDEX(CSD!$P$4:$P$1022,MATCH($C535,CSD!$E$4:$E$1022,0))="","",INDEX(CSD!$P$4:$P$1022,MATCH($C535,CSD!$E$4:$E$1022,0))),
IF($E535=1,IF(INDEX(CSD!$U$4:$U$1022,MATCH($C535,CSD!$E$4:$E$1022,0))="","",INDEX(CSD!$U$4:$U$1022,MATCH($C535,CSD!$E$4:$E$1022,0))),
IF($E535=2,IF(INDEX(CSD!$Z$4:$Z$1022,MATCH($C535,CSD!$E$4:$E$1022,0))="","",INDEX(CSD!$Z$4:$Z$1022,MATCH($C535,CSD!$E$4:$E$1022,0))),
IF($E535=3,IF(INDEX(CSD!$AE$4:$AE$1022,MATCH($C535,CSD!$E$4:$E$1022,0))="","",INDEX(CSD!$AE$4:$AE$1022,MATCH($C535,CSD!$E$4:$E$1022,0))),
IF($E535=4,IF(INDEX(CSD!$AJ$4:$AJ$1022,MATCH($C535,CSD!$E$4:$E$1022,0))="","",INDEX(CSD!$AJ$4:$AJ$1022,MATCH($C535,CSD!$E$4:$E$1022,0))),
IF($E535=5,IF(INDEX(CSD!$AO$4:$AO$1022,MATCH($C535,CSD!$E$4:$E$1022,0))="","",INDEX(CSD!$AO$4:$AO$1022,MATCH($C535,CSD!$E$4:$E$1022,0))),"")))))))</f>
        <v/>
      </c>
      <c r="I535" s="459" t="str">
        <f>IF(ISNA(MATCH($C535,CSD!$E$4:$E$1022,0)),"",
IF($E535=0,IF(INDEX(CSD!$Q$4:$Q$1022,MATCH($C535,CSD!$E$4:$E$1022,0))="","",INDEX(CSD!$Q$4:$Q$1022,MATCH($C535,CSD!$E$4:$E$1022,0))),
IF($E535=1,IF(INDEX(CSD!$V$4:$V$1022,MATCH($C535,CSD!$E$4:$E$1022,0))="","",INDEX(CSD!$V$4:$V$1022,MATCH($C535,CSD!$E$4:$E$1022,0))),
IF($E535=2,IF(INDEX(CSD!$AA$4:$AA$1022,MATCH($C535,CSD!$E$4:$E$1022,0))="","",INDEX(CSD!$AA$4:$AA$1022,MATCH($C535,CSD!$E$4:$E$1022,0))),
IF($E535=3,IF(INDEX(CSD!$AF$4:$AF$1022,MATCH($C535,CSD!$E$4:$E$1022,0))="","",INDEX(CSD!$AF$4:$AF$1022,MATCH($C535,CSD!$E$4:$E$1022,0))),
IF($E535=4,IF(INDEX(CSD!$AK$4:$AK$1022,MATCH($C535,CSD!$E$4:$E$1022,0))="","",INDEX(CSD!$AK$4:$AK$1022,MATCH($C535,CSD!$E$4:$E$1022,0))),
IF($E535=5,IF(INDEX(CSD!$AP$4:$AP$1022,MATCH($C535,CSD!$E$4:$E$1022,0))="","",INDEX(CSD!$AP$4:$AP$1022,MATCH($C535,CSD!$E$4:$E$1022,0))),"")))))))</f>
        <v/>
      </c>
      <c r="J535" s="459" t="str">
        <f>IF(ISNA(MATCH($C535,CSD!$E$4:$E$1022,0)),"",
IF($E535=0,IF(INDEX(CSD!$R$4:$R$1022,MATCH($C535,CSD!$E$4:$E$1022,0))="","",INDEX(CSD!$R$4:$R$1022,MATCH($C535,CSD!$E$4:$E$1022,0))),
IF($E535=1,IF(INDEX(CSD!$W$4:$W$1022,MATCH($C535,CSD!$E$4:$E$1022,0))="","",INDEX(CSD!$W$4:$W$1022,MATCH($C535,CSD!$E$4:$E$1022,0))),
IF($E535=2,IF(INDEX(CSD!$AB$4:$AB$1022,MATCH($C535,CSD!$E$4:$E$1022,0))="","",INDEX(CSD!$AB$4:$AB$1022,MATCH($C535,CSD!$E$4:$E$1022,0))),
IF($E535=3,IF(INDEX(CSD!$AG$4:$AG$1022,MATCH($C535,CSD!$E$4:$E$1022,0))="","",INDEX(CSD!$AG$4:$AG$1022,MATCH($C535,CSD!$E$4:$E$1022,0))),
IF($E535=4,IF(INDEX(CSD!$AL$4:$AL$1022,MATCH($C535,CSD!$E$4:$E$1022,0))="","",INDEX(CSD!$AL$4:$AL$1022,MATCH($C535,CSD!$E$4:$E$1022,0))),
IF($E535=5,IF(INDEX(CSD!$AQ$4:$AQ$1022,MATCH($C535,CSD!$E$4:$E$1022,0))="","",INDEX(CSD!$AQ$4:$AQ$1022,MATCH($C535,CSD!$E$4:$E$1022,0))),"")))))))</f>
        <v/>
      </c>
      <c r="K535" s="459" t="str">
        <f>CSD!J16</f>
        <v>CTA</v>
      </c>
      <c r="L535" s="460" cm="1">
        <f t="array" aca="1" ref="L535" ca="1">_xlfn.IFS(AND($E535&lt;&gt;"",$M535="Pending",$K535="CTA"),TODAY()-$G535,AND($E535&lt;&gt;"",$M535="Pending",$K535="AUR"),TODAY()-$H535,AND($E535&lt;&gt;"",$M535="Pending",$K535="STT"),TODAY()-$I535,OR(K535="Closed",K535=""),"")</f>
        <v>9</v>
      </c>
      <c r="M535" s="461" t="str">
        <f>VLOOKUP(C535,CSD!$E$4:$AC$624,7,0)</f>
        <v>Pending</v>
      </c>
      <c r="N535" s="454" t="str">
        <f t="shared" ref="N535" ca="1" si="25">IF(AND(E535&lt;&gt;"",M535="Pending"),IF(L535&gt;=5,"Overdue",IF(L535&gt;=3,"High","")),"")</f>
        <v>Overdue</v>
      </c>
      <c r="O535" s="743" t="str">
        <f>CSD!M16</f>
        <v>GC</v>
      </c>
      <c r="P535" s="748" t="str">
        <v>NO</v>
      </c>
    </row>
    <row r="536" spans="1:16" s="385" customFormat="1" ht="24.75" customHeight="1">
      <c r="A536" s="399">
        <v>14</v>
      </c>
      <c r="B536" s="496" t="s">
        <v>1596</v>
      </c>
      <c r="C536" s="497" t="s">
        <v>1638</v>
      </c>
      <c r="D536" s="493" t="str">
        <f>_xlfn.XLOOKUP(C536,CSD!$E$4:$E$1009,CSD!$D$4:$D$1009)</f>
        <v>Level 2 - Combine Wall Air Lock 2.2 , Comm Riser C1 , Stair ST-4</v>
      </c>
      <c r="E536" s="454">
        <f>IF(VLOOKUP(C536,CSD!$E$4:$AC$507,5,0)="","",VLOOKUP(C536,CSD!$E$4:$AC$1006,5,0))</f>
        <v>0</v>
      </c>
      <c r="F536" s="457"/>
      <c r="G536" s="459">
        <f>IF(VLOOKUP(C536,CSD!$E$4:$AC$507,3,0)="","",VLOOKUP(C536,CSD!$E$4:$AC$507,3,0))</f>
        <v>46058</v>
      </c>
      <c r="H536" s="459" t="str">
        <f>IF(ISNA(MATCH($C536,CSD!$E$4:$E$1022,0)),"",
IF($E536=0,IF(INDEX(CSD!$P$4:$P$1022,MATCH($C536,CSD!$E$4:$E$1022,0))="","",INDEX(CSD!$P$4:$P$1022,MATCH($C536,CSD!$E$4:$E$1022,0))),
IF($E536=1,IF(INDEX(CSD!$U$4:$U$1022,MATCH($C536,CSD!$E$4:$E$1022,0))="","",INDEX(CSD!$U$4:$U$1022,MATCH($C536,CSD!$E$4:$E$1022,0))),
IF($E536=2,IF(INDEX(CSD!$Z$4:$Z$1022,MATCH($C536,CSD!$E$4:$E$1022,0))="","",INDEX(CSD!$Z$4:$Z$1022,MATCH($C536,CSD!$E$4:$E$1022,0))),
IF($E536=3,IF(INDEX(CSD!$AE$4:$AE$1022,MATCH($C536,CSD!$E$4:$E$1022,0))="","",INDEX(CSD!$AE$4:$AE$1022,MATCH($C536,CSD!$E$4:$E$1022,0))),
IF($E536=4,IF(INDEX(CSD!$AJ$4:$AJ$1022,MATCH($C536,CSD!$E$4:$E$1022,0))="","",INDEX(CSD!$AJ$4:$AJ$1022,MATCH($C536,CSD!$E$4:$E$1022,0))),
IF($E536=5,IF(INDEX(CSD!$AO$4:$AO$1022,MATCH($C536,CSD!$E$4:$E$1022,0))="","",INDEX(CSD!$AO$4:$AO$1022,MATCH($C536,CSD!$E$4:$E$1022,0))),"")))))))</f>
        <v/>
      </c>
      <c r="I536" s="459" t="str">
        <f>IF(ISNA(MATCH($C536,CSD!$E$4:$E$1022,0)),"",
IF($E536=0,IF(INDEX(CSD!$Q$4:$Q$1022,MATCH($C536,CSD!$E$4:$E$1022,0))="","",INDEX(CSD!$Q$4:$Q$1022,MATCH($C536,CSD!$E$4:$E$1022,0))),
IF($E536=1,IF(INDEX(CSD!$V$4:$V$1022,MATCH($C536,CSD!$E$4:$E$1022,0))="","",INDEX(CSD!$V$4:$V$1022,MATCH($C536,CSD!$E$4:$E$1022,0))),
IF($E536=2,IF(INDEX(CSD!$AA$4:$AA$1022,MATCH($C536,CSD!$E$4:$E$1022,0))="","",INDEX(CSD!$AA$4:$AA$1022,MATCH($C536,CSD!$E$4:$E$1022,0))),
IF($E536=3,IF(INDEX(CSD!$AF$4:$AF$1022,MATCH($C536,CSD!$E$4:$E$1022,0))="","",INDEX(CSD!$AF$4:$AF$1022,MATCH($C536,CSD!$E$4:$E$1022,0))),
IF($E536=4,IF(INDEX(CSD!$AK$4:$AK$1022,MATCH($C536,CSD!$E$4:$E$1022,0))="","",INDEX(CSD!$AK$4:$AK$1022,MATCH($C536,CSD!$E$4:$E$1022,0))),
IF($E536=5,IF(INDEX(CSD!$AP$4:$AP$1022,MATCH($C536,CSD!$E$4:$E$1022,0))="","",INDEX(CSD!$AP$4:$AP$1022,MATCH($C536,CSD!$E$4:$E$1022,0))),"")))))))</f>
        <v/>
      </c>
      <c r="J536" s="459" t="str">
        <f>IF(ISNA(MATCH($C536,CSD!$E$4:$E$1022,0)),"",
IF($E536=0,IF(INDEX(CSD!$R$4:$R$1022,MATCH($C536,CSD!$E$4:$E$1022,0))="","",INDEX(CSD!$R$4:$R$1022,MATCH($C536,CSD!$E$4:$E$1022,0))),
IF($E536=1,IF(INDEX(CSD!$W$4:$W$1022,MATCH($C536,CSD!$E$4:$E$1022,0))="","",INDEX(CSD!$W$4:$W$1022,MATCH($C536,CSD!$E$4:$E$1022,0))),
IF($E536=2,IF(INDEX(CSD!$AB$4:$AB$1022,MATCH($C536,CSD!$E$4:$E$1022,0))="","",INDEX(CSD!$AB$4:$AB$1022,MATCH($C536,CSD!$E$4:$E$1022,0))),
IF($E536=3,IF(INDEX(CSD!$AG$4:$AG$1022,MATCH($C536,CSD!$E$4:$E$1022,0))="","",INDEX(CSD!$AG$4:$AG$1022,MATCH($C536,CSD!$E$4:$E$1022,0))),
IF($E536=4,IF(INDEX(CSD!$AL$4:$AL$1022,MATCH($C536,CSD!$E$4:$E$1022,0))="","",INDEX(CSD!$AL$4:$AL$1022,MATCH($C536,CSD!$E$4:$E$1022,0))),
IF($E536=5,IF(INDEX(CSD!$AQ$4:$AQ$1022,MATCH($C536,CSD!$E$4:$E$1022,0))="","",INDEX(CSD!$AQ$4:$AQ$1022,MATCH($C536,CSD!$E$4:$E$1022,0))),"")))))))</f>
        <v/>
      </c>
      <c r="K536" s="459" t="str">
        <f>CSD!J17</f>
        <v>CTA</v>
      </c>
      <c r="L536" s="460" cm="1">
        <f t="array" aca="1" ref="L536" ca="1">_xlfn.IFS(AND($E536&lt;&gt;"",$M536="Pending",$K536="CTA"),TODAY()-$G536,AND($E536&lt;&gt;"",$M536="Pending",$K536="AUR"),TODAY()-$H536,AND($E536&lt;&gt;"",$M536="Pending",$K536="STT"),TODAY()-$I536,OR(K536="Closed",K536=""),"")</f>
        <v>8</v>
      </c>
      <c r="M536" s="461" t="str">
        <f>VLOOKUP(C536,CSD!$E$4:$AC$624,7,0)</f>
        <v>Pending</v>
      </c>
      <c r="N536" s="454" t="str">
        <f t="shared" ca="1" si="24"/>
        <v>Overdue</v>
      </c>
      <c r="O536" s="743" t="str">
        <f>CSD!M17</f>
        <v>GC</v>
      </c>
      <c r="P536" s="748">
        <v>0</v>
      </c>
    </row>
    <row r="537" spans="1:16" s="385" customFormat="1" ht="24.75" hidden="1" customHeight="1">
      <c r="A537" s="399">
        <v>15</v>
      </c>
      <c r="B537" s="496" t="s">
        <v>1596</v>
      </c>
      <c r="C537" s="497" t="s">
        <v>1641</v>
      </c>
      <c r="D537" s="493" t="str">
        <f>_xlfn.XLOOKUP(C537,CSD!$E$4:$E$1009,CSD!$D$4:$D$1009)</f>
        <v>Level 3 - Combine Wall Layout Plan</v>
      </c>
      <c r="E537" s="454" t="str">
        <f>IF(VLOOKUP(C537,CSD!$E$4:$AC$507,5,0)="","",VLOOKUP(C537,CSD!$E$4:$AC$1006,5,0))</f>
        <v/>
      </c>
      <c r="F537" s="499"/>
      <c r="G537" s="459" t="str">
        <f>IF(VLOOKUP(C537,CSD!$E$4:$AC$507,3,0)="","",VLOOKUP(C537,CSD!$E$4:$AC$507,3,0))</f>
        <v/>
      </c>
      <c r="H537" s="459" t="str">
        <f>IF(ISNA(MATCH($C537,CSD!$E$4:$E$1022,0)),"",
IF($E537=0,IF(INDEX(CSD!$P$4:$P$1022,MATCH($C537,CSD!$E$4:$E$1022,0))="","",INDEX(CSD!$P$4:$P$1022,MATCH($C537,CSD!$E$4:$E$1022,0))),
IF($E537=1,IF(INDEX(CSD!$U$4:$U$1022,MATCH($C537,CSD!$E$4:$E$1022,0))="","",INDEX(CSD!$U$4:$U$1022,MATCH($C537,CSD!$E$4:$E$1022,0))),
IF($E537=2,IF(INDEX(CSD!$Z$4:$Z$1022,MATCH($C537,CSD!$E$4:$E$1022,0))="","",INDEX(CSD!$Z$4:$Z$1022,MATCH($C537,CSD!$E$4:$E$1022,0))),
IF($E537=3,IF(INDEX(CSD!$AE$4:$AE$1022,MATCH($C537,CSD!$E$4:$E$1022,0))="","",INDEX(CSD!$AE$4:$AE$1022,MATCH($C537,CSD!$E$4:$E$1022,0))),
IF($E537=4,IF(INDEX(CSD!$AJ$4:$AJ$1022,MATCH($C537,CSD!$E$4:$E$1022,0))="","",INDEX(CSD!$AJ$4:$AJ$1022,MATCH($C537,CSD!$E$4:$E$1022,0))),
IF($E537=5,IF(INDEX(CSD!$AO$4:$AO$1022,MATCH($C537,CSD!$E$4:$E$1022,0))="","",INDEX(CSD!$AO$4:$AO$1022,MATCH($C537,CSD!$E$4:$E$1022,0))),"")))))))</f>
        <v/>
      </c>
      <c r="I537" s="459" t="str">
        <f>IF(ISNA(MATCH($C537,CSD!$E$4:$E$1022,0)),"",
IF($E537=0,IF(INDEX(CSD!$Q$4:$Q$1022,MATCH($C537,CSD!$E$4:$E$1022,0))="","",INDEX(CSD!$Q$4:$Q$1022,MATCH($C537,CSD!$E$4:$E$1022,0))),
IF($E537=1,IF(INDEX(CSD!$V$4:$V$1022,MATCH($C537,CSD!$E$4:$E$1022,0))="","",INDEX(CSD!$V$4:$V$1022,MATCH($C537,CSD!$E$4:$E$1022,0))),
IF($E537=2,IF(INDEX(CSD!$AA$4:$AA$1022,MATCH($C537,CSD!$E$4:$E$1022,0))="","",INDEX(CSD!$AA$4:$AA$1022,MATCH($C537,CSD!$E$4:$E$1022,0))),
IF($E537=3,IF(INDEX(CSD!$AF$4:$AF$1022,MATCH($C537,CSD!$E$4:$E$1022,0))="","",INDEX(CSD!$AF$4:$AF$1022,MATCH($C537,CSD!$E$4:$E$1022,0))),
IF($E537=4,IF(INDEX(CSD!$AK$4:$AK$1022,MATCH($C537,CSD!$E$4:$E$1022,0))="","",INDEX(CSD!$AK$4:$AK$1022,MATCH($C537,CSD!$E$4:$E$1022,0))),
IF($E537=5,IF(INDEX(CSD!$AP$4:$AP$1022,MATCH($C537,CSD!$E$4:$E$1022,0))="","",INDEX(CSD!$AP$4:$AP$1022,MATCH($C537,CSD!$E$4:$E$1022,0))),"")))))))</f>
        <v/>
      </c>
      <c r="J537" s="459" t="str">
        <f>IF(ISNA(MATCH($C537,CSD!$E$4:$E$1022,0)),"",
IF($E537=0,IF(INDEX(CSD!$R$4:$R$1022,MATCH($C537,CSD!$E$4:$E$1022,0))="","",INDEX(CSD!$R$4:$R$1022,MATCH($C537,CSD!$E$4:$E$1022,0))),
IF($E537=1,IF(INDEX(CSD!$W$4:$W$1022,MATCH($C537,CSD!$E$4:$E$1022,0))="","",INDEX(CSD!$W$4:$W$1022,MATCH($C537,CSD!$E$4:$E$1022,0))),
IF($E537=2,IF(INDEX(CSD!$AB$4:$AB$1022,MATCH($C537,CSD!$E$4:$E$1022,0))="","",INDEX(CSD!$AB$4:$AB$1022,MATCH($C537,CSD!$E$4:$E$1022,0))),
IF($E537=3,IF(INDEX(CSD!$AG$4:$AG$1022,MATCH($C537,CSD!$E$4:$E$1022,0))="","",INDEX(CSD!$AG$4:$AG$1022,MATCH($C537,CSD!$E$4:$E$1022,0))),
IF($E537=4,IF(INDEX(CSD!$AL$4:$AL$1022,MATCH($C537,CSD!$E$4:$E$1022,0))="","",INDEX(CSD!$AL$4:$AL$1022,MATCH($C537,CSD!$E$4:$E$1022,0))),
IF($E537=5,IF(INDEX(CSD!$AQ$4:$AQ$1022,MATCH($C537,CSD!$E$4:$E$1022,0))="","",INDEX(CSD!$AQ$4:$AQ$1022,MATCH($C537,CSD!$E$4:$E$1022,0))),"")))))))</f>
        <v/>
      </c>
      <c r="K537" s="459">
        <f>CSD!J29</f>
        <v>0</v>
      </c>
      <c r="L537" s="460" t="e" cm="1">
        <f t="array" aca="1" ref="L537" ca="1">_xlfn.IFS(AND($E537&lt;&gt;"",$M537="Pending",$K537="CTA"),TODAY()-$G537,AND($E537&lt;&gt;"",$M537="Pending",$K537="AUR"),TODAY()-$H537,AND($E537&lt;&gt;"",$M537="Pending",$K537="STT"),TODAY()-$I537,OR(K537="Closed",K537=""),"")</f>
        <v>#N/A</v>
      </c>
      <c r="M537" s="461">
        <f>VLOOKUP(C537,CSD!$E$4:$AC$624,7,0)</f>
        <v>0</v>
      </c>
      <c r="N537" s="454" t="str">
        <f t="shared" si="24"/>
        <v/>
      </c>
      <c r="O537" s="743" t="str">
        <f>CSD!M18</f>
        <v>GC</v>
      </c>
      <c r="P537" s="748" t="str">
        <v>NO</v>
      </c>
    </row>
    <row r="538" spans="1:16" s="385" customFormat="1" ht="24.75" hidden="1" customHeight="1">
      <c r="A538" s="399">
        <v>16</v>
      </c>
      <c r="B538" s="496" t="s">
        <v>1596</v>
      </c>
      <c r="C538" s="497" t="s">
        <v>1644</v>
      </c>
      <c r="D538" s="493" t="str">
        <f>_xlfn.XLOOKUP(C538,CSD!$E$4:$E$1009,CSD!$D$4:$D$1009)</f>
        <v>Level 4 - Combine Wall Layout Plan</v>
      </c>
      <c r="E538" s="454" t="str">
        <f>IF(VLOOKUP(C538,CSD!$E$4:$AC$507,5,0)="","",VLOOKUP(C538,CSD!$E$4:$AC$1006,5,0))</f>
        <v/>
      </c>
      <c r="F538" s="457"/>
      <c r="G538" s="459" t="str">
        <f>IF(VLOOKUP(C538,CSD!$E$4:$AC$507,3,0)="","",VLOOKUP(C538,CSD!$E$4:$AC$507,3,0))</f>
        <v/>
      </c>
      <c r="H538" s="459" t="str">
        <f>IF(ISNA(MATCH($C538,CSD!$E$4:$E$1022,0)),"",
IF($E538=0,IF(INDEX(CSD!$P$4:$P$1022,MATCH($C538,CSD!$E$4:$E$1022,0))="","",INDEX(CSD!$P$4:$P$1022,MATCH($C538,CSD!$E$4:$E$1022,0))),
IF($E538=1,IF(INDEX(CSD!$U$4:$U$1022,MATCH($C538,CSD!$E$4:$E$1022,0))="","",INDEX(CSD!$U$4:$U$1022,MATCH($C538,CSD!$E$4:$E$1022,0))),
IF($E538=2,IF(INDEX(CSD!$Z$4:$Z$1022,MATCH($C538,CSD!$E$4:$E$1022,0))="","",INDEX(CSD!$Z$4:$Z$1022,MATCH($C538,CSD!$E$4:$E$1022,0))),
IF($E538=3,IF(INDEX(CSD!$AE$4:$AE$1022,MATCH($C538,CSD!$E$4:$E$1022,0))="","",INDEX(CSD!$AE$4:$AE$1022,MATCH($C538,CSD!$E$4:$E$1022,0))),
IF($E538=4,IF(INDEX(CSD!$AJ$4:$AJ$1022,MATCH($C538,CSD!$E$4:$E$1022,0))="","",INDEX(CSD!$AJ$4:$AJ$1022,MATCH($C538,CSD!$E$4:$E$1022,0))),
IF($E538=5,IF(INDEX(CSD!$AO$4:$AO$1022,MATCH($C538,CSD!$E$4:$E$1022,0))="","",INDEX(CSD!$AO$4:$AO$1022,MATCH($C538,CSD!$E$4:$E$1022,0))),"")))))))</f>
        <v/>
      </c>
      <c r="I538" s="459" t="str">
        <f>IF(ISNA(MATCH($C538,CSD!$E$4:$E$1022,0)),"",
IF($E538=0,IF(INDEX(CSD!$Q$4:$Q$1022,MATCH($C538,CSD!$E$4:$E$1022,0))="","",INDEX(CSD!$Q$4:$Q$1022,MATCH($C538,CSD!$E$4:$E$1022,0))),
IF($E538=1,IF(INDEX(CSD!$V$4:$V$1022,MATCH($C538,CSD!$E$4:$E$1022,0))="","",INDEX(CSD!$V$4:$V$1022,MATCH($C538,CSD!$E$4:$E$1022,0))),
IF($E538=2,IF(INDEX(CSD!$AA$4:$AA$1022,MATCH($C538,CSD!$E$4:$E$1022,0))="","",INDEX(CSD!$AA$4:$AA$1022,MATCH($C538,CSD!$E$4:$E$1022,0))),
IF($E538=3,IF(INDEX(CSD!$AF$4:$AF$1022,MATCH($C538,CSD!$E$4:$E$1022,0))="","",INDEX(CSD!$AF$4:$AF$1022,MATCH($C538,CSD!$E$4:$E$1022,0))),
IF($E538=4,IF(INDEX(CSD!$AK$4:$AK$1022,MATCH($C538,CSD!$E$4:$E$1022,0))="","",INDEX(CSD!$AK$4:$AK$1022,MATCH($C538,CSD!$E$4:$E$1022,0))),
IF($E538=5,IF(INDEX(CSD!$AP$4:$AP$1022,MATCH($C538,CSD!$E$4:$E$1022,0))="","",INDEX(CSD!$AP$4:$AP$1022,MATCH($C538,CSD!$E$4:$E$1022,0))),"")))))))</f>
        <v/>
      </c>
      <c r="J538" s="459" t="str">
        <f>IF(ISNA(MATCH($C538,CSD!$E$4:$E$1022,0)),"",
IF($E538=0,IF(INDEX(CSD!$R$4:$R$1022,MATCH($C538,CSD!$E$4:$E$1022,0))="","",INDEX(CSD!$R$4:$R$1022,MATCH($C538,CSD!$E$4:$E$1022,0))),
IF($E538=1,IF(INDEX(CSD!$W$4:$W$1022,MATCH($C538,CSD!$E$4:$E$1022,0))="","",INDEX(CSD!$W$4:$W$1022,MATCH($C538,CSD!$E$4:$E$1022,0))),
IF($E538=2,IF(INDEX(CSD!$AB$4:$AB$1022,MATCH($C538,CSD!$E$4:$E$1022,0))="","",INDEX(CSD!$AB$4:$AB$1022,MATCH($C538,CSD!$E$4:$E$1022,0))),
IF($E538=3,IF(INDEX(CSD!$AG$4:$AG$1022,MATCH($C538,CSD!$E$4:$E$1022,0))="","",INDEX(CSD!$AG$4:$AG$1022,MATCH($C538,CSD!$E$4:$E$1022,0))),
IF($E538=4,IF(INDEX(CSD!$AL$4:$AL$1022,MATCH($C538,CSD!$E$4:$E$1022,0))="","",INDEX(CSD!$AL$4:$AL$1022,MATCH($C538,CSD!$E$4:$E$1022,0))),
IF($E538=5,IF(INDEX(CSD!$AQ$4:$AQ$1022,MATCH($C538,CSD!$E$4:$E$1022,0))="","",INDEX(CSD!$AQ$4:$AQ$1022,MATCH($C538,CSD!$E$4:$E$1022,0))),"")))))))</f>
        <v/>
      </c>
      <c r="K538" s="459">
        <f>CSD!J30</f>
        <v>0</v>
      </c>
      <c r="L538" s="460" t="e" cm="1">
        <f t="array" aca="1" ref="L538" ca="1">_xlfn.IFS(AND($E538&lt;&gt;"",$M538="Pending",$K538="CTA"),TODAY()-$G538,AND($E538&lt;&gt;"",$M538="Pending",$K538="AUR"),TODAY()-$H538,AND($E538&lt;&gt;"",$M538="Pending",$K538="STT"),TODAY()-$I538,OR(K538="Closed",K538=""),"")</f>
        <v>#N/A</v>
      </c>
      <c r="M538" s="461">
        <f>VLOOKUP(C538,CSD!$E$4:$AC$624,7,0)</f>
        <v>0</v>
      </c>
      <c r="N538" s="454" t="str">
        <f t="shared" si="24"/>
        <v/>
      </c>
      <c r="O538" s="743" t="str">
        <f>CSD!M19</f>
        <v>GC</v>
      </c>
      <c r="P538" s="748" t="str">
        <v>NO</v>
      </c>
    </row>
    <row r="539" spans="1:16" s="385" customFormat="1" ht="24.75" hidden="1" customHeight="1">
      <c r="A539" s="399">
        <v>17</v>
      </c>
      <c r="B539" s="496" t="s">
        <v>1596</v>
      </c>
      <c r="C539" s="497" t="s">
        <v>1647</v>
      </c>
      <c r="D539" s="493" t="str">
        <f>_xlfn.XLOOKUP(C539,CSD!$E$4:$E$1009,CSD!$D$4:$D$1009)</f>
        <v>Level 5 - Combine Wall Layout Plan</v>
      </c>
      <c r="E539" s="454" t="str">
        <f>IF(VLOOKUP(C539,CSD!$E$4:$AC$507,5,0)="","",VLOOKUP(C539,CSD!$E$4:$AC$1006,5,0))</f>
        <v/>
      </c>
      <c r="F539" s="457"/>
      <c r="G539" s="459" t="str">
        <f>IF(VLOOKUP(C539,CSD!$E$4:$AC$507,3,0)="","",VLOOKUP(C539,CSD!$E$4:$AC$507,3,0))</f>
        <v/>
      </c>
      <c r="H539" s="459" t="str">
        <f>IF(ISNA(MATCH($C539,CSD!$E$4:$E$1022,0)),"",
IF($E539=0,IF(INDEX(CSD!$P$4:$P$1022,MATCH($C539,CSD!$E$4:$E$1022,0))="","",INDEX(CSD!$P$4:$P$1022,MATCH($C539,CSD!$E$4:$E$1022,0))),
IF($E539=1,IF(INDEX(CSD!$U$4:$U$1022,MATCH($C539,CSD!$E$4:$E$1022,0))="","",INDEX(CSD!$U$4:$U$1022,MATCH($C539,CSD!$E$4:$E$1022,0))),
IF($E539=2,IF(INDEX(CSD!$Z$4:$Z$1022,MATCH($C539,CSD!$E$4:$E$1022,0))="","",INDEX(CSD!$Z$4:$Z$1022,MATCH($C539,CSD!$E$4:$E$1022,0))),
IF($E539=3,IF(INDEX(CSD!$AE$4:$AE$1022,MATCH($C539,CSD!$E$4:$E$1022,0))="","",INDEX(CSD!$AE$4:$AE$1022,MATCH($C539,CSD!$E$4:$E$1022,0))),
IF($E539=4,IF(INDEX(CSD!$AJ$4:$AJ$1022,MATCH($C539,CSD!$E$4:$E$1022,0))="","",INDEX(CSD!$AJ$4:$AJ$1022,MATCH($C539,CSD!$E$4:$E$1022,0))),
IF($E539=5,IF(INDEX(CSD!$AO$4:$AO$1022,MATCH($C539,CSD!$E$4:$E$1022,0))="","",INDEX(CSD!$AO$4:$AO$1022,MATCH($C539,CSD!$E$4:$E$1022,0))),"")))))))</f>
        <v/>
      </c>
      <c r="I539" s="459" t="str">
        <f>IF(ISNA(MATCH($C539,CSD!$E$4:$E$1022,0)),"",
IF($E539=0,IF(INDEX(CSD!$Q$4:$Q$1022,MATCH($C539,CSD!$E$4:$E$1022,0))="","",INDEX(CSD!$Q$4:$Q$1022,MATCH($C539,CSD!$E$4:$E$1022,0))),
IF($E539=1,IF(INDEX(CSD!$V$4:$V$1022,MATCH($C539,CSD!$E$4:$E$1022,0))="","",INDEX(CSD!$V$4:$V$1022,MATCH($C539,CSD!$E$4:$E$1022,0))),
IF($E539=2,IF(INDEX(CSD!$AA$4:$AA$1022,MATCH($C539,CSD!$E$4:$E$1022,0))="","",INDEX(CSD!$AA$4:$AA$1022,MATCH($C539,CSD!$E$4:$E$1022,0))),
IF($E539=3,IF(INDEX(CSD!$AF$4:$AF$1022,MATCH($C539,CSD!$E$4:$E$1022,0))="","",INDEX(CSD!$AF$4:$AF$1022,MATCH($C539,CSD!$E$4:$E$1022,0))),
IF($E539=4,IF(INDEX(CSD!$AK$4:$AK$1022,MATCH($C539,CSD!$E$4:$E$1022,0))="","",INDEX(CSD!$AK$4:$AK$1022,MATCH($C539,CSD!$E$4:$E$1022,0))),
IF($E539=5,IF(INDEX(CSD!$AP$4:$AP$1022,MATCH($C539,CSD!$E$4:$E$1022,0))="","",INDEX(CSD!$AP$4:$AP$1022,MATCH($C539,CSD!$E$4:$E$1022,0))),"")))))))</f>
        <v/>
      </c>
      <c r="J539" s="459" t="str">
        <f>IF(ISNA(MATCH($C539,CSD!$E$4:$E$1022,0)),"",
IF($E539=0,IF(INDEX(CSD!$R$4:$R$1022,MATCH($C539,CSD!$E$4:$E$1022,0))="","",INDEX(CSD!$R$4:$R$1022,MATCH($C539,CSD!$E$4:$E$1022,0))),
IF($E539=1,IF(INDEX(CSD!$W$4:$W$1022,MATCH($C539,CSD!$E$4:$E$1022,0))="","",INDEX(CSD!$W$4:$W$1022,MATCH($C539,CSD!$E$4:$E$1022,0))),
IF($E539=2,IF(INDEX(CSD!$AB$4:$AB$1022,MATCH($C539,CSD!$E$4:$E$1022,0))="","",INDEX(CSD!$AB$4:$AB$1022,MATCH($C539,CSD!$E$4:$E$1022,0))),
IF($E539=3,IF(INDEX(CSD!$AG$4:$AG$1022,MATCH($C539,CSD!$E$4:$E$1022,0))="","",INDEX(CSD!$AG$4:$AG$1022,MATCH($C539,CSD!$E$4:$E$1022,0))),
IF($E539=4,IF(INDEX(CSD!$AL$4:$AL$1022,MATCH($C539,CSD!$E$4:$E$1022,0))="","",INDEX(CSD!$AL$4:$AL$1022,MATCH($C539,CSD!$E$4:$E$1022,0))),
IF($E539=5,IF(INDEX(CSD!$AQ$4:$AQ$1022,MATCH($C539,CSD!$E$4:$E$1022,0))="","",INDEX(CSD!$AQ$4:$AQ$1022,MATCH($C539,CSD!$E$4:$E$1022,0))),"")))))))</f>
        <v/>
      </c>
      <c r="K539" s="459">
        <f>CSD!J31</f>
        <v>0</v>
      </c>
      <c r="L539" s="460" t="e" cm="1">
        <f t="array" aca="1" ref="L539" ca="1">_xlfn.IFS(AND($E539&lt;&gt;"",$M539="Pending",$K539="CTA"),TODAY()-$G539,AND($E539&lt;&gt;"",$M539="Pending",$K539="AUR"),TODAY()-$H539,AND($E539&lt;&gt;"",$M539="Pending",$K539="STT"),TODAY()-$I539,OR(K539="Closed",K539=""),"")</f>
        <v>#N/A</v>
      </c>
      <c r="M539" s="461">
        <f>VLOOKUP(C539,CSD!$E$4:$AC$624,7,0)</f>
        <v>0</v>
      </c>
      <c r="N539" s="454" t="str">
        <f t="shared" ref="N539:N548" si="26">IF(AND(E539&lt;&gt;"",M539="Pending"),IF(L539&gt;=5,"Overdue",IF(L539&gt;=3,"High","")),"")</f>
        <v/>
      </c>
      <c r="O539" s="743" t="str">
        <f>CSD!M20</f>
        <v>GC</v>
      </c>
      <c r="P539" s="748" t="str">
        <v>NO</v>
      </c>
    </row>
    <row r="540" spans="1:16" s="385" customFormat="1" ht="24.75" hidden="1" customHeight="1">
      <c r="A540" s="399">
        <v>18</v>
      </c>
      <c r="B540" s="496" t="s">
        <v>1596</v>
      </c>
      <c r="C540" s="497" t="s">
        <v>1650</v>
      </c>
      <c r="D540" s="493" t="str">
        <f>_xlfn.XLOOKUP(C540,CSD!$E$4:$E$1009,CSD!$D$4:$D$1009)</f>
        <v>Level 6 - Combine Wall Layout Plan</v>
      </c>
      <c r="E540" s="454" t="str">
        <f>IF(VLOOKUP(C540,CSD!$E$4:$AC$507,5,0)="","",VLOOKUP(C540,CSD!$E$4:$AC$1006,5,0))</f>
        <v/>
      </c>
      <c r="F540" s="457"/>
      <c r="G540" s="459" t="str">
        <f>IF(VLOOKUP(C540,CSD!$E$4:$AC$507,3,0)="","",VLOOKUP(C540,CSD!$E$4:$AC$507,3,0))</f>
        <v/>
      </c>
      <c r="H540" s="459" t="str">
        <f>IF(ISNA(MATCH($C540,CSD!$E$4:$E$1022,0)),"",
IF($E540=0,IF(INDEX(CSD!$P$4:$P$1022,MATCH($C540,CSD!$E$4:$E$1022,0))="","",INDEX(CSD!$P$4:$P$1022,MATCH($C540,CSD!$E$4:$E$1022,0))),
IF($E540=1,IF(INDEX(CSD!$U$4:$U$1022,MATCH($C540,CSD!$E$4:$E$1022,0))="","",INDEX(CSD!$U$4:$U$1022,MATCH($C540,CSD!$E$4:$E$1022,0))),
IF($E540=2,IF(INDEX(CSD!$Z$4:$Z$1022,MATCH($C540,CSD!$E$4:$E$1022,0))="","",INDEX(CSD!$Z$4:$Z$1022,MATCH($C540,CSD!$E$4:$E$1022,0))),
IF($E540=3,IF(INDEX(CSD!$AE$4:$AE$1022,MATCH($C540,CSD!$E$4:$E$1022,0))="","",INDEX(CSD!$AE$4:$AE$1022,MATCH($C540,CSD!$E$4:$E$1022,0))),
IF($E540=4,IF(INDEX(CSD!$AJ$4:$AJ$1022,MATCH($C540,CSD!$E$4:$E$1022,0))="","",INDEX(CSD!$AJ$4:$AJ$1022,MATCH($C540,CSD!$E$4:$E$1022,0))),
IF($E540=5,IF(INDEX(CSD!$AO$4:$AO$1022,MATCH($C540,CSD!$E$4:$E$1022,0))="","",INDEX(CSD!$AO$4:$AO$1022,MATCH($C540,CSD!$E$4:$E$1022,0))),"")))))))</f>
        <v/>
      </c>
      <c r="I540" s="459" t="str">
        <f>IF(ISNA(MATCH($C540,CSD!$E$4:$E$1022,0)),"",
IF($E540=0,IF(INDEX(CSD!$Q$4:$Q$1022,MATCH($C540,CSD!$E$4:$E$1022,0))="","",INDEX(CSD!$Q$4:$Q$1022,MATCH($C540,CSD!$E$4:$E$1022,0))),
IF($E540=1,IF(INDEX(CSD!$V$4:$V$1022,MATCH($C540,CSD!$E$4:$E$1022,0))="","",INDEX(CSD!$V$4:$V$1022,MATCH($C540,CSD!$E$4:$E$1022,0))),
IF($E540=2,IF(INDEX(CSD!$AA$4:$AA$1022,MATCH($C540,CSD!$E$4:$E$1022,0))="","",INDEX(CSD!$AA$4:$AA$1022,MATCH($C540,CSD!$E$4:$E$1022,0))),
IF($E540=3,IF(INDEX(CSD!$AF$4:$AF$1022,MATCH($C540,CSD!$E$4:$E$1022,0))="","",INDEX(CSD!$AF$4:$AF$1022,MATCH($C540,CSD!$E$4:$E$1022,0))),
IF($E540=4,IF(INDEX(CSD!$AK$4:$AK$1022,MATCH($C540,CSD!$E$4:$E$1022,0))="","",INDEX(CSD!$AK$4:$AK$1022,MATCH($C540,CSD!$E$4:$E$1022,0))),
IF($E540=5,IF(INDEX(CSD!$AP$4:$AP$1022,MATCH($C540,CSD!$E$4:$E$1022,0))="","",INDEX(CSD!$AP$4:$AP$1022,MATCH($C540,CSD!$E$4:$E$1022,0))),"")))))))</f>
        <v/>
      </c>
      <c r="J540" s="459" t="str">
        <f>IF(ISNA(MATCH($C540,CSD!$E$4:$E$1022,0)),"",
IF($E540=0,IF(INDEX(CSD!$R$4:$R$1022,MATCH($C540,CSD!$E$4:$E$1022,0))="","",INDEX(CSD!$R$4:$R$1022,MATCH($C540,CSD!$E$4:$E$1022,0))),
IF($E540=1,IF(INDEX(CSD!$W$4:$W$1022,MATCH($C540,CSD!$E$4:$E$1022,0))="","",INDEX(CSD!$W$4:$W$1022,MATCH($C540,CSD!$E$4:$E$1022,0))),
IF($E540=2,IF(INDEX(CSD!$AB$4:$AB$1022,MATCH($C540,CSD!$E$4:$E$1022,0))="","",INDEX(CSD!$AB$4:$AB$1022,MATCH($C540,CSD!$E$4:$E$1022,0))),
IF($E540=3,IF(INDEX(CSD!$AG$4:$AG$1022,MATCH($C540,CSD!$E$4:$E$1022,0))="","",INDEX(CSD!$AG$4:$AG$1022,MATCH($C540,CSD!$E$4:$E$1022,0))),
IF($E540=4,IF(INDEX(CSD!$AL$4:$AL$1022,MATCH($C540,CSD!$E$4:$E$1022,0))="","",INDEX(CSD!$AL$4:$AL$1022,MATCH($C540,CSD!$E$4:$E$1022,0))),
IF($E540=5,IF(INDEX(CSD!$AQ$4:$AQ$1022,MATCH($C540,CSD!$E$4:$E$1022,0))="","",INDEX(CSD!$AQ$4:$AQ$1022,MATCH($C540,CSD!$E$4:$E$1022,0))),"")))))))</f>
        <v/>
      </c>
      <c r="K540" s="459">
        <f>CSD!J32</f>
        <v>0</v>
      </c>
      <c r="L540" s="460" t="e" cm="1">
        <f t="array" aca="1" ref="L540" ca="1">_xlfn.IFS(AND($E540&lt;&gt;"",$M540="Pending",$K540="CTA"),TODAY()-$G540,AND($E540&lt;&gt;"",$M540="Pending",$K540="AUR"),TODAY()-$H540,AND($E540&lt;&gt;"",$M540="Pending",$K540="STT"),TODAY()-$I540,OR(K540="Closed",K540=""),"")</f>
        <v>#N/A</v>
      </c>
      <c r="M540" s="461">
        <f>VLOOKUP(C540,CSD!$E$4:$AC$624,7,0)</f>
        <v>0</v>
      </c>
      <c r="N540" s="454" t="str">
        <f t="shared" si="26"/>
        <v/>
      </c>
      <c r="O540" s="743" t="str">
        <f>CSD!M21</f>
        <v>GC</v>
      </c>
      <c r="P540" s="748" t="str">
        <v>NO</v>
      </c>
    </row>
    <row r="541" spans="1:16" s="385" customFormat="1" ht="24.75" hidden="1" customHeight="1">
      <c r="A541" s="399">
        <v>19</v>
      </c>
      <c r="B541" s="496" t="s">
        <v>1596</v>
      </c>
      <c r="C541" s="497" t="s">
        <v>1653</v>
      </c>
      <c r="D541" s="493" t="str">
        <f>_xlfn.XLOOKUP(C541,CSD!$E$4:$E$1009,CSD!$D$4:$D$1009)</f>
        <v>Level Roof - Combine Wall Layout Plan</v>
      </c>
      <c r="E541" s="454" t="str">
        <f>IF(VLOOKUP(C541,CSD!$E$4:$AC$507,5,0)="","",VLOOKUP(C541,CSD!$E$4:$AC$1006,5,0))</f>
        <v/>
      </c>
      <c r="F541" s="457"/>
      <c r="G541" s="459" t="str">
        <f>IF(VLOOKUP(C541,CSD!$E$4:$AC$507,3,0)="","",VLOOKUP(C541,CSD!$E$4:$AC$507,3,0))</f>
        <v/>
      </c>
      <c r="H541" s="459" t="str">
        <f>IF(ISNA(MATCH($C541,CSD!$E$4:$E$1022,0)),"",
IF($E541=0,IF(INDEX(CSD!$P$4:$P$1022,MATCH($C541,CSD!$E$4:$E$1022,0))="","",INDEX(CSD!$P$4:$P$1022,MATCH($C541,CSD!$E$4:$E$1022,0))),
IF($E541=1,IF(INDEX(CSD!$U$4:$U$1022,MATCH($C541,CSD!$E$4:$E$1022,0))="","",INDEX(CSD!$U$4:$U$1022,MATCH($C541,CSD!$E$4:$E$1022,0))),
IF($E541=2,IF(INDEX(CSD!$Z$4:$Z$1022,MATCH($C541,CSD!$E$4:$E$1022,0))="","",INDEX(CSD!$Z$4:$Z$1022,MATCH($C541,CSD!$E$4:$E$1022,0))),
IF($E541=3,IF(INDEX(CSD!$AE$4:$AE$1022,MATCH($C541,CSD!$E$4:$E$1022,0))="","",INDEX(CSD!$AE$4:$AE$1022,MATCH($C541,CSD!$E$4:$E$1022,0))),
IF($E541=4,IF(INDEX(CSD!$AJ$4:$AJ$1022,MATCH($C541,CSD!$E$4:$E$1022,0))="","",INDEX(CSD!$AJ$4:$AJ$1022,MATCH($C541,CSD!$E$4:$E$1022,0))),
IF($E541=5,IF(INDEX(CSD!$AO$4:$AO$1022,MATCH($C541,CSD!$E$4:$E$1022,0))="","",INDEX(CSD!$AO$4:$AO$1022,MATCH($C541,CSD!$E$4:$E$1022,0))),"")))))))</f>
        <v/>
      </c>
      <c r="I541" s="459" t="str">
        <f>IF(ISNA(MATCH($C541,CSD!$E$4:$E$1022,0)),"",
IF($E541=0,IF(INDEX(CSD!$Q$4:$Q$1022,MATCH($C541,CSD!$E$4:$E$1022,0))="","",INDEX(CSD!$Q$4:$Q$1022,MATCH($C541,CSD!$E$4:$E$1022,0))),
IF($E541=1,IF(INDEX(CSD!$V$4:$V$1022,MATCH($C541,CSD!$E$4:$E$1022,0))="","",INDEX(CSD!$V$4:$V$1022,MATCH($C541,CSD!$E$4:$E$1022,0))),
IF($E541=2,IF(INDEX(CSD!$AA$4:$AA$1022,MATCH($C541,CSD!$E$4:$E$1022,0))="","",INDEX(CSD!$AA$4:$AA$1022,MATCH($C541,CSD!$E$4:$E$1022,0))),
IF($E541=3,IF(INDEX(CSD!$AF$4:$AF$1022,MATCH($C541,CSD!$E$4:$E$1022,0))="","",INDEX(CSD!$AF$4:$AF$1022,MATCH($C541,CSD!$E$4:$E$1022,0))),
IF($E541=4,IF(INDEX(CSD!$AK$4:$AK$1022,MATCH($C541,CSD!$E$4:$E$1022,0))="","",INDEX(CSD!$AK$4:$AK$1022,MATCH($C541,CSD!$E$4:$E$1022,0))),
IF($E541=5,IF(INDEX(CSD!$AP$4:$AP$1022,MATCH($C541,CSD!$E$4:$E$1022,0))="","",INDEX(CSD!$AP$4:$AP$1022,MATCH($C541,CSD!$E$4:$E$1022,0))),"")))))))</f>
        <v/>
      </c>
      <c r="J541" s="459" t="str">
        <f>IF(ISNA(MATCH($C541,CSD!$E$4:$E$1022,0)),"",
IF($E541=0,IF(INDEX(CSD!$R$4:$R$1022,MATCH($C541,CSD!$E$4:$E$1022,0))="","",INDEX(CSD!$R$4:$R$1022,MATCH($C541,CSD!$E$4:$E$1022,0))),
IF($E541=1,IF(INDEX(CSD!$W$4:$W$1022,MATCH($C541,CSD!$E$4:$E$1022,0))="","",INDEX(CSD!$W$4:$W$1022,MATCH($C541,CSD!$E$4:$E$1022,0))),
IF($E541=2,IF(INDEX(CSD!$AB$4:$AB$1022,MATCH($C541,CSD!$E$4:$E$1022,0))="","",INDEX(CSD!$AB$4:$AB$1022,MATCH($C541,CSD!$E$4:$E$1022,0))),
IF($E541=3,IF(INDEX(CSD!$AG$4:$AG$1022,MATCH($C541,CSD!$E$4:$E$1022,0))="","",INDEX(CSD!$AG$4:$AG$1022,MATCH($C541,CSD!$E$4:$E$1022,0))),
IF($E541=4,IF(INDEX(CSD!$AL$4:$AL$1022,MATCH($C541,CSD!$E$4:$E$1022,0))="","",INDEX(CSD!$AL$4:$AL$1022,MATCH($C541,CSD!$E$4:$E$1022,0))),
IF($E541=5,IF(INDEX(CSD!$AQ$4:$AQ$1022,MATCH($C541,CSD!$E$4:$E$1022,0))="","",INDEX(CSD!$AQ$4:$AQ$1022,MATCH($C541,CSD!$E$4:$E$1022,0))),"")))))))</f>
        <v/>
      </c>
      <c r="K541" s="459">
        <f>CSD!J33</f>
        <v>0</v>
      </c>
      <c r="L541" s="460" t="e" cm="1">
        <f t="array" aca="1" ref="L541" ca="1">_xlfn.IFS(AND($E541&lt;&gt;"",$M541="Pending",$K541="CTA"),TODAY()-$G541,AND($E541&lt;&gt;"",$M541="Pending",$K541="AUR"),TODAY()-$H541,AND($E541&lt;&gt;"",$M541="Pending",$K541="STT"),TODAY()-$I541,OR(K541="Closed",K541=""),"")</f>
        <v>#N/A</v>
      </c>
      <c r="M541" s="461">
        <f>VLOOKUP(C541,CSD!$E$4:$AC$624,7,0)</f>
        <v>0</v>
      </c>
      <c r="N541" s="454" t="str">
        <f t="shared" si="26"/>
        <v/>
      </c>
      <c r="O541" s="743" t="str">
        <f>CSD!M22</f>
        <v>GC</v>
      </c>
      <c r="P541" s="748" t="str">
        <v>NO</v>
      </c>
    </row>
    <row r="542" spans="1:16" s="385" customFormat="1" ht="24.75" hidden="1" customHeight="1">
      <c r="A542" s="399">
        <v>20</v>
      </c>
      <c r="B542" s="496" t="s">
        <v>1596</v>
      </c>
      <c r="C542" s="497" t="s">
        <v>1656</v>
      </c>
      <c r="D542" s="493" t="str">
        <f>_xlfn.XLOOKUP(C542,CSD!$E$4:$E$1009,CSD!$D$4:$D$1009)</f>
        <v>Level 1 - Combine Ceiling Layout Plan</v>
      </c>
      <c r="E542" s="454" t="str">
        <f>IF(VLOOKUP(C542,CSD!$E$4:$AC$507,5,0)="","",VLOOKUP(C542,CSD!$E$4:$AC$1006,5,0))</f>
        <v/>
      </c>
      <c r="F542" s="457"/>
      <c r="G542" s="459" t="str">
        <f>IF(VLOOKUP(C542,CSD!$E$4:$AC$507,3,0)="","",VLOOKUP(C542,CSD!$E$4:$AC$507,3,0))</f>
        <v/>
      </c>
      <c r="H542" s="459" t="str">
        <f>IF(ISNA(MATCH($C542,CSD!$E$4:$E$1022,0)),"",
IF($E542=0,IF(INDEX(CSD!$P$4:$P$1022,MATCH($C542,CSD!$E$4:$E$1022,0))="","",INDEX(CSD!$P$4:$P$1022,MATCH($C542,CSD!$E$4:$E$1022,0))),
IF($E542=1,IF(INDEX(CSD!$U$4:$U$1022,MATCH($C542,CSD!$E$4:$E$1022,0))="","",INDEX(CSD!$U$4:$U$1022,MATCH($C542,CSD!$E$4:$E$1022,0))),
IF($E542=2,IF(INDEX(CSD!$Z$4:$Z$1022,MATCH($C542,CSD!$E$4:$E$1022,0))="","",INDEX(CSD!$Z$4:$Z$1022,MATCH($C542,CSD!$E$4:$E$1022,0))),
IF($E542=3,IF(INDEX(CSD!$AE$4:$AE$1022,MATCH($C542,CSD!$E$4:$E$1022,0))="","",INDEX(CSD!$AE$4:$AE$1022,MATCH($C542,CSD!$E$4:$E$1022,0))),
IF($E542=4,IF(INDEX(CSD!$AJ$4:$AJ$1022,MATCH($C542,CSD!$E$4:$E$1022,0))="","",INDEX(CSD!$AJ$4:$AJ$1022,MATCH($C542,CSD!$E$4:$E$1022,0))),
IF($E542=5,IF(INDEX(CSD!$AO$4:$AO$1022,MATCH($C542,CSD!$E$4:$E$1022,0))="","",INDEX(CSD!$AO$4:$AO$1022,MATCH($C542,CSD!$E$4:$E$1022,0))),"")))))))</f>
        <v/>
      </c>
      <c r="I542" s="459" t="str">
        <f>IF(ISNA(MATCH($C542,CSD!$E$4:$E$1022,0)),"",
IF($E542=0,IF(INDEX(CSD!$Q$4:$Q$1022,MATCH($C542,CSD!$E$4:$E$1022,0))="","",INDEX(CSD!$Q$4:$Q$1022,MATCH($C542,CSD!$E$4:$E$1022,0))),
IF($E542=1,IF(INDEX(CSD!$V$4:$V$1022,MATCH($C542,CSD!$E$4:$E$1022,0))="","",INDEX(CSD!$V$4:$V$1022,MATCH($C542,CSD!$E$4:$E$1022,0))),
IF($E542=2,IF(INDEX(CSD!$AA$4:$AA$1022,MATCH($C542,CSD!$E$4:$E$1022,0))="","",INDEX(CSD!$AA$4:$AA$1022,MATCH($C542,CSD!$E$4:$E$1022,0))),
IF($E542=3,IF(INDEX(CSD!$AF$4:$AF$1022,MATCH($C542,CSD!$E$4:$E$1022,0))="","",INDEX(CSD!$AF$4:$AF$1022,MATCH($C542,CSD!$E$4:$E$1022,0))),
IF($E542=4,IF(INDEX(CSD!$AK$4:$AK$1022,MATCH($C542,CSD!$E$4:$E$1022,0))="","",INDEX(CSD!$AK$4:$AK$1022,MATCH($C542,CSD!$E$4:$E$1022,0))),
IF($E542=5,IF(INDEX(CSD!$AP$4:$AP$1022,MATCH($C542,CSD!$E$4:$E$1022,0))="","",INDEX(CSD!$AP$4:$AP$1022,MATCH($C542,CSD!$E$4:$E$1022,0))),"")))))))</f>
        <v/>
      </c>
      <c r="J542" s="459" t="str">
        <f>IF(ISNA(MATCH($C542,CSD!$E$4:$E$1022,0)),"",
IF($E542=0,IF(INDEX(CSD!$R$4:$R$1022,MATCH($C542,CSD!$E$4:$E$1022,0))="","",INDEX(CSD!$R$4:$R$1022,MATCH($C542,CSD!$E$4:$E$1022,0))),
IF($E542=1,IF(INDEX(CSD!$W$4:$W$1022,MATCH($C542,CSD!$E$4:$E$1022,0))="","",INDEX(CSD!$W$4:$W$1022,MATCH($C542,CSD!$E$4:$E$1022,0))),
IF($E542=2,IF(INDEX(CSD!$AB$4:$AB$1022,MATCH($C542,CSD!$E$4:$E$1022,0))="","",INDEX(CSD!$AB$4:$AB$1022,MATCH($C542,CSD!$E$4:$E$1022,0))),
IF($E542=3,IF(INDEX(CSD!$AG$4:$AG$1022,MATCH($C542,CSD!$E$4:$E$1022,0))="","",INDEX(CSD!$AG$4:$AG$1022,MATCH($C542,CSD!$E$4:$E$1022,0))),
IF($E542=4,IF(INDEX(CSD!$AL$4:$AL$1022,MATCH($C542,CSD!$E$4:$E$1022,0))="","",INDEX(CSD!$AL$4:$AL$1022,MATCH($C542,CSD!$E$4:$E$1022,0))),
IF($E542=5,IF(INDEX(CSD!$AQ$4:$AQ$1022,MATCH($C542,CSD!$E$4:$E$1022,0))="","",INDEX(CSD!$AQ$4:$AQ$1022,MATCH($C542,CSD!$E$4:$E$1022,0))),"")))))))</f>
        <v/>
      </c>
      <c r="K542" s="459">
        <f>CSD!J34</f>
        <v>0</v>
      </c>
      <c r="L542" s="460" t="e" cm="1">
        <f t="array" aca="1" ref="L542" ca="1">_xlfn.IFS(AND($E542&lt;&gt;"",$M542="Pending",$K542="CTA"),TODAY()-$G542,AND($E542&lt;&gt;"",$M542="Pending",$K542="AUR"),TODAY()-$H542,AND($E542&lt;&gt;"",$M542="Pending",$K542="STT"),TODAY()-$I542,OR(K542="Closed",K542=""),"")</f>
        <v>#N/A</v>
      </c>
      <c r="M542" s="461">
        <f>VLOOKUP(C542,CSD!$E$4:$AC$624,7,0)</f>
        <v>0</v>
      </c>
      <c r="N542" s="454" t="str">
        <f t="shared" si="26"/>
        <v/>
      </c>
      <c r="O542" s="743" t="str">
        <f>CSD!M23</f>
        <v>GC</v>
      </c>
      <c r="P542" s="748" t="str">
        <v>NO</v>
      </c>
    </row>
    <row r="543" spans="1:16" s="385" customFormat="1" ht="24.75" hidden="1" customHeight="1">
      <c r="A543" s="399">
        <v>21</v>
      </c>
      <c r="B543" s="496" t="s">
        <v>1596</v>
      </c>
      <c r="C543" s="497" t="s">
        <v>1659</v>
      </c>
      <c r="D543" s="493" t="str">
        <f>_xlfn.XLOOKUP(C543,CSD!$E$4:$E$1009,CSD!$D$4:$D$1009)</f>
        <v>Level 2 - Combine Ceiling Layout Plan</v>
      </c>
      <c r="E543" s="454" t="str">
        <f>IF(VLOOKUP(C543,CSD!$E$4:$AC$507,5,0)="","",VLOOKUP(C543,CSD!$E$4:$AC$1006,5,0))</f>
        <v/>
      </c>
      <c r="F543" s="457"/>
      <c r="G543" s="459" t="str">
        <f>IF(VLOOKUP(C543,CSD!$E$4:$AC$507,3,0)="","",VLOOKUP(C543,CSD!$E$4:$AC$507,3,0))</f>
        <v/>
      </c>
      <c r="H543" s="459" t="str">
        <f>IF(ISNA(MATCH($C543,CSD!$E$4:$E$1022,0)),"",
IF($E543=0,IF(INDEX(CSD!$P$4:$P$1022,MATCH($C543,CSD!$E$4:$E$1022,0))="","",INDEX(CSD!$P$4:$P$1022,MATCH($C543,CSD!$E$4:$E$1022,0))),
IF($E543=1,IF(INDEX(CSD!$U$4:$U$1022,MATCH($C543,CSD!$E$4:$E$1022,0))="","",INDEX(CSD!$U$4:$U$1022,MATCH($C543,CSD!$E$4:$E$1022,0))),
IF($E543=2,IF(INDEX(CSD!$Z$4:$Z$1022,MATCH($C543,CSD!$E$4:$E$1022,0))="","",INDEX(CSD!$Z$4:$Z$1022,MATCH($C543,CSD!$E$4:$E$1022,0))),
IF($E543=3,IF(INDEX(CSD!$AE$4:$AE$1022,MATCH($C543,CSD!$E$4:$E$1022,0))="","",INDEX(CSD!$AE$4:$AE$1022,MATCH($C543,CSD!$E$4:$E$1022,0))),
IF($E543=4,IF(INDEX(CSD!$AJ$4:$AJ$1022,MATCH($C543,CSD!$E$4:$E$1022,0))="","",INDEX(CSD!$AJ$4:$AJ$1022,MATCH($C543,CSD!$E$4:$E$1022,0))),
IF($E543=5,IF(INDEX(CSD!$AO$4:$AO$1022,MATCH($C543,CSD!$E$4:$E$1022,0))="","",INDEX(CSD!$AO$4:$AO$1022,MATCH($C543,CSD!$E$4:$E$1022,0))),"")))))))</f>
        <v/>
      </c>
      <c r="I543" s="459" t="str">
        <f>IF(ISNA(MATCH($C543,CSD!$E$4:$E$1022,0)),"",
IF($E543=0,IF(INDEX(CSD!$Q$4:$Q$1022,MATCH($C543,CSD!$E$4:$E$1022,0))="","",INDEX(CSD!$Q$4:$Q$1022,MATCH($C543,CSD!$E$4:$E$1022,0))),
IF($E543=1,IF(INDEX(CSD!$V$4:$V$1022,MATCH($C543,CSD!$E$4:$E$1022,0))="","",INDEX(CSD!$V$4:$V$1022,MATCH($C543,CSD!$E$4:$E$1022,0))),
IF($E543=2,IF(INDEX(CSD!$AA$4:$AA$1022,MATCH($C543,CSD!$E$4:$E$1022,0))="","",INDEX(CSD!$AA$4:$AA$1022,MATCH($C543,CSD!$E$4:$E$1022,0))),
IF($E543=3,IF(INDEX(CSD!$AF$4:$AF$1022,MATCH($C543,CSD!$E$4:$E$1022,0))="","",INDEX(CSD!$AF$4:$AF$1022,MATCH($C543,CSD!$E$4:$E$1022,0))),
IF($E543=4,IF(INDEX(CSD!$AK$4:$AK$1022,MATCH($C543,CSD!$E$4:$E$1022,0))="","",INDEX(CSD!$AK$4:$AK$1022,MATCH($C543,CSD!$E$4:$E$1022,0))),
IF($E543=5,IF(INDEX(CSD!$AP$4:$AP$1022,MATCH($C543,CSD!$E$4:$E$1022,0))="","",INDEX(CSD!$AP$4:$AP$1022,MATCH($C543,CSD!$E$4:$E$1022,0))),"")))))))</f>
        <v/>
      </c>
      <c r="J543" s="459" t="str">
        <f>IF(ISNA(MATCH($C543,CSD!$E$4:$E$1022,0)),"",
IF($E543=0,IF(INDEX(CSD!$R$4:$R$1022,MATCH($C543,CSD!$E$4:$E$1022,0))="","",INDEX(CSD!$R$4:$R$1022,MATCH($C543,CSD!$E$4:$E$1022,0))),
IF($E543=1,IF(INDEX(CSD!$W$4:$W$1022,MATCH($C543,CSD!$E$4:$E$1022,0))="","",INDEX(CSD!$W$4:$W$1022,MATCH($C543,CSD!$E$4:$E$1022,0))),
IF($E543=2,IF(INDEX(CSD!$AB$4:$AB$1022,MATCH($C543,CSD!$E$4:$E$1022,0))="","",INDEX(CSD!$AB$4:$AB$1022,MATCH($C543,CSD!$E$4:$E$1022,0))),
IF($E543=3,IF(INDEX(CSD!$AG$4:$AG$1022,MATCH($C543,CSD!$E$4:$E$1022,0))="","",INDEX(CSD!$AG$4:$AG$1022,MATCH($C543,CSD!$E$4:$E$1022,0))),
IF($E543=4,IF(INDEX(CSD!$AL$4:$AL$1022,MATCH($C543,CSD!$E$4:$E$1022,0))="","",INDEX(CSD!$AL$4:$AL$1022,MATCH($C543,CSD!$E$4:$E$1022,0))),
IF($E543=5,IF(INDEX(CSD!$AQ$4:$AQ$1022,MATCH($C543,CSD!$E$4:$E$1022,0))="","",INDEX(CSD!$AQ$4:$AQ$1022,MATCH($C543,CSD!$E$4:$E$1022,0))),"")))))))</f>
        <v/>
      </c>
      <c r="K543" s="459">
        <f>CSD!J35</f>
        <v>0</v>
      </c>
      <c r="L543" s="460" t="e" cm="1">
        <f t="array" aca="1" ref="L543" ca="1">_xlfn.IFS(AND($E543&lt;&gt;"",$M543="Pending",$K543="CTA"),TODAY()-$G543,AND($E543&lt;&gt;"",$M543="Pending",$K543="AUR"),TODAY()-$H543,AND($E543&lt;&gt;"",$M543="Pending",$K543="STT"),TODAY()-$I543,OR(K543="Closed",K543=""),"")</f>
        <v>#N/A</v>
      </c>
      <c r="M543" s="461">
        <f>VLOOKUP(C543,CSD!$E$4:$AC$624,7,0)</f>
        <v>0</v>
      </c>
      <c r="N543" s="454" t="str">
        <f t="shared" si="26"/>
        <v/>
      </c>
      <c r="O543" s="743" t="str">
        <f>CSD!M24</f>
        <v>GC</v>
      </c>
      <c r="P543" s="748" t="str">
        <v>NO</v>
      </c>
    </row>
    <row r="544" spans="1:16" s="385" customFormat="1" ht="24.75" hidden="1" customHeight="1">
      <c r="A544" s="399">
        <v>22</v>
      </c>
      <c r="B544" s="496" t="s">
        <v>1596</v>
      </c>
      <c r="C544" s="497" t="s">
        <v>1661</v>
      </c>
      <c r="D544" s="493" t="str">
        <f>_xlfn.XLOOKUP(C544,CSD!$E$4:$E$1009,CSD!$D$4:$D$1009)</f>
        <v>Level 2 - Combine Ceiling Layout Plan</v>
      </c>
      <c r="E544" s="454" t="str">
        <f>IF(VLOOKUP(C544,CSD!$E$4:$AC$507,5,0)="","",VLOOKUP(C544,CSD!$E$4:$AC$1006,5,0))</f>
        <v/>
      </c>
      <c r="F544" s="457"/>
      <c r="G544" s="459" t="str">
        <f>IF(VLOOKUP(C544,CSD!$E$4:$AC$507,3,0)="","",VLOOKUP(C544,CSD!$E$4:$AC$507,3,0))</f>
        <v/>
      </c>
      <c r="H544" s="459" t="str">
        <f>IF(ISNA(MATCH($C544,CSD!$E$4:$E$1022,0)),"",
IF($E544=0,IF(INDEX(CSD!$P$4:$P$1022,MATCH($C544,CSD!$E$4:$E$1022,0))="","",INDEX(CSD!$P$4:$P$1022,MATCH($C544,CSD!$E$4:$E$1022,0))),
IF($E544=1,IF(INDEX(CSD!$U$4:$U$1022,MATCH($C544,CSD!$E$4:$E$1022,0))="","",INDEX(CSD!$U$4:$U$1022,MATCH($C544,CSD!$E$4:$E$1022,0))),
IF($E544=2,IF(INDEX(CSD!$Z$4:$Z$1022,MATCH($C544,CSD!$E$4:$E$1022,0))="","",INDEX(CSD!$Z$4:$Z$1022,MATCH($C544,CSD!$E$4:$E$1022,0))),
IF($E544=3,IF(INDEX(CSD!$AE$4:$AE$1022,MATCH($C544,CSD!$E$4:$E$1022,0))="","",INDEX(CSD!$AE$4:$AE$1022,MATCH($C544,CSD!$E$4:$E$1022,0))),
IF($E544=4,IF(INDEX(CSD!$AJ$4:$AJ$1022,MATCH($C544,CSD!$E$4:$E$1022,0))="","",INDEX(CSD!$AJ$4:$AJ$1022,MATCH($C544,CSD!$E$4:$E$1022,0))),
IF($E544=5,IF(INDEX(CSD!$AO$4:$AO$1022,MATCH($C544,CSD!$E$4:$E$1022,0))="","",INDEX(CSD!$AO$4:$AO$1022,MATCH($C544,CSD!$E$4:$E$1022,0))),"")))))))</f>
        <v/>
      </c>
      <c r="I544" s="459" t="str">
        <f>IF(ISNA(MATCH($C544,CSD!$E$4:$E$1022,0)),"",
IF($E544=0,IF(INDEX(CSD!$Q$4:$Q$1022,MATCH($C544,CSD!$E$4:$E$1022,0))="","",INDEX(CSD!$Q$4:$Q$1022,MATCH($C544,CSD!$E$4:$E$1022,0))),
IF($E544=1,IF(INDEX(CSD!$V$4:$V$1022,MATCH($C544,CSD!$E$4:$E$1022,0))="","",INDEX(CSD!$V$4:$V$1022,MATCH($C544,CSD!$E$4:$E$1022,0))),
IF($E544=2,IF(INDEX(CSD!$AA$4:$AA$1022,MATCH($C544,CSD!$E$4:$E$1022,0))="","",INDEX(CSD!$AA$4:$AA$1022,MATCH($C544,CSD!$E$4:$E$1022,0))),
IF($E544=3,IF(INDEX(CSD!$AF$4:$AF$1022,MATCH($C544,CSD!$E$4:$E$1022,0))="","",INDEX(CSD!$AF$4:$AF$1022,MATCH($C544,CSD!$E$4:$E$1022,0))),
IF($E544=4,IF(INDEX(CSD!$AK$4:$AK$1022,MATCH($C544,CSD!$E$4:$E$1022,0))="","",INDEX(CSD!$AK$4:$AK$1022,MATCH($C544,CSD!$E$4:$E$1022,0))),
IF($E544=5,IF(INDEX(CSD!$AP$4:$AP$1022,MATCH($C544,CSD!$E$4:$E$1022,0))="","",INDEX(CSD!$AP$4:$AP$1022,MATCH($C544,CSD!$E$4:$E$1022,0))),"")))))))</f>
        <v/>
      </c>
      <c r="J544" s="459" t="str">
        <f>IF(ISNA(MATCH($C544,CSD!$E$4:$E$1022,0)),"",
IF($E544=0,IF(INDEX(CSD!$R$4:$R$1022,MATCH($C544,CSD!$E$4:$E$1022,0))="","",INDEX(CSD!$R$4:$R$1022,MATCH($C544,CSD!$E$4:$E$1022,0))),
IF($E544=1,IF(INDEX(CSD!$W$4:$W$1022,MATCH($C544,CSD!$E$4:$E$1022,0))="","",INDEX(CSD!$W$4:$W$1022,MATCH($C544,CSD!$E$4:$E$1022,0))),
IF($E544=2,IF(INDEX(CSD!$AB$4:$AB$1022,MATCH($C544,CSD!$E$4:$E$1022,0))="","",INDEX(CSD!$AB$4:$AB$1022,MATCH($C544,CSD!$E$4:$E$1022,0))),
IF($E544=3,IF(INDEX(CSD!$AG$4:$AG$1022,MATCH($C544,CSD!$E$4:$E$1022,0))="","",INDEX(CSD!$AG$4:$AG$1022,MATCH($C544,CSD!$E$4:$E$1022,0))),
IF($E544=4,IF(INDEX(CSD!$AL$4:$AL$1022,MATCH($C544,CSD!$E$4:$E$1022,0))="","",INDEX(CSD!$AL$4:$AL$1022,MATCH($C544,CSD!$E$4:$E$1022,0))),
IF($E544=5,IF(INDEX(CSD!$AQ$4:$AQ$1022,MATCH($C544,CSD!$E$4:$E$1022,0))="","",INDEX(CSD!$AQ$4:$AQ$1022,MATCH($C544,CSD!$E$4:$E$1022,0))),"")))))))</f>
        <v/>
      </c>
      <c r="K544" s="459">
        <f>CSD!J36</f>
        <v>0</v>
      </c>
      <c r="L544" s="460" t="e" cm="1">
        <f t="array" aca="1" ref="L544" ca="1">_xlfn.IFS(AND($E544&lt;&gt;"",$M544="Pending",$K544="CTA"),TODAY()-$G544,AND($E544&lt;&gt;"",$M544="Pending",$K544="AUR"),TODAY()-$H544,AND($E544&lt;&gt;"",$M544="Pending",$K544="STT"),TODAY()-$I544,OR(K544="Closed",K544=""),"")</f>
        <v>#N/A</v>
      </c>
      <c r="M544" s="461">
        <f>VLOOKUP(C544,CSD!$E$4:$AC$624,7,0)</f>
        <v>0</v>
      </c>
      <c r="N544" s="454" t="str">
        <f t="shared" si="26"/>
        <v/>
      </c>
      <c r="O544" s="743" t="str">
        <f>CSD!M26</f>
        <v>GC</v>
      </c>
      <c r="P544" s="748">
        <v>0</v>
      </c>
    </row>
    <row r="545" spans="1:16" s="385" customFormat="1" ht="24.75" hidden="1" customHeight="1">
      <c r="A545" s="399">
        <v>23</v>
      </c>
      <c r="B545" s="496" t="s">
        <v>1596</v>
      </c>
      <c r="C545" s="497" t="s">
        <v>1666</v>
      </c>
      <c r="D545" s="493" t="str">
        <f>_xlfn.XLOOKUP(C545,CSD!$E$4:$E$1009,CSD!$D$4:$D$1009)</f>
        <v>Level 4 - Combine Ceiling Layout Plan</v>
      </c>
      <c r="E545" s="454" t="str">
        <f>IF(VLOOKUP(C545,CSD!$E$4:$AC$507,5,0)="","",VLOOKUP(C545,CSD!$E$4:$AC$1006,5,0))</f>
        <v/>
      </c>
      <c r="F545" s="457"/>
      <c r="G545" s="459" t="str">
        <f>IF(VLOOKUP(C545,CSD!$E$4:$AC$507,3,0)="","",VLOOKUP(C545,CSD!$E$4:$AC$507,3,0))</f>
        <v/>
      </c>
      <c r="H545" s="459" t="str">
        <f>IF(ISNA(MATCH($C545,CSD!$E$4:$E$1022,0)),"",
IF($E545=0,IF(INDEX(CSD!$P$4:$P$1022,MATCH($C545,CSD!$E$4:$E$1022,0))="","",INDEX(CSD!$P$4:$P$1022,MATCH($C545,CSD!$E$4:$E$1022,0))),
IF($E545=1,IF(INDEX(CSD!$U$4:$U$1022,MATCH($C545,CSD!$E$4:$E$1022,0))="","",INDEX(CSD!$U$4:$U$1022,MATCH($C545,CSD!$E$4:$E$1022,0))),
IF($E545=2,IF(INDEX(CSD!$Z$4:$Z$1022,MATCH($C545,CSD!$E$4:$E$1022,0))="","",INDEX(CSD!$Z$4:$Z$1022,MATCH($C545,CSD!$E$4:$E$1022,0))),
IF($E545=3,IF(INDEX(CSD!$AE$4:$AE$1022,MATCH($C545,CSD!$E$4:$E$1022,0))="","",INDEX(CSD!$AE$4:$AE$1022,MATCH($C545,CSD!$E$4:$E$1022,0))),
IF($E545=4,IF(INDEX(CSD!$AJ$4:$AJ$1022,MATCH($C545,CSD!$E$4:$E$1022,0))="","",INDEX(CSD!$AJ$4:$AJ$1022,MATCH($C545,CSD!$E$4:$E$1022,0))),
IF($E545=5,IF(INDEX(CSD!$AO$4:$AO$1022,MATCH($C545,CSD!$E$4:$E$1022,0))="","",INDEX(CSD!$AO$4:$AO$1022,MATCH($C545,CSD!$E$4:$E$1022,0))),"")))))))</f>
        <v/>
      </c>
      <c r="I545" s="459" t="str">
        <f>IF(ISNA(MATCH($C545,CSD!$E$4:$E$1022,0)),"",
IF($E545=0,IF(INDEX(CSD!$Q$4:$Q$1022,MATCH($C545,CSD!$E$4:$E$1022,0))="","",INDEX(CSD!$Q$4:$Q$1022,MATCH($C545,CSD!$E$4:$E$1022,0))),
IF($E545=1,IF(INDEX(CSD!$V$4:$V$1022,MATCH($C545,CSD!$E$4:$E$1022,0))="","",INDEX(CSD!$V$4:$V$1022,MATCH($C545,CSD!$E$4:$E$1022,0))),
IF($E545=2,IF(INDEX(CSD!$AA$4:$AA$1022,MATCH($C545,CSD!$E$4:$E$1022,0))="","",INDEX(CSD!$AA$4:$AA$1022,MATCH($C545,CSD!$E$4:$E$1022,0))),
IF($E545=3,IF(INDEX(CSD!$AF$4:$AF$1022,MATCH($C545,CSD!$E$4:$E$1022,0))="","",INDEX(CSD!$AF$4:$AF$1022,MATCH($C545,CSD!$E$4:$E$1022,0))),
IF($E545=4,IF(INDEX(CSD!$AK$4:$AK$1022,MATCH($C545,CSD!$E$4:$E$1022,0))="","",INDEX(CSD!$AK$4:$AK$1022,MATCH($C545,CSD!$E$4:$E$1022,0))),
IF($E545=5,IF(INDEX(CSD!$AP$4:$AP$1022,MATCH($C545,CSD!$E$4:$E$1022,0))="","",INDEX(CSD!$AP$4:$AP$1022,MATCH($C545,CSD!$E$4:$E$1022,0))),"")))))))</f>
        <v/>
      </c>
      <c r="J545" s="459" t="str">
        <f>IF(ISNA(MATCH($C545,CSD!$E$4:$E$1022,0)),"",
IF($E545=0,IF(INDEX(CSD!$R$4:$R$1022,MATCH($C545,CSD!$E$4:$E$1022,0))="","",INDEX(CSD!$R$4:$R$1022,MATCH($C545,CSD!$E$4:$E$1022,0))),
IF($E545=1,IF(INDEX(CSD!$W$4:$W$1022,MATCH($C545,CSD!$E$4:$E$1022,0))="","",INDEX(CSD!$W$4:$W$1022,MATCH($C545,CSD!$E$4:$E$1022,0))),
IF($E545=2,IF(INDEX(CSD!$AB$4:$AB$1022,MATCH($C545,CSD!$E$4:$E$1022,0))="","",INDEX(CSD!$AB$4:$AB$1022,MATCH($C545,CSD!$E$4:$E$1022,0))),
IF($E545=3,IF(INDEX(CSD!$AG$4:$AG$1022,MATCH($C545,CSD!$E$4:$E$1022,0))="","",INDEX(CSD!$AG$4:$AG$1022,MATCH($C545,CSD!$E$4:$E$1022,0))),
IF($E545=4,IF(INDEX(CSD!$AL$4:$AL$1022,MATCH($C545,CSD!$E$4:$E$1022,0))="","",INDEX(CSD!$AL$4:$AL$1022,MATCH($C545,CSD!$E$4:$E$1022,0))),
IF($E545=5,IF(INDEX(CSD!$AQ$4:$AQ$1022,MATCH($C545,CSD!$E$4:$E$1022,0))="","",INDEX(CSD!$AQ$4:$AQ$1022,MATCH($C545,CSD!$E$4:$E$1022,0))),"")))))))</f>
        <v/>
      </c>
      <c r="K545" s="459">
        <f>CSD!J37</f>
        <v>0</v>
      </c>
      <c r="L545" s="460" t="e" cm="1">
        <f t="array" aca="1" ref="L545" ca="1">_xlfn.IFS(AND($E545&lt;&gt;"",$M545="Pending",$K545="CTA"),TODAY()-$G545,AND($E545&lt;&gt;"",$M545="Pending",$K545="AUR"),TODAY()-$H545,AND($E545&lt;&gt;"",$M545="Pending",$K545="STT"),TODAY()-$I545,OR(K545="Closed",K545=""),"")</f>
        <v>#N/A</v>
      </c>
      <c r="M545" s="461">
        <f>VLOOKUP(C545,CSD!$E$4:$AC$624,7,0)</f>
        <v>0</v>
      </c>
      <c r="N545" s="454" t="str">
        <f t="shared" si="26"/>
        <v/>
      </c>
      <c r="O545" s="743" t="str">
        <f>CSD!M27</f>
        <v>GC</v>
      </c>
      <c r="P545" s="748" t="str">
        <v>NO</v>
      </c>
    </row>
    <row r="546" spans="1:16" s="385" customFormat="1" ht="24.75" hidden="1" customHeight="1">
      <c r="A546" s="399">
        <v>24</v>
      </c>
      <c r="B546" s="496" t="s">
        <v>1596</v>
      </c>
      <c r="C546" s="497" t="s">
        <v>1669</v>
      </c>
      <c r="D546" s="493" t="str">
        <f>_xlfn.XLOOKUP(C546,CSD!$E$4:$E$1009,CSD!$D$4:$D$1009)</f>
        <v>Level 5 - Combine Ceiling Layout Plan</v>
      </c>
      <c r="E546" s="454" t="str">
        <f>IF(VLOOKUP(C546,CSD!$E$4:$AC$507,5,0)="","",VLOOKUP(C546,CSD!$E$4:$AC$1006,5,0))</f>
        <v/>
      </c>
      <c r="F546" s="457"/>
      <c r="G546" s="459" t="str">
        <f>IF(VLOOKUP(C546,CSD!$E$4:$AC$507,3,0)="","",VLOOKUP(C546,CSD!$E$4:$AC$507,3,0))</f>
        <v/>
      </c>
      <c r="H546" s="459" t="str">
        <f>IF(ISNA(MATCH($C546,CSD!$E$4:$E$1022,0)),"",
IF($E546=0,IF(INDEX(CSD!$P$4:$P$1022,MATCH($C546,CSD!$E$4:$E$1022,0))="","",INDEX(CSD!$P$4:$P$1022,MATCH($C546,CSD!$E$4:$E$1022,0))),
IF($E546=1,IF(INDEX(CSD!$U$4:$U$1022,MATCH($C546,CSD!$E$4:$E$1022,0))="","",INDEX(CSD!$U$4:$U$1022,MATCH($C546,CSD!$E$4:$E$1022,0))),
IF($E546=2,IF(INDEX(CSD!$Z$4:$Z$1022,MATCH($C546,CSD!$E$4:$E$1022,0))="","",INDEX(CSD!$Z$4:$Z$1022,MATCH($C546,CSD!$E$4:$E$1022,0))),
IF($E546=3,IF(INDEX(CSD!$AE$4:$AE$1022,MATCH($C546,CSD!$E$4:$E$1022,0))="","",INDEX(CSD!$AE$4:$AE$1022,MATCH($C546,CSD!$E$4:$E$1022,0))),
IF($E546=4,IF(INDEX(CSD!$AJ$4:$AJ$1022,MATCH($C546,CSD!$E$4:$E$1022,0))="","",INDEX(CSD!$AJ$4:$AJ$1022,MATCH($C546,CSD!$E$4:$E$1022,0))),
IF($E546=5,IF(INDEX(CSD!$AO$4:$AO$1022,MATCH($C546,CSD!$E$4:$E$1022,0))="","",INDEX(CSD!$AO$4:$AO$1022,MATCH($C546,CSD!$E$4:$E$1022,0))),"")))))))</f>
        <v/>
      </c>
      <c r="I546" s="459" t="str">
        <f>IF(ISNA(MATCH($C546,CSD!$E$4:$E$1022,0)),"",
IF($E546=0,IF(INDEX(CSD!$Q$4:$Q$1022,MATCH($C546,CSD!$E$4:$E$1022,0))="","",INDEX(CSD!$Q$4:$Q$1022,MATCH($C546,CSD!$E$4:$E$1022,0))),
IF($E546=1,IF(INDEX(CSD!$V$4:$V$1022,MATCH($C546,CSD!$E$4:$E$1022,0))="","",INDEX(CSD!$V$4:$V$1022,MATCH($C546,CSD!$E$4:$E$1022,0))),
IF($E546=2,IF(INDEX(CSD!$AA$4:$AA$1022,MATCH($C546,CSD!$E$4:$E$1022,0))="","",INDEX(CSD!$AA$4:$AA$1022,MATCH($C546,CSD!$E$4:$E$1022,0))),
IF($E546=3,IF(INDEX(CSD!$AF$4:$AF$1022,MATCH($C546,CSD!$E$4:$E$1022,0))="","",INDEX(CSD!$AF$4:$AF$1022,MATCH($C546,CSD!$E$4:$E$1022,0))),
IF($E546=4,IF(INDEX(CSD!$AK$4:$AK$1022,MATCH($C546,CSD!$E$4:$E$1022,0))="","",INDEX(CSD!$AK$4:$AK$1022,MATCH($C546,CSD!$E$4:$E$1022,0))),
IF($E546=5,IF(INDEX(CSD!$AP$4:$AP$1022,MATCH($C546,CSD!$E$4:$E$1022,0))="","",INDEX(CSD!$AP$4:$AP$1022,MATCH($C546,CSD!$E$4:$E$1022,0))),"")))))))</f>
        <v/>
      </c>
      <c r="J546" s="459" t="str">
        <f>IF(ISNA(MATCH($C546,CSD!$E$4:$E$1022,0)),"",
IF($E546=0,IF(INDEX(CSD!$R$4:$R$1022,MATCH($C546,CSD!$E$4:$E$1022,0))="","",INDEX(CSD!$R$4:$R$1022,MATCH($C546,CSD!$E$4:$E$1022,0))),
IF($E546=1,IF(INDEX(CSD!$W$4:$W$1022,MATCH($C546,CSD!$E$4:$E$1022,0))="","",INDEX(CSD!$W$4:$W$1022,MATCH($C546,CSD!$E$4:$E$1022,0))),
IF($E546=2,IF(INDEX(CSD!$AB$4:$AB$1022,MATCH($C546,CSD!$E$4:$E$1022,0))="","",INDEX(CSD!$AB$4:$AB$1022,MATCH($C546,CSD!$E$4:$E$1022,0))),
IF($E546=3,IF(INDEX(CSD!$AG$4:$AG$1022,MATCH($C546,CSD!$E$4:$E$1022,0))="","",INDEX(CSD!$AG$4:$AG$1022,MATCH($C546,CSD!$E$4:$E$1022,0))),
IF($E546=4,IF(INDEX(CSD!$AL$4:$AL$1022,MATCH($C546,CSD!$E$4:$E$1022,0))="","",INDEX(CSD!$AL$4:$AL$1022,MATCH($C546,CSD!$E$4:$E$1022,0))),
IF($E546=5,IF(INDEX(CSD!$AQ$4:$AQ$1022,MATCH($C546,CSD!$E$4:$E$1022,0))="","",INDEX(CSD!$AQ$4:$AQ$1022,MATCH($C546,CSD!$E$4:$E$1022,0))),"")))))))</f>
        <v/>
      </c>
      <c r="K546" s="459">
        <f>CSD!J38</f>
        <v>0</v>
      </c>
      <c r="L546" s="460" t="e" cm="1">
        <f t="array" aca="1" ref="L546" ca="1">_xlfn.IFS(AND($E546&lt;&gt;"",$M546="Pending",$K546="CTA"),TODAY()-$G546,AND($E546&lt;&gt;"",$M546="Pending",$K546="AUR"),TODAY()-$H546,AND($E546&lt;&gt;"",$M546="Pending",$K546="STT"),TODAY()-$I546,OR(K546="Closed",K546=""),"")</f>
        <v>#N/A</v>
      </c>
      <c r="M546" s="461">
        <f>VLOOKUP(C546,CSD!$E$4:$AC$624,7,0)</f>
        <v>0</v>
      </c>
      <c r="N546" s="454" t="str">
        <f t="shared" si="26"/>
        <v/>
      </c>
      <c r="O546" s="743" t="str">
        <f>CSD!M28</f>
        <v>GC</v>
      </c>
      <c r="P546" s="748" t="str">
        <v>NO</v>
      </c>
    </row>
    <row r="547" spans="1:16" s="385" customFormat="1" ht="24.75" hidden="1" customHeight="1">
      <c r="A547" s="399">
        <v>25</v>
      </c>
      <c r="B547" s="496" t="s">
        <v>1596</v>
      </c>
      <c r="C547" s="497" t="s">
        <v>1672</v>
      </c>
      <c r="D547" s="493" t="str">
        <f>_xlfn.XLOOKUP(C547,CSD!$E$4:$E$1009,CSD!$D$4:$D$1009)</f>
        <v>Level 6 - Combine Ceiling Layout Plan</v>
      </c>
      <c r="E547" s="454" t="str">
        <f>IF(VLOOKUP(C547,CSD!$E$4:$AC$507,5,0)="","",VLOOKUP(C547,CSD!$E$4:$AC$1006,5,0))</f>
        <v/>
      </c>
      <c r="F547" s="457"/>
      <c r="G547" s="459" t="str">
        <f>IF(VLOOKUP(C547,CSD!$E$4:$AC$507,3,0)="","",VLOOKUP(C547,CSD!$E$4:$AC$507,3,0))</f>
        <v/>
      </c>
      <c r="H547" s="459" t="str">
        <f>IF(ISNA(MATCH($C547,CSD!$E$4:$E$1022,0)),"",
IF($E547=0,IF(INDEX(CSD!$P$4:$P$1022,MATCH($C547,CSD!$E$4:$E$1022,0))="","",INDEX(CSD!$P$4:$P$1022,MATCH($C547,CSD!$E$4:$E$1022,0))),
IF($E547=1,IF(INDEX(CSD!$U$4:$U$1022,MATCH($C547,CSD!$E$4:$E$1022,0))="","",INDEX(CSD!$U$4:$U$1022,MATCH($C547,CSD!$E$4:$E$1022,0))),
IF($E547=2,IF(INDEX(CSD!$Z$4:$Z$1022,MATCH($C547,CSD!$E$4:$E$1022,0))="","",INDEX(CSD!$Z$4:$Z$1022,MATCH($C547,CSD!$E$4:$E$1022,0))),
IF($E547=3,IF(INDEX(CSD!$AE$4:$AE$1022,MATCH($C547,CSD!$E$4:$E$1022,0))="","",INDEX(CSD!$AE$4:$AE$1022,MATCH($C547,CSD!$E$4:$E$1022,0))),
IF($E547=4,IF(INDEX(CSD!$AJ$4:$AJ$1022,MATCH($C547,CSD!$E$4:$E$1022,0))="","",INDEX(CSD!$AJ$4:$AJ$1022,MATCH($C547,CSD!$E$4:$E$1022,0))),
IF($E547=5,IF(INDEX(CSD!$AO$4:$AO$1022,MATCH($C547,CSD!$E$4:$E$1022,0))="","",INDEX(CSD!$AO$4:$AO$1022,MATCH($C547,CSD!$E$4:$E$1022,0))),"")))))))</f>
        <v/>
      </c>
      <c r="I547" s="459" t="str">
        <f>IF(ISNA(MATCH($C547,CSD!$E$4:$E$1022,0)),"",
IF($E547=0,IF(INDEX(CSD!$Q$4:$Q$1022,MATCH($C547,CSD!$E$4:$E$1022,0))="","",INDEX(CSD!$Q$4:$Q$1022,MATCH($C547,CSD!$E$4:$E$1022,0))),
IF($E547=1,IF(INDEX(CSD!$V$4:$V$1022,MATCH($C547,CSD!$E$4:$E$1022,0))="","",INDEX(CSD!$V$4:$V$1022,MATCH($C547,CSD!$E$4:$E$1022,0))),
IF($E547=2,IF(INDEX(CSD!$AA$4:$AA$1022,MATCH($C547,CSD!$E$4:$E$1022,0))="","",INDEX(CSD!$AA$4:$AA$1022,MATCH($C547,CSD!$E$4:$E$1022,0))),
IF($E547=3,IF(INDEX(CSD!$AF$4:$AF$1022,MATCH($C547,CSD!$E$4:$E$1022,0))="","",INDEX(CSD!$AF$4:$AF$1022,MATCH($C547,CSD!$E$4:$E$1022,0))),
IF($E547=4,IF(INDEX(CSD!$AK$4:$AK$1022,MATCH($C547,CSD!$E$4:$E$1022,0))="","",INDEX(CSD!$AK$4:$AK$1022,MATCH($C547,CSD!$E$4:$E$1022,0))),
IF($E547=5,IF(INDEX(CSD!$AP$4:$AP$1022,MATCH($C547,CSD!$E$4:$E$1022,0))="","",INDEX(CSD!$AP$4:$AP$1022,MATCH($C547,CSD!$E$4:$E$1022,0))),"")))))))</f>
        <v/>
      </c>
      <c r="J547" s="459" t="str">
        <f>IF(ISNA(MATCH($C547,CSD!$E$4:$E$1022,0)),"",
IF($E547=0,IF(INDEX(CSD!$R$4:$R$1022,MATCH($C547,CSD!$E$4:$E$1022,0))="","",INDEX(CSD!$R$4:$R$1022,MATCH($C547,CSD!$E$4:$E$1022,0))),
IF($E547=1,IF(INDEX(CSD!$W$4:$W$1022,MATCH($C547,CSD!$E$4:$E$1022,0))="","",INDEX(CSD!$W$4:$W$1022,MATCH($C547,CSD!$E$4:$E$1022,0))),
IF($E547=2,IF(INDEX(CSD!$AB$4:$AB$1022,MATCH($C547,CSD!$E$4:$E$1022,0))="","",INDEX(CSD!$AB$4:$AB$1022,MATCH($C547,CSD!$E$4:$E$1022,0))),
IF($E547=3,IF(INDEX(CSD!$AG$4:$AG$1022,MATCH($C547,CSD!$E$4:$E$1022,0))="","",INDEX(CSD!$AG$4:$AG$1022,MATCH($C547,CSD!$E$4:$E$1022,0))),
IF($E547=4,IF(INDEX(CSD!$AL$4:$AL$1022,MATCH($C547,CSD!$E$4:$E$1022,0))="","",INDEX(CSD!$AL$4:$AL$1022,MATCH($C547,CSD!$E$4:$E$1022,0))),
IF($E547=5,IF(INDEX(CSD!$AQ$4:$AQ$1022,MATCH($C547,CSD!$E$4:$E$1022,0))="","",INDEX(CSD!$AQ$4:$AQ$1022,MATCH($C547,CSD!$E$4:$E$1022,0))),"")))))))</f>
        <v/>
      </c>
      <c r="K547" s="459">
        <f>CSD!J39</f>
        <v>0</v>
      </c>
      <c r="L547" s="460" t="e" cm="1">
        <f t="array" aca="1" ref="L547" ca="1">_xlfn.IFS(AND($E547&lt;&gt;"",$M547="Pending",$K547="CTA"),TODAY()-$G547,AND($E547&lt;&gt;"",$M547="Pending",$K547="AUR"),TODAY()-$H547,AND($E547&lt;&gt;"",$M547="Pending",$K547="STT"),TODAY()-$I547,OR(K547="Closed",K547=""),"")</f>
        <v>#N/A</v>
      </c>
      <c r="M547" s="461">
        <f>VLOOKUP(C547,CSD!$E$4:$AC$624,7,0)</f>
        <v>0</v>
      </c>
      <c r="N547" s="454" t="str">
        <f t="shared" si="26"/>
        <v/>
      </c>
      <c r="O547" s="743" t="str">
        <f>CSD!M29</f>
        <v>GC</v>
      </c>
      <c r="P547" s="748" t="str">
        <v>NO</v>
      </c>
    </row>
    <row r="548" spans="1:16" s="385" customFormat="1" ht="24.75" hidden="1" customHeight="1">
      <c r="A548" s="399">
        <v>26</v>
      </c>
      <c r="B548" s="496" t="s">
        <v>1596</v>
      </c>
      <c r="C548" s="497" t="s">
        <v>1675</v>
      </c>
      <c r="D548" s="493" t="str">
        <f>_xlfn.XLOOKUP(C548,CSD!$E$4:$E$1009,CSD!$D$4:$D$1009)</f>
        <v>Level Roof - Combine Ceiling Layout Plan</v>
      </c>
      <c r="E548" s="454" t="str">
        <f>IF(VLOOKUP(C548,CSD!$E$4:$AC$507,5,0)="","",VLOOKUP(C548,CSD!$E$4:$AC$1006,5,0))</f>
        <v/>
      </c>
      <c r="F548" s="457"/>
      <c r="G548" s="459" t="str">
        <f>IF(VLOOKUP(C548,CSD!$E$4:$AC$507,3,0)="","",VLOOKUP(C548,CSD!$E$4:$AC$507,3,0))</f>
        <v/>
      </c>
      <c r="H548" s="459" t="str">
        <f>IF(ISNA(MATCH($C548,CSD!$E$4:$E$1022,0)),"",
IF($E548=0,IF(INDEX(CSD!$P$4:$P$1022,MATCH($C548,CSD!$E$4:$E$1022,0))="","",INDEX(CSD!$P$4:$P$1022,MATCH($C548,CSD!$E$4:$E$1022,0))),
IF($E548=1,IF(INDEX(CSD!$U$4:$U$1022,MATCH($C548,CSD!$E$4:$E$1022,0))="","",INDEX(CSD!$U$4:$U$1022,MATCH($C548,CSD!$E$4:$E$1022,0))),
IF($E548=2,IF(INDEX(CSD!$Z$4:$Z$1022,MATCH($C548,CSD!$E$4:$E$1022,0))="","",INDEX(CSD!$Z$4:$Z$1022,MATCH($C548,CSD!$E$4:$E$1022,0))),
IF($E548=3,IF(INDEX(CSD!$AE$4:$AE$1022,MATCH($C548,CSD!$E$4:$E$1022,0))="","",INDEX(CSD!$AE$4:$AE$1022,MATCH($C548,CSD!$E$4:$E$1022,0))),
IF($E548=4,IF(INDEX(CSD!$AJ$4:$AJ$1022,MATCH($C548,CSD!$E$4:$E$1022,0))="","",INDEX(CSD!$AJ$4:$AJ$1022,MATCH($C548,CSD!$E$4:$E$1022,0))),
IF($E548=5,IF(INDEX(CSD!$AO$4:$AO$1022,MATCH($C548,CSD!$E$4:$E$1022,0))="","",INDEX(CSD!$AO$4:$AO$1022,MATCH($C548,CSD!$E$4:$E$1022,0))),"")))))))</f>
        <v/>
      </c>
      <c r="I548" s="459" t="str">
        <f>IF(ISNA(MATCH($C548,CSD!$E$4:$E$1022,0)),"",
IF($E548=0,IF(INDEX(CSD!$Q$4:$Q$1022,MATCH($C548,CSD!$E$4:$E$1022,0))="","",INDEX(CSD!$Q$4:$Q$1022,MATCH($C548,CSD!$E$4:$E$1022,0))),
IF($E548=1,IF(INDEX(CSD!$V$4:$V$1022,MATCH($C548,CSD!$E$4:$E$1022,0))="","",INDEX(CSD!$V$4:$V$1022,MATCH($C548,CSD!$E$4:$E$1022,0))),
IF($E548=2,IF(INDEX(CSD!$AA$4:$AA$1022,MATCH($C548,CSD!$E$4:$E$1022,0))="","",INDEX(CSD!$AA$4:$AA$1022,MATCH($C548,CSD!$E$4:$E$1022,0))),
IF($E548=3,IF(INDEX(CSD!$AF$4:$AF$1022,MATCH($C548,CSD!$E$4:$E$1022,0))="","",INDEX(CSD!$AF$4:$AF$1022,MATCH($C548,CSD!$E$4:$E$1022,0))),
IF($E548=4,IF(INDEX(CSD!$AK$4:$AK$1022,MATCH($C548,CSD!$E$4:$E$1022,0))="","",INDEX(CSD!$AK$4:$AK$1022,MATCH($C548,CSD!$E$4:$E$1022,0))),
IF($E548=5,IF(INDEX(CSD!$AP$4:$AP$1022,MATCH($C548,CSD!$E$4:$E$1022,0))="","",INDEX(CSD!$AP$4:$AP$1022,MATCH($C548,CSD!$E$4:$E$1022,0))),"")))))))</f>
        <v/>
      </c>
      <c r="J548" s="459" t="str">
        <f>IF(ISNA(MATCH($C548,CSD!$E$4:$E$1022,0)),"",
IF($E548=0,IF(INDEX(CSD!$R$4:$R$1022,MATCH($C548,CSD!$E$4:$E$1022,0))="","",INDEX(CSD!$R$4:$R$1022,MATCH($C548,CSD!$E$4:$E$1022,0))),
IF($E548=1,IF(INDEX(CSD!$W$4:$W$1022,MATCH($C548,CSD!$E$4:$E$1022,0))="","",INDEX(CSD!$W$4:$W$1022,MATCH($C548,CSD!$E$4:$E$1022,0))),
IF($E548=2,IF(INDEX(CSD!$AB$4:$AB$1022,MATCH($C548,CSD!$E$4:$E$1022,0))="","",INDEX(CSD!$AB$4:$AB$1022,MATCH($C548,CSD!$E$4:$E$1022,0))),
IF($E548=3,IF(INDEX(CSD!$AG$4:$AG$1022,MATCH($C548,CSD!$E$4:$E$1022,0))="","",INDEX(CSD!$AG$4:$AG$1022,MATCH($C548,CSD!$E$4:$E$1022,0))),
IF($E548=4,IF(INDEX(CSD!$AL$4:$AL$1022,MATCH($C548,CSD!$E$4:$E$1022,0))="","",INDEX(CSD!$AL$4:$AL$1022,MATCH($C548,CSD!$E$4:$E$1022,0))),
IF($E548=5,IF(INDEX(CSD!$AQ$4:$AQ$1022,MATCH($C548,CSD!$E$4:$E$1022,0))="","",INDEX(CSD!$AQ$4:$AQ$1022,MATCH($C548,CSD!$E$4:$E$1022,0))),"")))))))</f>
        <v/>
      </c>
      <c r="K548" s="459">
        <f>CSD!J40</f>
        <v>0</v>
      </c>
      <c r="L548" s="460" t="e" cm="1">
        <f t="array" aca="1" ref="L548" ca="1">_xlfn.IFS(AND($E548&lt;&gt;"",$M548="Pending",$K548="CTA"),TODAY()-$G548,AND($E548&lt;&gt;"",$M548="Pending",$K548="AUR"),TODAY()-$H548,AND($E548&lt;&gt;"",$M548="Pending",$K548="STT"),TODAY()-$I548,OR(K548="Closed",K548=""),"")</f>
        <v>#N/A</v>
      </c>
      <c r="M548" s="461">
        <f>VLOOKUP(C548,CSD!$E$4:$AC$624,7,0)</f>
        <v>0</v>
      </c>
      <c r="N548" s="454" t="str">
        <f t="shared" si="26"/>
        <v/>
      </c>
      <c r="O548" s="743" t="str">
        <f>CSD!M30</f>
        <v>GC</v>
      </c>
      <c r="P548" s="748" t="str">
        <v>NO</v>
      </c>
    </row>
    <row r="549" spans="1:16" s="385" customFormat="1" ht="24.75" hidden="1" customHeight="1">
      <c r="A549" s="399"/>
      <c r="B549" s="496"/>
      <c r="C549" s="497"/>
      <c r="D549" s="493"/>
      <c r="E549" s="454"/>
      <c r="F549" s="457"/>
      <c r="G549" s="459"/>
      <c r="H549" s="459"/>
      <c r="I549" s="459"/>
      <c r="J549" s="459"/>
      <c r="K549" s="459"/>
      <c r="L549" s="460"/>
      <c r="M549" s="461"/>
      <c r="N549" s="454"/>
      <c r="O549" s="743"/>
      <c r="P549" s="748" t="str">
        <v>NO</v>
      </c>
    </row>
    <row r="550" spans="1:16" s="385" customFormat="1" ht="24.75" hidden="1" customHeight="1">
      <c r="A550" s="399"/>
      <c r="B550" s="496"/>
      <c r="C550" s="497"/>
      <c r="D550" s="493"/>
      <c r="E550" s="454"/>
      <c r="F550" s="457"/>
      <c r="G550" s="459"/>
      <c r="H550" s="459"/>
      <c r="I550" s="459"/>
      <c r="J550" s="459"/>
      <c r="K550" s="459"/>
      <c r="L550" s="460"/>
      <c r="M550" s="461"/>
      <c r="N550" s="454"/>
      <c r="O550" s="743"/>
      <c r="P550" s="748"/>
    </row>
    <row r="551" spans="1:16" s="385" customFormat="1" ht="24.75" hidden="1" customHeight="1">
      <c r="A551" s="399"/>
      <c r="B551" s="496"/>
      <c r="C551" s="497"/>
      <c r="D551" s="493"/>
      <c r="E551" s="454"/>
      <c r="F551" s="457"/>
      <c r="G551" s="459"/>
      <c r="H551" s="459"/>
      <c r="I551" s="459"/>
      <c r="J551" s="459"/>
      <c r="K551" s="459"/>
      <c r="L551" s="460"/>
      <c r="M551" s="461"/>
      <c r="N551" s="454"/>
      <c r="O551" s="743"/>
      <c r="P551" s="748"/>
    </row>
    <row r="552" spans="1:16" ht="15" customHeight="1">
      <c r="N552" s="449"/>
    </row>
    <row r="559" spans="1:16" ht="15" customHeight="1">
      <c r="F559" s="464"/>
    </row>
  </sheetData>
  <autoFilter ref="A2:W551" xr:uid="{7F698B69-0ED2-4585-BFEA-5D04E2DA21ED}">
    <filterColumn colId="7" showButton="0"/>
    <filterColumn colId="8" showButton="0"/>
    <filterColumn colId="12">
      <filters>
        <filter val="Pending"/>
      </filters>
    </filterColumn>
  </autoFilter>
  <mergeCells count="20">
    <mergeCell ref="B114:B117"/>
    <mergeCell ref="A114:A117"/>
    <mergeCell ref="J114:J117"/>
    <mergeCell ref="K114:K117"/>
    <mergeCell ref="E114:E117"/>
    <mergeCell ref="F114:F117"/>
    <mergeCell ref="H114:H117"/>
    <mergeCell ref="I114:I117"/>
    <mergeCell ref="C114:C117"/>
    <mergeCell ref="P2:P3"/>
    <mergeCell ref="P114:P117"/>
    <mergeCell ref="O2:O3"/>
    <mergeCell ref="H2:J2"/>
    <mergeCell ref="K2:K3"/>
    <mergeCell ref="L2:L3"/>
    <mergeCell ref="M2:M3"/>
    <mergeCell ref="N2:N3"/>
    <mergeCell ref="L114:L117"/>
    <mergeCell ref="M114:M117"/>
    <mergeCell ref="N114:N117"/>
  </mergeCells>
  <phoneticPr fontId="11" type="noConversion"/>
  <conditionalFormatting sqref="C5:C89 C91:C114 C351:C406 C408:C424 C427:C445 C448:C498 C501:C521 C523:C551 C118:C349">
    <cfRule type="expression" dxfId="36" priority="38">
      <formula>$I5="AUR"</formula>
    </cfRule>
    <cfRule type="expression" dxfId="35" priority="39">
      <formula>$I5="SYG"</formula>
    </cfRule>
    <cfRule type="expression" dxfId="34" priority="40">
      <formula>$I5="GAA"</formula>
    </cfRule>
  </conditionalFormatting>
  <conditionalFormatting sqref="C425">
    <cfRule type="expression" dxfId="33" priority="43">
      <formula>$I426="AUR"</formula>
    </cfRule>
    <cfRule type="expression" dxfId="32" priority="44">
      <formula>$I426="SYG"</formula>
    </cfRule>
    <cfRule type="expression" dxfId="31" priority="45">
      <formula>$I426="GAA"</formula>
    </cfRule>
  </conditionalFormatting>
  <conditionalFormatting sqref="C426">
    <cfRule type="expression" dxfId="30" priority="46">
      <formula>#REF!="AUR"</formula>
    </cfRule>
    <cfRule type="expression" dxfId="29" priority="47">
      <formula>#REF!="SYG"</formula>
    </cfRule>
    <cfRule type="expression" dxfId="28" priority="48">
      <formula>#REF!="GAA"</formula>
    </cfRule>
  </conditionalFormatting>
  <conditionalFormatting sqref="D87:D88">
    <cfRule type="expression" dxfId="27" priority="28">
      <formula>$J87="AUR"</formula>
    </cfRule>
    <cfRule type="expression" dxfId="26" priority="29">
      <formula>$J87="CTA"</formula>
    </cfRule>
    <cfRule type="expression" dxfId="25" priority="30">
      <formula>$J87="GAA"</formula>
    </cfRule>
  </conditionalFormatting>
  <conditionalFormatting sqref="F98">
    <cfRule type="expression" dxfId="24" priority="31">
      <formula>$J98="AUR"</formula>
    </cfRule>
    <cfRule type="expression" dxfId="23" priority="32">
      <formula>$J98="CTA"</formula>
    </cfRule>
    <cfRule type="expression" dxfId="22" priority="33">
      <formula>$J98="GAA"</formula>
    </cfRule>
  </conditionalFormatting>
  <conditionalFormatting sqref="M4 M6:M49">
    <cfRule type="expression" dxfId="21" priority="21">
      <formula>$M1048148="Pending"</formula>
    </cfRule>
  </conditionalFormatting>
  <conditionalFormatting sqref="M6:M551">
    <cfRule type="expression" dxfId="20" priority="20">
      <formula>$M6="Pending"</formula>
    </cfRule>
  </conditionalFormatting>
  <conditionalFormatting sqref="N5 N352 N409:N446 N448:N499 N501:N521 N523:N551">
    <cfRule type="expression" dxfId="19" priority="41">
      <formula>$N5="Medium"</formula>
    </cfRule>
  </conditionalFormatting>
  <conditionalFormatting sqref="N5:N114 O90:P90 O350:P350 O407:P407 O447:P447 O500:P500 O522:P522 N118:N551">
    <cfRule type="expression" dxfId="18" priority="42">
      <formula>$N5="High"</formula>
    </cfRule>
  </conditionalFormatting>
  <conditionalFormatting sqref="N5:N114 O90:P90 O350:P350 O407:P407 O447:P447 O500:P500 O522:P522 N118:N551">
    <cfRule type="expression" dxfId="17" priority="34">
      <formula>$N5="Overdue"</formula>
    </cfRule>
  </conditionalFormatting>
  <conditionalFormatting sqref="M5">
    <cfRule type="expression" dxfId="16" priority="3">
      <formula>$J5="AUR"</formula>
    </cfRule>
  </conditionalFormatting>
  <conditionalFormatting sqref="M5">
    <cfRule type="expression" dxfId="15" priority="19">
      <formula>$J5="GAA"</formula>
    </cfRule>
  </conditionalFormatting>
  <conditionalFormatting sqref="M5">
    <cfRule type="expression" dxfId="14" priority="13">
      <formula>$J5="GAA"</formula>
    </cfRule>
  </conditionalFormatting>
  <conditionalFormatting sqref="M5">
    <cfRule type="expression" dxfId="13" priority="4">
      <formula>$J5="AUR"</formula>
    </cfRule>
    <cfRule type="expression" dxfId="12" priority="5">
      <formula>$J5="GAA"</formula>
    </cfRule>
  </conditionalFormatting>
  <conditionalFormatting sqref="M5">
    <cfRule type="expression" dxfId="11" priority="7">
      <formula>$J5="GAA"</formula>
    </cfRule>
  </conditionalFormatting>
  <conditionalFormatting sqref="M5">
    <cfRule type="expression" dxfId="10" priority="6">
      <formula>$J5="AUR"</formula>
    </cfRule>
  </conditionalFormatting>
  <conditionalFormatting sqref="M5">
    <cfRule type="expression" dxfId="9" priority="8">
      <formula>$K5="Pending"</formula>
    </cfRule>
    <cfRule type="expression" dxfId="8" priority="11">
      <formula>$K5="Pending"</formula>
    </cfRule>
  </conditionalFormatting>
  <conditionalFormatting sqref="M5">
    <cfRule type="expression" dxfId="7" priority="2">
      <formula>$K5="Pending"</formula>
    </cfRule>
  </conditionalFormatting>
  <conditionalFormatting sqref="M5">
    <cfRule type="expression" dxfId="6" priority="17">
      <formula>SUMPRODUCT(($K5="A")+($K5="B"))</formula>
    </cfRule>
    <cfRule type="expression" dxfId="5" priority="18">
      <formula>$K5="Pending"</formula>
    </cfRule>
  </conditionalFormatting>
  <conditionalFormatting sqref="M5">
    <cfRule type="expression" dxfId="4" priority="14">
      <formula>SUMPRODUCT(($K5="A")+($K5="B"))</formula>
    </cfRule>
  </conditionalFormatting>
  <conditionalFormatting sqref="M5">
    <cfRule type="expression" dxfId="3" priority="12">
      <formula>$J5="CTA"</formula>
    </cfRule>
  </conditionalFormatting>
  <conditionalFormatting sqref="M5:M551">
    <cfRule type="expression" dxfId="2" priority="1">
      <formula>SUMPRODUCT(($M5="A")+($M5="B"))</formula>
    </cfRule>
    <cfRule type="expression" dxfId="1" priority="9">
      <formula>SUMPRODUCT(($K5="A")+($K5="B"))</formula>
    </cfRule>
    <cfRule type="expression" dxfId="0" priority="16" stopIfTrue="1">
      <formula>SUMPRODUCT(($D5&lt;&gt;"")*($M5="")+($M5="C"))</formula>
    </cfRule>
  </conditionalFormatting>
  <dataValidations count="1">
    <dataValidation type="list" allowBlank="1" showInputMessage="1" showErrorMessage="1" sqref="M5" xr:uid="{E5ACF865-C2F1-45DD-BA6C-B69FCC1CD4E4}">
      <formula1>"A,B,C,Pending,"</formula1>
    </dataValidation>
  </dataValidations>
  <printOptions horizontalCentered="1"/>
  <pageMargins left="0.25" right="0.25" top="0.75" bottom="0.75" header="0.3" footer="0.3"/>
  <pageSetup paperSize="8" scale="80" fitToWidth="0" fitToHeight="0" orientation="landscape" r:id="rId1"/>
  <headerFooter>
    <oddHeader>&amp;L&amp;G&amp;C&amp;20Project Terra BKK 2 Shop Drawing Approval Submission List</oddHeader>
    <oddFooter>&amp;L&amp;D&amp;RPage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698164F9A2B4D8F705BD43B0AE6EA" ma:contentTypeVersion="15" ma:contentTypeDescription="Create a new document." ma:contentTypeScope="" ma:versionID="5835774351e7b0676c3599e160a63176">
  <xsd:schema xmlns:xsd="http://www.w3.org/2001/XMLSchema" xmlns:xs="http://www.w3.org/2001/XMLSchema" xmlns:p="http://schemas.microsoft.com/office/2006/metadata/properties" xmlns:ns2="3a706f9f-819a-4be6-9c85-4c6e3ac78421" xmlns:ns3="2d5d47d3-606b-40af-a4fd-90ad21539f65" targetNamespace="http://schemas.microsoft.com/office/2006/metadata/properties" ma:root="true" ma:fieldsID="8b84400ce8b01f6d5ba87d9ebb500850" ns2:_="" ns3:_="">
    <xsd:import namespace="3a706f9f-819a-4be6-9c85-4c6e3ac78421"/>
    <xsd:import namespace="2d5d47d3-606b-40af-a4fd-90ad21539f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x004c_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06f9f-819a-4be6-9c85-4c6e3ac784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854101d-3aac-44d5-9457-6da754d685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4c_6" ma:index="22" nillable="true" ma:displayName="L6,7&amp;8" ma:format="Dropdown" ma:internalName="_x004c_6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47d3-606b-40af-a4fd-90ad21539f6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b605d0b-02fe-4f8d-aa23-8c1cec636e2e}" ma:internalName="TaxCatchAll" ma:showField="CatchAllData" ma:web="2d5d47d3-606b-40af-a4fd-90ad21539f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4c_6 xmlns="3a706f9f-819a-4be6-9c85-4c6e3ac78421" xsi:nil="true"/>
    <lcf76f155ced4ddcb4097134ff3c332f xmlns="3a706f9f-819a-4be6-9c85-4c6e3ac78421">
      <Terms xmlns="http://schemas.microsoft.com/office/infopath/2007/PartnerControls"/>
    </lcf76f155ced4ddcb4097134ff3c332f>
    <TaxCatchAll xmlns="2d5d47d3-606b-40af-a4fd-90ad21539f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C502D2-0AFA-4AC7-A769-087A082DF6FB}"/>
</file>

<file path=customXml/itemProps2.xml><?xml version="1.0" encoding="utf-8"?>
<ds:datastoreItem xmlns:ds="http://schemas.openxmlformats.org/officeDocument/2006/customXml" ds:itemID="{5A343FC2-E7BF-4192-B83D-4DF63D70A5DB}"/>
</file>

<file path=customXml/itemProps3.xml><?xml version="1.0" encoding="utf-8"?>
<ds:datastoreItem xmlns:ds="http://schemas.openxmlformats.org/officeDocument/2006/customXml" ds:itemID="{8C1A476E-053B-4613-A380-4B1CC2A0C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AL-Lenovo</dc:creator>
  <cp:keywords/>
  <dc:description/>
  <cp:lastModifiedBy>Weera Luangdang</cp:lastModifiedBy>
  <cp:revision/>
  <dcterms:created xsi:type="dcterms:W3CDTF">2017-05-26T08:55:39Z</dcterms:created>
  <dcterms:modified xsi:type="dcterms:W3CDTF">2026-02-13T03:11:41Z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0x010100C62698164F9A2B4D8F705BD43B0AE6EA</vt:lpwstr>
  </property>
  <property fmtid="{D5CDD505-2E9C-101B-9397-08002B2CF9AE}" pid="3" name="Order">
    <vt:r8>143000</vt:r8>
  </property>
  <property fmtid="{D5CDD505-2E9C-101B-9397-08002B2CF9AE}" pid="4" name="xd_ProgID">
    <vt:lpwstr/>
  </property>
  <property fmtid="{D5CDD505-2E9C-101B-9397-08002B2CF9AE}" pid="5" name="MediaServiceImageTags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xd_Signature">
    <vt:bool>false</vt:bool>
  </property>
</Properties>
</file>