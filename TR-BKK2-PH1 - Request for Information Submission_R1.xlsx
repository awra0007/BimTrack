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rawut Wiangin\Downloads\"/>
    </mc:Choice>
  </mc:AlternateContent>
  <xr:revisionPtr revIDLastSave="0" documentId="13_ncr:1_{46625D61-921D-4149-8BF2-0821C5E33F8D}" xr6:coauthVersionLast="47" xr6:coauthVersionMax="47" xr10:uidLastSave="{00000000-0000-0000-0000-000000000000}"/>
  <bookViews>
    <workbookView xWindow="-108" yWindow="-108" windowWidth="23256" windowHeight="12456" activeTab="8" xr2:uid="{8607A3AA-6153-46AD-8D67-7BB4313CEAA9}"/>
  </bookViews>
  <sheets>
    <sheet name="Overview" sheetId="19" r:id="rId1"/>
    <sheet name="Summary" sheetId="28" r:id="rId2"/>
    <sheet name="ST" sheetId="8" state="veryHidden" r:id="rId3"/>
    <sheet name="AR" sheetId="1" state="veryHidden" r:id="rId4"/>
    <sheet name="EL" sheetId="22" state="veryHidden" r:id="rId5"/>
    <sheet name="FI" sheetId="24" state="veryHidden" r:id="rId6"/>
    <sheet name="ME" sheetId="23" state="veryHidden" r:id="rId7"/>
    <sheet name="HY" sheetId="25" state="veryHidden" r:id="rId8"/>
    <sheet name="Priority " sheetId="27" r:id="rId9"/>
  </sheets>
  <externalReferences>
    <externalReference r:id="rId10"/>
    <externalReference r:id="rId11"/>
  </externalReferences>
  <definedNames>
    <definedName name="_xlnm._FilterDatabase" localSheetId="3" hidden="1">AR!$A$3:$AA$46</definedName>
    <definedName name="_xlnm._FilterDatabase" localSheetId="4" hidden="1">EL!$A$3:$AB$22</definedName>
    <definedName name="_xlnm._FilterDatabase" localSheetId="5" hidden="1">FI!$A$3:$AB$13</definedName>
    <definedName name="_xlnm._FilterDatabase" localSheetId="7" hidden="1">HY!$A$3:$AB$8</definedName>
    <definedName name="_xlnm._FilterDatabase" localSheetId="6" hidden="1">ME!$A$3:$AB$23</definedName>
    <definedName name="_xlnm._FilterDatabase" localSheetId="8" hidden="1">'Priority '!$A$4:$O$173</definedName>
    <definedName name="_xlnm._FilterDatabase" localSheetId="2" hidden="1">ST!$A$1:$AA$17</definedName>
    <definedName name="_xlnm.Print_Area" localSheetId="3">AR!$A$1:$AA$44</definedName>
    <definedName name="_xlnm.Print_Area" localSheetId="4">EL!$A$1:$AB$22</definedName>
    <definedName name="_xlnm.Print_Area" localSheetId="5">FI!$A$1:$AB$25</definedName>
    <definedName name="_xlnm.Print_Area" localSheetId="7">HY!$A$1:$AB$21</definedName>
    <definedName name="_xlnm.Print_Area" localSheetId="6">ME!$A$1:$AB$60</definedName>
    <definedName name="_xlnm.Print_Area" localSheetId="0">Overview!$A$1:$AJ$65</definedName>
    <definedName name="_xlnm.Print_Area" localSheetId="8">'Priority '!$A$1:$O$173</definedName>
    <definedName name="_xlnm.Print_Area" localSheetId="2">ST!$A$1:$AA$17</definedName>
    <definedName name="_xlnm.Print_Area" localSheetId="1">Summary!$A$1:$V$134</definedName>
    <definedName name="_xlnm.Print_Titles" localSheetId="3">AR!$1:$3</definedName>
    <definedName name="_xlnm.Print_Titles" localSheetId="4">EL!$1:$3</definedName>
    <definedName name="_xlnm.Print_Titles" localSheetId="5">FI!$1:$3</definedName>
    <definedName name="_xlnm.Print_Titles" localSheetId="7">HY!$1:$3</definedName>
    <definedName name="_xlnm.Print_Titles" localSheetId="6">ME!$1:$3</definedName>
    <definedName name="_xlnm.Print_Titles" localSheetId="8">'Priority '!$2:$3</definedName>
    <definedName name="_xlnm.Print_Titles" localSheetId="2">ST!$1:$3</definedName>
    <definedName name="_xlnm.Print_Titles" localSheetId="1">Summary!$1:$2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22" l="1"/>
  <c r="G55" i="22"/>
  <c r="M96" i="27"/>
  <c r="M97" i="27"/>
  <c r="M98" i="27"/>
  <c r="M99" i="27"/>
  <c r="M100" i="27"/>
  <c r="M101" i="27"/>
  <c r="M102" i="27"/>
  <c r="M103" i="27"/>
  <c r="M104" i="27"/>
  <c r="K96" i="27"/>
  <c r="K97" i="27"/>
  <c r="K98" i="27"/>
  <c r="K99" i="27"/>
  <c r="K100" i="27"/>
  <c r="K101" i="27"/>
  <c r="K102" i="27"/>
  <c r="K103" i="27"/>
  <c r="K104" i="27"/>
  <c r="J104" i="27"/>
  <c r="J95" i="27"/>
  <c r="J96" i="27"/>
  <c r="J97" i="27"/>
  <c r="J98" i="27"/>
  <c r="J99" i="27"/>
  <c r="J100" i="27"/>
  <c r="J101" i="27"/>
  <c r="J102" i="27"/>
  <c r="J103" i="27"/>
  <c r="I95" i="27"/>
  <c r="I96" i="27"/>
  <c r="I97" i="27"/>
  <c r="I98" i="27"/>
  <c r="I99" i="27"/>
  <c r="I100" i="27"/>
  <c r="I101" i="27"/>
  <c r="I102" i="27"/>
  <c r="I103" i="27"/>
  <c r="I104" i="27"/>
  <c r="H98" i="27"/>
  <c r="H99" i="27"/>
  <c r="H100" i="27"/>
  <c r="H101" i="27"/>
  <c r="H102" i="27"/>
  <c r="H103" i="27"/>
  <c r="H104" i="27"/>
  <c r="G97" i="27"/>
  <c r="G98" i="27"/>
  <c r="G99" i="27"/>
  <c r="G100" i="27"/>
  <c r="G101" i="27"/>
  <c r="G102" i="27"/>
  <c r="G103" i="27"/>
  <c r="G104" i="27"/>
  <c r="E98" i="27"/>
  <c r="E99" i="27"/>
  <c r="L99" i="27" s="1" a="1"/>
  <c r="L99" i="27" s="1"/>
  <c r="N99" i="27" s="1"/>
  <c r="E100" i="27"/>
  <c r="L100" i="27" s="1" a="1"/>
  <c r="L100" i="27" s="1"/>
  <c r="N100" i="27" s="1"/>
  <c r="E101" i="27"/>
  <c r="L101" i="27" s="1" a="1"/>
  <c r="L101" i="27" s="1"/>
  <c r="N101" i="27" s="1"/>
  <c r="E102" i="27"/>
  <c r="E103" i="27"/>
  <c r="E104" i="27"/>
  <c r="D100" i="27"/>
  <c r="D101" i="27"/>
  <c r="D102" i="27"/>
  <c r="D103" i="27"/>
  <c r="D104" i="27"/>
  <c r="A56" i="22"/>
  <c r="A57" i="22"/>
  <c r="G54" i="22"/>
  <c r="G53" i="22"/>
  <c r="G52" i="22"/>
  <c r="J169" i="27"/>
  <c r="M169" i="27"/>
  <c r="K169" i="27"/>
  <c r="H166" i="27"/>
  <c r="I166" i="27"/>
  <c r="J166" i="27"/>
  <c r="K166" i="27"/>
  <c r="M166" i="27"/>
  <c r="H167" i="27"/>
  <c r="I167" i="27"/>
  <c r="J167" i="27"/>
  <c r="K167" i="27"/>
  <c r="M167" i="27"/>
  <c r="N167" i="27" s="1"/>
  <c r="M94" i="27"/>
  <c r="M95" i="27"/>
  <c r="K94" i="27"/>
  <c r="K95" i="27"/>
  <c r="I94" i="27"/>
  <c r="G94" i="27"/>
  <c r="G95" i="27"/>
  <c r="G96" i="27"/>
  <c r="E96" i="27"/>
  <c r="E97" i="27"/>
  <c r="D96" i="27"/>
  <c r="D97" i="27"/>
  <c r="D98" i="27"/>
  <c r="D99" i="27"/>
  <c r="G27" i="23"/>
  <c r="G26" i="23"/>
  <c r="G50" i="22"/>
  <c r="G12" i="25"/>
  <c r="G49" i="22"/>
  <c r="G48" i="22"/>
  <c r="K164" i="27"/>
  <c r="G165" i="27"/>
  <c r="I165" i="27"/>
  <c r="J165" i="27"/>
  <c r="K165" i="27"/>
  <c r="M165" i="27"/>
  <c r="G166" i="27"/>
  <c r="G167" i="27"/>
  <c r="I156" i="27"/>
  <c r="J156" i="27"/>
  <c r="K156" i="27"/>
  <c r="M156" i="27"/>
  <c r="I157" i="27"/>
  <c r="J157" i="27"/>
  <c r="K157" i="27"/>
  <c r="M157" i="27"/>
  <c r="I158" i="27"/>
  <c r="J158" i="27"/>
  <c r="K158" i="27"/>
  <c r="M158" i="27"/>
  <c r="I159" i="27"/>
  <c r="J159" i="27"/>
  <c r="K159" i="27"/>
  <c r="M159" i="27"/>
  <c r="I160" i="27"/>
  <c r="J160" i="27"/>
  <c r="K160" i="27"/>
  <c r="M160" i="27"/>
  <c r="I161" i="27"/>
  <c r="J161" i="27"/>
  <c r="K161" i="27"/>
  <c r="M161" i="27"/>
  <c r="I162" i="27"/>
  <c r="J162" i="27"/>
  <c r="K162" i="27"/>
  <c r="M162" i="27"/>
  <c r="I163" i="27"/>
  <c r="J163" i="27"/>
  <c r="K163" i="27"/>
  <c r="M163" i="27"/>
  <c r="I164" i="27"/>
  <c r="J164" i="27"/>
  <c r="M164" i="27"/>
  <c r="H170" i="27"/>
  <c r="H171" i="27"/>
  <c r="G169" i="27"/>
  <c r="G4" i="8"/>
  <c r="J148" i="27"/>
  <c r="J149" i="27"/>
  <c r="J150" i="27"/>
  <c r="J151" i="27"/>
  <c r="J152" i="27"/>
  <c r="J153" i="27"/>
  <c r="J154" i="27"/>
  <c r="J155" i="27"/>
  <c r="J143" i="27"/>
  <c r="J144" i="27"/>
  <c r="J145" i="27"/>
  <c r="I144" i="27"/>
  <c r="B85" i="28"/>
  <c r="C85" i="28" a="1"/>
  <c r="C85" i="28" s="1"/>
  <c r="D85" i="28" a="1"/>
  <c r="D85" i="28" s="1"/>
  <c r="E85" i="28" a="1"/>
  <c r="E85" i="28" s="1"/>
  <c r="B86" i="28"/>
  <c r="C86" i="28" a="1"/>
  <c r="C86" i="28" s="1"/>
  <c r="D86" i="28" a="1"/>
  <c r="D86" i="28" s="1"/>
  <c r="E86" i="28" a="1"/>
  <c r="E86" i="28" s="1"/>
  <c r="B87" i="28"/>
  <c r="C87" i="28" a="1"/>
  <c r="C87" i="28" s="1"/>
  <c r="D87" i="28" a="1"/>
  <c r="D87" i="28" s="1"/>
  <c r="E87" i="28" a="1"/>
  <c r="E87" i="28" s="1"/>
  <c r="B88" i="28"/>
  <c r="C88" i="28" a="1"/>
  <c r="C88" i="28" s="1"/>
  <c r="D88" i="28" a="1"/>
  <c r="D88" i="28" s="1"/>
  <c r="E88" i="28" a="1"/>
  <c r="E88" i="28" s="1"/>
  <c r="B69" i="28"/>
  <c r="C69" i="28" a="1"/>
  <c r="C69" i="28" s="1"/>
  <c r="D69" i="28" a="1"/>
  <c r="D69" i="28" s="1"/>
  <c r="E69" i="28" a="1"/>
  <c r="E69" i="28" s="1"/>
  <c r="B70" i="28"/>
  <c r="C70" i="28" a="1"/>
  <c r="C70" i="28" s="1"/>
  <c r="D70" i="28" a="1"/>
  <c r="D70" i="28" s="1"/>
  <c r="E70" i="28" a="1"/>
  <c r="E70" i="28" s="1"/>
  <c r="B71" i="28"/>
  <c r="C71" i="28" a="1"/>
  <c r="C71" i="28" s="1"/>
  <c r="D71" i="28" a="1"/>
  <c r="D71" i="28" s="1"/>
  <c r="E71" i="28" a="1"/>
  <c r="E71" i="28" s="1"/>
  <c r="B72" i="28"/>
  <c r="C72" i="28" a="1"/>
  <c r="C72" i="28" s="1"/>
  <c r="D72" i="28" a="1"/>
  <c r="D72" i="28" s="1"/>
  <c r="E72" i="28" a="1"/>
  <c r="E72" i="28" s="1"/>
  <c r="B48" i="28"/>
  <c r="C48" i="28" a="1"/>
  <c r="C48" i="28" s="1"/>
  <c r="D48" i="28" a="1"/>
  <c r="D48" i="28" s="1"/>
  <c r="E48" i="28" a="1"/>
  <c r="E48" i="28" s="1"/>
  <c r="B49" i="28"/>
  <c r="C49" i="28" a="1"/>
  <c r="C49" i="28" s="1"/>
  <c r="D49" i="28" a="1"/>
  <c r="D49" i="28" s="1"/>
  <c r="E49" i="28" a="1"/>
  <c r="E49" i="28" s="1"/>
  <c r="B50" i="28"/>
  <c r="C50" i="28" a="1"/>
  <c r="C50" i="28" s="1"/>
  <c r="D50" i="28" a="1"/>
  <c r="D50" i="28" s="1"/>
  <c r="E50" i="28" a="1"/>
  <c r="E50" i="28" s="1"/>
  <c r="B51" i="28"/>
  <c r="C51" i="28" a="1"/>
  <c r="C51" i="28" s="1"/>
  <c r="D51" i="28" a="1"/>
  <c r="D51" i="28" s="1"/>
  <c r="E51" i="28" a="1"/>
  <c r="E51" i="28" s="1"/>
  <c r="B32" i="28"/>
  <c r="C32" i="28" a="1"/>
  <c r="C32" i="28" s="1"/>
  <c r="D32" i="28" a="1"/>
  <c r="D32" i="28"/>
  <c r="E32" i="28" a="1"/>
  <c r="E32" i="28" s="1"/>
  <c r="B33" i="28"/>
  <c r="C33" i="28" a="1"/>
  <c r="C33" i="28" s="1"/>
  <c r="D33" i="28" a="1"/>
  <c r="D33" i="28" s="1"/>
  <c r="E33" i="28" a="1"/>
  <c r="E33" i="28" s="1"/>
  <c r="B34" i="28"/>
  <c r="C34" i="28" a="1"/>
  <c r="C34" i="28" s="1"/>
  <c r="D34" i="28" a="1"/>
  <c r="D34" i="28" s="1"/>
  <c r="E34" i="28" a="1"/>
  <c r="E34" i="28" s="1"/>
  <c r="B35" i="28"/>
  <c r="C35" i="28" a="1"/>
  <c r="C35" i="28" s="1"/>
  <c r="D35" i="28" a="1"/>
  <c r="D35" i="28" s="1"/>
  <c r="E35" i="28" a="1"/>
  <c r="E35" i="28" s="1"/>
  <c r="B15" i="28"/>
  <c r="C15" i="28" a="1"/>
  <c r="C15" i="28" s="1"/>
  <c r="D15" i="28" a="1"/>
  <c r="D15" i="28" s="1"/>
  <c r="E15" i="28" a="1"/>
  <c r="E15" i="28" s="1"/>
  <c r="B16" i="28"/>
  <c r="C16" i="28" a="1"/>
  <c r="C16" i="28" s="1"/>
  <c r="D16" i="28" a="1"/>
  <c r="D16" i="28" s="1"/>
  <c r="E16" i="28" a="1"/>
  <c r="E16" i="28" s="1"/>
  <c r="B17" i="28"/>
  <c r="C17" i="28" a="1"/>
  <c r="C17" i="28" s="1"/>
  <c r="D17" i="28" a="1"/>
  <c r="D17" i="28" s="1"/>
  <c r="E17" i="28" a="1"/>
  <c r="E17" i="28" s="1"/>
  <c r="B18" i="28"/>
  <c r="C18" i="28" a="1"/>
  <c r="C18" i="28" s="1"/>
  <c r="D18" i="28" a="1"/>
  <c r="D18" i="28" s="1"/>
  <c r="E18" i="28" a="1"/>
  <c r="E18" i="28" s="1"/>
  <c r="A14" i="25"/>
  <c r="G25" i="23"/>
  <c r="M42" i="27"/>
  <c r="M47" i="27"/>
  <c r="M48" i="27"/>
  <c r="M46" i="27"/>
  <c r="M45" i="27"/>
  <c r="G45" i="27"/>
  <c r="J45" i="27"/>
  <c r="K45" i="27"/>
  <c r="G46" i="27"/>
  <c r="J46" i="27"/>
  <c r="K46" i="27"/>
  <c r="G47" i="27"/>
  <c r="H47" i="27"/>
  <c r="I47" i="27"/>
  <c r="J47" i="27"/>
  <c r="K47" i="27"/>
  <c r="M44" i="27"/>
  <c r="G44" i="27"/>
  <c r="J44" i="27"/>
  <c r="K44" i="27"/>
  <c r="G24" i="23"/>
  <c r="G23" i="23"/>
  <c r="M40" i="27"/>
  <c r="M41" i="27"/>
  <c r="M43" i="27"/>
  <c r="A6" i="27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M89" i="27"/>
  <c r="M90" i="27"/>
  <c r="M91" i="27"/>
  <c r="M92" i="27"/>
  <c r="M93" i="27"/>
  <c r="K89" i="27"/>
  <c r="K90" i="27"/>
  <c r="K91" i="27"/>
  <c r="K92" i="27"/>
  <c r="K93" i="27"/>
  <c r="J91" i="27"/>
  <c r="J92" i="27"/>
  <c r="J93" i="27"/>
  <c r="J94" i="27"/>
  <c r="I90" i="27"/>
  <c r="I91" i="27"/>
  <c r="I92" i="27"/>
  <c r="I93" i="27"/>
  <c r="H90" i="27"/>
  <c r="H92" i="27"/>
  <c r="E94" i="27"/>
  <c r="E95" i="27"/>
  <c r="D94" i="27"/>
  <c r="D95" i="27"/>
  <c r="A52" i="27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D47" i="27"/>
  <c r="D48" i="27"/>
  <c r="K43" i="27"/>
  <c r="J42" i="27"/>
  <c r="J43" i="27"/>
  <c r="G48" i="27"/>
  <c r="E45" i="27"/>
  <c r="I45" i="27" s="1"/>
  <c r="E46" i="27"/>
  <c r="I46" i="27" s="1"/>
  <c r="E47" i="27"/>
  <c r="E48" i="27"/>
  <c r="D45" i="27"/>
  <c r="D46" i="27"/>
  <c r="K48" i="27"/>
  <c r="H48" i="27"/>
  <c r="I48" i="27"/>
  <c r="J48" i="27"/>
  <c r="E44" i="27"/>
  <c r="D44" i="27"/>
  <c r="M88" i="27"/>
  <c r="M106" i="27"/>
  <c r="N106" i="27" s="1"/>
  <c r="K88" i="27"/>
  <c r="K106" i="27"/>
  <c r="J88" i="27"/>
  <c r="J89" i="27"/>
  <c r="J90" i="27"/>
  <c r="J106" i="27"/>
  <c r="I88" i="27"/>
  <c r="I89" i="27"/>
  <c r="I106" i="27"/>
  <c r="H89" i="27"/>
  <c r="G88" i="27"/>
  <c r="G89" i="27"/>
  <c r="G90" i="27"/>
  <c r="G91" i="27"/>
  <c r="G92" i="27"/>
  <c r="G93" i="27"/>
  <c r="G106" i="27"/>
  <c r="E88" i="27"/>
  <c r="H88" i="27" s="1"/>
  <c r="E89" i="27"/>
  <c r="E90" i="27"/>
  <c r="E91" i="27"/>
  <c r="E92" i="27"/>
  <c r="E93" i="27"/>
  <c r="D89" i="27"/>
  <c r="D90" i="27"/>
  <c r="D91" i="27"/>
  <c r="D92" i="27"/>
  <c r="D93" i="27"/>
  <c r="G46" i="22"/>
  <c r="G45" i="1"/>
  <c r="G44" i="1"/>
  <c r="B14" i="28"/>
  <c r="G47" i="22"/>
  <c r="A38" i="22"/>
  <c r="A39" i="22" s="1"/>
  <c r="A40" i="22" s="1"/>
  <c r="A41" i="22" s="1"/>
  <c r="A42" i="22" s="1"/>
  <c r="A43" i="22" s="1"/>
  <c r="A44" i="22" s="1"/>
  <c r="K42" i="27"/>
  <c r="G43" i="27"/>
  <c r="E43" i="27"/>
  <c r="D43" i="27"/>
  <c r="G43" i="1"/>
  <c r="M42" i="1"/>
  <c r="G42" i="1"/>
  <c r="K41" i="27"/>
  <c r="G42" i="27"/>
  <c r="N49" i="27"/>
  <c r="G41" i="1"/>
  <c r="M40" i="1"/>
  <c r="G40" i="1"/>
  <c r="M84" i="27"/>
  <c r="M85" i="27"/>
  <c r="M86" i="27"/>
  <c r="M87" i="27"/>
  <c r="K84" i="27"/>
  <c r="K85" i="27"/>
  <c r="K86" i="27"/>
  <c r="K87" i="27"/>
  <c r="J85" i="27"/>
  <c r="J86" i="27"/>
  <c r="J87" i="27"/>
  <c r="I86" i="27"/>
  <c r="I87" i="27"/>
  <c r="H86" i="27"/>
  <c r="G85" i="27"/>
  <c r="G86" i="27"/>
  <c r="G87" i="27"/>
  <c r="E85" i="27"/>
  <c r="E86" i="27"/>
  <c r="E87" i="27"/>
  <c r="H87" i="27" s="1"/>
  <c r="D88" i="27"/>
  <c r="G158" i="27"/>
  <c r="G159" i="27"/>
  <c r="G160" i="27"/>
  <c r="G161" i="27"/>
  <c r="G162" i="27"/>
  <c r="G163" i="27"/>
  <c r="G164" i="27"/>
  <c r="E162" i="27"/>
  <c r="H162" i="27" s="1"/>
  <c r="E163" i="27"/>
  <c r="H163" i="27" s="1"/>
  <c r="E164" i="27"/>
  <c r="H164" i="27" s="1"/>
  <c r="E165" i="27"/>
  <c r="H165" i="27" s="1"/>
  <c r="E166" i="27"/>
  <c r="D158" i="27"/>
  <c r="D159" i="27"/>
  <c r="D160" i="27"/>
  <c r="D161" i="27"/>
  <c r="D162" i="27"/>
  <c r="D163" i="27"/>
  <c r="D164" i="27"/>
  <c r="D165" i="27"/>
  <c r="D166" i="27"/>
  <c r="M121" i="27"/>
  <c r="M122" i="27"/>
  <c r="M123" i="27"/>
  <c r="M124" i="27"/>
  <c r="M125" i="27"/>
  <c r="M126" i="27"/>
  <c r="M127" i="27"/>
  <c r="K121" i="27"/>
  <c r="K122" i="27"/>
  <c r="K123" i="27"/>
  <c r="K124" i="27"/>
  <c r="K125" i="27"/>
  <c r="K126" i="27"/>
  <c r="K127" i="27"/>
  <c r="K128" i="27"/>
  <c r="J120" i="27"/>
  <c r="J121" i="27"/>
  <c r="J122" i="27"/>
  <c r="J123" i="27"/>
  <c r="J124" i="27"/>
  <c r="J125" i="27"/>
  <c r="J126" i="27"/>
  <c r="J127" i="27"/>
  <c r="J128" i="27"/>
  <c r="I119" i="27"/>
  <c r="I120" i="27"/>
  <c r="I121" i="27"/>
  <c r="I122" i="27"/>
  <c r="I123" i="27"/>
  <c r="I124" i="27"/>
  <c r="I125" i="27"/>
  <c r="I126" i="27"/>
  <c r="I127" i="27"/>
  <c r="I128" i="27"/>
  <c r="G121" i="27"/>
  <c r="G122" i="27"/>
  <c r="G123" i="27"/>
  <c r="G124" i="27"/>
  <c r="G125" i="27"/>
  <c r="G126" i="27"/>
  <c r="G127" i="27"/>
  <c r="E122" i="27"/>
  <c r="E123" i="27"/>
  <c r="E124" i="27"/>
  <c r="E125" i="27"/>
  <c r="E126" i="27"/>
  <c r="E127" i="27"/>
  <c r="D122" i="27"/>
  <c r="D123" i="27"/>
  <c r="D124" i="27"/>
  <c r="D125" i="27"/>
  <c r="D126" i="27"/>
  <c r="D127" i="27"/>
  <c r="E121" i="27"/>
  <c r="H121" i="27" s="1"/>
  <c r="D121" i="27"/>
  <c r="G40" i="22"/>
  <c r="G21" i="23"/>
  <c r="E160" i="27" s="1"/>
  <c r="H160" i="27" s="1"/>
  <c r="G20" i="23"/>
  <c r="E159" i="27" s="1"/>
  <c r="G22" i="23"/>
  <c r="E161" i="27" s="1"/>
  <c r="H161" i="27" s="1"/>
  <c r="N30" i="22"/>
  <c r="G30" i="22"/>
  <c r="N44" i="22"/>
  <c r="G44" i="22"/>
  <c r="N17" i="24"/>
  <c r="G17" i="24"/>
  <c r="B13" i="28"/>
  <c r="N41" i="22"/>
  <c r="G41" i="22"/>
  <c r="N38" i="22"/>
  <c r="G38" i="22"/>
  <c r="N37" i="22"/>
  <c r="G37" i="22"/>
  <c r="N36" i="22"/>
  <c r="G36" i="22"/>
  <c r="M140" i="27"/>
  <c r="I136" i="27"/>
  <c r="I137" i="27"/>
  <c r="I138" i="27"/>
  <c r="I139" i="27"/>
  <c r="I140" i="27"/>
  <c r="K140" i="27"/>
  <c r="G140" i="27"/>
  <c r="E140" i="27"/>
  <c r="H140" i="27" s="1"/>
  <c r="D140" i="27"/>
  <c r="J170" i="27"/>
  <c r="J171" i="27"/>
  <c r="J6" i="27"/>
  <c r="J8" i="27"/>
  <c r="J10" i="27"/>
  <c r="J11" i="27"/>
  <c r="J12" i="27"/>
  <c r="J20" i="27"/>
  <c r="J21" i="27"/>
  <c r="J22" i="27"/>
  <c r="J23" i="27"/>
  <c r="J24" i="27"/>
  <c r="J25" i="27"/>
  <c r="J26" i="27"/>
  <c r="J27" i="27"/>
  <c r="J28" i="27"/>
  <c r="J29" i="27"/>
  <c r="J30" i="27"/>
  <c r="J32" i="27"/>
  <c r="J35" i="27"/>
  <c r="J39" i="27"/>
  <c r="J40" i="27"/>
  <c r="J5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51" i="27"/>
  <c r="J108" i="27"/>
  <c r="J109" i="27"/>
  <c r="J110" i="27"/>
  <c r="J111" i="27"/>
  <c r="J112" i="27"/>
  <c r="J113" i="27"/>
  <c r="J114" i="27"/>
  <c r="J115" i="27"/>
  <c r="J116" i="27"/>
  <c r="J117" i="27"/>
  <c r="J118" i="27"/>
  <c r="J119" i="27"/>
  <c r="J130" i="27"/>
  <c r="J131" i="27"/>
  <c r="J132" i="27"/>
  <c r="J133" i="27"/>
  <c r="J134" i="27"/>
  <c r="J135" i="27"/>
  <c r="J136" i="27"/>
  <c r="J137" i="27"/>
  <c r="J138" i="27"/>
  <c r="J139" i="27"/>
  <c r="I114" i="27"/>
  <c r="N18" i="23"/>
  <c r="G18" i="23"/>
  <c r="N14" i="25"/>
  <c r="G14" i="25"/>
  <c r="M5" i="27"/>
  <c r="K7" i="27"/>
  <c r="K5" i="27"/>
  <c r="D41" i="27"/>
  <c r="B82" i="28"/>
  <c r="B12" i="28"/>
  <c r="M39" i="27"/>
  <c r="M38" i="27"/>
  <c r="K155" i="27"/>
  <c r="H151" i="27"/>
  <c r="G157" i="27"/>
  <c r="E157" i="27"/>
  <c r="D157" i="27"/>
  <c r="N19" i="23"/>
  <c r="G19" i="23"/>
  <c r="E158" i="27" s="1"/>
  <c r="A18" i="23"/>
  <c r="A19" i="23" s="1"/>
  <c r="A20" i="23" s="1"/>
  <c r="A21" i="23" s="1"/>
  <c r="A22" i="23" s="1"/>
  <c r="A23" i="23" s="1"/>
  <c r="A24" i="23" s="1"/>
  <c r="A25" i="23" s="1"/>
  <c r="A26" i="23" s="1"/>
  <c r="A27" i="23" s="1"/>
  <c r="M39" i="1"/>
  <c r="G39" i="1"/>
  <c r="I131" i="27"/>
  <c r="I132" i="27"/>
  <c r="I133" i="27"/>
  <c r="I134" i="27"/>
  <c r="I135" i="27"/>
  <c r="I130" i="27"/>
  <c r="I109" i="27"/>
  <c r="I110" i="27"/>
  <c r="I111" i="27"/>
  <c r="I112" i="27"/>
  <c r="I113" i="27"/>
  <c r="I115" i="27"/>
  <c r="I116" i="27"/>
  <c r="I117" i="27"/>
  <c r="I118" i="27"/>
  <c r="N128" i="27"/>
  <c r="N141" i="27"/>
  <c r="M108" i="27"/>
  <c r="N4" i="24"/>
  <c r="G4" i="24"/>
  <c r="N15" i="23"/>
  <c r="G15" i="23"/>
  <c r="N13" i="23"/>
  <c r="G13" i="23"/>
  <c r="N12" i="23"/>
  <c r="G12" i="23"/>
  <c r="G7" i="24"/>
  <c r="N10" i="24"/>
  <c r="G10" i="24"/>
  <c r="N12" i="24"/>
  <c r="G12" i="24"/>
  <c r="N13" i="24"/>
  <c r="G13" i="24"/>
  <c r="G26" i="22"/>
  <c r="N26" i="22"/>
  <c r="M37" i="27"/>
  <c r="M36" i="27"/>
  <c r="M33" i="27"/>
  <c r="M34" i="27"/>
  <c r="M35" i="27"/>
  <c r="K30" i="27"/>
  <c r="K31" i="27"/>
  <c r="K32" i="27"/>
  <c r="K33" i="27"/>
  <c r="K34" i="27"/>
  <c r="K35" i="27"/>
  <c r="K36" i="27"/>
  <c r="K37" i="27"/>
  <c r="K38" i="27"/>
  <c r="K39" i="27"/>
  <c r="K40" i="27"/>
  <c r="G36" i="27"/>
  <c r="G37" i="27"/>
  <c r="G38" i="27"/>
  <c r="G39" i="27"/>
  <c r="G40" i="27"/>
  <c r="G41" i="27"/>
  <c r="E36" i="27"/>
  <c r="E37" i="27"/>
  <c r="E38" i="27"/>
  <c r="E39" i="27"/>
  <c r="E40" i="27"/>
  <c r="E41" i="27"/>
  <c r="E42" i="27"/>
  <c r="D35" i="27"/>
  <c r="D36" i="27"/>
  <c r="D37" i="27"/>
  <c r="D38" i="27"/>
  <c r="D39" i="27"/>
  <c r="D40" i="27"/>
  <c r="D42" i="27"/>
  <c r="M38" i="1"/>
  <c r="G38" i="1"/>
  <c r="M36" i="1"/>
  <c r="G36" i="1"/>
  <c r="M34" i="1"/>
  <c r="G34" i="1"/>
  <c r="N8" i="23"/>
  <c r="G8" i="23"/>
  <c r="M37" i="1"/>
  <c r="G37" i="1"/>
  <c r="M35" i="1"/>
  <c r="G35" i="1"/>
  <c r="M17" i="1"/>
  <c r="G17" i="1"/>
  <c r="M130" i="27"/>
  <c r="M131" i="27"/>
  <c r="M132" i="27"/>
  <c r="M133" i="27"/>
  <c r="M134" i="27"/>
  <c r="M135" i="27"/>
  <c r="M33" i="1"/>
  <c r="G33" i="1"/>
  <c r="D74" i="27"/>
  <c r="N23" i="22"/>
  <c r="G23" i="22"/>
  <c r="D58" i="27"/>
  <c r="N17" i="23"/>
  <c r="G17" i="23"/>
  <c r="E156" i="27" s="1"/>
  <c r="H156" i="27" s="1"/>
  <c r="M19" i="1"/>
  <c r="G19" i="1"/>
  <c r="M13" i="1"/>
  <c r="G13" i="1"/>
  <c r="N5" i="23"/>
  <c r="G5" i="23"/>
  <c r="G9" i="25"/>
  <c r="G8" i="25"/>
  <c r="G7" i="25"/>
  <c r="G6" i="25"/>
  <c r="G5" i="25"/>
  <c r="G4" i="25"/>
  <c r="N25" i="22"/>
  <c r="N27" i="22"/>
  <c r="G27" i="22"/>
  <c r="N28" i="22"/>
  <c r="G28" i="22"/>
  <c r="N11" i="22"/>
  <c r="G11" i="22"/>
  <c r="N10" i="22"/>
  <c r="G10" i="22"/>
  <c r="N20" i="22"/>
  <c r="G20" i="22"/>
  <c r="I80" i="27"/>
  <c r="I81" i="27"/>
  <c r="I83" i="27"/>
  <c r="I84" i="27"/>
  <c r="I85" i="27"/>
  <c r="M82" i="27"/>
  <c r="M83" i="27"/>
  <c r="K77" i="27"/>
  <c r="K78" i="27"/>
  <c r="K79" i="27"/>
  <c r="K80" i="27"/>
  <c r="K81" i="27"/>
  <c r="K82" i="27"/>
  <c r="K83" i="27"/>
  <c r="H85" i="27"/>
  <c r="G82" i="27"/>
  <c r="G83" i="27"/>
  <c r="G84" i="27"/>
  <c r="E82" i="27"/>
  <c r="E83" i="27"/>
  <c r="H83" i="27" s="1"/>
  <c r="E84" i="27"/>
  <c r="H84" i="27" s="1"/>
  <c r="D83" i="27"/>
  <c r="D84" i="27"/>
  <c r="D85" i="27"/>
  <c r="D86" i="27"/>
  <c r="D87" i="27"/>
  <c r="M31" i="27"/>
  <c r="M32" i="27"/>
  <c r="G30" i="27"/>
  <c r="G31" i="27"/>
  <c r="G32" i="27"/>
  <c r="G33" i="27"/>
  <c r="G34" i="27"/>
  <c r="G35" i="27"/>
  <c r="E30" i="27"/>
  <c r="E31" i="27"/>
  <c r="J31" i="27" s="1"/>
  <c r="E32" i="27"/>
  <c r="E33" i="27"/>
  <c r="E34" i="27"/>
  <c r="E35" i="27"/>
  <c r="I35" i="27" s="1"/>
  <c r="D28" i="27"/>
  <c r="D29" i="27"/>
  <c r="D30" i="27"/>
  <c r="D31" i="27"/>
  <c r="D32" i="27"/>
  <c r="D33" i="27"/>
  <c r="D34" i="27"/>
  <c r="M116" i="27"/>
  <c r="M117" i="27"/>
  <c r="M118" i="27"/>
  <c r="M119" i="27"/>
  <c r="M120" i="27"/>
  <c r="K116" i="27"/>
  <c r="K117" i="27"/>
  <c r="K118" i="27"/>
  <c r="K119" i="27"/>
  <c r="K120" i="27"/>
  <c r="G116" i="27"/>
  <c r="G117" i="27"/>
  <c r="G118" i="27"/>
  <c r="G119" i="27"/>
  <c r="G120" i="27"/>
  <c r="E116" i="27"/>
  <c r="H116" i="27" s="1"/>
  <c r="E117" i="27"/>
  <c r="H117" i="27" s="1"/>
  <c r="E118" i="27"/>
  <c r="H118" i="27" s="1"/>
  <c r="E119" i="27"/>
  <c r="H119" i="27" s="1"/>
  <c r="E120" i="27"/>
  <c r="H120" i="27" s="1"/>
  <c r="D116" i="27"/>
  <c r="D117" i="27"/>
  <c r="D118" i="27"/>
  <c r="D119" i="27"/>
  <c r="D120" i="27"/>
  <c r="N16" i="24"/>
  <c r="G16" i="24"/>
  <c r="A17" i="24"/>
  <c r="A19" i="24"/>
  <c r="N15" i="24"/>
  <c r="G15" i="24"/>
  <c r="N14" i="24"/>
  <c r="G14" i="24"/>
  <c r="N11" i="24"/>
  <c r="G11" i="24"/>
  <c r="N7" i="22"/>
  <c r="G7" i="22"/>
  <c r="M16" i="1"/>
  <c r="G16" i="1"/>
  <c r="M15" i="1"/>
  <c r="G15" i="1"/>
  <c r="M14" i="1"/>
  <c r="G14" i="1"/>
  <c r="M12" i="1"/>
  <c r="G12" i="1"/>
  <c r="M9" i="1"/>
  <c r="G9" i="1"/>
  <c r="G8" i="1"/>
  <c r="M8" i="1"/>
  <c r="M7" i="1"/>
  <c r="G7" i="1"/>
  <c r="M6" i="1"/>
  <c r="G6" i="1"/>
  <c r="N35" i="22"/>
  <c r="G35" i="22"/>
  <c r="N34" i="22"/>
  <c r="G34" i="22"/>
  <c r="N33" i="22"/>
  <c r="G33" i="22"/>
  <c r="N24" i="22"/>
  <c r="G24" i="22"/>
  <c r="M32" i="1"/>
  <c r="G32" i="1"/>
  <c r="M31" i="1"/>
  <c r="G31" i="1"/>
  <c r="M138" i="27"/>
  <c r="M139" i="27"/>
  <c r="M30" i="1"/>
  <c r="M29" i="1"/>
  <c r="M28" i="1"/>
  <c r="M27" i="1"/>
  <c r="M26" i="1"/>
  <c r="G30" i="1"/>
  <c r="G29" i="1"/>
  <c r="G28" i="1"/>
  <c r="G27" i="1"/>
  <c r="N13" i="25"/>
  <c r="G13" i="25"/>
  <c r="M25" i="1"/>
  <c r="D80" i="27"/>
  <c r="D81" i="27"/>
  <c r="D82" i="27"/>
  <c r="D79" i="27"/>
  <c r="D71" i="27"/>
  <c r="D72" i="27"/>
  <c r="D73" i="27"/>
  <c r="D75" i="27"/>
  <c r="D76" i="27"/>
  <c r="D77" i="27"/>
  <c r="D78" i="27"/>
  <c r="D70" i="27"/>
  <c r="D69" i="27"/>
  <c r="E70" i="27"/>
  <c r="H70" i="27" s="1"/>
  <c r="G70" i="27"/>
  <c r="I70" i="27"/>
  <c r="K70" i="27"/>
  <c r="M70" i="27"/>
  <c r="E71" i="27"/>
  <c r="H71" i="27" s="1"/>
  <c r="G71" i="27"/>
  <c r="I71" i="27"/>
  <c r="K71" i="27"/>
  <c r="M71" i="27"/>
  <c r="E72" i="27"/>
  <c r="G72" i="27"/>
  <c r="K72" i="27"/>
  <c r="M72" i="27"/>
  <c r="E73" i="27"/>
  <c r="H73" i="27" s="1"/>
  <c r="G73" i="27"/>
  <c r="I73" i="27"/>
  <c r="K73" i="27"/>
  <c r="M73" i="27"/>
  <c r="E74" i="27"/>
  <c r="G74" i="27"/>
  <c r="K74" i="27"/>
  <c r="M74" i="27"/>
  <c r="E75" i="27"/>
  <c r="H75" i="27" s="1"/>
  <c r="G75" i="27"/>
  <c r="I75" i="27"/>
  <c r="K75" i="27"/>
  <c r="M75" i="27"/>
  <c r="E76" i="27"/>
  <c r="H76" i="27" s="1"/>
  <c r="G76" i="27"/>
  <c r="I76" i="27"/>
  <c r="K76" i="27"/>
  <c r="M76" i="27"/>
  <c r="E77" i="27"/>
  <c r="H77" i="27" s="1"/>
  <c r="G77" i="27"/>
  <c r="I77" i="27"/>
  <c r="M77" i="27"/>
  <c r="E78" i="27"/>
  <c r="H78" i="27" s="1"/>
  <c r="G78" i="27"/>
  <c r="I78" i="27"/>
  <c r="M78" i="27"/>
  <c r="E79" i="27"/>
  <c r="G79" i="27"/>
  <c r="M79" i="27"/>
  <c r="E80" i="27"/>
  <c r="H80" i="27" s="1"/>
  <c r="G80" i="27"/>
  <c r="M80" i="27"/>
  <c r="E81" i="27"/>
  <c r="H81" i="27" s="1"/>
  <c r="G81" i="27"/>
  <c r="M81" i="27"/>
  <c r="K81" i="28" a="1"/>
  <c r="K81" i="28"/>
  <c r="J81" i="28" a="1"/>
  <c r="J81" i="28"/>
  <c r="I81" i="28" a="1"/>
  <c r="I81" i="28"/>
  <c r="H81" i="28" a="1"/>
  <c r="H81" i="28"/>
  <c r="G81" i="28" a="1"/>
  <c r="G81" i="28"/>
  <c r="F81" i="28" a="1"/>
  <c r="F81" i="28"/>
  <c r="E81" i="28" a="1"/>
  <c r="E81" i="28"/>
  <c r="D81" i="28" a="1"/>
  <c r="D81" i="28"/>
  <c r="C81" i="28" a="1"/>
  <c r="C81" i="28"/>
  <c r="K80" i="28" a="1"/>
  <c r="K80" i="28"/>
  <c r="J80" i="28" a="1"/>
  <c r="J80" i="28"/>
  <c r="I80" i="28" a="1"/>
  <c r="I80" i="28"/>
  <c r="H80" i="28" a="1"/>
  <c r="H80" i="28"/>
  <c r="G80" i="28" a="1"/>
  <c r="G80" i="28"/>
  <c r="F80" i="28" a="1"/>
  <c r="F80" i="28"/>
  <c r="E80" i="28" a="1"/>
  <c r="E80" i="28"/>
  <c r="D80" i="28" a="1"/>
  <c r="D80" i="28"/>
  <c r="C80" i="28" a="1"/>
  <c r="C80" i="28"/>
  <c r="B80" i="28"/>
  <c r="B81" i="28"/>
  <c r="B79" i="28"/>
  <c r="K65" i="28" a="1"/>
  <c r="K65" i="28" s="1"/>
  <c r="J65" i="28" a="1"/>
  <c r="J65" i="28" s="1"/>
  <c r="I65" i="28" a="1"/>
  <c r="I65" i="28" s="1"/>
  <c r="H65" i="28" a="1"/>
  <c r="H65" i="28" s="1"/>
  <c r="G65" i="28" a="1"/>
  <c r="G65" i="28" s="1"/>
  <c r="F65" i="28" a="1"/>
  <c r="F65" i="28" s="1"/>
  <c r="E65" i="28" a="1"/>
  <c r="E65" i="28" s="1"/>
  <c r="D65" i="28" a="1"/>
  <c r="D65" i="28" s="1"/>
  <c r="C65" i="28" a="1"/>
  <c r="C65" i="28" s="1"/>
  <c r="K64" i="28" a="1"/>
  <c r="K64" i="28" s="1"/>
  <c r="J64" i="28" a="1"/>
  <c r="J64" i="28" s="1"/>
  <c r="I64" i="28" a="1"/>
  <c r="I64" i="28" s="1"/>
  <c r="H64" i="28" a="1"/>
  <c r="H64" i="28" s="1"/>
  <c r="G64" i="28" a="1"/>
  <c r="G64" i="28" s="1"/>
  <c r="F64" i="28" a="1"/>
  <c r="F64" i="28" s="1"/>
  <c r="E64" i="28" a="1"/>
  <c r="E64" i="28" s="1"/>
  <c r="D64" i="28" a="1"/>
  <c r="D64" i="28" s="1"/>
  <c r="C64" i="28" a="1"/>
  <c r="C64" i="28" s="1"/>
  <c r="B64" i="28"/>
  <c r="B65" i="28"/>
  <c r="B63" i="28"/>
  <c r="K44" i="28" a="1"/>
  <c r="K44" i="28" s="1"/>
  <c r="J44" i="28" a="1"/>
  <c r="J44" i="28" s="1"/>
  <c r="I44" i="28" a="1"/>
  <c r="I44" i="28" s="1"/>
  <c r="H44" i="28" a="1"/>
  <c r="H44" i="28" s="1"/>
  <c r="G44" i="28" a="1"/>
  <c r="G44" i="28" s="1"/>
  <c r="F44" i="28" a="1"/>
  <c r="F44" i="28" s="1"/>
  <c r="E44" i="28" a="1"/>
  <c r="E44" i="28" s="1"/>
  <c r="D44" i="28" a="1"/>
  <c r="D44" i="28" s="1"/>
  <c r="C44" i="28" a="1"/>
  <c r="C44" i="28" s="1"/>
  <c r="K43" i="28" a="1"/>
  <c r="K43" i="28" s="1"/>
  <c r="J43" i="28" a="1"/>
  <c r="J43" i="28" s="1"/>
  <c r="I43" i="28" a="1"/>
  <c r="I43" i="28" s="1"/>
  <c r="H43" i="28" a="1"/>
  <c r="H43" i="28" s="1"/>
  <c r="G43" i="28" a="1"/>
  <c r="G43" i="28" s="1"/>
  <c r="F43" i="28" a="1"/>
  <c r="F43" i="28" s="1"/>
  <c r="E43" i="28" a="1"/>
  <c r="E43" i="28" s="1"/>
  <c r="D43" i="28" a="1"/>
  <c r="D43" i="28" s="1"/>
  <c r="C43" i="28" a="1"/>
  <c r="C43" i="28" s="1"/>
  <c r="B43" i="28"/>
  <c r="B44" i="28"/>
  <c r="B42" i="28"/>
  <c r="K28" i="28" a="1"/>
  <c r="K28" i="28"/>
  <c r="J28" i="28" a="1"/>
  <c r="J28" i="28" s="1"/>
  <c r="I28" i="28" a="1"/>
  <c r="I28" i="28" s="1"/>
  <c r="H28" i="28" a="1"/>
  <c r="H28" i="28" s="1"/>
  <c r="G28" i="28" a="1"/>
  <c r="G28" i="28" s="1"/>
  <c r="F28" i="28" a="1"/>
  <c r="F28" i="28" s="1"/>
  <c r="E28" i="28" a="1"/>
  <c r="E28" i="28"/>
  <c r="D28" i="28" a="1"/>
  <c r="D28" i="28"/>
  <c r="C28" i="28" a="1"/>
  <c r="C28" i="28"/>
  <c r="K27" i="28" a="1"/>
  <c r="K27" i="28" s="1"/>
  <c r="J27" i="28" a="1"/>
  <c r="J27" i="28" s="1"/>
  <c r="I27" i="28" a="1"/>
  <c r="I27" i="28" s="1"/>
  <c r="H27" i="28" a="1"/>
  <c r="H27" i="28" s="1"/>
  <c r="G27" i="28" a="1"/>
  <c r="G27" i="28" s="1"/>
  <c r="F27" i="28" a="1"/>
  <c r="F27" i="28" s="1"/>
  <c r="E27" i="28" a="1"/>
  <c r="E27" i="28"/>
  <c r="D27" i="28" a="1"/>
  <c r="D27" i="28"/>
  <c r="C27" i="28" a="1"/>
  <c r="C27" i="28"/>
  <c r="B27" i="28"/>
  <c r="B28" i="28"/>
  <c r="B26" i="28"/>
  <c r="K11" i="28" a="1"/>
  <c r="K11" i="28"/>
  <c r="J11" i="28" a="1"/>
  <c r="J11" i="28"/>
  <c r="I11" i="28" a="1"/>
  <c r="I11" i="28"/>
  <c r="H11" i="28" a="1"/>
  <c r="H11" i="28"/>
  <c r="G11" i="28" a="1"/>
  <c r="G11" i="28"/>
  <c r="F11" i="28" a="1"/>
  <c r="F11" i="28"/>
  <c r="E11" i="28" a="1"/>
  <c r="E11" i="28"/>
  <c r="D11" i="28" a="1"/>
  <c r="D11" i="28"/>
  <c r="C11" i="28" a="1"/>
  <c r="C11" i="28"/>
  <c r="B11" i="28"/>
  <c r="K10" i="28" a="1"/>
  <c r="K10" i="28"/>
  <c r="J10" i="28" a="1"/>
  <c r="J10" i="28"/>
  <c r="I10" i="28" a="1"/>
  <c r="I10" i="28"/>
  <c r="H10" i="28" a="1"/>
  <c r="H10" i="28"/>
  <c r="G10" i="28" a="1"/>
  <c r="G10" i="28"/>
  <c r="F10" i="28" a="1"/>
  <c r="F10" i="28"/>
  <c r="E10" i="28" a="1"/>
  <c r="E10" i="28"/>
  <c r="D10" i="28" a="1"/>
  <c r="D10" i="28"/>
  <c r="C10" i="28" a="1"/>
  <c r="C10" i="28"/>
  <c r="B10" i="28"/>
  <c r="N32" i="22"/>
  <c r="G32" i="22"/>
  <c r="N31" i="22"/>
  <c r="G31" i="22"/>
  <c r="N29" i="22"/>
  <c r="G29" i="22"/>
  <c r="G7" i="23"/>
  <c r="G6" i="23"/>
  <c r="G4" i="23"/>
  <c r="G26" i="1"/>
  <c r="D25" i="27"/>
  <c r="E25" i="27"/>
  <c r="G25" i="27"/>
  <c r="H25" i="27"/>
  <c r="I25" i="27"/>
  <c r="K25" i="27"/>
  <c r="M25" i="27"/>
  <c r="D26" i="27"/>
  <c r="E26" i="27"/>
  <c r="G26" i="27"/>
  <c r="K26" i="27"/>
  <c r="M26" i="27"/>
  <c r="D27" i="27"/>
  <c r="E27" i="27"/>
  <c r="G27" i="27"/>
  <c r="K27" i="27"/>
  <c r="M27" i="27"/>
  <c r="E28" i="27"/>
  <c r="G28" i="27"/>
  <c r="K28" i="27"/>
  <c r="M28" i="27"/>
  <c r="E29" i="27"/>
  <c r="G29" i="27"/>
  <c r="K29" i="27"/>
  <c r="M29" i="27"/>
  <c r="M30" i="27"/>
  <c r="M24" i="27"/>
  <c r="M21" i="27"/>
  <c r="N8" i="22"/>
  <c r="G8" i="22"/>
  <c r="G18" i="22"/>
  <c r="N18" i="22"/>
  <c r="G19" i="22"/>
  <c r="N19" i="22"/>
  <c r="N17" i="22"/>
  <c r="G17" i="22"/>
  <c r="N16" i="22"/>
  <c r="G16" i="22"/>
  <c r="N15" i="22"/>
  <c r="G15" i="22"/>
  <c r="N14" i="22"/>
  <c r="G14" i="22"/>
  <c r="N12" i="22"/>
  <c r="G12" i="22"/>
  <c r="N6" i="22"/>
  <c r="G6" i="22"/>
  <c r="N5" i="22"/>
  <c r="G5" i="22"/>
  <c r="N4" i="22"/>
  <c r="G4" i="22"/>
  <c r="N9" i="22"/>
  <c r="G9" i="22"/>
  <c r="G23" i="1"/>
  <c r="G20" i="1"/>
  <c r="G18" i="1"/>
  <c r="M109" i="27"/>
  <c r="M110" i="27"/>
  <c r="M111" i="27"/>
  <c r="M112" i="27"/>
  <c r="M113" i="27"/>
  <c r="M114" i="27"/>
  <c r="M115" i="27"/>
  <c r="K109" i="27"/>
  <c r="K110" i="27"/>
  <c r="K111" i="27"/>
  <c r="K112" i="27"/>
  <c r="K113" i="27"/>
  <c r="K114" i="27"/>
  <c r="K115" i="27"/>
  <c r="K108" i="27"/>
  <c r="I108" i="27"/>
  <c r="I64" i="27"/>
  <c r="I66" i="27"/>
  <c r="H60" i="27"/>
  <c r="G109" i="27"/>
  <c r="G110" i="27"/>
  <c r="G111" i="27"/>
  <c r="G112" i="27"/>
  <c r="G113" i="27"/>
  <c r="G114" i="27"/>
  <c r="G115" i="27"/>
  <c r="G108" i="27"/>
  <c r="E109" i="27"/>
  <c r="H109" i="27" s="1"/>
  <c r="G9" i="24"/>
  <c r="D114" i="27"/>
  <c r="E114" i="27"/>
  <c r="H114" i="27" s="1"/>
  <c r="D115" i="27"/>
  <c r="E115" i="27"/>
  <c r="H115" i="27" s="1"/>
  <c r="D110" i="27"/>
  <c r="E110" i="27"/>
  <c r="H110" i="27" s="1"/>
  <c r="D111" i="27"/>
  <c r="E111" i="27"/>
  <c r="H111" i="27" s="1"/>
  <c r="D112" i="27"/>
  <c r="E112" i="27"/>
  <c r="H112" i="27" s="1"/>
  <c r="D113" i="27"/>
  <c r="E113" i="27"/>
  <c r="H113" i="27" s="1"/>
  <c r="G5" i="24"/>
  <c r="G6" i="24"/>
  <c r="G8" i="24"/>
  <c r="A7" i="24"/>
  <c r="A9" i="24"/>
  <c r="A11" i="24"/>
  <c r="A13" i="24"/>
  <c r="A15" i="24"/>
  <c r="K6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52" i="27"/>
  <c r="K53" i="27"/>
  <c r="K54" i="27"/>
  <c r="K55" i="27"/>
  <c r="K56" i="27"/>
  <c r="K57" i="27"/>
  <c r="K58" i="27"/>
  <c r="K59" i="27"/>
  <c r="K60" i="27"/>
  <c r="K61" i="27"/>
  <c r="K62" i="27"/>
  <c r="K63" i="27"/>
  <c r="K64" i="27"/>
  <c r="K65" i="27"/>
  <c r="K66" i="27"/>
  <c r="K67" i="27"/>
  <c r="K68" i="27"/>
  <c r="K69" i="27"/>
  <c r="K51" i="27"/>
  <c r="K170" i="27"/>
  <c r="K171" i="27"/>
  <c r="K131" i="27"/>
  <c r="K132" i="27"/>
  <c r="K133" i="27"/>
  <c r="K134" i="27"/>
  <c r="K135" i="27"/>
  <c r="K136" i="27"/>
  <c r="K137" i="27"/>
  <c r="K138" i="27"/>
  <c r="K139" i="27"/>
  <c r="K130" i="27"/>
  <c r="H144" i="27"/>
  <c r="G136" i="27"/>
  <c r="E131" i="27"/>
  <c r="H131" i="27" s="1"/>
  <c r="E132" i="27"/>
  <c r="H132" i="27" s="1"/>
  <c r="E133" i="27"/>
  <c r="H133" i="27" s="1"/>
  <c r="E134" i="27"/>
  <c r="H134" i="27" s="1"/>
  <c r="E135" i="27"/>
  <c r="H135" i="27" s="1"/>
  <c r="E136" i="27"/>
  <c r="H136" i="27" s="1"/>
  <c r="E137" i="27"/>
  <c r="H137" i="27" s="1"/>
  <c r="E138" i="27"/>
  <c r="H138" i="27" s="1"/>
  <c r="E139" i="27"/>
  <c r="H139" i="27" s="1"/>
  <c r="E130" i="27"/>
  <c r="H130" i="27" s="1"/>
  <c r="E108" i="27"/>
  <c r="M69" i="27"/>
  <c r="E69" i="27"/>
  <c r="G69" i="27"/>
  <c r="M23" i="27"/>
  <c r="G24" i="27"/>
  <c r="G23" i="27"/>
  <c r="M137" i="27"/>
  <c r="M136" i="27"/>
  <c r="G135" i="27"/>
  <c r="G134" i="27"/>
  <c r="G133" i="27"/>
  <c r="G132" i="27"/>
  <c r="G131" i="27"/>
  <c r="G130" i="27"/>
  <c r="G139" i="27"/>
  <c r="G138" i="27"/>
  <c r="G137" i="27"/>
  <c r="D139" i="27"/>
  <c r="D138" i="27"/>
  <c r="D137" i="27"/>
  <c r="D136" i="27"/>
  <c r="D135" i="27"/>
  <c r="D134" i="27"/>
  <c r="D133" i="27"/>
  <c r="D132" i="27"/>
  <c r="G10" i="25"/>
  <c r="G22" i="22"/>
  <c r="G21" i="22"/>
  <c r="G11" i="25"/>
  <c r="A7" i="25"/>
  <c r="A9" i="25"/>
  <c r="A11" i="25"/>
  <c r="A13" i="25"/>
  <c r="G22" i="1"/>
  <c r="D5" i="27"/>
  <c r="D146" i="27"/>
  <c r="E52" i="27"/>
  <c r="E53" i="27"/>
  <c r="E54" i="27"/>
  <c r="E55" i="27"/>
  <c r="E56" i="27"/>
  <c r="H56" i="27" s="1"/>
  <c r="E57" i="27"/>
  <c r="H57" i="27" s="1"/>
  <c r="E58" i="27"/>
  <c r="H58" i="27" s="1"/>
  <c r="E59" i="27"/>
  <c r="H59" i="27" s="1"/>
  <c r="E60" i="27"/>
  <c r="E61" i="27"/>
  <c r="H61" i="27" s="1"/>
  <c r="E62" i="27"/>
  <c r="H62" i="27" s="1"/>
  <c r="E63" i="27"/>
  <c r="H63" i="27" s="1"/>
  <c r="E64" i="27"/>
  <c r="H64" i="27" s="1"/>
  <c r="E65" i="27"/>
  <c r="E66" i="27"/>
  <c r="H66" i="27" s="1"/>
  <c r="E67" i="27"/>
  <c r="E68" i="27"/>
  <c r="G67" i="27"/>
  <c r="M67" i="27"/>
  <c r="G68" i="27"/>
  <c r="M68" i="27"/>
  <c r="D67" i="27"/>
  <c r="D68" i="27"/>
  <c r="E6" i="27"/>
  <c r="E7" i="27"/>
  <c r="J7" i="27" s="1"/>
  <c r="E8" i="27"/>
  <c r="E9" i="27"/>
  <c r="J9" i="27" s="1"/>
  <c r="E10" i="27"/>
  <c r="E11" i="27"/>
  <c r="E12" i="27"/>
  <c r="E13" i="27"/>
  <c r="J13" i="27" s="1"/>
  <c r="E14" i="27"/>
  <c r="J14" i="27" s="1"/>
  <c r="E15" i="27"/>
  <c r="J15" i="27" s="1"/>
  <c r="E16" i="27"/>
  <c r="J16" i="27" s="1"/>
  <c r="E17" i="27"/>
  <c r="J17" i="27" s="1"/>
  <c r="E18" i="27"/>
  <c r="J18" i="27" s="1"/>
  <c r="E19" i="27"/>
  <c r="J19" i="27" s="1"/>
  <c r="E20" i="27"/>
  <c r="E21" i="27"/>
  <c r="E22" i="27"/>
  <c r="E23" i="27"/>
  <c r="E24" i="27"/>
  <c r="G11" i="27"/>
  <c r="H11" i="27"/>
  <c r="I11" i="27"/>
  <c r="M11" i="27"/>
  <c r="G12" i="27"/>
  <c r="H12" i="27"/>
  <c r="I12" i="27"/>
  <c r="M12" i="27"/>
  <c r="G13" i="27"/>
  <c r="H13" i="27"/>
  <c r="I13" i="27"/>
  <c r="M13" i="27"/>
  <c r="G14" i="27"/>
  <c r="H14" i="27"/>
  <c r="I14" i="27"/>
  <c r="M14" i="27"/>
  <c r="G15" i="27"/>
  <c r="H15" i="27"/>
  <c r="I15" i="27"/>
  <c r="M15" i="27"/>
  <c r="G16" i="27"/>
  <c r="H16" i="27"/>
  <c r="I16" i="27"/>
  <c r="M16" i="27"/>
  <c r="G17" i="27"/>
  <c r="H17" i="27"/>
  <c r="I17" i="27"/>
  <c r="M17" i="27"/>
  <c r="G18" i="27"/>
  <c r="H18" i="27"/>
  <c r="I18" i="27"/>
  <c r="M18" i="27"/>
  <c r="G19" i="27"/>
  <c r="H19" i="27"/>
  <c r="I19" i="27"/>
  <c r="M19" i="27"/>
  <c r="G20" i="27"/>
  <c r="H20" i="27"/>
  <c r="I20" i="27"/>
  <c r="M20" i="27"/>
  <c r="G21" i="27"/>
  <c r="H21" i="27"/>
  <c r="I21" i="27"/>
  <c r="G22" i="27"/>
  <c r="H22" i="27"/>
  <c r="I22" i="27"/>
  <c r="M22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G16" i="23"/>
  <c r="G14" i="23"/>
  <c r="G11" i="23"/>
  <c r="H79" i="27" l="1"/>
  <c r="L79" i="27" s="1" a="1"/>
  <c r="L79" i="27" s="1"/>
  <c r="N79" i="27" s="1"/>
  <c r="I79" i="27"/>
  <c r="L121" i="27" a="1"/>
  <c r="L121" i="27" s="1"/>
  <c r="N121" i="27" s="1"/>
  <c r="L119" i="27" a="1"/>
  <c r="L119" i="27" s="1"/>
  <c r="N119" i="27" s="1"/>
  <c r="L120" i="27" a="1"/>
  <c r="L120" i="27" s="1"/>
  <c r="N120" i="27" s="1"/>
  <c r="H97" i="27"/>
  <c r="L97" i="27" s="1" a="1"/>
  <c r="L97" i="27" s="1"/>
  <c r="N97" i="27" s="1"/>
  <c r="H96" i="27"/>
  <c r="L96" i="27" s="1" a="1"/>
  <c r="L96" i="27" s="1"/>
  <c r="N96" i="27" s="1"/>
  <c r="N104" i="27"/>
  <c r="L104" i="27" a="1"/>
  <c r="L104" i="27" s="1"/>
  <c r="N103" i="27"/>
  <c r="L103" i="27" a="1"/>
  <c r="L103" i="27" s="1"/>
  <c r="L102" i="27" a="1"/>
  <c r="L102" i="27" s="1"/>
  <c r="N102" i="27" s="1"/>
  <c r="L98" i="27" a="1"/>
  <c r="L98" i="27" s="1"/>
  <c r="N98" i="27" s="1"/>
  <c r="H108" i="27"/>
  <c r="L108" i="27" s="1" a="1"/>
  <c r="L108" i="27" s="1"/>
  <c r="N108" i="27" s="1"/>
  <c r="L167" i="27" a="1"/>
  <c r="L167" i="27" s="1"/>
  <c r="L166" i="27" a="1"/>
  <c r="L166" i="27" s="1"/>
  <c r="N166" i="27" s="1"/>
  <c r="H94" i="27"/>
  <c r="L94" i="27" s="1" a="1"/>
  <c r="L94" i="27" s="1"/>
  <c r="N94" i="27" s="1"/>
  <c r="H91" i="27"/>
  <c r="L91" i="27" s="1" a="1"/>
  <c r="L91" i="27" s="1"/>
  <c r="N91" i="27" s="1"/>
  <c r="H95" i="27"/>
  <c r="L95" i="27" s="1" a="1"/>
  <c r="L95" i="27" s="1"/>
  <c r="N95" i="27" s="1"/>
  <c r="H158" i="27"/>
  <c r="H157" i="27"/>
  <c r="L164" i="27" a="1"/>
  <c r="L164" i="27" s="1"/>
  <c r="N164" i="27" s="1"/>
  <c r="H159" i="27"/>
  <c r="L159" i="27" s="1" a="1"/>
  <c r="L159" i="27" s="1"/>
  <c r="N159" i="27" s="1"/>
  <c r="L163" i="27" a="1"/>
  <c r="L163" i="27" s="1"/>
  <c r="N163" i="27" s="1"/>
  <c r="L162" i="27" a="1"/>
  <c r="L162" i="27" s="1"/>
  <c r="N162" i="27" s="1"/>
  <c r="L161" i="27" a="1"/>
  <c r="L161" i="27" s="1"/>
  <c r="N161" i="27" s="1"/>
  <c r="L160" i="27" a="1"/>
  <c r="L160" i="27" s="1"/>
  <c r="N160" i="27" s="1"/>
  <c r="L158" i="27" a="1"/>
  <c r="L158" i="27" s="1"/>
  <c r="N158" i="27" s="1"/>
  <c r="L157" i="27" a="1"/>
  <c r="L157" i="27" s="1"/>
  <c r="N157" i="27" s="1"/>
  <c r="L165" i="27" a="1"/>
  <c r="L165" i="27" s="1"/>
  <c r="N165" i="27" s="1"/>
  <c r="A45" i="22"/>
  <c r="A48" i="22"/>
  <c r="A52" i="22" s="1"/>
  <c r="A46" i="22"/>
  <c r="A50" i="22" s="1"/>
  <c r="A54" i="22" s="1"/>
  <c r="A47" i="22"/>
  <c r="A49" i="22" s="1"/>
  <c r="A51" i="22" s="1"/>
  <c r="A53" i="22" s="1"/>
  <c r="A55" i="22" s="1"/>
  <c r="N48" i="27"/>
  <c r="H44" i="27"/>
  <c r="I44" i="27"/>
  <c r="H46" i="27"/>
  <c r="L46" i="27" s="1" a="1"/>
  <c r="L46" i="27" s="1"/>
  <c r="N46" i="27" s="1"/>
  <c r="H45" i="27"/>
  <c r="L45" i="27" s="1" a="1"/>
  <c r="L45" i="27" s="1"/>
  <c r="N45" i="27" s="1"/>
  <c r="H82" i="27"/>
  <c r="I82" i="27"/>
  <c r="H69" i="27"/>
  <c r="I69" i="27"/>
  <c r="H67" i="27"/>
  <c r="I67" i="27"/>
  <c r="H65" i="27"/>
  <c r="I65" i="27"/>
  <c r="H93" i="27"/>
  <c r="L93" i="27" s="1" a="1"/>
  <c r="L93" i="27" s="1"/>
  <c r="N93" i="27" s="1"/>
  <c r="L47" i="27" a="1"/>
  <c r="L47" i="27" s="1"/>
  <c r="N47" i="27" s="1"/>
  <c r="L44" i="27" a="1"/>
  <c r="L44" i="27" s="1"/>
  <c r="N44" i="27" s="1"/>
  <c r="J41" i="27"/>
  <c r="I40" i="27"/>
  <c r="I39" i="27"/>
  <c r="N92" i="27"/>
  <c r="L92" i="27" a="1"/>
  <c r="L92" i="27" s="1"/>
  <c r="N90" i="27"/>
  <c r="L90" i="27" a="1"/>
  <c r="L90" i="27" s="1"/>
  <c r="N89" i="27"/>
  <c r="L89" i="27" a="1"/>
  <c r="L89" i="27" s="1"/>
  <c r="L48" i="27" a="1"/>
  <c r="L48" i="27" s="1"/>
  <c r="H43" i="27"/>
  <c r="I43" i="27"/>
  <c r="L88" i="27" a="1"/>
  <c r="L88" i="27" s="1"/>
  <c r="N88" i="27" s="1"/>
  <c r="L106" i="27" a="1"/>
  <c r="L106" i="27" s="1"/>
  <c r="B84" i="28"/>
  <c r="B68" i="28"/>
  <c r="B47" i="28"/>
  <c r="B31" i="28"/>
  <c r="K14" i="28" a="1"/>
  <c r="K14" i="28" s="1"/>
  <c r="J14" i="28" a="1"/>
  <c r="J14" i="28" s="1"/>
  <c r="I14" i="28" a="1"/>
  <c r="I14" i="28" s="1"/>
  <c r="H14" i="28" a="1"/>
  <c r="H14" i="28" s="1"/>
  <c r="G14" i="28" a="1"/>
  <c r="G14" i="28" s="1"/>
  <c r="F14" i="28" a="1"/>
  <c r="F14" i="28" s="1"/>
  <c r="E14" i="28" a="1"/>
  <c r="E14" i="28" s="1"/>
  <c r="D14" i="28" a="1"/>
  <c r="D14" i="28" s="1"/>
  <c r="C14" i="28" a="1"/>
  <c r="C14" i="28" s="1"/>
  <c r="I38" i="27"/>
  <c r="J38" i="27"/>
  <c r="I36" i="27"/>
  <c r="J36" i="27"/>
  <c r="I34" i="27"/>
  <c r="J34" i="27"/>
  <c r="I33" i="27"/>
  <c r="J33" i="27"/>
  <c r="I37" i="27"/>
  <c r="J37" i="27"/>
  <c r="L42" i="27" a="1"/>
  <c r="L42" i="27" s="1"/>
  <c r="H35" i="27"/>
  <c r="L35" i="27" s="1" a="1"/>
  <c r="L35" i="27" s="1"/>
  <c r="N35" i="27" s="1"/>
  <c r="H41" i="27"/>
  <c r="I41" i="27"/>
  <c r="I24" i="27"/>
  <c r="L22" i="27" a="1"/>
  <c r="L22" i="27" s="1"/>
  <c r="L21" i="27" a="1"/>
  <c r="L21" i="27" s="1"/>
  <c r="N21" i="27" s="1"/>
  <c r="L20" i="27" a="1"/>
  <c r="L20" i="27" s="1"/>
  <c r="N20" i="27" s="1"/>
  <c r="L19" i="27" a="1"/>
  <c r="L19" i="27" s="1"/>
  <c r="L18" i="27" a="1"/>
  <c r="L18" i="27" s="1"/>
  <c r="L17" i="27" a="1"/>
  <c r="L17" i="27" s="1"/>
  <c r="L16" i="27" a="1"/>
  <c r="L16" i="27" s="1"/>
  <c r="L15" i="27" a="1"/>
  <c r="L15" i="27" s="1"/>
  <c r="L14" i="27" a="1"/>
  <c r="L14" i="27" s="1"/>
  <c r="L13" i="27" a="1"/>
  <c r="L13" i="27" s="1"/>
  <c r="L12" i="27" a="1"/>
  <c r="L12" i="27" s="1"/>
  <c r="L11" i="27" a="1"/>
  <c r="L11" i="27" s="1"/>
  <c r="L25" i="27" a="1"/>
  <c r="L25" i="27" s="1"/>
  <c r="H34" i="27"/>
  <c r="H33" i="27"/>
  <c r="H40" i="27"/>
  <c r="H39" i="27"/>
  <c r="H38" i="27"/>
  <c r="H37" i="27"/>
  <c r="H36" i="27"/>
  <c r="H68" i="27"/>
  <c r="I68" i="27"/>
  <c r="N37" i="27"/>
  <c r="H31" i="27"/>
  <c r="I31" i="27"/>
  <c r="H32" i="27"/>
  <c r="I32" i="27"/>
  <c r="L87" i="27" a="1"/>
  <c r="L87" i="27" s="1"/>
  <c r="N87" i="27" s="1"/>
  <c r="L84" i="27" a="1"/>
  <c r="L84" i="27" s="1"/>
  <c r="N84" i="27" s="1"/>
  <c r="N14" i="27"/>
  <c r="N15" i="27"/>
  <c r="N16" i="27"/>
  <c r="N17" i="27"/>
  <c r="N19" i="27"/>
  <c r="L140" i="27" a="1"/>
  <c r="L140" i="27" s="1"/>
  <c r="N140" i="27" s="1"/>
  <c r="H27" i="27"/>
  <c r="I27" i="27"/>
  <c r="H28" i="27"/>
  <c r="I28" i="27"/>
  <c r="N86" i="27"/>
  <c r="L86" i="27" a="1"/>
  <c r="L86" i="27" s="1"/>
  <c r="L85" i="27" a="1"/>
  <c r="L85" i="27" s="1"/>
  <c r="N85" i="27" s="1"/>
  <c r="N127" i="27"/>
  <c r="L127" i="27" a="1"/>
  <c r="L127" i="27" s="1"/>
  <c r="N126" i="27"/>
  <c r="L126" i="27" a="1"/>
  <c r="L126" i="27" s="1"/>
  <c r="N125" i="27"/>
  <c r="L125" i="27" a="1"/>
  <c r="L125" i="27" s="1"/>
  <c r="N124" i="27"/>
  <c r="L124" i="27" a="1"/>
  <c r="L124" i="27" s="1"/>
  <c r="N123" i="27"/>
  <c r="L123" i="27" a="1"/>
  <c r="L123" i="27" s="1"/>
  <c r="N122" i="27"/>
  <c r="L122" i="27" a="1"/>
  <c r="L122" i="27" s="1"/>
  <c r="H26" i="27"/>
  <c r="I26" i="27"/>
  <c r="N18" i="27"/>
  <c r="N13" i="27"/>
  <c r="N22" i="27"/>
  <c r="H72" i="27"/>
  <c r="I72" i="27"/>
  <c r="H74" i="27"/>
  <c r="I74" i="27"/>
  <c r="I30" i="27"/>
  <c r="H30" i="27"/>
  <c r="L118" i="27" a="1"/>
  <c r="L118" i="27" s="1"/>
  <c r="N118" i="27" s="1"/>
  <c r="L115" i="27" a="1"/>
  <c r="L115" i="27" s="1"/>
  <c r="N115" i="27" s="1"/>
  <c r="N36" i="27"/>
  <c r="H29" i="27"/>
  <c r="I29" i="27"/>
  <c r="H23" i="27"/>
  <c r="I23" i="27"/>
  <c r="B83" i="28"/>
  <c r="B67" i="28"/>
  <c r="B46" i="28"/>
  <c r="B30" i="28"/>
  <c r="K13" i="28" a="1"/>
  <c r="K13" i="28" s="1"/>
  <c r="J13" i="28" a="1"/>
  <c r="J13" i="28" s="1"/>
  <c r="I13" i="28" a="1"/>
  <c r="I13" i="28" s="1"/>
  <c r="H13" i="28" a="1"/>
  <c r="H13" i="28" s="1"/>
  <c r="G13" i="28" a="1"/>
  <c r="G13" i="28" s="1"/>
  <c r="F13" i="28" a="1"/>
  <c r="F13" i="28" s="1"/>
  <c r="E13" i="28" a="1"/>
  <c r="E13" i="28" s="1"/>
  <c r="D13" i="28" a="1"/>
  <c r="D13" i="28" s="1"/>
  <c r="C13" i="28" a="1"/>
  <c r="C13" i="28" s="1"/>
  <c r="N38" i="27"/>
  <c r="N26" i="27"/>
  <c r="K82" i="28" a="1"/>
  <c r="K82" i="28" s="1"/>
  <c r="J82" i="28" a="1"/>
  <c r="J82" i="28" s="1"/>
  <c r="I82" i="28" a="1"/>
  <c r="I82" i="28" s="1"/>
  <c r="H82" i="28" a="1"/>
  <c r="H82" i="28" s="1"/>
  <c r="G82" i="28" a="1"/>
  <c r="G82" i="28" s="1"/>
  <c r="F82" i="28" a="1"/>
  <c r="F82" i="28" s="1"/>
  <c r="E82" i="28" a="1"/>
  <c r="E82" i="28" s="1"/>
  <c r="D82" i="28" a="1"/>
  <c r="D82" i="28" s="1"/>
  <c r="C82" i="28" a="1"/>
  <c r="C82" i="28" s="1"/>
  <c r="B66" i="28"/>
  <c r="B45" i="28"/>
  <c r="B29" i="28"/>
  <c r="K12" i="28" a="1"/>
  <c r="K12" i="28" s="1"/>
  <c r="J12" i="28" a="1"/>
  <c r="J12" i="28" s="1"/>
  <c r="I12" i="28" a="1"/>
  <c r="I12" i="28" s="1"/>
  <c r="H12" i="28" a="1"/>
  <c r="H12" i="28" s="1"/>
  <c r="G12" i="28" a="1"/>
  <c r="G12" i="28" s="1"/>
  <c r="F12" i="28" a="1"/>
  <c r="F12" i="28" s="1"/>
  <c r="E12" i="28" a="1"/>
  <c r="E12" i="28" s="1"/>
  <c r="D12" i="28" a="1"/>
  <c r="D12" i="28" s="1"/>
  <c r="C12" i="28" a="1"/>
  <c r="C12" i="28" s="1"/>
  <c r="N12" i="27"/>
  <c r="N11" i="27"/>
  <c r="N25" i="27"/>
  <c r="H24" i="27"/>
  <c r="L130" i="27" a="1"/>
  <c r="L130" i="27" s="1"/>
  <c r="N130" i="27" s="1"/>
  <c r="L135" i="27" a="1"/>
  <c r="L135" i="27" s="1"/>
  <c r="N135" i="27" s="1"/>
  <c r="L134" i="27" a="1"/>
  <c r="L134" i="27" s="1"/>
  <c r="N134" i="27" s="1"/>
  <c r="L133" i="27" a="1"/>
  <c r="L133" i="27" s="1"/>
  <c r="N133" i="27" s="1"/>
  <c r="L132" i="27" a="1"/>
  <c r="L132" i="27" s="1"/>
  <c r="N132" i="27" s="1"/>
  <c r="L131" i="27" a="1"/>
  <c r="L131" i="27" s="1"/>
  <c r="N131" i="27" s="1"/>
  <c r="L81" i="27" a="1"/>
  <c r="L81" i="27" s="1"/>
  <c r="N81" i="27" s="1"/>
  <c r="L80" i="27" a="1"/>
  <c r="L80" i="27" s="1"/>
  <c r="N80" i="27" s="1"/>
  <c r="L83" i="27" a="1"/>
  <c r="L83" i="27" s="1"/>
  <c r="N83" i="27" s="1"/>
  <c r="N34" i="27"/>
  <c r="N33" i="27"/>
  <c r="L114" i="27" a="1"/>
  <c r="L114" i="27" s="1"/>
  <c r="N114" i="27" s="1"/>
  <c r="L117" i="27" a="1"/>
  <c r="L117" i="27" s="1"/>
  <c r="N117" i="27" s="1"/>
  <c r="L116" i="27" a="1"/>
  <c r="L116" i="27" s="1"/>
  <c r="N116" i="27" s="1"/>
  <c r="L139" i="27" a="1"/>
  <c r="L139" i="27" s="1"/>
  <c r="N139" i="27" s="1"/>
  <c r="L138" i="27" a="1"/>
  <c r="L138" i="27" s="1"/>
  <c r="N138" i="27" s="1"/>
  <c r="L137" i="27" a="1"/>
  <c r="L137" i="27" s="1"/>
  <c r="N137" i="27" s="1"/>
  <c r="L136" i="27" a="1"/>
  <c r="L136" i="27" s="1"/>
  <c r="N136" i="27" s="1"/>
  <c r="L78" i="27" a="1"/>
  <c r="L78" i="27" s="1"/>
  <c r="N78" i="27" s="1"/>
  <c r="L77" i="27" a="1"/>
  <c r="L77" i="27" s="1"/>
  <c r="N77" i="27" s="1"/>
  <c r="L76" i="27" a="1"/>
  <c r="L76" i="27" s="1"/>
  <c r="N76" i="27" s="1"/>
  <c r="L75" i="27" a="1"/>
  <c r="L75" i="27" s="1"/>
  <c r="N75" i="27" s="1"/>
  <c r="L73" i="27" a="1"/>
  <c r="L73" i="27" s="1"/>
  <c r="N73" i="27" s="1"/>
  <c r="L71" i="27" a="1"/>
  <c r="L71" i="27" s="1"/>
  <c r="N71" i="27" s="1"/>
  <c r="L70" i="27" a="1"/>
  <c r="L70" i="27" s="1"/>
  <c r="N70" i="27" s="1"/>
  <c r="L113" i="27" a="1"/>
  <c r="L113" i="27" s="1"/>
  <c r="N113" i="27" s="1"/>
  <c r="L112" i="27" a="1"/>
  <c r="L112" i="27" s="1"/>
  <c r="N112" i="27" s="1"/>
  <c r="L111" i="27" a="1"/>
  <c r="L111" i="27" s="1"/>
  <c r="N111" i="27" s="1"/>
  <c r="L110" i="27" a="1"/>
  <c r="L110" i="27" s="1"/>
  <c r="N110" i="27" s="1"/>
  <c r="M66" i="27"/>
  <c r="G66" i="27"/>
  <c r="D66" i="27"/>
  <c r="G4" i="1"/>
  <c r="G51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L156" i="27" s="1" a="1"/>
  <c r="L156" i="27" s="1"/>
  <c r="N156" i="27" s="1"/>
  <c r="G143" i="27"/>
  <c r="M144" i="27"/>
  <c r="K144" i="27"/>
  <c r="E144" i="27"/>
  <c r="L144" i="27" s="1" a="1"/>
  <c r="L144" i="27" s="1"/>
  <c r="D144" i="27"/>
  <c r="M145" i="27"/>
  <c r="M146" i="27"/>
  <c r="M147" i="27"/>
  <c r="M148" i="27"/>
  <c r="M149" i="27"/>
  <c r="M150" i="27"/>
  <c r="M151" i="27"/>
  <c r="M152" i="27"/>
  <c r="M153" i="27"/>
  <c r="M154" i="27"/>
  <c r="M155" i="27"/>
  <c r="M170" i="27"/>
  <c r="M171" i="27"/>
  <c r="N171" i="27" s="1"/>
  <c r="M143" i="27"/>
  <c r="K145" i="27"/>
  <c r="K146" i="27"/>
  <c r="K147" i="27"/>
  <c r="K148" i="27"/>
  <c r="K149" i="27"/>
  <c r="K150" i="27"/>
  <c r="K151" i="27"/>
  <c r="K152" i="27"/>
  <c r="K153" i="27"/>
  <c r="K154" i="27"/>
  <c r="K143" i="27"/>
  <c r="H6" i="27"/>
  <c r="H7" i="27"/>
  <c r="H8" i="27"/>
  <c r="H9" i="27"/>
  <c r="H10" i="27"/>
  <c r="H5" i="27"/>
  <c r="E145" i="27"/>
  <c r="E146" i="27"/>
  <c r="E147" i="27"/>
  <c r="E150" i="27"/>
  <c r="E151" i="27"/>
  <c r="E152" i="27"/>
  <c r="E153" i="27"/>
  <c r="E154" i="27"/>
  <c r="E155" i="27"/>
  <c r="D145" i="27"/>
  <c r="D147" i="27"/>
  <c r="D148" i="27"/>
  <c r="D149" i="27"/>
  <c r="D150" i="27"/>
  <c r="D151" i="27"/>
  <c r="D152" i="27"/>
  <c r="D153" i="27"/>
  <c r="D154" i="27"/>
  <c r="D155" i="27"/>
  <c r="D156" i="27"/>
  <c r="M57" i="27"/>
  <c r="E143" i="27"/>
  <c r="G10" i="23"/>
  <c r="E149" i="27" s="1"/>
  <c r="G9" i="23"/>
  <c r="E148" i="27" s="1"/>
  <c r="D65" i="27"/>
  <c r="M65" i="27"/>
  <c r="G65" i="27"/>
  <c r="D64" i="27"/>
  <c r="M63" i="27"/>
  <c r="M64" i="27"/>
  <c r="I63" i="27"/>
  <c r="G63" i="27"/>
  <c r="G64" i="27"/>
  <c r="D63" i="27"/>
  <c r="M62" i="27"/>
  <c r="G62" i="27"/>
  <c r="D62" i="27"/>
  <c r="M61" i="27"/>
  <c r="G61" i="27"/>
  <c r="D61" i="27"/>
  <c r="D60" i="27"/>
  <c r="M60" i="27"/>
  <c r="N60" i="27" s="1"/>
  <c r="G60" i="27"/>
  <c r="M10" i="27"/>
  <c r="I10" i="27"/>
  <c r="G10" i="27"/>
  <c r="D10" i="27"/>
  <c r="D9" i="27"/>
  <c r="M59" i="27"/>
  <c r="G59" i="27"/>
  <c r="D59" i="27"/>
  <c r="M58" i="27"/>
  <c r="G58" i="27"/>
  <c r="D57" i="27"/>
  <c r="G57" i="27"/>
  <c r="I57" i="27"/>
  <c r="K79" i="28" a="1"/>
  <c r="K79" i="28" s="1"/>
  <c r="J79" i="28" a="1"/>
  <c r="J79" i="28" s="1"/>
  <c r="I79" i="28" a="1"/>
  <c r="I79" i="28" s="1"/>
  <c r="H79" i="28" a="1"/>
  <c r="H79" i="28" s="1"/>
  <c r="G79" i="28" a="1"/>
  <c r="G79" i="28" s="1"/>
  <c r="F79" i="28" a="1"/>
  <c r="F79" i="28" s="1"/>
  <c r="E79" i="28" a="1"/>
  <c r="E79" i="28" s="1"/>
  <c r="D79" i="28" a="1"/>
  <c r="D79" i="28" s="1"/>
  <c r="C79" i="28" a="1"/>
  <c r="C79" i="28" s="1"/>
  <c r="K63" i="28" a="1"/>
  <c r="K63" i="28" s="1"/>
  <c r="J63" i="28" a="1"/>
  <c r="J63" i="28" s="1"/>
  <c r="I63" i="28" a="1"/>
  <c r="I63" i="28" s="1"/>
  <c r="H63" i="28" a="1"/>
  <c r="H63" i="28" s="1"/>
  <c r="G63" i="28" a="1"/>
  <c r="G63" i="28" s="1"/>
  <c r="F63" i="28" a="1"/>
  <c r="F63" i="28" s="1"/>
  <c r="E63" i="28" a="1"/>
  <c r="E63" i="28" s="1"/>
  <c r="D63" i="28" a="1"/>
  <c r="D63" i="28" s="1"/>
  <c r="C63" i="28" a="1"/>
  <c r="C63" i="28" s="1"/>
  <c r="K42" i="28" a="1"/>
  <c r="K42" i="28" s="1"/>
  <c r="J42" i="28" a="1"/>
  <c r="J42" i="28" s="1"/>
  <c r="I42" i="28" a="1"/>
  <c r="I42" i="28" s="1"/>
  <c r="H42" i="28" a="1"/>
  <c r="H42" i="28" s="1"/>
  <c r="G42" i="28" a="1"/>
  <c r="G42" i="28" s="1"/>
  <c r="F42" i="28" a="1"/>
  <c r="F42" i="28" s="1"/>
  <c r="E42" i="28" a="1"/>
  <c r="E42" i="28" s="1"/>
  <c r="D42" i="28" a="1"/>
  <c r="D42" i="28" s="1"/>
  <c r="C42" i="28" a="1"/>
  <c r="C42" i="28" s="1"/>
  <c r="K26" i="28" a="1"/>
  <c r="K26" i="28" s="1"/>
  <c r="J26" i="28" a="1"/>
  <c r="J26" i="28" s="1"/>
  <c r="I26" i="28" a="1"/>
  <c r="I26" i="28" s="1"/>
  <c r="H26" i="28" a="1"/>
  <c r="H26" i="28" s="1"/>
  <c r="G26" i="28" a="1"/>
  <c r="G26" i="28" s="1"/>
  <c r="F26" i="28" a="1"/>
  <c r="F26" i="28" s="1"/>
  <c r="E26" i="28" a="1"/>
  <c r="E26" i="28" s="1"/>
  <c r="D26" i="28" a="1"/>
  <c r="D26" i="28" s="1"/>
  <c r="C26" i="28" a="1"/>
  <c r="C26" i="28" s="1"/>
  <c r="K9" i="28" a="1"/>
  <c r="K9" i="28" s="1"/>
  <c r="J9" i="28" a="1"/>
  <c r="J9" i="28" s="1"/>
  <c r="I9" i="28" a="1"/>
  <c r="I9" i="28" s="1"/>
  <c r="H9" i="28" a="1"/>
  <c r="H9" i="28" s="1"/>
  <c r="G9" i="28" a="1"/>
  <c r="G9" i="28" s="1"/>
  <c r="F9" i="28" a="1"/>
  <c r="F9" i="28" s="1"/>
  <c r="E9" i="28" a="1"/>
  <c r="E9" i="28" s="1"/>
  <c r="D9" i="28" a="1"/>
  <c r="D9" i="28" s="1"/>
  <c r="C9" i="28" a="1"/>
  <c r="C9" i="28" s="1"/>
  <c r="M56" i="27"/>
  <c r="G56" i="27"/>
  <c r="D56" i="27"/>
  <c r="G9" i="27"/>
  <c r="I9" i="27"/>
  <c r="M9" i="27"/>
  <c r="M55" i="27"/>
  <c r="G55" i="27"/>
  <c r="D55" i="27"/>
  <c r="D54" i="27"/>
  <c r="C103" i="28" a="1"/>
  <c r="C103" i="28"/>
  <c r="C104" i="28" a="1"/>
  <c r="C104" i="28"/>
  <c r="C105" i="28" a="1"/>
  <c r="C105" i="28"/>
  <c r="G54" i="27"/>
  <c r="H54" i="27"/>
  <c r="I54" i="27"/>
  <c r="M54" i="27"/>
  <c r="K101" i="28" a="1"/>
  <c r="K101" i="28" s="1"/>
  <c r="J101" i="28" a="1"/>
  <c r="J101" i="28" s="1"/>
  <c r="I101" i="28" a="1"/>
  <c r="I101" i="28" s="1"/>
  <c r="H101" i="28" a="1"/>
  <c r="H101" i="28" s="1"/>
  <c r="G101" i="28" a="1"/>
  <c r="G101" i="28" s="1"/>
  <c r="F101" i="28" a="1"/>
  <c r="F101" i="28" s="1"/>
  <c r="E101" i="28" a="1"/>
  <c r="E101" i="28" s="1"/>
  <c r="D101" i="28" a="1"/>
  <c r="D101" i="28" s="1"/>
  <c r="C101" i="28" a="1"/>
  <c r="C101" i="28" s="1"/>
  <c r="D53" i="27"/>
  <c r="G53" i="27"/>
  <c r="I53" i="27"/>
  <c r="M53" i="27"/>
  <c r="L30" i="27" l="1" a="1"/>
  <c r="L30" i="27" s="1"/>
  <c r="L69" i="27" a="1"/>
  <c r="L69" i="27" s="1"/>
  <c r="N69" i="27" s="1"/>
  <c r="L82" i="27" a="1"/>
  <c r="L82" i="27" s="1"/>
  <c r="N82" i="27" s="1"/>
  <c r="L67" i="27" a="1"/>
  <c r="L67" i="27" s="1"/>
  <c r="N67" i="27" s="1"/>
  <c r="I145" i="27"/>
  <c r="J147" i="27"/>
  <c r="I151" i="27"/>
  <c r="L151" i="27" s="1" a="1"/>
  <c r="L151" i="27" s="1"/>
  <c r="H152" i="27"/>
  <c r="I152" i="27"/>
  <c r="L152" i="27" s="1" a="1"/>
  <c r="L152" i="27" s="1"/>
  <c r="N152" i="27" s="1"/>
  <c r="H153" i="27"/>
  <c r="I153" i="27"/>
  <c r="L153" i="27" s="1" a="1"/>
  <c r="L153" i="27" s="1"/>
  <c r="N153" i="27" s="1"/>
  <c r="H154" i="27"/>
  <c r="I154" i="27"/>
  <c r="L154" i="27" s="1" a="1"/>
  <c r="L154" i="27" s="1"/>
  <c r="N154" i="27" s="1"/>
  <c r="H155" i="27"/>
  <c r="I155" i="27"/>
  <c r="L155" i="27" s="1" a="1"/>
  <c r="L155" i="27" s="1"/>
  <c r="N155" i="27" s="1"/>
  <c r="H143" i="27"/>
  <c r="I143" i="27"/>
  <c r="H150" i="27"/>
  <c r="I150" i="27"/>
  <c r="N150" i="27" s="1"/>
  <c r="H148" i="27"/>
  <c r="I148" i="27"/>
  <c r="H149" i="27"/>
  <c r="I149" i="27"/>
  <c r="N42" i="27"/>
  <c r="L38" i="27" a="1"/>
  <c r="L38" i="27" s="1"/>
  <c r="L36" i="27" a="1"/>
  <c r="L36" i="27" s="1"/>
  <c r="L37" i="27" a="1"/>
  <c r="L37" i="27" s="1"/>
  <c r="L34" i="27" a="1"/>
  <c r="L34" i="27" s="1"/>
  <c r="L33" i="27" a="1"/>
  <c r="L33" i="27" s="1"/>
  <c r="L40" i="27" a="1"/>
  <c r="L40" i="27" s="1"/>
  <c r="N40" i="27" s="1"/>
  <c r="L39" i="27" a="1"/>
  <c r="L39" i="27" s="1"/>
  <c r="N39" i="27" s="1"/>
  <c r="L68" i="27" a="1"/>
  <c r="L68" i="27" s="1"/>
  <c r="N68" i="27" s="1"/>
  <c r="L9" i="27" a="1"/>
  <c r="L9" i="27" s="1"/>
  <c r="L41" i="27" a="1"/>
  <c r="L41" i="27" s="1"/>
  <c r="L43" i="27" a="1"/>
  <c r="L43" i="27" s="1"/>
  <c r="N43" i="27" s="1"/>
  <c r="K31" i="28" a="1"/>
  <c r="K31" i="28" s="1"/>
  <c r="J31" i="28" a="1"/>
  <c r="J31" i="28" s="1"/>
  <c r="I31" i="28" a="1"/>
  <c r="I31" i="28" s="1"/>
  <c r="H31" i="28" a="1"/>
  <c r="H31" i="28" s="1"/>
  <c r="G31" i="28" a="1"/>
  <c r="G31" i="28" s="1"/>
  <c r="F31" i="28" a="1"/>
  <c r="F31" i="28" s="1"/>
  <c r="E31" i="28" a="1"/>
  <c r="E31" i="28" s="1"/>
  <c r="D31" i="28" a="1"/>
  <c r="D31" i="28" s="1"/>
  <c r="C31" i="28" a="1"/>
  <c r="C31" i="28" s="1"/>
  <c r="K47" i="28" a="1"/>
  <c r="K47" i="28" s="1"/>
  <c r="J47" i="28" a="1"/>
  <c r="J47" i="28" s="1"/>
  <c r="I47" i="28" a="1"/>
  <c r="I47" i="28" s="1"/>
  <c r="H47" i="28" a="1"/>
  <c r="H47" i="28" s="1"/>
  <c r="G47" i="28" a="1"/>
  <c r="G47" i="28" s="1"/>
  <c r="F47" i="28" a="1"/>
  <c r="F47" i="28" s="1"/>
  <c r="E47" i="28" a="1"/>
  <c r="E47" i="28" s="1"/>
  <c r="D47" i="28" a="1"/>
  <c r="D47" i="28" s="1"/>
  <c r="C47" i="28" a="1"/>
  <c r="C47" i="28" s="1"/>
  <c r="K68" i="28" a="1"/>
  <c r="K68" i="28" s="1"/>
  <c r="J68" i="28" a="1"/>
  <c r="J68" i="28" s="1"/>
  <c r="I68" i="28" a="1"/>
  <c r="I68" i="28" s="1"/>
  <c r="H68" i="28" a="1"/>
  <c r="H68" i="28" s="1"/>
  <c r="G68" i="28" a="1"/>
  <c r="G68" i="28" s="1"/>
  <c r="F68" i="28" a="1"/>
  <c r="F68" i="28" s="1"/>
  <c r="E68" i="28" a="1"/>
  <c r="E68" i="28" s="1"/>
  <c r="D68" i="28" a="1"/>
  <c r="D68" i="28" s="1"/>
  <c r="C68" i="28" a="1"/>
  <c r="C68" i="28" s="1"/>
  <c r="K84" i="28" a="1"/>
  <c r="K84" i="28" s="1"/>
  <c r="J84" i="28" a="1"/>
  <c r="J84" i="28" s="1"/>
  <c r="I84" i="28" a="1"/>
  <c r="I84" i="28" s="1"/>
  <c r="H84" i="28" a="1"/>
  <c r="H84" i="28" s="1"/>
  <c r="G84" i="28" a="1"/>
  <c r="G84" i="28" s="1"/>
  <c r="F84" i="28" a="1"/>
  <c r="F84" i="28" s="1"/>
  <c r="E84" i="28" a="1"/>
  <c r="E84" i="28" s="1"/>
  <c r="D84" i="28" a="1"/>
  <c r="D84" i="28" s="1"/>
  <c r="C84" i="28" a="1"/>
  <c r="C84" i="28" s="1"/>
  <c r="N41" i="27"/>
  <c r="L10" i="27" a="1"/>
  <c r="L10" i="27" s="1"/>
  <c r="N10" i="27" s="1"/>
  <c r="L24" i="27" a="1"/>
  <c r="L24" i="27" s="1"/>
  <c r="N24" i="27" s="1"/>
  <c r="L23" i="27" a="1"/>
  <c r="L23" i="27" s="1"/>
  <c r="L29" i="27" a="1"/>
  <c r="L29" i="27" s="1"/>
  <c r="L26" i="27" a="1"/>
  <c r="L26" i="27" s="1"/>
  <c r="L28" i="27" a="1"/>
  <c r="L28" i="27" s="1"/>
  <c r="N28" i="27" s="1"/>
  <c r="L27" i="27" a="1"/>
  <c r="L27" i="27" s="1"/>
  <c r="N27" i="27" s="1"/>
  <c r="L32" i="27" a="1"/>
  <c r="L32" i="27" s="1"/>
  <c r="N32" i="27" s="1"/>
  <c r="L31" i="27" a="1"/>
  <c r="L31" i="27" s="1"/>
  <c r="N31" i="27"/>
  <c r="N23" i="27"/>
  <c r="N30" i="27"/>
  <c r="N29" i="27"/>
  <c r="L72" i="27" a="1"/>
  <c r="L72" i="27" s="1"/>
  <c r="N72" i="27" s="1"/>
  <c r="L74" i="27" a="1"/>
  <c r="L74" i="27" s="1"/>
  <c r="N74" i="27" s="1"/>
  <c r="H147" i="27"/>
  <c r="I147" i="27"/>
  <c r="K30" i="28" a="1"/>
  <c r="K30" i="28" s="1"/>
  <c r="J30" i="28" a="1"/>
  <c r="J30" i="28" s="1"/>
  <c r="I30" i="28" a="1"/>
  <c r="I30" i="28" s="1"/>
  <c r="H30" i="28" a="1"/>
  <c r="H30" i="28" s="1"/>
  <c r="G30" i="28" a="1"/>
  <c r="G30" i="28" s="1"/>
  <c r="F30" i="28" a="1"/>
  <c r="F30" i="28" s="1"/>
  <c r="E30" i="28" a="1"/>
  <c r="E30" i="28" s="1"/>
  <c r="D30" i="28" a="1"/>
  <c r="D30" i="28" s="1"/>
  <c r="C30" i="28" a="1"/>
  <c r="C30" i="28" s="1"/>
  <c r="K46" i="28" a="1"/>
  <c r="K46" i="28" s="1"/>
  <c r="J46" i="28" a="1"/>
  <c r="J46" i="28" s="1"/>
  <c r="I46" i="28" a="1"/>
  <c r="I46" i="28" s="1"/>
  <c r="H46" i="28" a="1"/>
  <c r="H46" i="28" s="1"/>
  <c r="G46" i="28" a="1"/>
  <c r="G46" i="28" s="1"/>
  <c r="F46" i="28" a="1"/>
  <c r="F46" i="28" s="1"/>
  <c r="E46" i="28" a="1"/>
  <c r="E46" i="28" s="1"/>
  <c r="D46" i="28" a="1"/>
  <c r="D46" i="28" s="1"/>
  <c r="C46" i="28" a="1"/>
  <c r="C46" i="28" s="1"/>
  <c r="K67" i="28" a="1"/>
  <c r="K67" i="28" s="1"/>
  <c r="J67" i="28" a="1"/>
  <c r="J67" i="28" s="1"/>
  <c r="I67" i="28" a="1"/>
  <c r="I67" i="28" s="1"/>
  <c r="H67" i="28" a="1"/>
  <c r="H67" i="28" s="1"/>
  <c r="G67" i="28" a="1"/>
  <c r="G67" i="28" s="1"/>
  <c r="F67" i="28" a="1"/>
  <c r="F67" i="28" s="1"/>
  <c r="E67" i="28" a="1"/>
  <c r="E67" i="28" s="1"/>
  <c r="D67" i="28" a="1"/>
  <c r="D67" i="28" s="1"/>
  <c r="C67" i="28" a="1"/>
  <c r="C67" i="28" s="1"/>
  <c r="K83" i="28" a="1"/>
  <c r="K83" i="28" s="1"/>
  <c r="J83" i="28" a="1"/>
  <c r="J83" i="28" s="1"/>
  <c r="I83" i="28" a="1"/>
  <c r="I83" i="28" s="1"/>
  <c r="H83" i="28" a="1"/>
  <c r="H83" i="28" s="1"/>
  <c r="G83" i="28" a="1"/>
  <c r="G83" i="28" s="1"/>
  <c r="F83" i="28" a="1"/>
  <c r="F83" i="28" s="1"/>
  <c r="E83" i="28" a="1"/>
  <c r="E83" i="28" s="1"/>
  <c r="D83" i="28" a="1"/>
  <c r="D83" i="28" s="1"/>
  <c r="C83" i="28" a="1"/>
  <c r="C83" i="28" s="1"/>
  <c r="J146" i="27"/>
  <c r="I146" i="27"/>
  <c r="H146" i="27"/>
  <c r="L146" i="27" s="1" a="1"/>
  <c r="L146" i="27" s="1"/>
  <c r="K29" i="28" a="1"/>
  <c r="K29" i="28" s="1"/>
  <c r="J29" i="28" a="1"/>
  <c r="J29" i="28" s="1"/>
  <c r="I29" i="28" a="1"/>
  <c r="I29" i="28" s="1"/>
  <c r="H29" i="28" a="1"/>
  <c r="H29" i="28" s="1"/>
  <c r="G29" i="28" a="1"/>
  <c r="G29" i="28" s="1"/>
  <c r="F29" i="28" a="1"/>
  <c r="F29" i="28" s="1"/>
  <c r="E29" i="28" a="1"/>
  <c r="E29" i="28" s="1"/>
  <c r="D29" i="28" a="1"/>
  <c r="D29" i="28" s="1"/>
  <c r="C29" i="28" a="1"/>
  <c r="C29" i="28" s="1"/>
  <c r="K45" i="28" a="1"/>
  <c r="K45" i="28" s="1"/>
  <c r="J45" i="28" a="1"/>
  <c r="J45" i="28" s="1"/>
  <c r="I45" i="28" a="1"/>
  <c r="I45" i="28" s="1"/>
  <c r="H45" i="28" a="1"/>
  <c r="H45" i="28" s="1"/>
  <c r="G45" i="28" a="1"/>
  <c r="G45" i="28" s="1"/>
  <c r="F45" i="28" a="1"/>
  <c r="F45" i="28" s="1"/>
  <c r="E45" i="28" a="1"/>
  <c r="E45" i="28" s="1"/>
  <c r="D45" i="28" a="1"/>
  <c r="D45" i="28" s="1"/>
  <c r="C45" i="28" a="1"/>
  <c r="C45" i="28" s="1"/>
  <c r="K66" i="28" a="1"/>
  <c r="K66" i="28" s="1"/>
  <c r="J66" i="28" a="1"/>
  <c r="J66" i="28" s="1"/>
  <c r="I66" i="28" a="1"/>
  <c r="I66" i="28" s="1"/>
  <c r="H66" i="28" a="1"/>
  <c r="H66" i="28" s="1"/>
  <c r="G66" i="28" a="1"/>
  <c r="G66" i="28" s="1"/>
  <c r="F66" i="28" a="1"/>
  <c r="F66" i="28" s="1"/>
  <c r="E66" i="28" a="1"/>
  <c r="E66" i="28" s="1"/>
  <c r="D66" i="28" a="1"/>
  <c r="D66" i="28" s="1"/>
  <c r="C66" i="28" a="1"/>
  <c r="C66" i="28" s="1"/>
  <c r="H145" i="27"/>
  <c r="N151" i="27"/>
  <c r="N9" i="27"/>
  <c r="L66" i="27" a="1"/>
  <c r="L66" i="27" s="1"/>
  <c r="N66" i="27" s="1"/>
  <c r="L54" i="27" a="1"/>
  <c r="L54" i="27" s="1"/>
  <c r="N54" i="27" s="1"/>
  <c r="L65" i="27" a="1"/>
  <c r="L65" i="27" s="1"/>
  <c r="N65" i="27" s="1"/>
  <c r="L64" i="27" a="1"/>
  <c r="L64" i="27" s="1"/>
  <c r="N64" i="27" s="1"/>
  <c r="L63" i="27" a="1"/>
  <c r="L63" i="27" s="1"/>
  <c r="N63" i="27" s="1"/>
  <c r="I62" i="27"/>
  <c r="I61" i="27"/>
  <c r="I60" i="27"/>
  <c r="I59" i="27"/>
  <c r="I58" i="27"/>
  <c r="L57" i="27" a="1"/>
  <c r="L57" i="27" s="1"/>
  <c r="N57" i="27" s="1"/>
  <c r="I56" i="27"/>
  <c r="H53" i="27"/>
  <c r="I55" i="27"/>
  <c r="H55" i="27"/>
  <c r="L143" i="27" l="1" a="1"/>
  <c r="L143" i="27" s="1"/>
  <c r="L145" i="27" a="1"/>
  <c r="L145" i="27" s="1"/>
  <c r="N145" i="27" s="1"/>
  <c r="L147" i="27" a="1"/>
  <c r="L147" i="27" s="1"/>
  <c r="L150" i="27" a="1"/>
  <c r="L150" i="27" s="1"/>
  <c r="L148" i="27" a="1"/>
  <c r="L148" i="27" s="1"/>
  <c r="N148" i="27" s="1"/>
  <c r="L149" i="27" a="1"/>
  <c r="L149" i="27" s="1"/>
  <c r="N149" i="27" s="1"/>
  <c r="N146" i="27"/>
  <c r="N147" i="27"/>
  <c r="L55" i="27" a="1"/>
  <c r="L55" i="27" s="1"/>
  <c r="N55" i="27" s="1"/>
  <c r="L53" i="27" a="1"/>
  <c r="L53" i="27" s="1"/>
  <c r="N53" i="27" s="1"/>
  <c r="L62" i="27" a="1"/>
  <c r="L62" i="27" s="1"/>
  <c r="N62" i="27" s="1"/>
  <c r="L60" i="27" a="1"/>
  <c r="L60" i="27" s="1"/>
  <c r="L61" i="27" a="1"/>
  <c r="L61" i="27" s="1"/>
  <c r="N61" i="27" s="1"/>
  <c r="L59" i="27" a="1"/>
  <c r="L59" i="27" s="1"/>
  <c r="N59" i="27" s="1"/>
  <c r="L56" i="27" a="1"/>
  <c r="L56" i="27" s="1"/>
  <c r="N56" i="27" s="1"/>
  <c r="L58" i="27" a="1"/>
  <c r="L58" i="27" s="1"/>
  <c r="N58" i="27" s="1"/>
  <c r="G52" i="27"/>
  <c r="M52" i="27"/>
  <c r="E170" i="27"/>
  <c r="N170" i="27" s="1"/>
  <c r="E169" i="27"/>
  <c r="I169" i="27" s="1"/>
  <c r="E51" i="27"/>
  <c r="M51" i="27"/>
  <c r="M6" i="27"/>
  <c r="M7" i="27"/>
  <c r="M8" i="27"/>
  <c r="G6" i="27"/>
  <c r="G7" i="27"/>
  <c r="G8" i="27"/>
  <c r="G5" i="27"/>
  <c r="E5" i="27"/>
  <c r="C127" i="28" a="1"/>
  <c r="C127" i="28" s="1"/>
  <c r="C126" i="28" a="1"/>
  <c r="C126" i="28" s="1"/>
  <c r="C125" i="28" a="1"/>
  <c r="C125" i="28" s="1"/>
  <c r="K124" i="28" a="1"/>
  <c r="K124" i="28" s="1"/>
  <c r="J124" i="28" a="1"/>
  <c r="J124" i="28" s="1"/>
  <c r="I124" i="28" a="1"/>
  <c r="I124" i="28" s="1"/>
  <c r="H124" i="28" a="1"/>
  <c r="H124" i="28" s="1"/>
  <c r="G124" i="28" a="1"/>
  <c r="G124" i="28" s="1"/>
  <c r="F124" i="28" a="1"/>
  <c r="F124" i="28" s="1"/>
  <c r="E124" i="28" a="1"/>
  <c r="E124" i="28" s="1"/>
  <c r="D124" i="28" a="1"/>
  <c r="D124" i="28" s="1"/>
  <c r="C124" i="28" a="1"/>
  <c r="C124" i="28" s="1"/>
  <c r="K123" i="28" a="1"/>
  <c r="K123" i="28" s="1"/>
  <c r="J123" i="28" a="1"/>
  <c r="J123" i="28" s="1"/>
  <c r="I123" i="28" a="1"/>
  <c r="I123" i="28" s="1"/>
  <c r="H123" i="28" a="1"/>
  <c r="H123" i="28" s="1"/>
  <c r="G123" i="28" a="1"/>
  <c r="G123" i="28" s="1"/>
  <c r="F123" i="28" a="1"/>
  <c r="F123" i="28" s="1"/>
  <c r="E123" i="28" a="1"/>
  <c r="E123" i="28" s="1"/>
  <c r="D123" i="28" a="1"/>
  <c r="D123" i="28" s="1"/>
  <c r="C123" i="28" a="1"/>
  <c r="C123" i="28" s="1"/>
  <c r="K102" i="28" a="1"/>
  <c r="K102" i="28" s="1"/>
  <c r="J102" i="28" a="1"/>
  <c r="J102" i="28" s="1"/>
  <c r="I102" i="28" a="1"/>
  <c r="I102" i="28" s="1"/>
  <c r="H102" i="28" a="1"/>
  <c r="H102" i="28" s="1"/>
  <c r="G102" i="28" a="1"/>
  <c r="G102" i="28" s="1"/>
  <c r="F102" i="28" a="1"/>
  <c r="F102" i="28" s="1"/>
  <c r="E102" i="28" a="1"/>
  <c r="E102" i="28" s="1"/>
  <c r="D102" i="28" a="1"/>
  <c r="D102" i="28" s="1"/>
  <c r="C102" i="28" a="1"/>
  <c r="C102" i="28" s="1"/>
  <c r="H169" i="27" l="1"/>
  <c r="L169" i="27" s="1" a="1"/>
  <c r="L169" i="27" s="1"/>
  <c r="N169" i="27" s="1"/>
  <c r="N6" i="27"/>
  <c r="N144" i="27"/>
  <c r="N143" i="27"/>
  <c r="H52" i="27"/>
  <c r="I52" i="27"/>
  <c r="H51" i="27"/>
  <c r="I51" i="27"/>
  <c r="I5" i="27"/>
  <c r="L5" i="27" s="1" a="1"/>
  <c r="L5" i="27" s="1"/>
  <c r="N5" i="27" s="1"/>
  <c r="I8" i="27"/>
  <c r="I7" i="27"/>
  <c r="I6" i="27"/>
  <c r="L6" i="27" s="1" a="1"/>
  <c r="L6" i="27" s="1"/>
  <c r="D8" i="27"/>
  <c r="D7" i="27"/>
  <c r="J126" i="19" a="1"/>
  <c r="J126" i="19" s="1"/>
  <c r="J125" i="19" a="1"/>
  <c r="J125" i="19" s="1"/>
  <c r="J124" i="19" a="1"/>
  <c r="J124" i="19" s="1"/>
  <c r="J123" i="19" a="1"/>
  <c r="J123" i="19" s="1"/>
  <c r="J121" i="19" a="1"/>
  <c r="J121" i="19" s="1"/>
  <c r="J120" i="19" a="1"/>
  <c r="J120" i="19" s="1"/>
  <c r="D130" i="27"/>
  <c r="D131" i="27"/>
  <c r="H141" i="27"/>
  <c r="L109" i="27" a="1"/>
  <c r="L109" i="27" s="1"/>
  <c r="N109" i="27" s="1"/>
  <c r="N126" i="19" a="1"/>
  <c r="N126" i="19" s="1"/>
  <c r="M126" i="19" a="1"/>
  <c r="M126" i="19" s="1"/>
  <c r="L126" i="19" a="1"/>
  <c r="L126" i="19" s="1"/>
  <c r="K126" i="19" a="1"/>
  <c r="K126" i="19" s="1"/>
  <c r="I126" i="19" a="1"/>
  <c r="I126" i="19" s="1"/>
  <c r="H126" i="19" a="1"/>
  <c r="H126" i="19" s="1"/>
  <c r="G126" i="19" a="1"/>
  <c r="G126" i="19" s="1"/>
  <c r="F126" i="19" a="1"/>
  <c r="F126" i="19" s="1"/>
  <c r="E126" i="19" a="1"/>
  <c r="E126" i="19" s="1"/>
  <c r="C6" i="19" a="1"/>
  <c r="C6" i="19" s="1"/>
  <c r="B6" i="19" a="1"/>
  <c r="B6" i="19" s="1"/>
  <c r="D52" i="27"/>
  <c r="D51" i="27"/>
  <c r="B11" i="19" a="1"/>
  <c r="B11" i="19" s="1"/>
  <c r="D109" i="27"/>
  <c r="L7" i="27" l="1" a="1"/>
  <c r="L7" i="27" s="1"/>
  <c r="N7" i="27" s="1"/>
  <c r="L8" i="27" a="1"/>
  <c r="L8" i="27" s="1"/>
  <c r="N8" i="27" s="1"/>
  <c r="L51" i="27" a="1"/>
  <c r="L51" i="27" s="1"/>
  <c r="N51" i="27" s="1"/>
  <c r="L52" i="27" a="1"/>
  <c r="L52" i="27" s="1"/>
  <c r="N52" i="27" s="1"/>
  <c r="D126" i="19"/>
  <c r="A5" i="25" l="1"/>
  <c r="A5" i="24"/>
  <c r="A5" i="22"/>
  <c r="A6" i="22" s="1"/>
  <c r="A7" i="22" s="1"/>
  <c r="A8" i="22" s="1"/>
  <c r="M125" i="19" a="1"/>
  <c r="M125" i="19" s="1"/>
  <c r="M124" i="19" a="1"/>
  <c r="M124" i="19" s="1"/>
  <c r="M123" i="19" a="1"/>
  <c r="M123" i="19" s="1"/>
  <c r="M121" i="19" a="1"/>
  <c r="M121" i="19" s="1"/>
  <c r="M120" i="19" a="1"/>
  <c r="M120" i="19" s="1"/>
  <c r="K125" i="19" a="1"/>
  <c r="K125" i="19" s="1"/>
  <c r="K123" i="19" a="1"/>
  <c r="K123" i="19" s="1"/>
  <c r="K121" i="19" a="1"/>
  <c r="K121" i="19" s="1"/>
  <c r="K120" i="19" a="1"/>
  <c r="K120" i="19" s="1"/>
  <c r="K124" i="19" a="1"/>
  <c r="K124" i="19" s="1"/>
  <c r="I125" i="19" a="1"/>
  <c r="I125" i="19" s="1"/>
  <c r="I124" i="19" a="1"/>
  <c r="I124" i="19" s="1"/>
  <c r="I123" i="19" a="1"/>
  <c r="I123" i="19" s="1"/>
  <c r="I121" i="19" a="1"/>
  <c r="I121" i="19" s="1"/>
  <c r="I120" i="19" a="1"/>
  <c r="I120" i="19" s="1"/>
  <c r="L125" i="19"/>
  <c r="L124" i="19"/>
  <c r="L123" i="19"/>
  <c r="L121" i="19"/>
  <c r="L120" i="19"/>
  <c r="N125" i="19"/>
  <c r="N124" i="19"/>
  <c r="N123" i="19"/>
  <c r="N121" i="19"/>
  <c r="N120" i="19"/>
  <c r="E120" i="19" a="1"/>
  <c r="E120" i="19" s="1"/>
  <c r="I122" i="19" l="1"/>
  <c r="I127" i="19" s="1"/>
  <c r="M122" i="19"/>
  <c r="M127" i="19" s="1"/>
  <c r="K122" i="19"/>
  <c r="K127" i="19" s="1"/>
  <c r="J122" i="19"/>
  <c r="N122" i="19"/>
  <c r="L122" i="19"/>
  <c r="L127" i="19" s="1"/>
  <c r="N127" i="19" l="1"/>
  <c r="J127" i="19"/>
  <c r="D143" i="27" l="1"/>
  <c r="D170" i="27" l="1"/>
  <c r="D108" i="27"/>
  <c r="D6" i="27" l="1"/>
  <c r="D169" i="27" l="1"/>
  <c r="B7" i="19" l="1" a="1"/>
  <c r="B7" i="19" s="1"/>
  <c r="E123" i="19"/>
  <c r="E125" i="19"/>
  <c r="E124" i="19"/>
  <c r="H125" i="19"/>
  <c r="G125" i="19"/>
  <c r="F125" i="19"/>
  <c r="H124" i="19"/>
  <c r="G124" i="19"/>
  <c r="F124" i="19"/>
  <c r="H123" i="19"/>
  <c r="G123" i="19"/>
  <c r="F123" i="19"/>
  <c r="H121" i="19"/>
  <c r="G121" i="19"/>
  <c r="F121" i="19"/>
  <c r="E121" i="19"/>
  <c r="H120" i="19"/>
  <c r="G120" i="19"/>
  <c r="F120" i="19"/>
  <c r="AJ11" i="19" l="1"/>
  <c r="AI11" i="19"/>
  <c r="AH11" i="19"/>
  <c r="AG11" i="19"/>
  <c r="AF11" i="19"/>
  <c r="AE11" i="19"/>
  <c r="AD11" i="19"/>
  <c r="AC11" i="19"/>
  <c r="AB11" i="19"/>
  <c r="AA11" i="19"/>
  <c r="X11" i="19"/>
  <c r="Z11" i="19" s="1"/>
  <c r="W11" i="19"/>
  <c r="V11" i="19"/>
  <c r="U11" i="19"/>
  <c r="T11" i="19"/>
  <c r="S11" i="19"/>
  <c r="R11" i="19"/>
  <c r="Q11" i="19"/>
  <c r="P11" i="19"/>
  <c r="O11" i="19"/>
  <c r="L11" i="19"/>
  <c r="N11" i="19" s="1"/>
  <c r="K11" i="19"/>
  <c r="J11" i="19"/>
  <c r="I11" i="19"/>
  <c r="H11" i="19"/>
  <c r="G11" i="19"/>
  <c r="F11" i="19"/>
  <c r="E11" i="19"/>
  <c r="D11" i="19"/>
  <c r="C11" i="19"/>
  <c r="AJ10" i="19"/>
  <c r="AI10" i="19"/>
  <c r="AH10" i="19"/>
  <c r="AG10" i="19"/>
  <c r="AF10" i="19"/>
  <c r="AE10" i="19"/>
  <c r="AD10" i="19"/>
  <c r="AC10" i="19"/>
  <c r="AB10" i="19"/>
  <c r="AA10" i="19"/>
  <c r="X10" i="19"/>
  <c r="Z10" i="19" s="1"/>
  <c r="W10" i="19"/>
  <c r="V10" i="19"/>
  <c r="U10" i="19"/>
  <c r="T10" i="19"/>
  <c r="S10" i="19"/>
  <c r="R10" i="19"/>
  <c r="Q10" i="19"/>
  <c r="P10" i="19"/>
  <c r="O10" i="19"/>
  <c r="L10" i="19"/>
  <c r="N10" i="19" s="1"/>
  <c r="K10" i="19"/>
  <c r="J10" i="19"/>
  <c r="I10" i="19"/>
  <c r="H10" i="19"/>
  <c r="G10" i="19"/>
  <c r="F10" i="19"/>
  <c r="E10" i="19"/>
  <c r="D10" i="19"/>
  <c r="C10" i="19"/>
  <c r="B10" i="19"/>
  <c r="AJ9" i="19"/>
  <c r="AI9" i="19"/>
  <c r="AH9" i="19"/>
  <c r="AG9" i="19"/>
  <c r="AF9" i="19"/>
  <c r="AE9" i="19"/>
  <c r="AD9" i="19"/>
  <c r="AC9" i="19"/>
  <c r="AB9" i="19"/>
  <c r="AA9" i="19"/>
  <c r="X9" i="19"/>
  <c r="Z9" i="19" s="1"/>
  <c r="W9" i="19"/>
  <c r="V9" i="19"/>
  <c r="U9" i="19"/>
  <c r="T9" i="19"/>
  <c r="S9" i="19"/>
  <c r="R9" i="19"/>
  <c r="Q9" i="19"/>
  <c r="P9" i="19"/>
  <c r="O9" i="19"/>
  <c r="L9" i="19"/>
  <c r="N9" i="19" s="1"/>
  <c r="K9" i="19"/>
  <c r="J9" i="19"/>
  <c r="I9" i="19"/>
  <c r="H9" i="19"/>
  <c r="G9" i="19"/>
  <c r="F9" i="19"/>
  <c r="E9" i="19"/>
  <c r="D9" i="19"/>
  <c r="C9" i="19"/>
  <c r="B9" i="19"/>
  <c r="AJ8" i="19"/>
  <c r="AI8" i="19"/>
  <c r="AH8" i="19"/>
  <c r="AG8" i="19"/>
  <c r="AF8" i="19"/>
  <c r="AE8" i="19"/>
  <c r="AD8" i="19"/>
  <c r="AC8" i="19"/>
  <c r="AB8" i="19"/>
  <c r="AA8" i="19"/>
  <c r="X8" i="19"/>
  <c r="Z8" i="19" s="1"/>
  <c r="W8" i="19"/>
  <c r="V8" i="19"/>
  <c r="U8" i="19"/>
  <c r="T8" i="19"/>
  <c r="S8" i="19"/>
  <c r="R8" i="19"/>
  <c r="Q8" i="19"/>
  <c r="P8" i="19"/>
  <c r="O8" i="19"/>
  <c r="L8" i="19"/>
  <c r="N8" i="19" s="1"/>
  <c r="K8" i="19"/>
  <c r="J8" i="19"/>
  <c r="I8" i="19"/>
  <c r="H8" i="19"/>
  <c r="G8" i="19"/>
  <c r="F8" i="19"/>
  <c r="E8" i="19"/>
  <c r="D8" i="19"/>
  <c r="C8" i="19"/>
  <c r="B8" i="19"/>
  <c r="AJ7" i="19"/>
  <c r="AI7" i="19"/>
  <c r="AH7" i="19"/>
  <c r="AG7" i="19"/>
  <c r="AF7" i="19"/>
  <c r="AE7" i="19"/>
  <c r="AD7" i="19"/>
  <c r="AC7" i="19"/>
  <c r="AB7" i="19"/>
  <c r="AA7" i="19"/>
  <c r="X7" i="19"/>
  <c r="Z7" i="19" s="1"/>
  <c r="W7" i="19"/>
  <c r="V7" i="19"/>
  <c r="U7" i="19"/>
  <c r="T7" i="19"/>
  <c r="S7" i="19"/>
  <c r="R7" i="19"/>
  <c r="Q7" i="19"/>
  <c r="P7" i="19"/>
  <c r="O7" i="19"/>
  <c r="L7" i="19"/>
  <c r="N7" i="19" s="1"/>
  <c r="K7" i="19"/>
  <c r="J7" i="19"/>
  <c r="I7" i="19"/>
  <c r="H7" i="19"/>
  <c r="G7" i="19"/>
  <c r="F7" i="19"/>
  <c r="E7" i="19"/>
  <c r="D7" i="19"/>
  <c r="C7" i="19"/>
  <c r="L6" i="19"/>
  <c r="N6" i="19" s="1"/>
  <c r="K6" i="19"/>
  <c r="J6" i="19"/>
  <c r="AG6" i="19"/>
  <c r="AE6" i="19"/>
  <c r="AC6" i="19"/>
  <c r="AJ6" i="19"/>
  <c r="AI6" i="19"/>
  <c r="AH6" i="19"/>
  <c r="AF6" i="19"/>
  <c r="AD6" i="19"/>
  <c r="AB6" i="19"/>
  <c r="AA6" i="19"/>
  <c r="X6" i="19"/>
  <c r="Z6" i="19" s="1"/>
  <c r="W6" i="19"/>
  <c r="V6" i="19"/>
  <c r="U6" i="19"/>
  <c r="S6" i="19"/>
  <c r="Q6" i="19"/>
  <c r="T6" i="19"/>
  <c r="R6" i="19"/>
  <c r="P6" i="19"/>
  <c r="O6" i="19"/>
  <c r="I6" i="19"/>
  <c r="H6" i="19"/>
  <c r="G6" i="19"/>
  <c r="F6" i="19"/>
  <c r="E6" i="19"/>
  <c r="D6" i="19"/>
  <c r="D125" i="19" l="1"/>
  <c r="B12" i="19"/>
  <c r="I12" i="19"/>
  <c r="D121" i="19"/>
  <c r="I1" i="27" l="1"/>
  <c r="E12" i="19" l="1"/>
  <c r="AC12" i="19" l="1"/>
  <c r="AD12" i="19" l="1"/>
  <c r="AH12" i="19"/>
  <c r="AI12" i="19"/>
  <c r="AJ12" i="19"/>
  <c r="AF12" i="19"/>
  <c r="AA12" i="19"/>
  <c r="AE12" i="19" l="1"/>
  <c r="AG12" i="19"/>
  <c r="AB12" i="19" l="1"/>
  <c r="D124" i="19"/>
  <c r="D123" i="19"/>
  <c r="M131" i="19" l="1"/>
  <c r="I131" i="19"/>
  <c r="N131" i="19"/>
  <c r="L131" i="19"/>
  <c r="K131" i="19"/>
  <c r="J131" i="19"/>
  <c r="M130" i="19"/>
  <c r="K130" i="19"/>
  <c r="L130" i="19"/>
  <c r="N130" i="19"/>
  <c r="J130" i="19"/>
  <c r="I130" i="19"/>
  <c r="M132" i="19"/>
  <c r="K132" i="19"/>
  <c r="I132" i="19"/>
  <c r="J132" i="19"/>
  <c r="N132" i="19"/>
  <c r="L132" i="19"/>
  <c r="K129" i="19"/>
  <c r="J129" i="19"/>
  <c r="L129" i="19"/>
  <c r="N129" i="19"/>
  <c r="I129" i="19"/>
  <c r="M129" i="19"/>
  <c r="G132" i="19"/>
  <c r="E132" i="19"/>
  <c r="F129" i="19"/>
  <c r="F131" i="19"/>
  <c r="E129" i="19"/>
  <c r="G130" i="19"/>
  <c r="F122" i="19"/>
  <c r="F130" i="19"/>
  <c r="G131" i="19"/>
  <c r="E131" i="19"/>
  <c r="E130" i="19"/>
  <c r="F132" i="19"/>
  <c r="E122" i="19"/>
  <c r="R12" i="19"/>
  <c r="Z12" i="19"/>
  <c r="D12" i="19"/>
  <c r="C12" i="19"/>
  <c r="F12" i="19"/>
  <c r="T12" i="19"/>
  <c r="X12" i="19"/>
  <c r="W12" i="19"/>
  <c r="V12" i="19"/>
  <c r="P12" i="19"/>
  <c r="O12" i="19"/>
  <c r="L12" i="19"/>
  <c r="K12" i="19"/>
  <c r="J12" i="19"/>
  <c r="H12" i="19"/>
  <c r="E127" i="19" l="1"/>
  <c r="H132" i="19"/>
  <c r="H131" i="19"/>
  <c r="H130" i="19"/>
  <c r="H122" i="19"/>
  <c r="G122" i="19"/>
  <c r="G127" i="19" s="1"/>
  <c r="H129" i="19"/>
  <c r="G129" i="19"/>
  <c r="F127" i="19"/>
  <c r="Q12" i="19"/>
  <c r="U12" i="19"/>
  <c r="S12" i="19"/>
  <c r="G12" i="19"/>
  <c r="N12" i="19"/>
  <c r="H127" i="19" l="1"/>
  <c r="D120" i="19" l="1"/>
  <c r="D122" i="19" s="1"/>
  <c r="E128" i="19" s="1"/>
  <c r="D127" i="19" l="1"/>
  <c r="K133" i="19" s="1"/>
  <c r="I128" i="19"/>
  <c r="M128" i="19"/>
  <c r="N128" i="19"/>
  <c r="J128" i="19"/>
  <c r="K128" i="19"/>
  <c r="L128" i="19"/>
  <c r="H128" i="19"/>
  <c r="G128" i="19"/>
  <c r="F128" i="19"/>
  <c r="N133" i="19" l="1"/>
  <c r="J133" i="19"/>
  <c r="L133" i="19"/>
  <c r="M133" i="19"/>
  <c r="I133" i="19"/>
  <c r="E133" i="19"/>
  <c r="F133" i="19"/>
  <c r="G133" i="19"/>
  <c r="H133" i="19"/>
  <c r="A5" i="23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l="1"/>
  <c r="A39" i="1" s="1"/>
  <c r="A40" i="1"/>
  <c r="A41" i="1" l="1"/>
  <c r="A42" i="1" s="1"/>
  <c r="A43" i="1"/>
  <c r="A44" i="1" l="1"/>
  <c r="A45" i="1" s="1"/>
  <c r="A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Panjarin Insuan</author>
  </authors>
  <commentList>
    <comment ref="P11" authorId="0" shapeId="0" xr:uid="{40C07E8C-8723-448C-83EC-5D83A3FB098F}">
      <text>
        <r>
          <rPr>
            <sz val="11"/>
            <color theme="1"/>
            <rFont val="Tahoma"/>
            <family val="2"/>
            <scheme val="minor"/>
          </rPr>
          <t xml:space="preserve">Panjarin Insuan:
ส่งเมลยกเลิกไป 23/1 
</t>
        </r>
      </text>
    </comment>
    <comment ref="P12" authorId="0" shapeId="0" xr:uid="{C817C32E-8858-43A8-B435-3646285F1863}">
      <text>
        <r>
          <rPr>
            <sz val="11"/>
            <color theme="1"/>
            <rFont val="Tahoma"/>
            <family val="2"/>
            <scheme val="minor"/>
          </rPr>
          <t xml:space="preserve">Panjarin Insuan:
ส่งเมลยกเลิกไป 23/1 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<sst xmlns="http://schemas.openxmlformats.org/spreadsheetml/2006/main" count="1509" uniqueCount="382">
  <si>
    <t>Request for Information Summary</t>
  </si>
  <si>
    <t>Trade</t>
  </si>
  <si>
    <t>Planned Equipment Material Approval</t>
  </si>
  <si>
    <t>Rev0</t>
  </si>
  <si>
    <t>Rev1</t>
  </si>
  <si>
    <t>Rev2</t>
  </si>
  <si>
    <t>GAA Stats</t>
  </si>
  <si>
    <t>CTA Stats</t>
  </si>
  <si>
    <t>AUR Stats</t>
  </si>
  <si>
    <t>STT Stats</t>
  </si>
  <si>
    <t>Total Submission</t>
  </si>
  <si>
    <t>Total reviewed</t>
  </si>
  <si>
    <t>Total outstanding</t>
  </si>
  <si>
    <t>Status A</t>
  </si>
  <si>
    <t>Status B</t>
  </si>
  <si>
    <t>Status C</t>
  </si>
  <si>
    <t>Pending resubmission</t>
  </si>
  <si>
    <t>Submitted</t>
  </si>
  <si>
    <t>Structural</t>
  </si>
  <si>
    <t>Architectural</t>
  </si>
  <si>
    <t>Mechanical</t>
  </si>
  <si>
    <t>Fire Protection</t>
  </si>
  <si>
    <t>Hydraulics</t>
  </si>
  <si>
    <t>Electrical &amp; Comms</t>
  </si>
  <si>
    <t>Overall</t>
  </si>
  <si>
    <t>Submission</t>
  </si>
  <si>
    <t xml:space="preserve">Approved by All </t>
  </si>
  <si>
    <t>Rejected</t>
  </si>
  <si>
    <t>Pending submission</t>
  </si>
  <si>
    <t>CTA Approved</t>
  </si>
  <si>
    <t>CTA Outstanding</t>
  </si>
  <si>
    <t>AUR Approved</t>
  </si>
  <si>
    <t>AUR Outstanding</t>
  </si>
  <si>
    <t>STT Approved</t>
  </si>
  <si>
    <t>STT outstanding</t>
  </si>
  <si>
    <t>AR &amp; ST</t>
  </si>
  <si>
    <t>Fire</t>
  </si>
  <si>
    <t>Do not tounch</t>
  </si>
  <si>
    <t>w/e</t>
  </si>
  <si>
    <t>Total Expected</t>
  </si>
  <si>
    <t>Planned Submission</t>
  </si>
  <si>
    <t>Actual Submitted</t>
  </si>
  <si>
    <t>Status</t>
  </si>
  <si>
    <t>Under Review</t>
  </si>
  <si>
    <t>A</t>
  </si>
  <si>
    <t>B</t>
  </si>
  <si>
    <t>C</t>
  </si>
  <si>
    <t>CTA</t>
  </si>
  <si>
    <t>AUR</t>
  </si>
  <si>
    <t>STT</t>
  </si>
  <si>
    <t>Electrical</t>
  </si>
  <si>
    <t>General</t>
  </si>
  <si>
    <t>Status: (A) Approved with No Comments, (B) Approved with Comments, (C) Revise &amp; Resubmit</t>
  </si>
  <si>
    <t>Action by</t>
  </si>
  <si>
    <t>GAA</t>
  </si>
  <si>
    <t>S/N</t>
  </si>
  <si>
    <t>Doc Ref No.</t>
  </si>
  <si>
    <t>Document Description</t>
  </si>
  <si>
    <t>Planned Date</t>
  </si>
  <si>
    <t>Submission Date</t>
  </si>
  <si>
    <t>Consultant Respond Date</t>
  </si>
  <si>
    <t>Rev</t>
  </si>
  <si>
    <t>Action</t>
  </si>
  <si>
    <t>Approval Date</t>
  </si>
  <si>
    <t>Remarks</t>
  </si>
  <si>
    <t>Rev 0</t>
  </si>
  <si>
    <t>Rev 1</t>
  </si>
  <si>
    <t>Rev 2</t>
  </si>
  <si>
    <t>Civil &amp; Structure</t>
  </si>
  <si>
    <t>523213-01-RFI-ST-0001</t>
  </si>
  <si>
    <t>Request for Additional Steel Manufacturers Approval due to Material Stock Unavailability</t>
  </si>
  <si>
    <t>Pending</t>
  </si>
  <si>
    <t>523213-01-RFI-ST-0002</t>
  </si>
  <si>
    <t xml:space="preserve">                </t>
  </si>
  <si>
    <t>DO NOT DELETE</t>
  </si>
  <si>
    <t>Closed</t>
  </si>
  <si>
    <t>x</t>
  </si>
  <si>
    <t>523213-01-RFI-AR-0001</t>
  </si>
  <si>
    <t>Clarification on Mortar Specification</t>
  </si>
  <si>
    <t>523213-01-RFI-AR-0002</t>
  </si>
  <si>
    <t>523213-01-RFI-AR-0003</t>
  </si>
  <si>
    <t xml:space="preserve">Partition wall or Block Wall  HV3 and HV 4 Shaft 2nd Floor </t>
  </si>
  <si>
    <t>523213-01-RFI-AR-0004</t>
  </si>
  <si>
    <t>Confirmation for Store Room or EE Riser</t>
  </si>
  <si>
    <t>523213-01-RFI-AR-0005</t>
  </si>
  <si>
    <t>Partition wall or Block wall Chiller 2nd 3rd 4th and 5th FL</t>
  </si>
  <si>
    <t>523213-01-RFI-AR-0006</t>
  </si>
  <si>
    <t xml:space="preserve">Confirmation for Whether the Door Handle is to be Installed on the Right-Hand Side or Left-Hand Side. 2nd Floor </t>
  </si>
  <si>
    <t>523213-01-RFI-AR-0007</t>
  </si>
  <si>
    <t>523213-01-RFI-AR-0008</t>
  </si>
  <si>
    <t>523213-01-RFI-AR-0009</t>
  </si>
  <si>
    <t>Indicate Wall Structure and Wall Finishes Type for Store and ELV. B Room</t>
  </si>
  <si>
    <t>523213-01-RFI-AR-0010</t>
  </si>
  <si>
    <t xml:space="preserve">Indicate Wall Structure and Wall Finishes Type for Batt S2, S3 and EE Room 6th Floor </t>
  </si>
  <si>
    <t>523213-01-RFI-AR-0011</t>
  </si>
  <si>
    <t xml:space="preserve">Indicate Wall Structure and Wall Finishes Type for D22 6th Floor </t>
  </si>
  <si>
    <t>523213-01-RFI-AR-0012</t>
  </si>
  <si>
    <t>Clarification on Raised Floor for DB Load Bank Room</t>
  </si>
  <si>
    <t>523213-01-RFI-AR-0013</t>
  </si>
  <si>
    <t>Floor Tiles Size, Start Point, Layout and Orientation for Security Room and Reception Hall 1st FL</t>
  </si>
  <si>
    <t>523213-01-RFI-AR-0014</t>
  </si>
  <si>
    <t xml:space="preserve"> C11 Ceiling type Specification</t>
  </si>
  <si>
    <t>523213-01-RFI-AR-0015</t>
  </si>
  <si>
    <t>Confirm Ceiling Type 6th FL (C4 or C10)</t>
  </si>
  <si>
    <t>523213-01-RFI-AR-0016</t>
  </si>
  <si>
    <t>Generator Set and PAU Rooms Waterproofing Scope</t>
  </si>
  <si>
    <t>523213-01-RFI-AR-0017</t>
  </si>
  <si>
    <t>Busway Riser or EE Riser 2nd Floor</t>
  </si>
  <si>
    <t>523213-01-RFI-AR-0018</t>
  </si>
  <si>
    <t>Regarding the alignment of the wall between IFC and TTI model is not the same. Gaa would like to confirm which model we should use?</t>
  </si>
  <si>
    <t>523213-01-RFI-AR-0019</t>
  </si>
  <si>
    <t>Clarification on Door Frame Depth Considering Different Wall Thicknesses</t>
  </si>
  <si>
    <t>523213-01-RFI-AR-0020</t>
  </si>
  <si>
    <t>Clarification of Return Air Grills 2nd, 3rd, 4th and 5th Floor</t>
  </si>
  <si>
    <t>523213-01-RFI-AR-0021</t>
  </si>
  <si>
    <t>523213-01-RFI-AR-0022</t>
  </si>
  <si>
    <t xml:space="preserve">Floor Flatness FM2 and Screed Reinforcement details for Data Hall and Related Area </t>
  </si>
  <si>
    <t>523213-01-RFI-AR-0023</t>
  </si>
  <si>
    <t>Finishing Schedule</t>
  </si>
  <si>
    <t>523213-01-RFI-AR-0024</t>
  </si>
  <si>
    <t xml:space="preserve">Confirmation on the Wire Mesh Screen Details at the Fan wall Corridors </t>
  </si>
  <si>
    <t>523213-01-RFI-AR-0025</t>
  </si>
  <si>
    <t xml:space="preserve">Confirm for the Final Height of HMI Display from Fan wall unit (FWU) with Respects to Human Ratio </t>
  </si>
  <si>
    <t>523213-01-RFI-AR-0026</t>
  </si>
  <si>
    <t xml:space="preserve">Reduce the Thickness of Glass block in the Curve Wall from 12.7 mm. to 10.0 mm. </t>
  </si>
  <si>
    <t>523213-01-RFI-AR-0027</t>
  </si>
  <si>
    <t>Confirm Colour Code and Type  - Semi-Gloss or Matt Type</t>
  </si>
  <si>
    <t>523213-01-RFI-AR-0028</t>
  </si>
  <si>
    <t>Proposal for Waterproofing Termination Level at RC Curb for F3, F3C and F6</t>
  </si>
  <si>
    <t>523213-01-RFI-AR-0029</t>
  </si>
  <si>
    <t>Confirm Colour for Partition Wall Toilet Room 1st to 5th Floor</t>
  </si>
  <si>
    <t>523213-01-RFI-AR-0030</t>
  </si>
  <si>
    <t>Clarify Ceiling Soffit Color for Ceiling Painting</t>
  </si>
  <si>
    <t>523213-01-RFI-AR-0031</t>
  </si>
  <si>
    <t>Request Product to Replace SIKA Bituseal-1500SA (Due to Discontinue to Produce)</t>
  </si>
  <si>
    <t>523213-01-RFI-AR-0032</t>
  </si>
  <si>
    <t>Confirm the Correct Floor Finishes for ID Works 1st-ID Works and 2nd to 5th Toilet</t>
  </si>
  <si>
    <t>523213-01-RFI-AR-0033</t>
  </si>
  <si>
    <t>Confirm the Correct Ceiling Finishes for ID Works 1st to 5th Floor</t>
  </si>
  <si>
    <t>523213-01-RFI-AR-0034</t>
  </si>
  <si>
    <t>Clarify the C2 T-Bar Ceiling  and Specify the Colour</t>
  </si>
  <si>
    <t>523213-01-RFI-AR-0035</t>
  </si>
  <si>
    <t xml:space="preserve">Confirming the Tile Type from the catalog SE206 is a Carpet Tile </t>
  </si>
  <si>
    <t>523213-01-RFI-AR-0036</t>
  </si>
  <si>
    <t>Request for Tile Grout Specification and Colour Schemes for BKK2</t>
  </si>
  <si>
    <t>523213-01-RFI-AR-0037</t>
  </si>
  <si>
    <t xml:space="preserve">Confirm to Change Weberdry S3000S to Proofex GPE due to Discontinued Product </t>
  </si>
  <si>
    <t>523213-01-RFI-AR-0038</t>
  </si>
  <si>
    <t>Change of Ceiling Panel Specification from Gypsum Board to Metal Pan Ceiling Board</t>
  </si>
  <si>
    <t>523213-01-RFI-AR-0039</t>
  </si>
  <si>
    <t>Change Laminated Color due to Discontinued Product</t>
  </si>
  <si>
    <t>523213-01-RFI-AR-0040</t>
  </si>
  <si>
    <t>Confirm to Install Ceiling Side Guard 2nd to 5th FL</t>
  </si>
  <si>
    <t>523213-01-RFI-AR-0041</t>
  </si>
  <si>
    <t>Confirm External Paint Color and Technical Specification for Generators Room</t>
  </si>
  <si>
    <t>523213-01-RFI-AR-0042</t>
  </si>
  <si>
    <t>Clarify Ceiling Types for Level 5 Battery Room B1,B2,C1,C2,D1 &amp; D2 Areas.</t>
  </si>
  <si>
    <t>523213-01-RFI-AR-0043</t>
  </si>
  <si>
    <t>Procurement</t>
  </si>
  <si>
    <t>523213-01-RFI-EL-0001</t>
  </si>
  <si>
    <t xml:space="preserve">Aux Supply Non-IT UPS for LVSB,OUSB,MSSB and ATS </t>
  </si>
  <si>
    <t>523213-01-RFI-EL-0002</t>
  </si>
  <si>
    <t>Pre-Action System for Comm Riser</t>
  </si>
  <si>
    <t>523213-01-RFI-EL-0003</t>
  </si>
  <si>
    <t>Use Local Switch or Remote Switch 2nd to 6th FL R0</t>
  </si>
  <si>
    <t>523213-01-RFI-EL-0004</t>
  </si>
  <si>
    <t xml:space="preserve">Shut down Exhaust Fan </t>
  </si>
  <si>
    <t>523213-01-RFI-EL-0005</t>
  </si>
  <si>
    <t>Detector of Toilet for Fire Alarm System (Heat or Smoke?) for all Floor</t>
  </si>
  <si>
    <t>523213-01-RFI-EL-0006</t>
  </si>
  <si>
    <t xml:space="preserve">Detector of Toilet for Fire Alarm System &amp; Fire Alarm System </t>
  </si>
  <si>
    <t>523213-01-RFI-EL-0007</t>
  </si>
  <si>
    <t xml:space="preserve">Fire Alarm System Interface with Mechanical Equipment </t>
  </si>
  <si>
    <t>523213-01-RFI-EL-0008</t>
  </si>
  <si>
    <t>Confirm the amount of Monitor and Control Module - Fire Alarm System</t>
  </si>
  <si>
    <t>523213-01-RFI-EL-0009</t>
  </si>
  <si>
    <t>Quantity of Smoke Detector is not equal in Fan Wall A and B on 5th FL, Speaker 4th FL and Speaker L2 2nd FL</t>
  </si>
  <si>
    <t>523213-01-RFI-EL-0010</t>
  </si>
  <si>
    <t>523213-01-RFI-EL-0011</t>
  </si>
  <si>
    <t xml:space="preserve">Add &amp; Remove Cable Ladder from HVSB to HV Riser </t>
  </si>
  <si>
    <t>523213-01-RFI-EL-0012</t>
  </si>
  <si>
    <t xml:space="preserve">Incoming HV Cable Route Problem </t>
  </si>
  <si>
    <t>523213-01-RFI-EL-0013</t>
  </si>
  <si>
    <t>Need PIR for Security Room 2, Janitor, Storage and Work Shop - Lighting Control System</t>
  </si>
  <si>
    <t>523213-01-RFI-EL-0014</t>
  </si>
  <si>
    <t>Confirm for Additional Power Supply for GDP</t>
  </si>
  <si>
    <t>523213-01-RFI-EL-0015</t>
  </si>
  <si>
    <t>Clarification on Fire Alarm Module Type for Sysem Interface</t>
  </si>
  <si>
    <t>523213-01-RFI-EL-0016</t>
  </si>
  <si>
    <t xml:space="preserve">Aux supply Non-IT DB for HVSB,TX and LB </t>
  </si>
  <si>
    <t>523213-01-RFI-EL-0017</t>
  </si>
  <si>
    <t>Confirm to Add Power Supply for ASD - Staging Room 1st Floor</t>
  </si>
  <si>
    <t>523213-01-RFI-EL-0018</t>
  </si>
  <si>
    <t>Confirm the Correct ASD Pipe Installation Location in Data Hall Area</t>
  </si>
  <si>
    <t>523213-01-RFI-EL-0019</t>
  </si>
  <si>
    <t>Detail Location for Install CCTV at Outside Building</t>
  </si>
  <si>
    <t>523213-01-RFI-EL-0020</t>
  </si>
  <si>
    <t>Quantity and Installation Locations of PIR Sensors for the Stairs</t>
  </si>
  <si>
    <t>523213-01-RFI-EL-0021</t>
  </si>
  <si>
    <t>Confirm for Power Supply for LV System</t>
  </si>
  <si>
    <t>523213-01-RFI-EL-0022</t>
  </si>
  <si>
    <t xml:space="preserve">Confirm Fire Alarm and ASD Interface </t>
  </si>
  <si>
    <t>523213-01-RFI-EL-0023</t>
  </si>
  <si>
    <t>Fire Alarm Signals Interface to BMS System</t>
  </si>
  <si>
    <t>523213-01-RFI-EL-0024</t>
  </si>
  <si>
    <t xml:space="preserve">Module (Control Module) for Fire Telephone of Staircases 1st FL </t>
  </si>
  <si>
    <t>523213-01-RFI-EL-0025</t>
  </si>
  <si>
    <t xml:space="preserve"> Scope of Earth Ground Bar and Cable for Fuel Fill Cabinet </t>
  </si>
  <si>
    <t>523213-01-RFI-EL-0026</t>
  </si>
  <si>
    <t>Electrical Routing at 2nd Floor Confirmation</t>
  </si>
  <si>
    <t>523213-01-RFI-EL-0027</t>
  </si>
  <si>
    <t>Confirm to add Lamp type&amp;room in Luminaire Schedule and  PIR for Sensor 1st and 5th FL</t>
  </si>
  <si>
    <t>523213-01-RFI-EL-0028</t>
  </si>
  <si>
    <t>UDB and LCP Panels Relocation on 2nd Floor</t>
  </si>
  <si>
    <t>523213-01-RFI-EL-0029</t>
  </si>
  <si>
    <t>Add Junction Box for Phase 1 on 3rd, 4th and 5th Floor for Convenience for Tie-In in the Future Phase</t>
  </si>
  <si>
    <t>523213-01-RFI-EL-0030</t>
  </si>
  <si>
    <t>Relay of Lighting Control at 2nd floor Confirmation</t>
  </si>
  <si>
    <t>523213-01-RFI-EL-0031</t>
  </si>
  <si>
    <t>Lighting Circuit at Garbage and Janitor Rooms, 1st Floor - Supply from Source B Only</t>
  </si>
  <si>
    <t>523213-01-RFI-EL-0032</t>
  </si>
  <si>
    <t>Confirm Phase of TH-BKK02-02-06-LVSB-002-S1 on 6th Floor  (Phase 1 or Phase 2)</t>
  </si>
  <si>
    <t>523213-01-RFI-EL-0033</t>
  </si>
  <si>
    <t>Confirmation on Identification of Relay Numbers Lighting System Roof Floor</t>
  </si>
  <si>
    <t>523213-01-RFI-EL-0034</t>
  </si>
  <si>
    <t>Confirmation on Power Supply for TH-BKK2-02-01-EAF-007 and 008  1st FL</t>
  </si>
  <si>
    <t>523213-01-RFI-EL-0035</t>
  </si>
  <si>
    <t>Requirement for PIR Sensor for lighting L1 Type 2nd to 6th FL</t>
  </si>
  <si>
    <t>523213-01-RFI-EL-0036</t>
  </si>
  <si>
    <t>523213-01-RFI-EL-0037</t>
  </si>
  <si>
    <t>Tag Confirmation for Electrical Panel 1st to Roof FL</t>
  </si>
  <si>
    <t>523213-01-RFI-EL-0038</t>
  </si>
  <si>
    <t>Connection for Fire Alarm Phase 1 on 3rd FL system</t>
  </si>
  <si>
    <t>523213-01-RFI-EL-0039</t>
  </si>
  <si>
    <t>523213-01-RFI-EL-0040</t>
  </si>
  <si>
    <t>523213-01-RFI-EL-0041</t>
  </si>
  <si>
    <t>Clarification on Scope of Work for Plug-in Units and Sub Main Cables</t>
  </si>
  <si>
    <t>523213-01-RFI-EL-0042</t>
  </si>
  <si>
    <t>523213-01-RFI-EL-0043</t>
  </si>
  <si>
    <t>Confirmation for NSCP interface with BMS as - HHI or LLI?</t>
  </si>
  <si>
    <t>523213-01-RFI-EL-0044</t>
  </si>
  <si>
    <t xml:space="preserve">Clarification of Heat Detector for Genset Room Fire Alarm System </t>
  </si>
  <si>
    <t>523213-01-RFI-EL-0045</t>
  </si>
  <si>
    <t>Confirm to use Steel Plint for all LV Switch Board as same as Phase 4 and 5.</t>
  </si>
  <si>
    <t>523213-01-RFI-EL-0046</t>
  </si>
  <si>
    <t>Confirm of Interface Method for Tap-off Unit (Non-IT) : HLI or LLI?</t>
  </si>
  <si>
    <t>523213-01-RFI-EL-0047</t>
  </si>
  <si>
    <t>Confirm Switch Control for Lighting System 1st FL (Entrance, Reception, Lift Lobby and Sec. Room 2)</t>
  </si>
  <si>
    <t>523213-01-RFI-EL-0048</t>
  </si>
  <si>
    <t>Cable trays obstruct a spare space of FWU</t>
  </si>
  <si>
    <t>523213-01-RFI-EL-0049</t>
  </si>
  <si>
    <t>Confirm Supply source for junction boxes in shower room (1st floor)</t>
  </si>
  <si>
    <t>523213-01-RFI-EL-0050</t>
  </si>
  <si>
    <t>Clarification on BMS Monitoring Points for IG-100 Fire Suppression System</t>
  </si>
  <si>
    <t>523213-01-RFI-EL-0051</t>
  </si>
  <si>
    <t>Clarification on PACP Low-Level Interface (Hardwired) Point List Requirements</t>
  </si>
  <si>
    <t>523213-01-RFI-EL-0052</t>
  </si>
  <si>
    <t>Confirmation for MV Cable Ladder Color Coding</t>
  </si>
  <si>
    <t>523213-01-RFI-EL-0053</t>
  </si>
  <si>
    <t>523213-01-RFI-EL-0054</t>
  </si>
  <si>
    <t xml:space="preserve"> </t>
  </si>
  <si>
    <t>523213-01-RFI-FI-0001</t>
  </si>
  <si>
    <t>Request for Information - IG 100 or Wet Sprinkler for HV UG Entry Room 1st FL</t>
  </si>
  <si>
    <t>523213-01-RFI-FI-0002</t>
  </si>
  <si>
    <t>Symbol to use with Jockey Pump</t>
  </si>
  <si>
    <t>523213-01-RFI-FI-0003</t>
  </si>
  <si>
    <t>Name of Data Hall (1, 2, 3 or A, B, C )</t>
  </si>
  <si>
    <t>523213-01-RFI-FI-0004</t>
  </si>
  <si>
    <t>Sprinkler Corridor 1st FL is Fit Out</t>
  </si>
  <si>
    <t>523213-01-RFI-FI-0005</t>
  </si>
  <si>
    <t>Confirm the Location of Fire Hose Cabinet 1st</t>
  </si>
  <si>
    <t>523213-01-RFI-FI-0006</t>
  </si>
  <si>
    <t>Needed Installation Detail of Fire Hose Cabinet in Pump Room</t>
  </si>
  <si>
    <t>523213-01-RFI-FI-0007</t>
  </si>
  <si>
    <t>Confirm The Main Pipe Size</t>
  </si>
  <si>
    <t>523213-01-RFI-FI-0008</t>
  </si>
  <si>
    <t>Confirmation of Nitrogen Suppression System for MDF A &amp; ELV A  and MDF B &amp; ELV B (Level 2)</t>
  </si>
  <si>
    <t>523213-01-RFI-FI-0009</t>
  </si>
  <si>
    <t xml:space="preserve">Confirmation of Butterfly Valve with Supervisory Switch Status Indication to Fire Alarm System </t>
  </si>
  <si>
    <t>523213-01-RFI-FI-0010</t>
  </si>
  <si>
    <t>Confirm the details of the first and second horn tones activation in the Nitrogen Suppression System</t>
  </si>
  <si>
    <t>523213-01-RFI-FI-0011</t>
  </si>
  <si>
    <t>Confirmation of the Details of the Activation of the LED Indication R0</t>
  </si>
  <si>
    <t>523213-01-RFI-FI-0012</t>
  </si>
  <si>
    <t xml:space="preserve">Confirmation of the Details of the First and Second Horn Tones Activation </t>
  </si>
  <si>
    <t>523213-01-RFI-FI-0013</t>
  </si>
  <si>
    <t>Confirmation of the Details of the Strobe Light &amp; Second Horn Activated for all Genset to the Pre Action System</t>
  </si>
  <si>
    <t>523213-01-RFI-FI-0014</t>
  </si>
  <si>
    <t>Confirmation of 2-Layer Silent Nozzle – IG-100 System due to height more than 5 m. 2nd-6th FL</t>
  </si>
  <si>
    <t>523213-01-RFI-FI-0015</t>
  </si>
  <si>
    <t>523213-01-RFI-FI-0016</t>
  </si>
  <si>
    <t>523213-01-RFI-FI-0017</t>
  </si>
  <si>
    <t>523213-01-RFI-ME-0001</t>
  </si>
  <si>
    <t>FCU Fan Type</t>
  </si>
  <si>
    <t>523213-01-RFI-ME-0002</t>
  </si>
  <si>
    <t>Gas Purging Fan Tag Number is 02-01-GPF-002 or 02-02-GPF-002 for 2nd FL</t>
  </si>
  <si>
    <t>CANCEL</t>
  </si>
  <si>
    <t>523213-01-RFI-ME-0003</t>
  </si>
  <si>
    <t>Correct reference of the Supply Air of FCU 2nd FL (No. 001 to 012)</t>
  </si>
  <si>
    <t>523213-01-RFI-ME-0004</t>
  </si>
  <si>
    <t>CCU is not Equipped with a motorized Damper? 2nd - 4th FL</t>
  </si>
  <si>
    <t>523213-01-RFI-ME-0005</t>
  </si>
  <si>
    <t>MEP Pipe at 2.1m. conflict with door height 2.8 meters 1st Floor</t>
  </si>
  <si>
    <t>523213-01-RFI-ME-0006</t>
  </si>
  <si>
    <t>Cooling Coil amount and type for PAHU 1st &amp; Roof FL</t>
  </si>
  <si>
    <t>523213-01-RFI-ME-0007</t>
  </si>
  <si>
    <t>PAHU Supply Air Conflict  1st FL</t>
  </si>
  <si>
    <t>523213-01-RFI-ME-0008</t>
  </si>
  <si>
    <t>Add Isolation Valve and Check Valve for DRG-ME-0103, 0104 and 0105</t>
  </si>
  <si>
    <t>523213-01-RFI-ME-0009</t>
  </si>
  <si>
    <t>Add  Isolation Valves for 4th &amp;5 th FL</t>
  </si>
  <si>
    <t>523213-01-RFI-ME-0010</t>
  </si>
  <si>
    <t>Change CVV Cable from 2C-1.5 mm2 to 4C-1.5 mm2 in MCC Panel for DRG-ME-8000, 8001, 8002, 8003</t>
  </si>
  <si>
    <t>523213-01-RFI-ME-0011</t>
  </si>
  <si>
    <t>Power Supply and cable size from MCC Panel in Drawing 523213-02-DRG-ME-0201</t>
  </si>
  <si>
    <t>523213-01-RFI-ME-0012</t>
  </si>
  <si>
    <t>DP Sensor for Fan Wall at DATA HALL is Required</t>
  </si>
  <si>
    <t>523213-01-RFI-ME-0013</t>
  </si>
  <si>
    <t>Verify position for 02-01-EAF-019</t>
  </si>
  <si>
    <t>523213-01-RFI-ME-0014</t>
  </si>
  <si>
    <t>Pressure Gauge for ACMV Riser Needed?</t>
  </si>
  <si>
    <t>523213-01-RFI-ME-0015</t>
  </si>
  <si>
    <t>Confirm Temp/Hum. amount In LV Room A and B 2nd Floor.(Total 4 or 6 set) 2nd FL</t>
  </si>
  <si>
    <t>523213-01-RFI-ME-0016</t>
  </si>
  <si>
    <t>Confirm for Fresh Air Fan  for TH-BKK2-02-01-FAF-005 N2 Cylinder Room  1st Floor</t>
  </si>
  <si>
    <t>523213-01-RFI-ME-0017</t>
  </si>
  <si>
    <t>Please Confirm the Power Supply for the Motorized Damper 2nd to 6th FL</t>
  </si>
  <si>
    <t>523213-01-RFI-ME-0018</t>
  </si>
  <si>
    <t>Confirmation of Harmonic Filter Type (AHF)</t>
  </si>
  <si>
    <t>523213-01-RFI-ME-0019</t>
  </si>
  <si>
    <t>FCU as the Spec (HH-D Double Skin) Sizing too Big. It Can't Install in Room - 02-02-FCU-001&amp;002 2nd FL</t>
  </si>
  <si>
    <t>523213-01-RFI-ME-0020</t>
  </si>
  <si>
    <t>Confirm PRD at 5th FL (for TX LV MSB 3, UPS Room A, B, C and D)</t>
  </si>
  <si>
    <t>523213-01-RFI-ME-0021</t>
  </si>
  <si>
    <t>Confirm Air Flow Value for TH-BKK2-02-01-FAF-001 and 002 1st FL</t>
  </si>
  <si>
    <t>523213-01-RFI-ME-0022</t>
  </si>
  <si>
    <t>Need Slab to Beam Height 4.1 m for Installing DUCT at PAU Room Roof FL (Currently  h=2.6m.)</t>
  </si>
  <si>
    <t>523213-01-RFI-ME-0023</t>
  </si>
  <si>
    <t>Confirm weather TH-BKK2-02-06-CH-001, 002 and 003 are provided with MDV or not?</t>
  </si>
  <si>
    <t>523213-01-RFI-ME-0024</t>
  </si>
  <si>
    <t>Confirm whether the FCU power supply requirement is 3 Phase or Single Phase on DRG-ME-0203</t>
  </si>
  <si>
    <t>523213-01-RFI-HY-0001</t>
  </si>
  <si>
    <t>Water Meter Type for Toilet Room</t>
  </si>
  <si>
    <t>523213-01-RFI-HY-0002</t>
  </si>
  <si>
    <t>Confirm fit Out Scope</t>
  </si>
  <si>
    <t>523213-01-RFI-HY-0003</t>
  </si>
  <si>
    <t>Confirm Sewage Submersible Pump Control Panel Scope</t>
  </si>
  <si>
    <t>523213-01-RFI-HY-0004</t>
  </si>
  <si>
    <t>Propose to use 20 Inched BSP SCh20 for Generator Exhaust Pipe</t>
  </si>
  <si>
    <t>523213-01-RFI-HY-0005</t>
  </si>
  <si>
    <t xml:space="preserve">Confirm to Connect with MWA by Existing Pipe or not </t>
  </si>
  <si>
    <t>523213-01-RFI-HY-0006</t>
  </si>
  <si>
    <t>Confirm to Install Digital Water Meter at Softener Drain Line</t>
  </si>
  <si>
    <t>523213-01-RFI-HY-0007</t>
  </si>
  <si>
    <t>Confirm Generator Exhaust Pipe (Head Type)</t>
  </si>
  <si>
    <t>523213-01-RFI-HY-0008</t>
  </si>
  <si>
    <t>Details of the FUS-A and FUS-B pipelines for the day tank</t>
  </si>
  <si>
    <t>523213-01-RFI-HY-0009</t>
  </si>
  <si>
    <t>Confirm whether flow meters are required for the FOU-A and FOU-B drain lines</t>
  </si>
  <si>
    <t>523213-01-RFI-HY-0010</t>
  </si>
  <si>
    <t>Confirmation of Gate Valve Installation Details for FUS-A, FUS-B, FUO-A, FUO-B and FUPSL Lines at Pump Room</t>
  </si>
  <si>
    <t>523213-01-RFI-HY-0011</t>
  </si>
  <si>
    <t>Clarification on Fuel Consumption Meter (FCM) Intent</t>
  </si>
  <si>
    <t>Plan Date</t>
  </si>
  <si>
    <t>Actual Submission Date</t>
  </si>
  <si>
    <t>Action By</t>
  </si>
  <si>
    <t>Delays Date</t>
  </si>
  <si>
    <t>Approved Status</t>
  </si>
  <si>
    <t>Priority</t>
  </si>
  <si>
    <t>Needed</t>
  </si>
  <si>
    <t>*Put only this</t>
  </si>
  <si>
    <t>dd/mm/yy</t>
  </si>
  <si>
    <t>Urgent</t>
  </si>
  <si>
    <t>523213-01-RFI-AR-0044</t>
  </si>
  <si>
    <t>ELECTRICAL</t>
  </si>
  <si>
    <t>FIRE PROTECTION</t>
  </si>
  <si>
    <t>523213-01-RFI-FI-0018</t>
  </si>
  <si>
    <t>523213-01-RFI-FI-0019</t>
  </si>
  <si>
    <t>523213-01-RFI-FI-0020</t>
  </si>
  <si>
    <t>HYDRAULIC</t>
  </si>
  <si>
    <t>MECHANICAL</t>
  </si>
  <si>
    <t>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</si>
</sst>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7" formatCode="dd\-mmm\-yyyy\ "/>
    <numFmt numFmtId="188" formatCode="dd\-mmm\-yy"/>
    <numFmt numFmtId="189" formatCode="###0;###0"/>
    <numFmt numFmtId="190" formatCode="[$-409]d\-mmm\-yy;@"/>
    <numFmt numFmtId="191" formatCode="[$-409]dd\-mmm\-yy;@"/>
    <numFmt numFmtId="192" formatCode="#"/>
    <numFmt numFmtId="193" formatCode="[$-14809]d\ mmm\ yyyy;@"/>
    <numFmt numFmtId="194" formatCode="[$-409]d\-mmm\-yyyy;@"/>
  </numFmts>
  <fonts count="34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sz val="8"/>
      <name val="Tahoma"/>
      <family val="2"/>
      <scheme val="minor"/>
    </font>
    <font>
      <b/>
      <u/>
      <sz val="11"/>
      <color theme="1"/>
      <name val="Tahoma"/>
      <family val="2"/>
      <scheme val="minor"/>
    </font>
    <font>
      <i/>
      <sz val="11"/>
      <color theme="1"/>
      <name val="Tahoma"/>
      <family val="2"/>
      <scheme val="minor"/>
    </font>
    <font>
      <i/>
      <sz val="11"/>
      <color theme="0" tint="-0.499984740745262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0" tint="-0.499984740745262"/>
      <name val="Tahoma"/>
      <family val="2"/>
      <scheme val="minor"/>
    </font>
    <font>
      <sz val="10"/>
      <color rgb="FF000000"/>
      <name val="Tahoma"/>
      <family val="2"/>
      <scheme val="minor"/>
    </font>
    <font>
      <b/>
      <sz val="11"/>
      <name val="Tahoma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11"/>
      <color rgb="FFFF0000"/>
      <name val="Tahoma"/>
      <family val="2"/>
      <scheme val="minor"/>
    </font>
    <font>
      <b/>
      <sz val="12"/>
      <color rgb="FF9D7C2D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8"/>
      <color theme="1"/>
      <name val="Tahoma"/>
      <family val="2"/>
      <scheme val="minor"/>
    </font>
    <font>
      <b/>
      <u/>
      <sz val="20"/>
      <color theme="1"/>
      <name val="Tahoma"/>
      <family val="2"/>
      <scheme val="minor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name val="Tahoma"/>
      <family val="2"/>
    </font>
    <font>
      <sz val="10"/>
      <color rgb="FFFF0000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Tahoma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D7C2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4BAB8"/>
        <bgColor indexed="64"/>
      </patternFill>
    </fill>
    <fill>
      <patternFill patternType="solid">
        <fgColor theme="8" tint="0.79998168889431442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ash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otted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horizontal="center" vertical="top"/>
    </xf>
    <xf numFmtId="188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center"/>
    </xf>
    <xf numFmtId="188" fontId="0" fillId="0" borderId="13" xfId="0" applyNumberForma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187" fontId="3" fillId="2" borderId="16" xfId="0" applyNumberFormat="1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87" fontId="0" fillId="0" borderId="0" xfId="0" applyNumberFormat="1" applyAlignment="1">
      <alignment horizontal="center" vertical="top"/>
    </xf>
    <xf numFmtId="0" fontId="8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3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3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9" fillId="0" borderId="0" xfId="0" applyFont="1"/>
    <xf numFmtId="0" fontId="9" fillId="0" borderId="41" xfId="0" applyFont="1" applyBorder="1" applyAlignment="1">
      <alignment horizontal="left" vertical="center"/>
    </xf>
    <xf numFmtId="0" fontId="9" fillId="0" borderId="42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vertical="center"/>
    </xf>
    <xf numFmtId="0" fontId="0" fillId="4" borderId="23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9" fillId="0" borderId="54" xfId="0" applyFont="1" applyBorder="1" applyAlignment="1">
      <alignment horizontal="center"/>
    </xf>
    <xf numFmtId="0" fontId="15" fillId="2" borderId="16" xfId="0" applyFont="1" applyFill="1" applyBorder="1" applyAlignment="1">
      <alignment horizontal="center" vertical="center" wrapText="1"/>
    </xf>
    <xf numFmtId="187" fontId="15" fillId="2" borderId="16" xfId="0" applyNumberFormat="1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187" fontId="2" fillId="0" borderId="0" xfId="0" applyNumberFormat="1" applyFont="1" applyAlignment="1">
      <alignment horizontal="center" vertical="top"/>
    </xf>
    <xf numFmtId="1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4" fontId="2" fillId="0" borderId="0" xfId="0" applyNumberFormat="1" applyFont="1" applyAlignment="1">
      <alignment horizontal="left" vertical="center"/>
    </xf>
    <xf numFmtId="14" fontId="15" fillId="0" borderId="0" xfId="0" applyNumberFormat="1" applyFont="1" applyAlignment="1">
      <alignment horizontal="right" vertical="center"/>
    </xf>
    <xf numFmtId="188" fontId="3" fillId="8" borderId="13" xfId="0" applyNumberFormat="1" applyFont="1" applyFill="1" applyBorder="1" applyAlignment="1">
      <alignment horizontal="center" vertical="top"/>
    </xf>
    <xf numFmtId="188" fontId="3" fillId="7" borderId="13" xfId="0" applyNumberFormat="1" applyFont="1" applyFill="1" applyBorder="1" applyAlignment="1">
      <alignment horizontal="center" vertical="top"/>
    </xf>
    <xf numFmtId="188" fontId="3" fillId="9" borderId="13" xfId="0" applyNumberFormat="1" applyFont="1" applyFill="1" applyBorder="1" applyAlignment="1">
      <alignment horizontal="center" vertical="top"/>
    </xf>
    <xf numFmtId="14" fontId="2" fillId="0" borderId="13" xfId="0" applyNumberFormat="1" applyFont="1" applyBorder="1" applyAlignment="1">
      <alignment vertical="center"/>
    </xf>
    <xf numFmtId="0" fontId="0" fillId="4" borderId="27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5" fontId="1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15" fontId="4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/>
    </xf>
    <xf numFmtId="188" fontId="0" fillId="0" borderId="0" xfId="0" applyNumberFormat="1" applyAlignment="1">
      <alignment horizontal="left" vertical="top"/>
    </xf>
    <xf numFmtId="14" fontId="15" fillId="0" borderId="0" xfId="0" applyNumberFormat="1" applyFont="1" applyAlignment="1">
      <alignment horizontal="right" vertical="top"/>
    </xf>
    <xf numFmtId="0" fontId="9" fillId="0" borderId="55" xfId="0" applyFont="1" applyBorder="1" applyAlignment="1">
      <alignment horizontal="center"/>
    </xf>
    <xf numFmtId="0" fontId="3" fillId="2" borderId="56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91" fontId="0" fillId="0" borderId="13" xfId="0" applyNumberFormat="1" applyBorder="1" applyAlignment="1">
      <alignment horizontal="center" vertical="top"/>
    </xf>
    <xf numFmtId="191" fontId="4" fillId="0" borderId="0" xfId="0" applyNumberFormat="1" applyFont="1" applyAlignment="1">
      <alignment horizontal="center"/>
    </xf>
    <xf numFmtId="191" fontId="0" fillId="0" borderId="0" xfId="0" applyNumberFormat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9" fontId="0" fillId="0" borderId="1" xfId="4" applyFont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vertical="center" wrapText="1"/>
    </xf>
    <xf numFmtId="0" fontId="3" fillId="2" borderId="63" xfId="0" applyFont="1" applyFill="1" applyBorder="1" applyAlignment="1">
      <alignment horizontal="center" vertical="center" wrapText="1"/>
    </xf>
    <xf numFmtId="187" fontId="3" fillId="2" borderId="63" xfId="0" applyNumberFormat="1" applyFont="1" applyFill="1" applyBorder="1" applyAlignment="1">
      <alignment horizontal="center" vertical="center" wrapText="1"/>
    </xf>
    <xf numFmtId="0" fontId="15" fillId="2" borderId="63" xfId="0" applyFont="1" applyFill="1" applyBorder="1" applyAlignment="1">
      <alignment horizontal="center" vertical="center" wrapText="1"/>
    </xf>
    <xf numFmtId="187" fontId="15" fillId="2" borderId="63" xfId="0" applyNumberFormat="1" applyFont="1" applyFill="1" applyBorder="1" applyAlignment="1">
      <alignment vertical="center" wrapText="1"/>
    </xf>
    <xf numFmtId="0" fontId="15" fillId="2" borderId="56" xfId="0" applyFont="1" applyFill="1" applyBorder="1" applyAlignment="1">
      <alignment vertical="center" wrapText="1"/>
    </xf>
    <xf numFmtId="188" fontId="3" fillId="2" borderId="64" xfId="0" applyNumberFormat="1" applyFont="1" applyFill="1" applyBorder="1" applyAlignment="1">
      <alignment horizontal="center" vertical="center"/>
    </xf>
    <xf numFmtId="188" fontId="3" fillId="2" borderId="65" xfId="0" applyNumberFormat="1" applyFont="1" applyFill="1" applyBorder="1" applyAlignment="1">
      <alignment horizontal="center" vertical="center"/>
    </xf>
    <xf numFmtId="188" fontId="3" fillId="2" borderId="66" xfId="0" applyNumberFormat="1" applyFont="1" applyFill="1" applyBorder="1" applyAlignment="1">
      <alignment horizontal="center" vertical="center"/>
    </xf>
    <xf numFmtId="188" fontId="3" fillId="2" borderId="67" xfId="0" applyNumberFormat="1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top"/>
    </xf>
    <xf numFmtId="188" fontId="3" fillId="2" borderId="64" xfId="0" applyNumberFormat="1" applyFont="1" applyFill="1" applyBorder="1" applyAlignment="1">
      <alignment horizontal="center" vertical="top"/>
    </xf>
    <xf numFmtId="188" fontId="3" fillId="2" borderId="65" xfId="0" applyNumberFormat="1" applyFont="1" applyFill="1" applyBorder="1" applyAlignment="1">
      <alignment horizontal="center" vertical="top"/>
    </xf>
    <xf numFmtId="188" fontId="3" fillId="2" borderId="66" xfId="0" applyNumberFormat="1" applyFont="1" applyFill="1" applyBorder="1" applyAlignment="1">
      <alignment horizontal="center" vertical="top"/>
    </xf>
    <xf numFmtId="188" fontId="3" fillId="2" borderId="67" xfId="0" applyNumberFormat="1" applyFont="1" applyFill="1" applyBorder="1" applyAlignment="1">
      <alignment horizontal="center" vertical="top"/>
    </xf>
    <xf numFmtId="0" fontId="4" fillId="6" borderId="61" xfId="0" applyFont="1" applyFill="1" applyBorder="1" applyAlignment="1">
      <alignment horizontal="center" vertical="center"/>
    </xf>
    <xf numFmtId="0" fontId="16" fillId="6" borderId="61" xfId="0" applyFont="1" applyFill="1" applyBorder="1" applyAlignment="1">
      <alignment horizontal="center" vertical="center" wrapText="1"/>
    </xf>
    <xf numFmtId="0" fontId="6" fillId="6" borderId="61" xfId="3" applyFont="1" applyFill="1" applyBorder="1" applyAlignment="1">
      <alignment horizontal="center" vertical="center"/>
    </xf>
    <xf numFmtId="0" fontId="6" fillId="6" borderId="61" xfId="3" applyFont="1" applyFill="1" applyBorder="1" applyAlignment="1">
      <alignment horizontal="left" vertical="center"/>
    </xf>
    <xf numFmtId="15" fontId="4" fillId="6" borderId="61" xfId="0" applyNumberFormat="1" applyFont="1" applyFill="1" applyBorder="1" applyAlignment="1">
      <alignment horizontal="center" vertical="center"/>
    </xf>
    <xf numFmtId="189" fontId="12" fillId="0" borderId="61" xfId="0" applyNumberFormat="1" applyFont="1" applyBorder="1" applyAlignment="1">
      <alignment horizontal="center" vertical="center" wrapText="1"/>
    </xf>
    <xf numFmtId="0" fontId="6" fillId="6" borderId="61" xfId="0" applyFont="1" applyFill="1" applyBorder="1" applyAlignment="1">
      <alignment horizontal="center" vertical="center"/>
    </xf>
    <xf numFmtId="188" fontId="6" fillId="6" borderId="61" xfId="0" applyNumberFormat="1" applyFont="1" applyFill="1" applyBorder="1" applyAlignment="1">
      <alignment horizontal="center" vertical="center"/>
    </xf>
    <xf numFmtId="0" fontId="6" fillId="12" borderId="61" xfId="0" applyFont="1" applyFill="1" applyBorder="1" applyAlignment="1">
      <alignment horizontal="center" vertical="center"/>
    </xf>
    <xf numFmtId="0" fontId="12" fillId="6" borderId="61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 wrapText="1"/>
    </xf>
    <xf numFmtId="15" fontId="12" fillId="0" borderId="61" xfId="0" applyNumberFormat="1" applyFont="1" applyBorder="1" applyAlignment="1">
      <alignment horizontal="center"/>
    </xf>
    <xf numFmtId="15" fontId="12" fillId="6" borderId="61" xfId="0" applyNumberFormat="1" applyFont="1" applyFill="1" applyBorder="1" applyAlignment="1">
      <alignment horizontal="center" vertical="center"/>
    </xf>
    <xf numFmtId="189" fontId="4" fillId="0" borderId="61" xfId="0" applyNumberFormat="1" applyFont="1" applyBorder="1" applyAlignment="1">
      <alignment horizontal="center" vertical="top" wrapText="1"/>
    </xf>
    <xf numFmtId="0" fontId="2" fillId="6" borderId="61" xfId="0" applyFont="1" applyFill="1" applyBorder="1" applyAlignment="1">
      <alignment horizontal="center" vertical="center"/>
    </xf>
    <xf numFmtId="15" fontId="11" fillId="6" borderId="61" xfId="0" applyNumberFormat="1" applyFont="1" applyFill="1" applyBorder="1" applyAlignment="1">
      <alignment horizontal="center" vertical="center"/>
    </xf>
    <xf numFmtId="0" fontId="11" fillId="5" borderId="61" xfId="0" applyFont="1" applyFill="1" applyBorder="1" applyAlignment="1">
      <alignment horizontal="center" vertical="center"/>
    </xf>
    <xf numFmtId="0" fontId="18" fillId="5" borderId="61" xfId="0" applyFont="1" applyFill="1" applyBorder="1" applyAlignment="1">
      <alignment horizontal="center" vertical="center" wrapText="1"/>
    </xf>
    <xf numFmtId="15" fontId="12" fillId="5" borderId="61" xfId="0" applyNumberFormat="1" applyFont="1" applyFill="1" applyBorder="1" applyAlignment="1">
      <alignment horizontal="center" vertical="center"/>
    </xf>
    <xf numFmtId="15" fontId="4" fillId="0" borderId="61" xfId="0" applyNumberFormat="1" applyFont="1" applyBorder="1" applyAlignment="1">
      <alignment horizontal="center"/>
    </xf>
    <xf numFmtId="0" fontId="2" fillId="5" borderId="61" xfId="0" applyFont="1" applyFill="1" applyBorder="1" applyAlignment="1">
      <alignment horizontal="center" vertical="center"/>
    </xf>
    <xf numFmtId="15" fontId="11" fillId="5" borderId="61" xfId="0" applyNumberFormat="1" applyFont="1" applyFill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6" fillId="0" borderId="61" xfId="3" applyFont="1" applyBorder="1" applyAlignment="1">
      <alignment horizontal="left" vertical="center"/>
    </xf>
    <xf numFmtId="0" fontId="6" fillId="0" borderId="61" xfId="0" applyFont="1" applyBorder="1" applyAlignment="1">
      <alignment horizontal="center" vertical="top"/>
    </xf>
    <xf numFmtId="15" fontId="4" fillId="0" borderId="61" xfId="0" applyNumberFormat="1" applyFont="1" applyBorder="1" applyAlignment="1">
      <alignment horizontal="center" vertical="center"/>
    </xf>
    <xf numFmtId="0" fontId="11" fillId="0" borderId="61" xfId="0" applyFont="1" applyBorder="1" applyAlignment="1">
      <alignment horizontal="left" vertical="top"/>
    </xf>
    <xf numFmtId="188" fontId="6" fillId="0" borderId="61" xfId="0" applyNumberFormat="1" applyFont="1" applyBorder="1" applyAlignment="1">
      <alignment horizontal="center" vertical="center"/>
    </xf>
    <xf numFmtId="0" fontId="6" fillId="0" borderId="61" xfId="0" applyFont="1" applyBorder="1" applyAlignment="1">
      <alignment horizontal="center"/>
    </xf>
    <xf numFmtId="188" fontId="6" fillId="0" borderId="61" xfId="0" applyNumberFormat="1" applyFont="1" applyBorder="1" applyAlignment="1">
      <alignment horizontal="center" vertical="top"/>
    </xf>
    <xf numFmtId="0" fontId="12" fillId="0" borderId="61" xfId="0" applyFont="1" applyBorder="1" applyAlignment="1">
      <alignment horizontal="center" vertical="center"/>
    </xf>
    <xf numFmtId="0" fontId="0" fillId="0" borderId="61" xfId="3" applyFont="1" applyBorder="1" applyAlignment="1">
      <alignment horizontal="left" vertical="center"/>
    </xf>
    <xf numFmtId="189" fontId="12" fillId="0" borderId="61" xfId="0" applyNumberFormat="1" applyFont="1" applyBorder="1" applyAlignment="1">
      <alignment horizontal="center" vertical="top" wrapText="1"/>
    </xf>
    <xf numFmtId="0" fontId="2" fillId="0" borderId="61" xfId="0" applyFont="1" applyBorder="1" applyAlignment="1">
      <alignment horizontal="center" vertical="center"/>
    </xf>
    <xf numFmtId="191" fontId="11" fillId="0" borderId="61" xfId="0" applyNumberFormat="1" applyFont="1" applyBorder="1" applyAlignment="1">
      <alignment horizontal="center"/>
    </xf>
    <xf numFmtId="188" fontId="0" fillId="0" borderId="61" xfId="0" applyNumberFormat="1" applyBorder="1" applyAlignment="1">
      <alignment horizontal="center" vertical="center"/>
    </xf>
    <xf numFmtId="15" fontId="12" fillId="0" borderId="61" xfId="0" applyNumberFormat="1" applyFont="1" applyBorder="1" applyAlignment="1">
      <alignment horizontal="center" vertical="center"/>
    </xf>
    <xf numFmtId="191" fontId="12" fillId="0" borderId="61" xfId="0" applyNumberFormat="1" applyFont="1" applyBorder="1" applyAlignment="1">
      <alignment horizontal="center" vertical="center"/>
    </xf>
    <xf numFmtId="188" fontId="0" fillId="0" borderId="61" xfId="0" applyNumberFormat="1" applyBorder="1" applyAlignment="1">
      <alignment horizontal="center" vertical="top"/>
    </xf>
    <xf numFmtId="0" fontId="0" fillId="0" borderId="61" xfId="0" applyBorder="1" applyAlignment="1">
      <alignment horizontal="center" vertical="top"/>
    </xf>
    <xf numFmtId="0" fontId="17" fillId="0" borderId="61" xfId="0" applyFont="1" applyBorder="1" applyAlignment="1">
      <alignment horizontal="center" vertical="center" wrapText="1"/>
    </xf>
    <xf numFmtId="15" fontId="11" fillId="0" borderId="61" xfId="0" applyNumberFormat="1" applyFont="1" applyBorder="1" applyAlignment="1">
      <alignment horizontal="center" vertical="center"/>
    </xf>
    <xf numFmtId="0" fontId="11" fillId="0" borderId="61" xfId="0" applyFont="1" applyBorder="1" applyAlignment="1">
      <alignment horizontal="left" vertical="center"/>
    </xf>
    <xf numFmtId="0" fontId="6" fillId="0" borderId="61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1" fillId="0" borderId="61" xfId="0" applyFont="1" applyBorder="1" applyAlignment="1">
      <alignment horizontal="left" vertical="top" wrapText="1"/>
    </xf>
    <xf numFmtId="190" fontId="12" fillId="0" borderId="61" xfId="0" applyNumberFormat="1" applyFont="1" applyBorder="1" applyAlignment="1">
      <alignment horizontal="center" vertical="center"/>
    </xf>
    <xf numFmtId="0" fontId="0" fillId="0" borderId="61" xfId="3" applyFont="1" applyBorder="1" applyAlignment="1">
      <alignment vertical="center"/>
    </xf>
    <xf numFmtId="191" fontId="11" fillId="0" borderId="61" xfId="0" applyNumberFormat="1" applyFont="1" applyBorder="1" applyAlignment="1">
      <alignment vertical="center"/>
    </xf>
    <xf numFmtId="188" fontId="0" fillId="0" borderId="61" xfId="0" applyNumberFormat="1" applyBorder="1" applyAlignment="1">
      <alignment vertical="center"/>
    </xf>
    <xf numFmtId="0" fontId="0" fillId="0" borderId="61" xfId="0" applyBorder="1" applyAlignment="1">
      <alignment vertical="center"/>
    </xf>
    <xf numFmtId="0" fontId="5" fillId="0" borderId="61" xfId="3" applyFont="1" applyBorder="1" applyAlignment="1">
      <alignment vertical="center"/>
    </xf>
    <xf numFmtId="0" fontId="6" fillId="6" borderId="61" xfId="3" applyFont="1" applyFill="1" applyBorder="1" applyAlignment="1">
      <alignment horizontal="left" vertical="center" wrapText="1"/>
    </xf>
    <xf numFmtId="0" fontId="11" fillId="0" borderId="61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 wrapText="1"/>
    </xf>
    <xf numFmtId="0" fontId="2" fillId="0" borderId="61" xfId="3" applyFont="1" applyBorder="1" applyAlignment="1">
      <alignment horizontal="center" vertical="center"/>
    </xf>
    <xf numFmtId="0" fontId="13" fillId="0" borderId="61" xfId="3" applyFont="1" applyBorder="1" applyAlignment="1">
      <alignment horizontal="left" vertical="center"/>
    </xf>
    <xf numFmtId="0" fontId="15" fillId="2" borderId="63" xfId="0" applyFont="1" applyFill="1" applyBorder="1" applyAlignment="1">
      <alignment vertical="center" wrapText="1"/>
    </xf>
    <xf numFmtId="0" fontId="12" fillId="0" borderId="61" xfId="0" applyFont="1" applyBorder="1" applyAlignment="1">
      <alignment horizontal="center" vertical="center" wrapText="1"/>
    </xf>
    <xf numFmtId="191" fontId="11" fillId="0" borderId="61" xfId="0" applyNumberFormat="1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 wrapText="1"/>
    </xf>
    <xf numFmtId="189" fontId="4" fillId="0" borderId="61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left" vertical="top" wrapText="1"/>
    </xf>
    <xf numFmtId="191" fontId="4" fillId="0" borderId="61" xfId="0" applyNumberFormat="1" applyFont="1" applyBorder="1" applyAlignment="1">
      <alignment horizontal="center" vertical="center"/>
    </xf>
    <xf numFmtId="15" fontId="11" fillId="0" borderId="61" xfId="0" applyNumberFormat="1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188" fontId="2" fillId="0" borderId="61" xfId="0" applyNumberFormat="1" applyFont="1" applyBorder="1" applyAlignment="1">
      <alignment horizontal="center" vertical="center"/>
    </xf>
    <xf numFmtId="0" fontId="2" fillId="0" borderId="61" xfId="3" applyFont="1" applyBorder="1" applyAlignment="1">
      <alignment horizontal="left" vertical="center"/>
    </xf>
    <xf numFmtId="189" fontId="11" fillId="0" borderId="61" xfId="0" applyNumberFormat="1" applyFont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/>
    </xf>
    <xf numFmtId="0" fontId="0" fillId="0" borderId="61" xfId="3" applyFont="1" applyBorder="1" applyAlignment="1">
      <alignment horizontal="left" vertical="center" wrapText="1"/>
    </xf>
    <xf numFmtId="0" fontId="3" fillId="2" borderId="62" xfId="0" applyFont="1" applyFill="1" applyBorder="1" applyAlignment="1">
      <alignment vertical="center" wrapText="1"/>
    </xf>
    <xf numFmtId="187" fontId="3" fillId="2" borderId="63" xfId="0" applyNumberFormat="1" applyFont="1" applyFill="1" applyBorder="1" applyAlignment="1">
      <alignment vertical="center" wrapText="1"/>
    </xf>
    <xf numFmtId="0" fontId="3" fillId="2" borderId="56" xfId="0" applyFont="1" applyFill="1" applyBorder="1" applyAlignment="1">
      <alignment horizontal="left" vertical="top" wrapText="1"/>
    </xf>
    <xf numFmtId="0" fontId="4" fillId="5" borderId="61" xfId="0" applyFont="1" applyFill="1" applyBorder="1" applyAlignment="1">
      <alignment horizontal="center" vertical="center" wrapText="1"/>
    </xf>
    <xf numFmtId="0" fontId="6" fillId="5" borderId="61" xfId="3" applyFont="1" applyFill="1" applyBorder="1" applyAlignment="1">
      <alignment horizontal="center" vertical="center"/>
    </xf>
    <xf numFmtId="0" fontId="6" fillId="5" borderId="61" xfId="0" applyFont="1" applyFill="1" applyBorder="1" applyAlignment="1">
      <alignment horizontal="left" vertical="center"/>
    </xf>
    <xf numFmtId="0" fontId="4" fillId="0" borderId="61" xfId="0" applyFont="1" applyBorder="1" applyAlignment="1">
      <alignment vertical="center"/>
    </xf>
    <xf numFmtId="190" fontId="4" fillId="0" borderId="61" xfId="0" applyNumberFormat="1" applyFont="1" applyBorder="1" applyAlignment="1">
      <alignment horizontal="center" vertical="center"/>
    </xf>
    <xf numFmtId="0" fontId="3" fillId="2" borderId="63" xfId="0" applyFont="1" applyFill="1" applyBorder="1" applyAlignment="1">
      <alignment horizontal="left" vertical="top"/>
    </xf>
    <xf numFmtId="191" fontId="3" fillId="2" borderId="67" xfId="0" applyNumberFormat="1" applyFont="1" applyFill="1" applyBorder="1" applyAlignment="1">
      <alignment horizontal="center" vertical="top"/>
    </xf>
    <xf numFmtId="0" fontId="14" fillId="0" borderId="61" xfId="3" applyFont="1" applyBorder="1" applyAlignment="1">
      <alignment horizontal="center" vertical="center"/>
    </xf>
    <xf numFmtId="0" fontId="6" fillId="0" borderId="61" xfId="2" applyFont="1" applyBorder="1" applyAlignment="1">
      <alignment horizontal="left" vertical="center"/>
    </xf>
    <xf numFmtId="189" fontId="4" fillId="0" borderId="61" xfId="0" applyNumberFormat="1" applyFont="1" applyBorder="1" applyAlignment="1">
      <alignment horizontal="left" vertical="center"/>
    </xf>
    <xf numFmtId="0" fontId="6" fillId="0" borderId="61" xfId="3" applyFont="1" applyBorder="1" applyAlignment="1">
      <alignment horizontal="left" vertical="center" wrapText="1"/>
    </xf>
    <xf numFmtId="0" fontId="4" fillId="0" borderId="61" xfId="0" applyFont="1" applyBorder="1" applyAlignment="1">
      <alignment vertical="top" wrapText="1"/>
    </xf>
    <xf numFmtId="189" fontId="4" fillId="6" borderId="61" xfId="0" applyNumberFormat="1" applyFont="1" applyFill="1" applyBorder="1" applyAlignment="1">
      <alignment horizontal="left" vertical="top"/>
    </xf>
    <xf numFmtId="188" fontId="3" fillId="9" borderId="13" xfId="0" applyNumberFormat="1" applyFont="1" applyFill="1" applyBorder="1" applyAlignment="1">
      <alignment horizontal="center" vertical="center"/>
    </xf>
    <xf numFmtId="188" fontId="3" fillId="8" borderId="13" xfId="0" applyNumberFormat="1" applyFont="1" applyFill="1" applyBorder="1" applyAlignment="1">
      <alignment horizontal="center" vertical="center"/>
    </xf>
    <xf numFmtId="188" fontId="3" fillId="7" borderId="13" xfId="0" applyNumberFormat="1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11" fillId="6" borderId="61" xfId="0" applyFont="1" applyFill="1" applyBorder="1" applyAlignment="1">
      <alignment horizontal="left" vertical="center" wrapText="1"/>
    </xf>
    <xf numFmtId="188" fontId="0" fillId="6" borderId="61" xfId="0" applyNumberFormat="1" applyFill="1" applyBorder="1" applyAlignment="1">
      <alignment horizontal="center" vertical="center"/>
    </xf>
    <xf numFmtId="0" fontId="0" fillId="6" borderId="61" xfId="0" applyFill="1" applyBorder="1" applyAlignment="1">
      <alignment horizontal="center" vertical="center"/>
    </xf>
    <xf numFmtId="188" fontId="0" fillId="5" borderId="61" xfId="0" applyNumberFormat="1" applyFill="1" applyBorder="1" applyAlignment="1">
      <alignment horizontal="center" vertical="center"/>
    </xf>
    <xf numFmtId="0" fontId="0" fillId="5" borderId="61" xfId="0" applyFill="1" applyBorder="1" applyAlignment="1">
      <alignment horizontal="center" vertical="center"/>
    </xf>
    <xf numFmtId="0" fontId="16" fillId="0" borderId="61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left" vertical="center" wrapText="1"/>
    </xf>
    <xf numFmtId="0" fontId="6" fillId="6" borderId="61" xfId="0" applyFont="1" applyFill="1" applyBorder="1" applyAlignment="1">
      <alignment horizontal="left" vertical="center" wrapText="1"/>
    </xf>
    <xf numFmtId="15" fontId="10" fillId="0" borderId="61" xfId="0" applyNumberFormat="1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87" fontId="2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16" borderId="0" xfId="0" applyFill="1" applyAlignment="1">
      <alignment horizontal="center" vertical="top" wrapText="1"/>
    </xf>
    <xf numFmtId="0" fontId="0" fillId="15" borderId="0" xfId="0" applyFill="1" applyAlignment="1">
      <alignment horizontal="center" vertical="top" wrapText="1"/>
    </xf>
    <xf numFmtId="0" fontId="0" fillId="14" borderId="0" xfId="0" applyFill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6" fillId="0" borderId="61" xfId="0" applyFont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0" fillId="10" borderId="0" xfId="0" applyFill="1" applyAlignment="1">
      <alignment vertical="center"/>
    </xf>
    <xf numFmtId="0" fontId="0" fillId="5" borderId="61" xfId="3" applyFont="1" applyFill="1" applyBorder="1" applyAlignment="1">
      <alignment horizontal="left" vertical="center"/>
    </xf>
    <xf numFmtId="0" fontId="6" fillId="5" borderId="61" xfId="3" applyFont="1" applyFill="1" applyBorder="1" applyAlignment="1">
      <alignment horizontal="left" vertical="center"/>
    </xf>
    <xf numFmtId="0" fontId="6" fillId="5" borderId="61" xfId="2" applyFont="1" applyFill="1" applyBorder="1" applyAlignment="1">
      <alignment horizontal="left" vertical="center"/>
    </xf>
    <xf numFmtId="0" fontId="6" fillId="5" borderId="61" xfId="2" applyFont="1" applyFill="1" applyBorder="1" applyAlignment="1">
      <alignment horizontal="left" vertical="center" wrapText="1"/>
    </xf>
    <xf numFmtId="0" fontId="3" fillId="2" borderId="63" xfId="0" applyFont="1" applyFill="1" applyBorder="1" applyAlignment="1">
      <alignment horizontal="left" vertical="center" wrapText="1"/>
    </xf>
    <xf numFmtId="0" fontId="0" fillId="3" borderId="70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15" fontId="4" fillId="5" borderId="61" xfId="0" applyNumberFormat="1" applyFont="1" applyFill="1" applyBorder="1" applyAlignment="1">
      <alignment horizontal="center" vertical="center"/>
    </xf>
    <xf numFmtId="0" fontId="4" fillId="5" borderId="61" xfId="0" applyFont="1" applyFill="1" applyBorder="1" applyAlignment="1">
      <alignment horizontal="center" vertical="center"/>
    </xf>
    <xf numFmtId="0" fontId="4" fillId="5" borderId="61" xfId="0" applyFont="1" applyFill="1" applyBorder="1" applyAlignment="1">
      <alignment horizontal="left" vertical="center"/>
    </xf>
    <xf numFmtId="0" fontId="4" fillId="5" borderId="61" xfId="0" applyFont="1" applyFill="1" applyBorder="1" applyAlignment="1">
      <alignment vertical="center"/>
    </xf>
    <xf numFmtId="188" fontId="6" fillId="5" borderId="61" xfId="0" applyNumberFormat="1" applyFont="1" applyFill="1" applyBorder="1" applyAlignment="1">
      <alignment horizontal="center" vertical="center"/>
    </xf>
    <xf numFmtId="0" fontId="6" fillId="5" borderId="61" xfId="0" applyFont="1" applyFill="1" applyBorder="1" applyAlignment="1">
      <alignment horizontal="center" vertical="center"/>
    </xf>
    <xf numFmtId="190" fontId="4" fillId="5" borderId="61" xfId="0" applyNumberFormat="1" applyFont="1" applyFill="1" applyBorder="1" applyAlignment="1">
      <alignment horizontal="center" vertical="center"/>
    </xf>
    <xf numFmtId="189" fontId="4" fillId="5" borderId="61" xfId="0" applyNumberFormat="1" applyFont="1" applyFill="1" applyBorder="1" applyAlignment="1">
      <alignment horizontal="center" vertical="center" wrapText="1"/>
    </xf>
    <xf numFmtId="189" fontId="4" fillId="5" borderId="61" xfId="0" applyNumberFormat="1" applyFont="1" applyFill="1" applyBorder="1" applyAlignment="1">
      <alignment vertical="center" wrapText="1"/>
    </xf>
    <xf numFmtId="0" fontId="6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3" fillId="19" borderId="74" xfId="0" applyFont="1" applyFill="1" applyBorder="1" applyAlignment="1">
      <alignment horizontal="center" vertical="center" wrapText="1"/>
    </xf>
    <xf numFmtId="193" fontId="0" fillId="0" borderId="1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93" fontId="0" fillId="0" borderId="71" xfId="0" applyNumberFormat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24" fillId="0" borderId="0" xfId="0" applyFont="1"/>
    <xf numFmtId="194" fontId="3" fillId="2" borderId="16" xfId="0" applyNumberFormat="1" applyFont="1" applyFill="1" applyBorder="1" applyAlignment="1">
      <alignment horizontal="center" vertical="center" wrapText="1"/>
    </xf>
    <xf numFmtId="194" fontId="4" fillId="0" borderId="61" xfId="0" applyNumberFormat="1" applyFont="1" applyBorder="1" applyAlignment="1">
      <alignment horizontal="center" vertical="center"/>
    </xf>
    <xf numFmtId="194" fontId="4" fillId="5" borderId="61" xfId="0" applyNumberFormat="1" applyFont="1" applyFill="1" applyBorder="1" applyAlignment="1">
      <alignment horizontal="center" vertical="center"/>
    </xf>
    <xf numFmtId="194" fontId="2" fillId="0" borderId="0" xfId="0" applyNumberFormat="1" applyFont="1" applyAlignment="1">
      <alignment horizontal="center" vertical="center"/>
    </xf>
    <xf numFmtId="194" fontId="3" fillId="2" borderId="63" xfId="0" applyNumberFormat="1" applyFont="1" applyFill="1" applyBorder="1" applyAlignment="1">
      <alignment horizontal="center" vertical="center" wrapText="1"/>
    </xf>
    <xf numFmtId="194" fontId="6" fillId="5" borderId="61" xfId="0" applyNumberFormat="1" applyFont="1" applyFill="1" applyBorder="1" applyAlignment="1">
      <alignment horizontal="center" vertical="center"/>
    </xf>
    <xf numFmtId="15" fontId="6" fillId="6" borderId="61" xfId="3" applyNumberFormat="1" applyFont="1" applyFill="1" applyBorder="1" applyAlignment="1">
      <alignment horizontal="center" vertical="center"/>
    </xf>
    <xf numFmtId="0" fontId="6" fillId="5" borderId="61" xfId="0" applyFont="1" applyFill="1" applyBorder="1" applyAlignment="1">
      <alignment horizontal="left" vertical="center" wrapText="1"/>
    </xf>
    <xf numFmtId="190" fontId="6" fillId="0" borderId="61" xfId="0" applyNumberFormat="1" applyFont="1" applyBorder="1" applyAlignment="1">
      <alignment horizontal="center" vertical="top"/>
    </xf>
    <xf numFmtId="0" fontId="0" fillId="0" borderId="54" xfId="0" applyBorder="1"/>
    <xf numFmtId="0" fontId="0" fillId="0" borderId="54" xfId="0" applyBorder="1" applyAlignment="1">
      <alignment horizontal="center"/>
    </xf>
    <xf numFmtId="0" fontId="0" fillId="0" borderId="85" xfId="0" applyBorder="1"/>
    <xf numFmtId="0" fontId="0" fillId="0" borderId="85" xfId="0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1" fontId="25" fillId="0" borderId="0" xfId="0" applyNumberFormat="1" applyFont="1" applyAlignment="1">
      <alignment horizontal="center" vertical="center"/>
    </xf>
    <xf numFmtId="0" fontId="25" fillId="0" borderId="0" xfId="0" applyFont="1"/>
    <xf numFmtId="0" fontId="27" fillId="2" borderId="43" xfId="0" applyFont="1" applyFill="1" applyBorder="1" applyAlignment="1">
      <alignment horizontal="center" vertical="center" wrapText="1"/>
    </xf>
    <xf numFmtId="187" fontId="27" fillId="2" borderId="18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2" borderId="44" xfId="0" applyFont="1" applyFill="1" applyBorder="1" applyAlignment="1">
      <alignment horizontal="center" vertical="center" wrapText="1"/>
    </xf>
    <xf numFmtId="187" fontId="27" fillId="2" borderId="58" xfId="0" applyNumberFormat="1" applyFont="1" applyFill="1" applyBorder="1" applyAlignment="1">
      <alignment horizontal="center" vertical="center" wrapText="1"/>
    </xf>
    <xf numFmtId="187" fontId="27" fillId="2" borderId="59" xfId="0" applyNumberFormat="1" applyFont="1" applyFill="1" applyBorder="1" applyAlignment="1">
      <alignment horizontal="center" vertical="center" wrapText="1"/>
    </xf>
    <xf numFmtId="187" fontId="27" fillId="2" borderId="0" xfId="0" applyNumberFormat="1" applyFont="1" applyFill="1" applyAlignment="1">
      <alignment horizontal="center" vertical="center" wrapText="1"/>
    </xf>
    <xf numFmtId="0" fontId="25" fillId="2" borderId="44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191" fontId="25" fillId="0" borderId="1" xfId="0" applyNumberFormat="1" applyFont="1" applyBorder="1" applyAlignment="1">
      <alignment horizontal="center" vertical="center"/>
    </xf>
    <xf numFmtId="15" fontId="25" fillId="0" borderId="1" xfId="0" applyNumberFormat="1" applyFont="1" applyBorder="1" applyAlignment="1">
      <alignment horizontal="center" vertical="center"/>
    </xf>
    <xf numFmtId="15" fontId="26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192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/>
    <xf numFmtId="15" fontId="25" fillId="0" borderId="0" xfId="0" applyNumberFormat="1" applyFont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vertical="center" wrapText="1"/>
    </xf>
    <xf numFmtId="0" fontId="26" fillId="5" borderId="90" xfId="3" applyFont="1" applyFill="1" applyBorder="1" applyAlignment="1">
      <alignment horizontal="center" vertical="center"/>
    </xf>
    <xf numFmtId="0" fontId="25" fillId="0" borderId="9" xfId="0" applyFont="1" applyBorder="1" applyAlignment="1">
      <alignment vertical="center"/>
    </xf>
    <xf numFmtId="0" fontId="26" fillId="0" borderId="90" xfId="3" applyFont="1" applyBorder="1" applyAlignment="1">
      <alignment horizontal="center" vertical="center"/>
    </xf>
    <xf numFmtId="0" fontId="27" fillId="11" borderId="1" xfId="0" applyFont="1" applyFill="1" applyBorder="1" applyAlignment="1">
      <alignment horizontal="left" vertical="center"/>
    </xf>
    <xf numFmtId="0" fontId="25" fillId="11" borderId="1" xfId="0" applyFont="1" applyFill="1" applyBorder="1" applyAlignment="1">
      <alignment vertical="center"/>
    </xf>
    <xf numFmtId="0" fontId="25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vertical="center" wrapText="1"/>
    </xf>
    <xf numFmtId="0" fontId="25" fillId="11" borderId="6" xfId="0" applyFont="1" applyFill="1" applyBorder="1" applyAlignment="1">
      <alignment horizontal="center" vertical="center"/>
    </xf>
    <xf numFmtId="0" fontId="27" fillId="0" borderId="0" xfId="0" applyFont="1"/>
    <xf numFmtId="0" fontId="26" fillId="6" borderId="90" xfId="3" applyFont="1" applyFill="1" applyBorder="1" applyAlignment="1">
      <alignment horizontal="center" vertical="center"/>
    </xf>
    <xf numFmtId="191" fontId="29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92" xfId="0" applyFont="1" applyBorder="1" applyAlignment="1">
      <alignment vertical="center"/>
    </xf>
    <xf numFmtId="0" fontId="29" fillId="0" borderId="57" xfId="3" applyFont="1" applyBorder="1" applyAlignment="1">
      <alignment horizontal="center" vertical="center"/>
    </xf>
    <xf numFmtId="0" fontId="26" fillId="0" borderId="89" xfId="0" applyFont="1" applyBorder="1" applyAlignment="1">
      <alignment vertical="center"/>
    </xf>
    <xf numFmtId="191" fontId="26" fillId="0" borderId="1" xfId="0" applyNumberFormat="1" applyFont="1" applyBorder="1" applyAlignment="1">
      <alignment horizontal="center" vertical="center"/>
    </xf>
    <xf numFmtId="0" fontId="25" fillId="11" borderId="10" xfId="0" applyFont="1" applyFill="1" applyBorder="1" applyAlignment="1">
      <alignment vertical="center"/>
    </xf>
    <xf numFmtId="0" fontId="25" fillId="11" borderId="91" xfId="0" applyFont="1" applyFill="1" applyBorder="1" applyAlignment="1">
      <alignment horizontal="center" vertical="center"/>
    </xf>
    <xf numFmtId="0" fontId="25" fillId="11" borderId="45" xfId="0" applyFont="1" applyFill="1" applyBorder="1" applyAlignment="1">
      <alignment vertical="center" wrapText="1"/>
    </xf>
    <xf numFmtId="0" fontId="25" fillId="0" borderId="90" xfId="0" applyFont="1" applyBorder="1" applyAlignment="1">
      <alignment horizontal="center" vertical="center"/>
    </xf>
    <xf numFmtId="0" fontId="25" fillId="11" borderId="9" xfId="0" applyFont="1" applyFill="1" applyBorder="1" applyAlignment="1">
      <alignment vertical="center"/>
    </xf>
    <xf numFmtId="0" fontId="25" fillId="11" borderId="90" xfId="0" applyFont="1" applyFill="1" applyBorder="1" applyAlignment="1">
      <alignment horizontal="center" vertical="center"/>
    </xf>
    <xf numFmtId="0" fontId="25" fillId="11" borderId="46" xfId="0" applyFont="1" applyFill="1" applyBorder="1" applyAlignment="1">
      <alignment vertical="center" wrapText="1"/>
    </xf>
    <xf numFmtId="0" fontId="25" fillId="11" borderId="46" xfId="0" applyFont="1" applyFill="1" applyBorder="1" applyAlignment="1">
      <alignment horizontal="center" vertical="center"/>
    </xf>
    <xf numFmtId="0" fontId="25" fillId="0" borderId="46" xfId="0" applyFont="1" applyBorder="1" applyAlignment="1">
      <alignment horizontal="left" vertical="center" wrapText="1"/>
    </xf>
    <xf numFmtId="191" fontId="25" fillId="0" borderId="0" xfId="0" applyNumberFormat="1" applyFont="1" applyAlignment="1">
      <alignment horizontal="center" vertical="center" wrapText="1"/>
    </xf>
    <xf numFmtId="191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" xfId="0" applyFont="1" applyBorder="1" applyAlignment="1">
      <alignment vertical="center"/>
    </xf>
    <xf numFmtId="191" fontId="25" fillId="0" borderId="94" xfId="0" applyNumberFormat="1" applyFont="1" applyBorder="1" applyAlignment="1">
      <alignment horizontal="center" vertical="center"/>
    </xf>
    <xf numFmtId="191" fontId="25" fillId="0" borderId="6" xfId="0" applyNumberFormat="1" applyFont="1" applyBorder="1" applyAlignment="1">
      <alignment horizontal="center" vertical="center"/>
    </xf>
    <xf numFmtId="0" fontId="2" fillId="0" borderId="61" xfId="3" applyFont="1" applyBorder="1" applyAlignment="1">
      <alignment horizontal="left" vertical="center" wrapText="1"/>
    </xf>
    <xf numFmtId="187" fontId="27" fillId="2" borderId="95" xfId="0" applyNumberFormat="1" applyFont="1" applyFill="1" applyBorder="1" applyAlignment="1">
      <alignment horizontal="center" vertical="center" wrapText="1"/>
    </xf>
    <xf numFmtId="0" fontId="6" fillId="0" borderId="61" xfId="3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6" fillId="7" borderId="61" xfId="3" applyFont="1" applyFill="1" applyBorder="1" applyAlignment="1">
      <alignment horizontal="left" vertical="center" wrapText="1"/>
    </xf>
    <xf numFmtId="1" fontId="28" fillId="2" borderId="87" xfId="0" applyNumberFormat="1" applyFont="1" applyFill="1" applyBorder="1" applyAlignment="1">
      <alignment horizontal="center" vertical="center" wrapText="1"/>
    </xf>
    <xf numFmtId="187" fontId="27" fillId="2" borderId="88" xfId="0" applyNumberFormat="1" applyFont="1" applyFill="1" applyBorder="1" applyAlignment="1">
      <alignment horizontal="center" vertical="center" wrapText="1"/>
    </xf>
    <xf numFmtId="187" fontId="27" fillId="2" borderId="76" xfId="0" applyNumberFormat="1" applyFont="1" applyFill="1" applyBorder="1" applyAlignment="1">
      <alignment horizontal="center" vertical="center" wrapText="1"/>
    </xf>
    <xf numFmtId="192" fontId="30" fillId="20" borderId="1" xfId="0" applyNumberFormat="1" applyFont="1" applyFill="1" applyBorder="1" applyAlignment="1">
      <alignment horizontal="center" vertical="center"/>
    </xf>
    <xf numFmtId="0" fontId="27" fillId="2" borderId="44" xfId="0" applyFont="1" applyFill="1" applyBorder="1" applyAlignment="1">
      <alignment vertical="center" wrapText="1"/>
    </xf>
    <xf numFmtId="0" fontId="4" fillId="5" borderId="6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193" fontId="2" fillId="0" borderId="8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15" fontId="31" fillId="0" borderId="61" xfId="0" applyNumberFormat="1" applyFont="1" applyBorder="1" applyAlignment="1">
      <alignment horizontal="center"/>
    </xf>
    <xf numFmtId="15" fontId="32" fillId="0" borderId="61" xfId="0" applyNumberFormat="1" applyFont="1" applyBorder="1" applyAlignment="1">
      <alignment horizontal="center"/>
    </xf>
    <xf numFmtId="15" fontId="31" fillId="0" borderId="61" xfId="0" applyNumberFormat="1" applyFont="1" applyBorder="1" applyAlignment="1">
      <alignment horizontal="center" vertical="center"/>
    </xf>
    <xf numFmtId="188" fontId="3" fillId="21" borderId="64" xfId="0" applyNumberFormat="1" applyFont="1" applyFill="1" applyBorder="1" applyAlignment="1">
      <alignment horizontal="center" vertical="center"/>
    </xf>
    <xf numFmtId="188" fontId="3" fillId="21" borderId="65" xfId="0" applyNumberFormat="1" applyFont="1" applyFill="1" applyBorder="1" applyAlignment="1">
      <alignment horizontal="center" vertical="center"/>
    </xf>
    <xf numFmtId="188" fontId="3" fillId="21" borderId="66" xfId="0" applyNumberFormat="1" applyFont="1" applyFill="1" applyBorder="1" applyAlignment="1">
      <alignment horizontal="center" vertical="center"/>
    </xf>
    <xf numFmtId="188" fontId="3" fillId="21" borderId="67" xfId="0" applyNumberFormat="1" applyFont="1" applyFill="1" applyBorder="1" applyAlignment="1">
      <alignment horizontal="center" vertical="center"/>
    </xf>
    <xf numFmtId="0" fontId="3" fillId="21" borderId="68" xfId="0" applyFont="1" applyFill="1" applyBorder="1" applyAlignment="1">
      <alignment horizontal="center" vertical="center"/>
    </xf>
    <xf numFmtId="188" fontId="3" fillId="21" borderId="64" xfId="0" applyNumberFormat="1" applyFont="1" applyFill="1" applyBorder="1" applyAlignment="1">
      <alignment horizontal="center" vertical="top"/>
    </xf>
    <xf numFmtId="188" fontId="3" fillId="21" borderId="65" xfId="0" applyNumberFormat="1" applyFont="1" applyFill="1" applyBorder="1" applyAlignment="1">
      <alignment horizontal="center" vertical="top"/>
    </xf>
    <xf numFmtId="188" fontId="3" fillId="21" borderId="66" xfId="0" applyNumberFormat="1" applyFont="1" applyFill="1" applyBorder="1" applyAlignment="1">
      <alignment horizontal="center" vertical="top"/>
    </xf>
    <xf numFmtId="188" fontId="3" fillId="21" borderId="67" xfId="0" applyNumberFormat="1" applyFont="1" applyFill="1" applyBorder="1" applyAlignment="1">
      <alignment horizontal="center" vertical="top"/>
    </xf>
    <xf numFmtId="0" fontId="3" fillId="21" borderId="68" xfId="0" applyFont="1" applyFill="1" applyBorder="1" applyAlignment="1">
      <alignment horizontal="center" vertical="top"/>
    </xf>
    <xf numFmtId="188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2" borderId="56" xfId="0" applyFont="1" applyFill="1" applyBorder="1" applyAlignment="1">
      <alignment horizontal="left" vertical="center" wrapText="1"/>
    </xf>
    <xf numFmtId="0" fontId="6" fillId="0" borderId="61" xfId="0" applyFont="1" applyBorder="1" applyAlignment="1">
      <alignment horizontal="left" vertical="center"/>
    </xf>
    <xf numFmtId="194" fontId="6" fillId="0" borderId="6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94" fontId="0" fillId="0" borderId="0" xfId="0" applyNumberFormat="1" applyAlignment="1">
      <alignment horizontal="center" vertical="center" wrapText="1"/>
    </xf>
    <xf numFmtId="19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88" fontId="0" fillId="0" borderId="0" xfId="0" applyNumberFormat="1" applyAlignment="1">
      <alignment horizontal="left" vertical="center"/>
    </xf>
    <xf numFmtId="0" fontId="2" fillId="0" borderId="83" xfId="0" applyFont="1" applyBorder="1" applyAlignment="1">
      <alignment horizontal="center" vertical="center" wrapText="1"/>
    </xf>
    <xf numFmtId="193" fontId="2" fillId="0" borderId="86" xfId="0" applyNumberFormat="1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26" fillId="5" borderId="93" xfId="3" applyFont="1" applyFill="1" applyBorder="1" applyAlignment="1">
      <alignment horizontal="center" vertical="center"/>
    </xf>
    <xf numFmtId="187" fontId="27" fillId="2" borderId="41" xfId="0" applyNumberFormat="1" applyFont="1" applyFill="1" applyBorder="1" applyAlignment="1">
      <alignment horizontal="center" vertical="center" wrapText="1"/>
    </xf>
    <xf numFmtId="187" fontId="27" fillId="2" borderId="42" xfId="0" applyNumberFormat="1" applyFont="1" applyFill="1" applyBorder="1" applyAlignment="1">
      <alignment horizontal="center" vertical="center" wrapText="1"/>
    </xf>
    <xf numFmtId="187" fontId="27" fillId="2" borderId="55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2" fillId="18" borderId="71" xfId="0" applyFont="1" applyFill="1" applyBorder="1" applyAlignment="1">
      <alignment horizontal="center" vertical="center" wrapText="1"/>
    </xf>
    <xf numFmtId="0" fontId="22" fillId="18" borderId="73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2" fillId="18" borderId="74" xfId="0" applyFont="1" applyFill="1" applyBorder="1" applyAlignment="1">
      <alignment horizontal="center" vertical="center" wrapText="1"/>
    </xf>
    <xf numFmtId="0" fontId="22" fillId="18" borderId="72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7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74" xfId="0" applyFill="1" applyBorder="1" applyAlignment="1">
      <alignment horizontal="center" vertical="center" wrapText="1"/>
    </xf>
    <xf numFmtId="0" fontId="0" fillId="14" borderId="72" xfId="0" applyFill="1" applyBorder="1" applyAlignment="1">
      <alignment horizontal="center" vertical="center" wrapText="1"/>
    </xf>
    <xf numFmtId="0" fontId="0" fillId="14" borderId="75" xfId="0" applyFill="1" applyBorder="1" applyAlignment="1">
      <alignment horizontal="center" vertical="center" wrapText="1"/>
    </xf>
    <xf numFmtId="0" fontId="21" fillId="2" borderId="78" xfId="0" applyFont="1" applyFill="1" applyBorder="1" applyAlignment="1">
      <alignment horizontal="center" vertical="center" wrapText="1"/>
    </xf>
    <xf numFmtId="0" fontId="21" fillId="2" borderId="79" xfId="0" applyFont="1" applyFill="1" applyBorder="1" applyAlignment="1">
      <alignment horizontal="center" vertical="center" wrapText="1"/>
    </xf>
    <xf numFmtId="0" fontId="21" fillId="2" borderId="8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 vertical="center"/>
    </xf>
    <xf numFmtId="0" fontId="3" fillId="21" borderId="45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0" fontId="3" fillId="21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00000000-0005-0000-0000-000004000000}"/>
    <cellStyle name="Normal 3" xfId="1" xr:uid="{00000000-0005-0000-0000-000005000000}"/>
    <cellStyle name="Normal_Vender List" xfId="3" xr:uid="{1C843705-A969-4619-8A9D-3CA61C2C33F3}"/>
    <cellStyle name="Percent" xfId="4" builtinId="5"/>
  </cellStyles>
  <dxfs count="239"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ont>
        <color theme="0"/>
      </font>
      <fill>
        <patternFill patternType="solid"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00B0F0"/>
      </font>
    </dxf>
    <dxf>
      <font>
        <color rgb="FF00B0F0"/>
      </font>
    </dxf>
    <dxf>
      <font>
        <b/>
        <i val="0"/>
        <color rgb="FF00B0F0"/>
      </font>
    </dxf>
  </dxfs>
  <tableStyles count="0" defaultTableStyle="TableStyleMedium9" defaultPivotStyle="PivotStyleLight16"/>
  <colors>
    <mruColors>
      <color rgb="FFE4BAB8"/>
      <color rgb="FFD9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 &amp; ST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Overview!$D$119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Overview!$D$122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Overview!$E$122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Overview!$F$122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Overview!$I$122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Overview!$K$122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2-4276-BA95-16B1B79EA794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Overview!$M$122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2-4276-BA95-16B1B79EA794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2-4276-BA95-16B1B79EA7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 &amp; ST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Overview!$F$128</c:f>
              <c:numCache>
                <c:formatCode>0%</c:formatCode>
                <c:ptCount val="1"/>
                <c:pt idx="0">
                  <c:v>0.64102564102564108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Overview!$I$128</c:f>
              <c:numCache>
                <c:formatCode>0%</c:formatCode>
                <c:ptCount val="1"/>
                <c:pt idx="0">
                  <c:v>0.94871794871794868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Overview!$J$128</c:f>
              <c:numCache>
                <c:formatCode>0%</c:formatCode>
                <c:ptCount val="1"/>
                <c:pt idx="0">
                  <c:v>5.128205128205128E-2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Overview!$K$128</c:f>
              <c:numCache>
                <c:formatCode>0%</c:formatCode>
                <c:ptCount val="1"/>
                <c:pt idx="0">
                  <c:v>0.94871794871794868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A-4658-9F37-776B7A297E1A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Overview!$M$128</c:f>
              <c:numCache>
                <c:formatCode>0%</c:formatCode>
                <c:ptCount val="1"/>
                <c:pt idx="0">
                  <c:v>0.61538461538461542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A-4658-9F37-776B7A297E1A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Overview!$N$128</c:f>
              <c:numCache>
                <c:formatCode>0%</c:formatCode>
                <c:ptCount val="1"/>
                <c:pt idx="0">
                  <c:v>2.564102564102564E-2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3A-4658-9F37-776B7A297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Overview!$D$119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Overview!$D$128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6D-4922-8594-1E8627AA1C23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Mechanical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Overview!$D$119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Overview!$D$123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Overview!$E$123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Overview!$I$123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Overview!$K$123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B-4D9A-9F52-E3039A5FD914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DB-4D9A-9F52-E3039A5FD914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DB-4D9A-9F52-E3039A5FD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Mechanical </a:t>
            </a:r>
            <a:r>
              <a:rPr lang="en-US"/>
              <a:t>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Overview!$E$129</c:f>
              <c:numCache>
                <c:formatCode>0%</c:formatCode>
                <c:ptCount val="1"/>
                <c:pt idx="0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Overview!$F$129</c:f>
              <c:numCache>
                <c:formatCode>0%</c:formatCode>
                <c:ptCount val="1"/>
                <c:pt idx="0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Overview!$I$129</c:f>
              <c:numCache>
                <c:formatCode>0%</c:formatCode>
                <c:ptCount val="1"/>
                <c:pt idx="0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Overview!$J$129</c:f>
              <c:numCache>
                <c:formatCode>0%</c:formatCode>
                <c:ptCount val="1"/>
                <c:pt idx="0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Overview!$K$129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Overview!$L$129</c:f>
              <c:numCache>
                <c:formatCode>0%</c:formatCode>
                <c:ptCount val="1"/>
                <c:pt idx="0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C-42DB-9618-FD53197FAA11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Overview!$M$129</c:f>
              <c:numCache>
                <c:formatCode>0%</c:formatCode>
                <c:ptCount val="1"/>
                <c:pt idx="0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C-42DB-9618-FD53197FAA11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C-42DB-9618-FD53197FA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Overview!$D$119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Overview!$D$129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6D-4922-8594-1E8627AA1C23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Overview!$D$119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1-4DF4-9DDF-D9045110D1FA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1-4DF4-9DDF-D9045110D1FA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11-4DF4-9DDF-D9045110D1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A-41D6-ADAF-5DC9848FC816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1A-41D6-ADAF-5DC9848FC816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1A-41D6-ADAF-5DC9848FC8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Overview!$D$119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Overview!$D$130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6D-4922-8594-1E8627AA1C23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Hydraulics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Overview!$D$119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7-4CC8-A6DA-B9E518F0E454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7-4CC8-A6DA-B9E518F0E454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7-4CC8-A6DA-B9E518F0E4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Hydraulics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A-4866-9AFB-8464BEB84B0B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A-4866-9AFB-8464BEB84B0B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FA-4866-9AFB-8464BEB84B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Overview!$D$119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Overview!$D$131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6D-4922-8594-1E8627AA1C23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Electrical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Overview!$D$119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Overview!$D$126</c:f>
              <c:numCache>
                <c:formatCode>General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Overview!$E$126</c:f>
              <c:numCache>
                <c:formatCode>General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Overview!$I$126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Overview!$K$126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Overview!$L$126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B-4432-8577-7164E52C004C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B-4432-8577-7164E52C004C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7B-4432-8577-7164E52C00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Overview!$D$119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Overview!$D$127</c:f>
              <c:numCache>
                <c:formatCode>General</c:formatCode>
                <c:ptCount val="1"/>
                <c:pt idx="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Overview!$E$127</c:f>
              <c:numCache>
                <c:formatCode>General</c:formatCode>
                <c:ptCount val="1"/>
                <c:pt idx="0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Overview!$F$127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Overview!$I$127</c:f>
              <c:numCache>
                <c:formatCode>General</c:formatCode>
                <c:ptCount val="1"/>
                <c:pt idx="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Overview!$K$127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C-4D7E-8127-9BB6CA1450DE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Overview!$L$127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7-4AC6-B0B1-C17698C756CA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Overview!$M$127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7-4AC6-B0B1-C17698C756CA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7-4AC6-B0B1-C17698C756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Overview!$E$133</c:f>
              <c:numCache>
                <c:formatCode>0%</c:formatCode>
                <c:ptCount val="1"/>
                <c:pt idx="0">
                  <c:v>0.97777777777777775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Overview!$F$133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Overview!$I$133</c:f>
              <c:numCache>
                <c:formatCode>0%</c:formatCode>
                <c:ptCount val="1"/>
                <c:pt idx="0">
                  <c:v>0.92592592592592593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Overview!$J$133</c:f>
              <c:numCache>
                <c:formatCode>0%</c:formatCode>
                <c:ptCount val="1"/>
                <c:pt idx="0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Overview!$K$133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Overview!$L$133</c:f>
              <c:numCache>
                <c:formatCode>0%</c:formatCode>
                <c:ptCount val="1"/>
                <c:pt idx="0">
                  <c:v>0.43703703703703706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E-4693-A564-6F5C6CBCF363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Overview!$M$133</c:f>
              <c:numCache>
                <c:formatCode>0%</c:formatCode>
                <c:ptCount val="1"/>
                <c:pt idx="0">
                  <c:v>0.19259259259259259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1E-4693-A564-6F5C6CBCF363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Overview!$N$133</c:f>
              <c:numCache>
                <c:formatCode>0%</c:formatCode>
                <c:ptCount val="1"/>
                <c:pt idx="0">
                  <c:v>7.4074074074074077E-3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1E-4693-A564-6F5C6CBCF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Overview!$D$119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Overview!$D$133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6D-4922-8594-1E8627AA1C23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Electrical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Overview!$E$119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E6A-4E73-989C-CEDF6D0FBD8B}"/>
            </c:ext>
          </c:extLst>
        </c:ser>
        <c:ser>
          <c:idx val="2"/>
          <c:order val="2"/>
          <c:tx>
            <c:strRef>
              <c:f>Overview!$F$119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E6A-4E73-989C-CEDF6D0FBD8B}"/>
            </c:ext>
          </c:extLst>
        </c:ser>
        <c:ser>
          <c:idx val="3"/>
          <c:order val="3"/>
          <c:tx>
            <c:strRef>
              <c:f>Overview!$G$119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E6A-4E73-989C-CEDF6D0FBD8B}"/>
            </c:ext>
          </c:extLst>
        </c:ser>
        <c:ser>
          <c:idx val="4"/>
          <c:order val="4"/>
          <c:tx>
            <c:strRef>
              <c:f>Overview!$H$119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E6A-4E73-989C-CEDF6D0FBD8B}"/>
            </c:ext>
          </c:extLst>
        </c:ser>
        <c:ser>
          <c:idx val="5"/>
          <c:order val="5"/>
          <c:tx>
            <c:strRef>
              <c:f>Overview!$I$119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Overview!$I$132</c:f>
              <c:numCache>
                <c:formatCode>0%</c:formatCode>
                <c:ptCount val="1"/>
                <c:pt idx="0">
                  <c:v>0.8936170212765957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E6A-4E73-989C-CEDF6D0FBD8B}"/>
            </c:ext>
          </c:extLst>
        </c:ser>
        <c:ser>
          <c:idx val="6"/>
          <c:order val="6"/>
          <c:tx>
            <c:strRef>
              <c:f>Overview!$J$119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Overview!$J$132</c:f>
              <c:numCache>
                <c:formatCode>0%</c:formatCode>
                <c:ptCount val="1"/>
                <c:pt idx="0">
                  <c:v>0.10638297872340426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E6A-4E73-989C-CEDF6D0FBD8B}"/>
            </c:ext>
          </c:extLst>
        </c:ser>
        <c:ser>
          <c:idx val="7"/>
          <c:order val="7"/>
          <c:tx>
            <c:strRef>
              <c:f>Overview!$K$119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Overview!$K$132</c:f>
              <c:numCache>
                <c:formatCode>0%</c:formatCode>
                <c:ptCount val="1"/>
                <c:pt idx="0">
                  <c:v>0.38297872340425532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E6A-4E73-989C-CEDF6D0FBD8B}"/>
            </c:ext>
          </c:extLst>
        </c:ser>
        <c:ser>
          <c:idx val="8"/>
          <c:order val="8"/>
          <c:tx>
            <c:strRef>
              <c:f>Overview!$L$119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Overview!$L$132</c:f>
              <c:numCache>
                <c:formatCode>0%</c:formatCode>
                <c:ptCount val="1"/>
                <c:pt idx="0">
                  <c:v>0.51063829787234039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3-4A93-952C-8FCA8C8D51A9}"/>
            </c:ext>
          </c:extLst>
        </c:ser>
        <c:ser>
          <c:idx val="9"/>
          <c:order val="9"/>
          <c:tx>
            <c:strRef>
              <c:f>Overview!$M$119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3-4A93-952C-8FCA8C8D51A9}"/>
            </c:ext>
          </c:extLst>
        </c:ser>
        <c:ser>
          <c:idx val="10"/>
          <c:order val="10"/>
          <c:tx>
            <c:strRef>
              <c:f>Overview!$N$119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F3-4A93-952C-8FCA8C8D51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Overview!$D$119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Overview!$D$132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6-DE6A-4E73-989C-CEDF6D0FBD8B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200" b="1" i="0" u="none" strike="noStrike" kern="1200" spc="0" baseline="0">
                <a:solidFill>
                  <a:sysClr val="windowText" lastClr="000000"/>
                </a:solidFill>
              </a:rPr>
              <a:t>Request for Information - </a:t>
            </a:r>
            <a:r>
              <a:rPr lang="en-SG" sz="1200" b="1">
                <a:solidFill>
                  <a:sysClr val="windowText" lastClr="000000"/>
                </a:solidFill>
              </a:rPr>
              <a:t>Architectural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7.6057259684128117E-2"/>
          <c:w val="0.89794687676668383"/>
          <c:h val="0.6660160267824055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Summary!$F$25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bg2">
                  <a:lumMod val="90000"/>
                </a:schemeClr>
              </a:fgClr>
              <a:bgClr>
                <a:srgbClr val="000000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Summary!$F$26:$F$36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4-4F35-85B0-F1AEB7FFBD9D}"/>
            </c:ext>
          </c:extLst>
        </c:ser>
        <c:ser>
          <c:idx val="7"/>
          <c:order val="2"/>
          <c:tx>
            <c:strRef>
              <c:f>Summary!$G$25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rgbClr val="92D050"/>
                </a:fgClr>
                <a:bgClr>
                  <a:schemeClr val="bg2">
                    <a:lumMod val="90000"/>
                  </a:schemeClr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2E4-4F35-85B0-F1AEB7FFBD9D}"/>
              </c:ext>
            </c:extLst>
          </c:dPt>
          <c:val>
            <c:numRef>
              <c:f>Summary!$G$26:$G$36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E4-4F35-85B0-F1AEB7FFBD9D}"/>
            </c:ext>
          </c:extLst>
        </c:ser>
        <c:ser>
          <c:idx val="8"/>
          <c:order val="3"/>
          <c:tx>
            <c:strRef>
              <c:f>Summary!$H$25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Summary!$H$26:$H$36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7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E4-4F35-85B0-F1AEB7FFBD9D}"/>
            </c:ext>
          </c:extLst>
        </c:ser>
        <c:ser>
          <c:idx val="2"/>
          <c:order val="4"/>
          <c:tx>
            <c:strRef>
              <c:f>Summary!$I$24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Summary!$I$26:$I$36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E4-4F35-85B0-F1AEB7FFBD9D}"/>
            </c:ext>
          </c:extLst>
        </c:ser>
        <c:ser>
          <c:idx val="3"/>
          <c:order val="5"/>
          <c:tx>
            <c:strRef>
              <c:f>Summary!$J$24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Summary!$J$26:$J$36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E4-4F35-85B0-F1AEB7FFBD9D}"/>
            </c:ext>
          </c:extLst>
        </c:ser>
        <c:ser>
          <c:idx val="4"/>
          <c:order val="6"/>
          <c:tx>
            <c:strRef>
              <c:f>Summary!$K$24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Summary!$K$26:$K$36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E4-4F35-85B0-F1AEB7FFB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Summary!$B$9:$B$20</c15:sqref>
                        </c15:formulaRef>
                      </c:ext>
                    </c:extLst>
                    <c:numCache>
                      <c:formatCode>[$-14809]d\ mmm\ yyyy;@</c:formatCode>
                      <c:ptCount val="12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  <c:pt idx="5">
                        <c:v>46062</c:v>
                      </c:pt>
                      <c:pt idx="6">
                        <c:v>46069</c:v>
                      </c:pt>
                      <c:pt idx="7">
                        <c:v>46076</c:v>
                      </c:pt>
                      <c:pt idx="8">
                        <c:v>46083</c:v>
                      </c:pt>
                      <c:pt idx="9">
                        <c:v>46090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Summary!$E$26:$E$36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</c:v>
                      </c:pt>
                      <c:pt idx="2">
                        <c:v>12</c:v>
                      </c:pt>
                      <c:pt idx="3">
                        <c:v>33</c:v>
                      </c:pt>
                      <c:pt idx="4">
                        <c:v>33</c:v>
                      </c:pt>
                      <c:pt idx="5">
                        <c:v>37</c:v>
                      </c:pt>
                      <c:pt idx="6">
                        <c:v>38</c:v>
                      </c:pt>
                      <c:pt idx="7">
                        <c:v>38</c:v>
                      </c:pt>
                      <c:pt idx="8">
                        <c:v>38</c:v>
                      </c:pt>
                      <c:pt idx="9">
                        <c:v>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82E4-4F35-85B0-F1AEB7FFBD9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strRef>
              <c:f>Summary!$C$23</c:f>
              <c:strCache>
                <c:ptCount val="1"/>
                <c:pt idx="0">
                  <c:v>Total Expected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Summary!$D$26:$D$36</c:f>
              <c:numCache>
                <c:formatCode>General</c:formatCode>
                <c:ptCount val="11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</c:numCache>
            </c:numRef>
          </c:cat>
          <c:val>
            <c:numRef>
              <c:f>Summary!$C$26:$C$36</c:f>
              <c:numCache>
                <c:formatCode>General</c:formatCode>
                <c:ptCount val="11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E4-4F35-85B0-F1AEB7FFBD9D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Summary!$D$26:$D$36</c:f>
              <c:numCache>
                <c:formatCode>General</c:formatCode>
                <c:ptCount val="11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</c:numCache>
            </c:numRef>
          </c:cat>
          <c:val>
            <c:numRef>
              <c:f>Summary!$D$26:$D$36</c:f>
              <c:numCache>
                <c:formatCode>General</c:formatCode>
                <c:ptCount val="11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2E4-4F35-85B0-F1AEB7FFB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2850480600065903E-2"/>
          <c:y val="0.85548925431897016"/>
          <c:w val="0.94532767001588036"/>
          <c:h val="0.144510745681029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200" b="1">
                <a:solidFill>
                  <a:sysClr val="windowText" lastClr="000000"/>
                </a:solidFill>
              </a:rPr>
              <a:t>Request for Information - Structural</a:t>
            </a:r>
          </a:p>
        </c:rich>
      </c:tx>
      <c:layout>
        <c:manualLayout>
          <c:xMode val="edge"/>
          <c:yMode val="edge"/>
          <c:x val="0.33486180233136276"/>
          <c:y val="5.008678925392830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8.2008601677801926E-2"/>
          <c:w val="0.89791855704918722"/>
          <c:h val="0.660064958080966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Summary!$F$25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Summary!$F$9:$F$20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9-47A1-9DD4-30827C895C5D}"/>
            </c:ext>
          </c:extLst>
        </c:ser>
        <c:ser>
          <c:idx val="7"/>
          <c:order val="2"/>
          <c:tx>
            <c:strRef>
              <c:f>Summary!$G$25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Summary!$G$9:$G$20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9-47A1-9DD4-30827C895C5D}"/>
            </c:ext>
          </c:extLst>
        </c:ser>
        <c:ser>
          <c:idx val="8"/>
          <c:order val="3"/>
          <c:tx>
            <c:strRef>
              <c:f>Summary!$H$25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Summary!$H$9:$H$20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79-47A1-9DD4-30827C895C5D}"/>
            </c:ext>
          </c:extLst>
        </c:ser>
        <c:ser>
          <c:idx val="2"/>
          <c:order val="4"/>
          <c:tx>
            <c:strRef>
              <c:f>Summary!$I$24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Summary!$I$9:$I$20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79-47A1-9DD4-30827C895C5D}"/>
            </c:ext>
          </c:extLst>
        </c:ser>
        <c:ser>
          <c:idx val="3"/>
          <c:order val="5"/>
          <c:tx>
            <c:strRef>
              <c:f>Summary!$J$24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Summary!$J$9:$J$20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79-47A1-9DD4-30827C895C5D}"/>
            </c:ext>
          </c:extLst>
        </c:ser>
        <c:ser>
          <c:idx val="4"/>
          <c:order val="6"/>
          <c:tx>
            <c:strRef>
              <c:f>Summary!$K$24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Summary!$K$9:$K$20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79-47A1-9DD4-30827C895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Summary!$B$9:$B$20</c15:sqref>
                        </c15:formulaRef>
                      </c:ext>
                    </c:extLst>
                    <c:numCache>
                      <c:formatCode>[$-14809]d\ mmm\ yyyy;@</c:formatCode>
                      <c:ptCount val="12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  <c:pt idx="5">
                        <c:v>46062</c:v>
                      </c:pt>
                      <c:pt idx="6">
                        <c:v>46069</c:v>
                      </c:pt>
                      <c:pt idx="7">
                        <c:v>46076</c:v>
                      </c:pt>
                      <c:pt idx="8">
                        <c:v>46083</c:v>
                      </c:pt>
                      <c:pt idx="9">
                        <c:v>46090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Summary!$E$9:$E$20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7179-47A1-9DD4-30827C895C5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strRef>
              <c:f>Summary!$C$23</c:f>
              <c:strCache>
                <c:ptCount val="1"/>
                <c:pt idx="0">
                  <c:v>Total Expected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Summary!$C$9:$C$18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cat>
          <c:val>
            <c:numRef>
              <c:f>Summary!$C$9:$C$20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79-47A1-9DD4-30827C895C5D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Summary!$C$9:$C$18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cat>
          <c:val>
            <c:numRef>
              <c:f>Summary!$D$9:$D$20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79-47A1-9DD4-30827C895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Request for Information - Mechanical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0.1081975925480704"/>
          <c:w val="0.90191948049040338"/>
          <c:h val="0.633875693918463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Summary!$F$41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Summary!$F$63:$F$73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7-447E-93C0-FC06D3B04CD1}"/>
            </c:ext>
          </c:extLst>
        </c:ser>
        <c:ser>
          <c:idx val="7"/>
          <c:order val="2"/>
          <c:tx>
            <c:strRef>
              <c:f>Summary!$G$41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Summary!$G$63:$G$73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7-447E-93C0-FC06D3B04CD1}"/>
            </c:ext>
          </c:extLst>
        </c:ser>
        <c:ser>
          <c:idx val="8"/>
          <c:order val="3"/>
          <c:tx>
            <c:strRef>
              <c:f>Summary!$H$41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Summary!$H$63:$H$73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7-447E-93C0-FC06D3B04CD1}"/>
            </c:ext>
          </c:extLst>
        </c:ser>
        <c:ser>
          <c:idx val="2"/>
          <c:order val="4"/>
          <c:tx>
            <c:v>A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Summary!$I$63:$I$73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7-447E-93C0-FC06D3B04CD1}"/>
            </c:ext>
          </c:extLst>
        </c:ser>
        <c:ser>
          <c:idx val="3"/>
          <c:order val="5"/>
          <c:tx>
            <c:v>B</c:v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Summary!$J$63:$J$73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7-447E-93C0-FC06D3B04CD1}"/>
            </c:ext>
          </c:extLst>
        </c:ser>
        <c:ser>
          <c:idx val="4"/>
          <c:order val="6"/>
          <c:tx>
            <c:v>C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Summary!$K$63:$K$73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7-447E-93C0-FC06D3B04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Summary!$B$9:$B$20</c15:sqref>
                        </c15:formulaRef>
                      </c:ext>
                    </c:extLst>
                    <c:numCache>
                      <c:formatCode>[$-14809]d\ mmm\ yyyy;@</c:formatCode>
                      <c:ptCount val="12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  <c:pt idx="5">
                        <c:v>46062</c:v>
                      </c:pt>
                      <c:pt idx="6">
                        <c:v>46069</c:v>
                      </c:pt>
                      <c:pt idx="7">
                        <c:v>46076</c:v>
                      </c:pt>
                      <c:pt idx="8">
                        <c:v>46083</c:v>
                      </c:pt>
                      <c:pt idx="9">
                        <c:v>46090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Summary!$E$63:$E$73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5</c:v>
                      </c:pt>
                      <c:pt idx="2">
                        <c:v>8</c:v>
                      </c:pt>
                      <c:pt idx="3">
                        <c:v>15</c:v>
                      </c:pt>
                      <c:pt idx="4">
                        <c:v>19</c:v>
                      </c:pt>
                      <c:pt idx="5">
                        <c:v>22</c:v>
                      </c:pt>
                      <c:pt idx="6">
                        <c:v>24</c:v>
                      </c:pt>
                      <c:pt idx="7">
                        <c:v>24</c:v>
                      </c:pt>
                      <c:pt idx="8">
                        <c:v>24</c:v>
                      </c:pt>
                      <c:pt idx="9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AC7-447E-93C0-FC06D3B04C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v>Total Expected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'[2]Material Submissions'!$B$6:$B$17</c:f>
              <c:numCache>
                <c:formatCode>General</c:formatCode>
                <c:ptCount val="12"/>
                <c:pt idx="0">
                  <c:v>45681</c:v>
                </c:pt>
                <c:pt idx="1">
                  <c:v>45688</c:v>
                </c:pt>
                <c:pt idx="2">
                  <c:v>45695</c:v>
                </c:pt>
                <c:pt idx="3">
                  <c:v>45702</c:v>
                </c:pt>
                <c:pt idx="4">
                  <c:v>45709</c:v>
                </c:pt>
                <c:pt idx="5">
                  <c:v>45716</c:v>
                </c:pt>
                <c:pt idx="6">
                  <c:v>45723</c:v>
                </c:pt>
                <c:pt idx="7">
                  <c:v>45730</c:v>
                </c:pt>
                <c:pt idx="8">
                  <c:v>45737</c:v>
                </c:pt>
                <c:pt idx="9">
                  <c:v>45744</c:v>
                </c:pt>
                <c:pt idx="10">
                  <c:v>45751</c:v>
                </c:pt>
                <c:pt idx="11">
                  <c:v>45758</c:v>
                </c:pt>
              </c:numCache>
            </c:numRef>
          </c:cat>
          <c:val>
            <c:numRef>
              <c:f>Summary!$C$63:$C$73</c:f>
              <c:numCache>
                <c:formatCode>General</c:formatCode>
                <c:ptCount val="11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C7-447E-93C0-FC06D3B04CD1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'[2]Material Submissions'!$B$6:$B$17</c:f>
              <c:numCache>
                <c:formatCode>General</c:formatCode>
                <c:ptCount val="12"/>
                <c:pt idx="0">
                  <c:v>45681</c:v>
                </c:pt>
                <c:pt idx="1">
                  <c:v>45688</c:v>
                </c:pt>
                <c:pt idx="2">
                  <c:v>45695</c:v>
                </c:pt>
                <c:pt idx="3">
                  <c:v>45702</c:v>
                </c:pt>
                <c:pt idx="4">
                  <c:v>45709</c:v>
                </c:pt>
                <c:pt idx="5">
                  <c:v>45716</c:v>
                </c:pt>
                <c:pt idx="6">
                  <c:v>45723</c:v>
                </c:pt>
                <c:pt idx="7">
                  <c:v>45730</c:v>
                </c:pt>
                <c:pt idx="8">
                  <c:v>45737</c:v>
                </c:pt>
                <c:pt idx="9">
                  <c:v>45744</c:v>
                </c:pt>
                <c:pt idx="10">
                  <c:v>45751</c:v>
                </c:pt>
                <c:pt idx="11">
                  <c:v>45758</c:v>
                </c:pt>
              </c:numCache>
            </c:numRef>
          </c:cat>
          <c:val>
            <c:numRef>
              <c:f>Summary!$D$63:$D$73</c:f>
              <c:numCache>
                <c:formatCode>General</c:formatCode>
                <c:ptCount val="11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C7-447E-93C0-FC06D3B04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Request for Information - Fire Protection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42500937382819E-2"/>
          <c:y val="0.12579478889642107"/>
          <c:w val="0.89793291463567049"/>
          <c:h val="0.702218282317359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Summary!$F$41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Summary!$B$79:$B$89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Summary!$F$79:$F$89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7-409C-B0D3-2BC060102FDB}"/>
            </c:ext>
          </c:extLst>
        </c:ser>
        <c:ser>
          <c:idx val="7"/>
          <c:order val="2"/>
          <c:tx>
            <c:strRef>
              <c:f>Summary!$G$41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Summary!$B$79:$B$89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Summary!$G$79:$G$89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13</c:v>
                </c:pt>
                <c:pt idx="4">
                  <c:v>14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7-409C-B0D3-2BC060102FDB}"/>
            </c:ext>
          </c:extLst>
        </c:ser>
        <c:ser>
          <c:idx val="8"/>
          <c:order val="3"/>
          <c:tx>
            <c:strRef>
              <c:f>Summary!$H$41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Summary!$B$79:$B$89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Summary!$H$79:$H$89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7-409C-B0D3-2BC060102FDB}"/>
            </c:ext>
          </c:extLst>
        </c:ser>
        <c:ser>
          <c:idx val="2"/>
          <c:order val="4"/>
          <c:tx>
            <c:v>A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Summary!$B$79:$B$89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Summary!$I$79:$I$89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7-409C-B0D3-2BC060102FDB}"/>
            </c:ext>
          </c:extLst>
        </c:ser>
        <c:ser>
          <c:idx val="3"/>
          <c:order val="5"/>
          <c:tx>
            <c:v>B</c:v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Summary!$B$79:$B$89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Summary!$J$79:$J$89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37-409C-B0D3-2BC060102FDB}"/>
            </c:ext>
          </c:extLst>
        </c:ser>
        <c:ser>
          <c:idx val="4"/>
          <c:order val="6"/>
          <c:tx>
            <c:v>C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Summary!$B$79:$B$89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Summary!$K$79:$K$89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37-409C-B0D3-2BC060102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Summary!$B$79:$B$89</c15:sqref>
                        </c15:formulaRef>
                      </c:ext>
                    </c:extLst>
                    <c:numCache>
                      <c:formatCode>[$-14809]d\ mmm\ yyyy;@</c:formatCode>
                      <c:ptCount val="11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  <c:pt idx="5">
                        <c:v>46062</c:v>
                      </c:pt>
                      <c:pt idx="6">
                        <c:v>46069</c:v>
                      </c:pt>
                      <c:pt idx="7">
                        <c:v>46076</c:v>
                      </c:pt>
                      <c:pt idx="8">
                        <c:v>46083</c:v>
                      </c:pt>
                      <c:pt idx="9">
                        <c:v>46090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Summary!$E$79:$E$89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4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5E37-409C-B0D3-2BC060102FD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v>Total Expected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Summary!$D$79:$D$89</c:f>
              <c:numCache>
                <c:formatCode>General</c:formatCode>
                <c:ptCount val="11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</c:numCache>
            </c:numRef>
          </c:cat>
          <c:val>
            <c:numRef>
              <c:f>Summary!$C$79:$C$89</c:f>
              <c:numCache>
                <c:formatCode>General</c:formatCode>
                <c:ptCount val="11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37-409C-B0D3-2BC060102FDB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Summary!$D$79:$D$89</c:f>
              <c:numCache>
                <c:formatCode>General</c:formatCode>
                <c:ptCount val="11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</c:numCache>
            </c:numRef>
          </c:cat>
          <c:val>
            <c:numRef>
              <c:f>Summary!$D$79:$D$89</c:f>
              <c:numCache>
                <c:formatCode>General</c:formatCode>
                <c:ptCount val="11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E37-409C-B0D3-2BC060102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200" b="1">
                <a:solidFill>
                  <a:sysClr val="windowText" lastClr="000000"/>
                </a:solidFill>
              </a:rPr>
              <a:t>Method Statement - Hydraulics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5.3100021904645696E-2"/>
          <c:w val="0.89991710781635625"/>
          <c:h val="0.688973398356829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Summary!$F$41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Summary!$F$101:$F$111</c:f>
            </c:numRef>
          </c:val>
          <c:extLst>
            <c:ext xmlns:c16="http://schemas.microsoft.com/office/drawing/2014/chart" uri="{C3380CC4-5D6E-409C-BE32-E72D297353CC}">
              <c16:uniqueId val="{00000000-0177-4629-A791-02151D0D8332}"/>
            </c:ext>
          </c:extLst>
        </c:ser>
        <c:ser>
          <c:idx val="7"/>
          <c:order val="2"/>
          <c:tx>
            <c:strRef>
              <c:f>Summary!$G$41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Summary!$G$101:$G$111</c:f>
            </c:numRef>
          </c:val>
          <c:extLst>
            <c:ext xmlns:c16="http://schemas.microsoft.com/office/drawing/2014/chart" uri="{C3380CC4-5D6E-409C-BE32-E72D297353CC}">
              <c16:uniqueId val="{00000001-0177-4629-A791-02151D0D8332}"/>
            </c:ext>
          </c:extLst>
        </c:ser>
        <c:ser>
          <c:idx val="8"/>
          <c:order val="3"/>
          <c:tx>
            <c:strRef>
              <c:f>Summary!$H$41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Summary!$H$101:$H$111</c:f>
            </c:numRef>
          </c:val>
          <c:extLst>
            <c:ext xmlns:c16="http://schemas.microsoft.com/office/drawing/2014/chart" uri="{C3380CC4-5D6E-409C-BE32-E72D297353CC}">
              <c16:uniqueId val="{00000002-0177-4629-A791-02151D0D8332}"/>
            </c:ext>
          </c:extLst>
        </c:ser>
        <c:ser>
          <c:idx val="2"/>
          <c:order val="4"/>
          <c:tx>
            <c:v>A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Summary!$I$101:$I$111</c:f>
            </c:numRef>
          </c:val>
          <c:extLst>
            <c:ext xmlns:c16="http://schemas.microsoft.com/office/drawing/2014/chart" uri="{C3380CC4-5D6E-409C-BE32-E72D297353CC}">
              <c16:uniqueId val="{00000003-0177-4629-A791-02151D0D8332}"/>
            </c:ext>
          </c:extLst>
        </c:ser>
        <c:ser>
          <c:idx val="3"/>
          <c:order val="5"/>
          <c:tx>
            <c:v>B</c:v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Summary!$J$101:$J$111</c:f>
            </c:numRef>
          </c:val>
          <c:extLst>
            <c:ext xmlns:c16="http://schemas.microsoft.com/office/drawing/2014/chart" uri="{C3380CC4-5D6E-409C-BE32-E72D297353CC}">
              <c16:uniqueId val="{00000004-0177-4629-A791-02151D0D8332}"/>
            </c:ext>
          </c:extLst>
        </c:ser>
        <c:ser>
          <c:idx val="4"/>
          <c:order val="6"/>
          <c:tx>
            <c:v>C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Summary!$K$101:$K$111</c:f>
            </c:numRef>
          </c:val>
          <c:extLst>
            <c:ext xmlns:c16="http://schemas.microsoft.com/office/drawing/2014/chart" uri="{C3380CC4-5D6E-409C-BE32-E72D297353CC}">
              <c16:uniqueId val="{00000005-0177-4629-A791-02151D0D8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Summary!$B$9:$B$20</c15:sqref>
                        </c15:formulaRef>
                      </c:ext>
                    </c:extLst>
                    <c:numCache>
                      <c:formatCode>[$-14809]d\ mmm\ yyyy;@</c:formatCode>
                      <c:ptCount val="12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  <c:pt idx="5">
                        <c:v>46062</c:v>
                      </c:pt>
                      <c:pt idx="6">
                        <c:v>46069</c:v>
                      </c:pt>
                      <c:pt idx="7">
                        <c:v>46076</c:v>
                      </c:pt>
                      <c:pt idx="8">
                        <c:v>46083</c:v>
                      </c:pt>
                      <c:pt idx="9">
                        <c:v>46090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Summary!$E$101:$E$111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8-0177-4629-A791-02151D0D833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v>Total Expected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'[2]Material Submissions'!$B$6:$B$17</c:f>
              <c:numCache>
                <c:formatCode>General</c:formatCode>
                <c:ptCount val="12"/>
                <c:pt idx="0">
                  <c:v>45681</c:v>
                </c:pt>
                <c:pt idx="1">
                  <c:v>45688</c:v>
                </c:pt>
                <c:pt idx="2">
                  <c:v>45695</c:v>
                </c:pt>
                <c:pt idx="3">
                  <c:v>45702</c:v>
                </c:pt>
                <c:pt idx="4">
                  <c:v>45709</c:v>
                </c:pt>
                <c:pt idx="5">
                  <c:v>45716</c:v>
                </c:pt>
                <c:pt idx="6">
                  <c:v>45723</c:v>
                </c:pt>
                <c:pt idx="7">
                  <c:v>45730</c:v>
                </c:pt>
                <c:pt idx="8">
                  <c:v>45737</c:v>
                </c:pt>
                <c:pt idx="9">
                  <c:v>45744</c:v>
                </c:pt>
                <c:pt idx="10">
                  <c:v>45751</c:v>
                </c:pt>
                <c:pt idx="11">
                  <c:v>45758</c:v>
                </c:pt>
              </c:numCache>
            </c:numRef>
          </c:cat>
          <c:val>
            <c:numRef>
              <c:f>Summary!$C$101:$C$111</c:f>
            </c:numRef>
          </c:val>
          <c:smooth val="0"/>
          <c:extLst>
            <c:ext xmlns:c16="http://schemas.microsoft.com/office/drawing/2014/chart" uri="{C3380CC4-5D6E-409C-BE32-E72D297353CC}">
              <c16:uniqueId val="{00000006-0177-4629-A791-02151D0D8332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'[2]Material Submissions'!$B$6:$B$17</c:f>
              <c:numCache>
                <c:formatCode>General</c:formatCode>
                <c:ptCount val="12"/>
                <c:pt idx="0">
                  <c:v>45681</c:v>
                </c:pt>
                <c:pt idx="1">
                  <c:v>45688</c:v>
                </c:pt>
                <c:pt idx="2">
                  <c:v>45695</c:v>
                </c:pt>
                <c:pt idx="3">
                  <c:v>45702</c:v>
                </c:pt>
                <c:pt idx="4">
                  <c:v>45709</c:v>
                </c:pt>
                <c:pt idx="5">
                  <c:v>45716</c:v>
                </c:pt>
                <c:pt idx="6">
                  <c:v>45723</c:v>
                </c:pt>
                <c:pt idx="7">
                  <c:v>45730</c:v>
                </c:pt>
                <c:pt idx="8">
                  <c:v>45737</c:v>
                </c:pt>
                <c:pt idx="9">
                  <c:v>45744</c:v>
                </c:pt>
                <c:pt idx="10">
                  <c:v>45751</c:v>
                </c:pt>
                <c:pt idx="11">
                  <c:v>45758</c:v>
                </c:pt>
              </c:numCache>
            </c:numRef>
          </c:cat>
          <c:val>
            <c:numRef>
              <c:f>Summary!$D$101:$D$111</c:f>
            </c:numRef>
          </c:val>
          <c:smooth val="0"/>
          <c:extLst>
            <c:ext xmlns:c16="http://schemas.microsoft.com/office/drawing/2014/chart" uri="{C3380CC4-5D6E-409C-BE32-E72D297353CC}">
              <c16:uniqueId val="{00000007-0177-4629-A791-02151D0D8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200" b="1">
                <a:solidFill>
                  <a:sysClr val="windowText" lastClr="000000"/>
                </a:solidFill>
              </a:rPr>
              <a:t>Method Statement - General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5.3100021904645696E-2"/>
          <c:w val="0.89991710781635625"/>
          <c:h val="0.688973398356829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Summary!$F$41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Summary!$F$123:$F$133</c:f>
            </c:numRef>
          </c:val>
          <c:extLst>
            <c:ext xmlns:c16="http://schemas.microsoft.com/office/drawing/2014/chart" uri="{C3380CC4-5D6E-409C-BE32-E72D297353CC}">
              <c16:uniqueId val="{00000000-3D4F-4A25-AAD2-F81BCCC9923B}"/>
            </c:ext>
          </c:extLst>
        </c:ser>
        <c:ser>
          <c:idx val="7"/>
          <c:order val="2"/>
          <c:tx>
            <c:strRef>
              <c:f>Summary!$G$41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Summary!$G$123:$G$133</c:f>
            </c:numRef>
          </c:val>
          <c:extLst>
            <c:ext xmlns:c16="http://schemas.microsoft.com/office/drawing/2014/chart" uri="{C3380CC4-5D6E-409C-BE32-E72D297353CC}">
              <c16:uniqueId val="{00000001-3D4F-4A25-AAD2-F81BCCC9923B}"/>
            </c:ext>
          </c:extLst>
        </c:ser>
        <c:ser>
          <c:idx val="8"/>
          <c:order val="3"/>
          <c:tx>
            <c:strRef>
              <c:f>Summary!$H$41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Summary!$H$123:$H$133</c:f>
            </c:numRef>
          </c:val>
          <c:extLst>
            <c:ext xmlns:c16="http://schemas.microsoft.com/office/drawing/2014/chart" uri="{C3380CC4-5D6E-409C-BE32-E72D297353CC}">
              <c16:uniqueId val="{00000002-3D4F-4A25-AAD2-F81BCCC9923B}"/>
            </c:ext>
          </c:extLst>
        </c:ser>
        <c:ser>
          <c:idx val="2"/>
          <c:order val="4"/>
          <c:tx>
            <c:v>A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Summary!$I$123:$I$133</c:f>
            </c:numRef>
          </c:val>
          <c:extLst>
            <c:ext xmlns:c16="http://schemas.microsoft.com/office/drawing/2014/chart" uri="{C3380CC4-5D6E-409C-BE32-E72D297353CC}">
              <c16:uniqueId val="{00000003-3D4F-4A25-AAD2-F81BCCC9923B}"/>
            </c:ext>
          </c:extLst>
        </c:ser>
        <c:ser>
          <c:idx val="3"/>
          <c:order val="5"/>
          <c:tx>
            <c:v>B</c:v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Summary!$J$123:$J$133</c:f>
            </c:numRef>
          </c:val>
          <c:extLst>
            <c:ext xmlns:c16="http://schemas.microsoft.com/office/drawing/2014/chart" uri="{C3380CC4-5D6E-409C-BE32-E72D297353CC}">
              <c16:uniqueId val="{00000004-3D4F-4A25-AAD2-F81BCCC9923B}"/>
            </c:ext>
          </c:extLst>
        </c:ser>
        <c:ser>
          <c:idx val="4"/>
          <c:order val="6"/>
          <c:tx>
            <c:v>C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Summary!$K$123:$K$133</c:f>
            </c:numRef>
          </c:val>
          <c:extLst>
            <c:ext xmlns:c16="http://schemas.microsoft.com/office/drawing/2014/chart" uri="{C3380CC4-5D6E-409C-BE32-E72D297353CC}">
              <c16:uniqueId val="{00000005-3D4F-4A25-AAD2-F81BCCC9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Summary!$B$9:$B$20</c15:sqref>
                        </c15:formulaRef>
                      </c:ext>
                    </c:extLst>
                    <c:numCache>
                      <c:formatCode>[$-14809]d\ mmm\ yyyy;@</c:formatCode>
                      <c:ptCount val="12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  <c:pt idx="5">
                        <c:v>46062</c:v>
                      </c:pt>
                      <c:pt idx="6">
                        <c:v>46069</c:v>
                      </c:pt>
                      <c:pt idx="7">
                        <c:v>46076</c:v>
                      </c:pt>
                      <c:pt idx="8">
                        <c:v>46083</c:v>
                      </c:pt>
                      <c:pt idx="9">
                        <c:v>46090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Summary!$E$123:$E$133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8-3D4F-4A25-AAD2-F81BCCC9923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v>Total Expected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'[2]Material Submissions'!$B$6:$B$17</c:f>
              <c:numCache>
                <c:formatCode>General</c:formatCode>
                <c:ptCount val="12"/>
                <c:pt idx="0">
                  <c:v>45681</c:v>
                </c:pt>
                <c:pt idx="1">
                  <c:v>45688</c:v>
                </c:pt>
                <c:pt idx="2">
                  <c:v>45695</c:v>
                </c:pt>
                <c:pt idx="3">
                  <c:v>45702</c:v>
                </c:pt>
                <c:pt idx="4">
                  <c:v>45709</c:v>
                </c:pt>
                <c:pt idx="5">
                  <c:v>45716</c:v>
                </c:pt>
                <c:pt idx="6">
                  <c:v>45723</c:v>
                </c:pt>
                <c:pt idx="7">
                  <c:v>45730</c:v>
                </c:pt>
                <c:pt idx="8">
                  <c:v>45737</c:v>
                </c:pt>
                <c:pt idx="9">
                  <c:v>45744</c:v>
                </c:pt>
                <c:pt idx="10">
                  <c:v>45751</c:v>
                </c:pt>
                <c:pt idx="11">
                  <c:v>45758</c:v>
                </c:pt>
              </c:numCache>
            </c:numRef>
          </c:cat>
          <c:val>
            <c:numRef>
              <c:f>Summary!$C$123:$C$133</c:f>
            </c:numRef>
          </c:val>
          <c:smooth val="0"/>
          <c:extLst>
            <c:ext xmlns:c16="http://schemas.microsoft.com/office/drawing/2014/chart" uri="{C3380CC4-5D6E-409C-BE32-E72D297353CC}">
              <c16:uniqueId val="{00000006-3D4F-4A25-AAD2-F81BCCC9923B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'[2]Material Submissions'!$B$6:$B$17</c:f>
              <c:numCache>
                <c:formatCode>General</c:formatCode>
                <c:ptCount val="12"/>
                <c:pt idx="0">
                  <c:v>45681</c:v>
                </c:pt>
                <c:pt idx="1">
                  <c:v>45688</c:v>
                </c:pt>
                <c:pt idx="2">
                  <c:v>45695</c:v>
                </c:pt>
                <c:pt idx="3">
                  <c:v>45702</c:v>
                </c:pt>
                <c:pt idx="4">
                  <c:v>45709</c:v>
                </c:pt>
                <c:pt idx="5">
                  <c:v>45716</c:v>
                </c:pt>
                <c:pt idx="6">
                  <c:v>45723</c:v>
                </c:pt>
                <c:pt idx="7">
                  <c:v>45730</c:v>
                </c:pt>
                <c:pt idx="8">
                  <c:v>45737</c:v>
                </c:pt>
                <c:pt idx="9">
                  <c:v>45744</c:v>
                </c:pt>
                <c:pt idx="10">
                  <c:v>45751</c:v>
                </c:pt>
                <c:pt idx="11">
                  <c:v>45758</c:v>
                </c:pt>
              </c:numCache>
            </c:numRef>
          </c:cat>
          <c:val>
            <c:numRef>
              <c:f>Summary!$D$123:$D$133</c:f>
            </c:numRef>
          </c:val>
          <c:smooth val="0"/>
          <c:extLst>
            <c:ext xmlns:c16="http://schemas.microsoft.com/office/drawing/2014/chart" uri="{C3380CC4-5D6E-409C-BE32-E72D297353CC}">
              <c16:uniqueId val="{00000007-3D4F-4A25-AAD2-F81BCCC9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200" b="1" i="0" u="none" strike="noStrike" kern="1200" spc="0" baseline="0">
                <a:solidFill>
                  <a:sysClr val="windowText" lastClr="000000"/>
                </a:solidFill>
              </a:rPr>
              <a:t>Request for Information - </a:t>
            </a:r>
            <a:r>
              <a:rPr lang="en-SG" sz="1200" b="1">
                <a:solidFill>
                  <a:sysClr val="windowText" lastClr="000000"/>
                </a:solidFill>
              </a:rPr>
              <a:t>Electrical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8.9831688054389097E-2"/>
          <c:w val="0.89991710781635625"/>
          <c:h val="0.6522415984121446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Summary!$F$25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7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Summary!$F$42:$F$52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5-450E-9824-4EFD2F199B8C}"/>
            </c:ext>
          </c:extLst>
        </c:ser>
        <c:ser>
          <c:idx val="7"/>
          <c:order val="2"/>
          <c:tx>
            <c:strRef>
              <c:f>Summary!$G$25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Summary!$G$42:$G$52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12</c:v>
                </c:pt>
                <c:pt idx="4">
                  <c:v>19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F5-450E-9824-4EFD2F199B8C}"/>
            </c:ext>
          </c:extLst>
        </c:ser>
        <c:ser>
          <c:idx val="8"/>
          <c:order val="3"/>
          <c:tx>
            <c:strRef>
              <c:f>Summary!$H$25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Summary!$H$42:$H$52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F5-450E-9824-4EFD2F199B8C}"/>
            </c:ext>
          </c:extLst>
        </c:ser>
        <c:ser>
          <c:idx val="2"/>
          <c:order val="4"/>
          <c:tx>
            <c:strRef>
              <c:f>Summary!$I$24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Summary!$I$42:$I$52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F5-450E-9824-4EFD2F199B8C}"/>
            </c:ext>
          </c:extLst>
        </c:ser>
        <c:ser>
          <c:idx val="3"/>
          <c:order val="5"/>
          <c:tx>
            <c:strRef>
              <c:f>Summary!$J$24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Summary!$J$42:$J$52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F5-450E-9824-4EFD2F199B8C}"/>
            </c:ext>
          </c:extLst>
        </c:ser>
        <c:ser>
          <c:idx val="4"/>
          <c:order val="6"/>
          <c:tx>
            <c:strRef>
              <c:f>Summary!$K$24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Summary!$B$9:$B$20</c:f>
              <c:numCache>
                <c:formatCode>[$-14809]d\ mmm\ yyyy;@</c:formatCode>
                <c:ptCount val="12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</c:numCache>
            </c:numRef>
          </c:cat>
          <c:val>
            <c:numRef>
              <c:f>Summary!$K$42:$K$52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F5-450E-9824-4EFD2F199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Summary!$B$9:$B$20</c15:sqref>
                        </c15:formulaRef>
                      </c:ext>
                    </c:extLst>
                    <c:numCache>
                      <c:formatCode>[$-14809]d\ mmm\ yyyy;@</c:formatCode>
                      <c:ptCount val="12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  <c:pt idx="5">
                        <c:v>46062</c:v>
                      </c:pt>
                      <c:pt idx="6">
                        <c:v>46069</c:v>
                      </c:pt>
                      <c:pt idx="7">
                        <c:v>46076</c:v>
                      </c:pt>
                      <c:pt idx="8">
                        <c:v>46083</c:v>
                      </c:pt>
                      <c:pt idx="9">
                        <c:v>46090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Summary!$E$26:$E$36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</c:v>
                      </c:pt>
                      <c:pt idx="2">
                        <c:v>12</c:v>
                      </c:pt>
                      <c:pt idx="3">
                        <c:v>33</c:v>
                      </c:pt>
                      <c:pt idx="4">
                        <c:v>33</c:v>
                      </c:pt>
                      <c:pt idx="5">
                        <c:v>37</c:v>
                      </c:pt>
                      <c:pt idx="6">
                        <c:v>38</c:v>
                      </c:pt>
                      <c:pt idx="7">
                        <c:v>38</c:v>
                      </c:pt>
                      <c:pt idx="8">
                        <c:v>38</c:v>
                      </c:pt>
                      <c:pt idx="9">
                        <c:v>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46F5-450E-9824-4EFD2F199B8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strRef>
              <c:f>Summary!$C$23</c:f>
              <c:strCache>
                <c:ptCount val="1"/>
                <c:pt idx="0">
                  <c:v>Total Expected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'[2]Material Submissions'!$B$6:$B$17</c:f>
              <c:numCache>
                <c:formatCode>General</c:formatCode>
                <c:ptCount val="12"/>
                <c:pt idx="0">
                  <c:v>45681</c:v>
                </c:pt>
                <c:pt idx="1">
                  <c:v>45688</c:v>
                </c:pt>
                <c:pt idx="2">
                  <c:v>45695</c:v>
                </c:pt>
                <c:pt idx="3">
                  <c:v>45702</c:v>
                </c:pt>
                <c:pt idx="4">
                  <c:v>45709</c:v>
                </c:pt>
                <c:pt idx="5">
                  <c:v>45716</c:v>
                </c:pt>
                <c:pt idx="6">
                  <c:v>45723</c:v>
                </c:pt>
                <c:pt idx="7">
                  <c:v>45730</c:v>
                </c:pt>
                <c:pt idx="8">
                  <c:v>45737</c:v>
                </c:pt>
                <c:pt idx="9">
                  <c:v>45744</c:v>
                </c:pt>
                <c:pt idx="10">
                  <c:v>45751</c:v>
                </c:pt>
                <c:pt idx="11">
                  <c:v>45758</c:v>
                </c:pt>
              </c:numCache>
            </c:numRef>
          </c:cat>
          <c:val>
            <c:numRef>
              <c:f>Summary!$C$42:$C$52</c:f>
              <c:numCache>
                <c:formatCode>General</c:formatCode>
                <c:ptCount val="11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F5-450E-9824-4EFD2F199B8C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'[2]Material Submissions'!$B$6:$B$17</c:f>
              <c:numCache>
                <c:formatCode>General</c:formatCode>
                <c:ptCount val="12"/>
                <c:pt idx="0">
                  <c:v>45681</c:v>
                </c:pt>
                <c:pt idx="1">
                  <c:v>45688</c:v>
                </c:pt>
                <c:pt idx="2">
                  <c:v>45695</c:v>
                </c:pt>
                <c:pt idx="3">
                  <c:v>45702</c:v>
                </c:pt>
                <c:pt idx="4">
                  <c:v>45709</c:v>
                </c:pt>
                <c:pt idx="5">
                  <c:v>45716</c:v>
                </c:pt>
                <c:pt idx="6">
                  <c:v>45723</c:v>
                </c:pt>
                <c:pt idx="7">
                  <c:v>45730</c:v>
                </c:pt>
                <c:pt idx="8">
                  <c:v>45737</c:v>
                </c:pt>
                <c:pt idx="9">
                  <c:v>45744</c:v>
                </c:pt>
                <c:pt idx="10">
                  <c:v>45751</c:v>
                </c:pt>
                <c:pt idx="11">
                  <c:v>45758</c:v>
                </c:pt>
              </c:numCache>
            </c:numRef>
          </c:cat>
          <c:val>
            <c:numRef>
              <c:f>Summary!$D$42:$D$52</c:f>
              <c:numCache>
                <c:formatCode>General</c:formatCode>
                <c:ptCount val="11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F5-450E-9824-4EFD2F199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536231</xdr:colOff>
      <xdr:row>13</xdr:row>
      <xdr:rowOff>119615</xdr:rowOff>
    </xdr:from>
    <xdr:to>
      <xdr:col>7</xdr:col>
      <xdr:colOff>251997</xdr:colOff>
      <xdr:row>29</xdr:row>
      <xdr:rowOff>75854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6D1EB91B-BEBE-4ED9-36D5-4FA2228B6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410337</xdr:colOff>
      <xdr:row>13</xdr:row>
      <xdr:rowOff>130659</xdr:rowOff>
    </xdr:from>
    <xdr:to>
      <xdr:col>15</xdr:col>
      <xdr:colOff>23812</xdr:colOff>
      <xdr:row>29</xdr:row>
      <xdr:rowOff>86898</xdr:rowOff>
    </xdr:to>
    <xdr:graphicFrame macro="">
      <xdr:nvGraphicFramePr>
        <xdr:cNvPr id="30" name="Chart 2">
          <a:extLst>
            <a:ext uri="{FF2B5EF4-FFF2-40B4-BE49-F238E27FC236}">
              <a16:creationId xmlns:a16="http://schemas.microsoft.com/office/drawing/2014/main" id="{65CAE4A3-7F6A-715E-701B-62CB167A8BA4}"/>
            </a:ext>
            <a:ext uri="{147F2762-F138-4A5C-976F-8EAC2B608ADB}">
              <a16:predDERef xmlns:a16="http://schemas.microsoft.com/office/drawing/2014/main" pred="{6D1EB91B-BEBE-4ED9-36D5-4FA2228B6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404812</xdr:colOff>
      <xdr:row>31</xdr:row>
      <xdr:rowOff>18568</xdr:rowOff>
    </xdr:from>
    <xdr:to>
      <xdr:col>7</xdr:col>
      <xdr:colOff>120578</xdr:colOff>
      <xdr:row>46</xdr:row>
      <xdr:rowOff>173590</xdr:rowOff>
    </xdr:to>
    <xdr:graphicFrame macro="">
      <xdr:nvGraphicFramePr>
        <xdr:cNvPr id="31" name="Chart 3">
          <a:extLst>
            <a:ext uri="{FF2B5EF4-FFF2-40B4-BE49-F238E27FC236}">
              <a16:creationId xmlns:a16="http://schemas.microsoft.com/office/drawing/2014/main" id="{CB23B048-46A2-8983-E7E6-CF9095A30E7D}"/>
            </a:ext>
            <a:ext uri="{147F2762-F138-4A5C-976F-8EAC2B608ADB}">
              <a16:predDERef xmlns:a16="http://schemas.microsoft.com/office/drawing/2014/main" pred="{65CAE4A3-7F6A-715E-701B-62CB167A8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383692</xdr:colOff>
      <xdr:row>31</xdr:row>
      <xdr:rowOff>29612</xdr:rowOff>
    </xdr:from>
    <xdr:to>
      <xdr:col>14</xdr:col>
      <xdr:colOff>576262</xdr:colOff>
      <xdr:row>46</xdr:row>
      <xdr:rowOff>184634</xdr:rowOff>
    </xdr:to>
    <xdr:graphicFrame macro="">
      <xdr:nvGraphicFramePr>
        <xdr:cNvPr id="32" name="Chart 4">
          <a:extLst>
            <a:ext uri="{FF2B5EF4-FFF2-40B4-BE49-F238E27FC236}">
              <a16:creationId xmlns:a16="http://schemas.microsoft.com/office/drawing/2014/main" id="{94E5858B-D906-CD4C-DCA2-25B2BD079C50}"/>
            </a:ext>
            <a:ext uri="{147F2762-F138-4A5C-976F-8EAC2B608ADB}">
              <a16:predDERef xmlns:a16="http://schemas.microsoft.com/office/drawing/2014/main" pred="{CB23B048-46A2-8983-E7E6-CF9095A30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418340</xdr:colOff>
      <xdr:row>48</xdr:row>
      <xdr:rowOff>27403</xdr:rowOff>
    </xdr:from>
    <xdr:to>
      <xdr:col>7</xdr:col>
      <xdr:colOff>134106</xdr:colOff>
      <xdr:row>63</xdr:row>
      <xdr:rowOff>183667</xdr:rowOff>
    </xdr:to>
    <xdr:graphicFrame macro="">
      <xdr:nvGraphicFramePr>
        <xdr:cNvPr id="33" name="Chart 6">
          <a:extLst>
            <a:ext uri="{FF2B5EF4-FFF2-40B4-BE49-F238E27FC236}">
              <a16:creationId xmlns:a16="http://schemas.microsoft.com/office/drawing/2014/main" id="{D6D341FD-6DD2-8235-3DAA-3B48B39C22C6}"/>
            </a:ext>
            <a:ext uri="{147F2762-F138-4A5C-976F-8EAC2B608ADB}">
              <a16:predDERef xmlns:a16="http://schemas.microsoft.com/office/drawing/2014/main" pred="{94E5858B-D906-CD4C-DCA2-25B2BD079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397220</xdr:colOff>
      <xdr:row>48</xdr:row>
      <xdr:rowOff>28922</xdr:rowOff>
    </xdr:from>
    <xdr:to>
      <xdr:col>14</xdr:col>
      <xdr:colOff>589790</xdr:colOff>
      <xdr:row>63</xdr:row>
      <xdr:rowOff>185186</xdr:rowOff>
    </xdr:to>
    <xdr:graphicFrame macro="">
      <xdr:nvGraphicFramePr>
        <xdr:cNvPr id="34" name="Chart 7">
          <a:extLst>
            <a:ext uri="{FF2B5EF4-FFF2-40B4-BE49-F238E27FC236}">
              <a16:creationId xmlns:a16="http://schemas.microsoft.com/office/drawing/2014/main" id="{8595708B-17E0-80D7-9524-3C94F2AEE56F}"/>
            </a:ext>
            <a:ext uri="{147F2762-F138-4A5C-976F-8EAC2B608ADB}">
              <a16:predDERef xmlns:a16="http://schemas.microsoft.com/office/drawing/2014/main" pred="{D6D341FD-6DD2-8235-3DAA-3B48B39C2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453430</xdr:colOff>
      <xdr:row>31</xdr:row>
      <xdr:rowOff>10167</xdr:rowOff>
    </xdr:from>
    <xdr:to>
      <xdr:col>25</xdr:col>
      <xdr:colOff>5540</xdr:colOff>
      <xdr:row>46</xdr:row>
      <xdr:rowOff>166843</xdr:rowOff>
    </xdr:to>
    <xdr:graphicFrame macro="">
      <xdr:nvGraphicFramePr>
        <xdr:cNvPr id="35" name="Chart 8">
          <a:extLst>
            <a:ext uri="{FF2B5EF4-FFF2-40B4-BE49-F238E27FC236}">
              <a16:creationId xmlns:a16="http://schemas.microsoft.com/office/drawing/2014/main" id="{C8849AA0-8C77-6DF7-D4ED-976E55BE3865}"/>
            </a:ext>
            <a:ext uri="{147F2762-F138-4A5C-976F-8EAC2B608ADB}">
              <a16:predDERef xmlns:a16="http://schemas.microsoft.com/office/drawing/2014/main" pred="{8595708B-17E0-80D7-9524-3C94F2AEE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644458</xdr:colOff>
      <xdr:row>30</xdr:row>
      <xdr:rowOff>154973</xdr:rowOff>
    </xdr:from>
    <xdr:to>
      <xdr:col>33</xdr:col>
      <xdr:colOff>518108</xdr:colOff>
      <xdr:row>46</xdr:row>
      <xdr:rowOff>110346</xdr:rowOff>
    </xdr:to>
    <xdr:graphicFrame macro="">
      <xdr:nvGraphicFramePr>
        <xdr:cNvPr id="36" name="Chart 9">
          <a:extLst>
            <a:ext uri="{FF2B5EF4-FFF2-40B4-BE49-F238E27FC236}">
              <a16:creationId xmlns:a16="http://schemas.microsoft.com/office/drawing/2014/main" id="{5EC189AA-D45B-E09F-08C7-410367712112}"/>
            </a:ext>
            <a:ext uri="{147F2762-F138-4A5C-976F-8EAC2B608ADB}">
              <a16:predDERef xmlns:a16="http://schemas.microsoft.com/office/drawing/2014/main" pred="{C8849AA0-8C77-6DF7-D4ED-976E55BE3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495448</xdr:colOff>
      <xdr:row>12</xdr:row>
      <xdr:rowOff>176213</xdr:rowOff>
    </xdr:from>
    <xdr:to>
      <xdr:col>25</xdr:col>
      <xdr:colOff>68339</xdr:colOff>
      <xdr:row>28</xdr:row>
      <xdr:rowOff>108827</xdr:rowOff>
    </xdr:to>
    <xdr:graphicFrame macro="">
      <xdr:nvGraphicFramePr>
        <xdr:cNvPr id="37" name="Chart 10">
          <a:extLst>
            <a:ext uri="{FF2B5EF4-FFF2-40B4-BE49-F238E27FC236}">
              <a16:creationId xmlns:a16="http://schemas.microsoft.com/office/drawing/2014/main" id="{00F300AB-AADC-A388-1FA8-ABBB9A2CBA48}"/>
            </a:ext>
            <a:ext uri="{147F2762-F138-4A5C-976F-8EAC2B608ADB}">
              <a16:predDERef xmlns:a16="http://schemas.microsoft.com/office/drawing/2014/main" pred="{5EC189AA-D45B-E09F-08C7-410367712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441678</xdr:colOff>
      <xdr:row>48</xdr:row>
      <xdr:rowOff>51319</xdr:rowOff>
    </xdr:from>
    <xdr:to>
      <xdr:col>24</xdr:col>
      <xdr:colOff>90769</xdr:colOff>
      <xdr:row>64</xdr:row>
      <xdr:rowOff>16629</xdr:rowOff>
    </xdr:to>
    <xdr:graphicFrame macro="">
      <xdr:nvGraphicFramePr>
        <xdr:cNvPr id="38" name="Chart 12">
          <a:extLst>
            <a:ext uri="{FF2B5EF4-FFF2-40B4-BE49-F238E27FC236}">
              <a16:creationId xmlns:a16="http://schemas.microsoft.com/office/drawing/2014/main" id="{3B55693B-D92C-951A-6179-7588853078AB}"/>
            </a:ext>
            <a:ext uri="{147F2762-F138-4A5C-976F-8EAC2B608ADB}">
              <a16:predDERef xmlns:a16="http://schemas.microsoft.com/office/drawing/2014/main" pred="{00F300AB-AADC-A388-1FA8-ABBB9A2CB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541786</xdr:colOff>
      <xdr:row>48</xdr:row>
      <xdr:rowOff>64094</xdr:rowOff>
    </xdr:from>
    <xdr:to>
      <xdr:col>33</xdr:col>
      <xdr:colOff>463927</xdr:colOff>
      <xdr:row>64</xdr:row>
      <xdr:rowOff>19879</xdr:rowOff>
    </xdr:to>
    <xdr:graphicFrame macro="">
      <xdr:nvGraphicFramePr>
        <xdr:cNvPr id="39" name="Chart 13">
          <a:extLst>
            <a:ext uri="{FF2B5EF4-FFF2-40B4-BE49-F238E27FC236}">
              <a16:creationId xmlns:a16="http://schemas.microsoft.com/office/drawing/2014/main" id="{94197D62-A65C-BB8F-2D7A-E62430D8DC19}"/>
            </a:ext>
            <a:ext uri="{147F2762-F138-4A5C-976F-8EAC2B608ADB}">
              <a16:predDERef xmlns:a16="http://schemas.microsoft.com/office/drawing/2014/main" pred="{3B55693B-D92C-951A-6179-758885307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4309</xdr:colOff>
      <xdr:row>13</xdr:row>
      <xdr:rowOff>41197</xdr:rowOff>
    </xdr:from>
    <xdr:to>
      <xdr:col>33</xdr:col>
      <xdr:colOff>468436</xdr:colOff>
      <xdr:row>28</xdr:row>
      <xdr:rowOff>87025</xdr:rowOff>
    </xdr:to>
    <xdr:graphicFrame macro="">
      <xdr:nvGraphicFramePr>
        <xdr:cNvPr id="40" name="Chart 5">
          <a:extLst>
            <a:ext uri="{FF2B5EF4-FFF2-40B4-BE49-F238E27FC236}">
              <a16:creationId xmlns:a16="http://schemas.microsoft.com/office/drawing/2014/main" id="{612BA271-8034-4618-AE44-2B43E1751ECD}"/>
            </a:ext>
            <a:ext uri="{147F2762-F138-4A5C-976F-8EAC2B608ADB}">
              <a16:predDERef xmlns:a16="http://schemas.microsoft.com/office/drawing/2014/main" pred="{94197D62-A65C-BB8F-2D7A-E62430D8D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650432</xdr:colOff>
      <xdr:row>21</xdr:row>
      <xdr:rowOff>67532</xdr:rowOff>
    </xdr:from>
    <xdr:to>
      <xdr:col>19</xdr:col>
      <xdr:colOff>761999</xdr:colOff>
      <xdr:row>35</xdr:row>
      <xdr:rowOff>166527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4E9EDD02-450C-4B32-B492-1C7B04859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718459</xdr:colOff>
      <xdr:row>3</xdr:row>
      <xdr:rowOff>163286</xdr:rowOff>
    </xdr:from>
    <xdr:to>
      <xdr:col>19</xdr:col>
      <xdr:colOff>729343</xdr:colOff>
      <xdr:row>20</xdr:row>
      <xdr:rowOff>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F41169C2-5E54-4B69-AEDE-DAEDD4292E9E}"/>
            </a:ext>
            <a:ext uri="{147F2762-F138-4A5C-976F-8EAC2B608ADB}">
              <a16:predDERef xmlns:a16="http://schemas.microsoft.com/office/drawing/2014/main" pred="{4E9EDD02-450C-4B32-B492-1C7B04859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20</xdr:col>
      <xdr:colOff>65314</xdr:colOff>
      <xdr:row>72</xdr:row>
      <xdr:rowOff>98995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AC39C75B-E35C-4DDA-B990-452A81B9656D}"/>
            </a:ext>
            <a:ext uri="{147F2762-F138-4A5C-976F-8EAC2B608ADB}">
              <a16:predDERef xmlns:a16="http://schemas.microsoft.com/office/drawing/2014/main" pred="{F41169C2-5E54-4B69-AEDE-DAEDD4292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73</xdr:row>
      <xdr:rowOff>190500</xdr:rowOff>
    </xdr:from>
    <xdr:to>
      <xdr:col>20</xdr:col>
      <xdr:colOff>123825</xdr:colOff>
      <xdr:row>89</xdr:row>
      <xdr:rowOff>19050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C0855F8F-B5C1-4C9A-9E40-F283BF5DE0D6}"/>
            </a:ext>
            <a:ext uri="{147F2762-F138-4A5C-976F-8EAC2B608ADB}">
              <a16:predDERef xmlns:a16="http://schemas.microsoft.com/office/drawing/2014/main" pred="{AC39C75B-E35C-4DDA-B990-452A81B96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96</xdr:row>
      <xdr:rowOff>0</xdr:rowOff>
    </xdr:from>
    <xdr:to>
      <xdr:col>20</xdr:col>
      <xdr:colOff>141514</xdr:colOff>
      <xdr:row>110</xdr:row>
      <xdr:rowOff>98995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7A4430-7C09-4858-A354-F783FAAE3543}"/>
            </a:ext>
            <a:ext uri="{147F2762-F138-4A5C-976F-8EAC2B608ADB}">
              <a16:predDERef xmlns:a16="http://schemas.microsoft.com/office/drawing/2014/main" pred="{C0855F8F-B5C1-4C9A-9E40-F283BF5DE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118</xdr:row>
      <xdr:rowOff>0</xdr:rowOff>
    </xdr:from>
    <xdr:to>
      <xdr:col>20</xdr:col>
      <xdr:colOff>141514</xdr:colOff>
      <xdr:row>132</xdr:row>
      <xdr:rowOff>98995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347039-C245-4D41-BD10-10F5685C154D}"/>
            </a:ext>
            <a:ext uri="{147F2762-F138-4A5C-976F-8EAC2B608ADB}">
              <a16:predDERef xmlns:a16="http://schemas.microsoft.com/office/drawing/2014/main" pred="{B27A4430-7C09-4858-A354-F783FAAE3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609600</xdr:colOff>
      <xdr:row>37</xdr:row>
      <xdr:rowOff>43542</xdr:rowOff>
    </xdr:from>
    <xdr:to>
      <xdr:col>19</xdr:col>
      <xdr:colOff>721167</xdr:colOff>
      <xdr:row>51</xdr:row>
      <xdr:rowOff>142537</xdr:rowOff>
    </xdr:to>
    <xdr:graphicFrame macro="">
      <xdr:nvGraphicFramePr>
        <xdr:cNvPr id="11" name="Chart 8">
          <a:extLst>
            <a:ext uri="{FF2B5EF4-FFF2-40B4-BE49-F238E27FC236}">
              <a16:creationId xmlns:a16="http://schemas.microsoft.com/office/drawing/2014/main" id="{D7D56853-C768-4913-A3FB-7E2CCC2227F7}"/>
            </a:ext>
            <a:ext uri="{147F2762-F138-4A5C-976F-8EAC2B608ADB}">
              <a16:predDERef xmlns:a16="http://schemas.microsoft.com/office/drawing/2014/main" pred="{14347039-C245-4D41-BD10-10F5685C1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RPH9+2MW%20-%20Method%20Statement%20Submission_R0.xlsx" TargetMode="External"/><Relationship Id="rId1" Type="http://schemas.openxmlformats.org/officeDocument/2006/relationships/externalLinkPath" Target="https://gaagrp.sharepoint.com/Users/AkrawinAsvapoositkul/Downloads/TRPH9+2MW%20-%20Method%20Statement%20Submission_R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%20Reporting%20(1).xlsx" TargetMode="External"/><Relationship Id="rId1" Type="http://schemas.openxmlformats.org/officeDocument/2006/relationships/externalLinkPath" Target="file:///D:\Project%20Reporting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Summary"/>
      <sheetName val="AR"/>
      <sheetName val="ST"/>
      <sheetName val="EL"/>
      <sheetName val="ME"/>
      <sheetName val="HY"/>
      <sheetName val="FI"/>
      <sheetName val="GEN"/>
      <sheetName val="Priority"/>
      <sheetName val="Internal_Priority"/>
      <sheetName val="Internal Progress"/>
    </sheetNames>
    <sheetDataSet>
      <sheetData sheetId="0"/>
      <sheetData sheetId="1"/>
      <sheetData sheetId="2"/>
      <sheetData sheetId="3"/>
      <sheetData sheetId="4">
        <row r="4">
          <cell r="C4" t="str">
            <v>528207_04_MS_EL_0001</v>
          </cell>
        </row>
      </sheetData>
      <sheetData sheetId="5">
        <row r="4">
          <cell r="C4" t="str">
            <v>528207_04_MS_ME_0001</v>
          </cell>
        </row>
      </sheetData>
      <sheetData sheetId="6">
        <row r="4">
          <cell r="C4" t="str">
            <v>528207_04_MS_HY_0001</v>
          </cell>
          <cell r="D4" t="str">
            <v>Method Statement - Installation of Hydraulic System</v>
          </cell>
          <cell r="E4">
            <v>45667</v>
          </cell>
          <cell r="F4">
            <v>45645</v>
          </cell>
          <cell r="I4" t="str">
            <v>Closed</v>
          </cell>
          <cell r="J4" t="str">
            <v>B</v>
          </cell>
        </row>
        <row r="5">
          <cell r="C5" t="str">
            <v>528207_04_MS_HY_0002</v>
          </cell>
          <cell r="D5" t="str">
            <v xml:space="preserve">Method Statement - Modified PVC Drain Pipe for CRAH </v>
          </cell>
          <cell r="E5">
            <v>45660</v>
          </cell>
          <cell r="F5">
            <v>45660</v>
          </cell>
          <cell r="I5" t="str">
            <v>Closed</v>
          </cell>
          <cell r="J5" t="str">
            <v>B</v>
          </cell>
        </row>
        <row r="6">
          <cell r="C6" t="str">
            <v>528207_04_MS_HY_0003</v>
          </cell>
          <cell r="D6" t="str">
            <v xml:space="preserve">Method Statement - Lifting Day Tank </v>
          </cell>
          <cell r="E6">
            <v>45688</v>
          </cell>
          <cell r="F6">
            <v>45688</v>
          </cell>
          <cell r="I6" t="str">
            <v>CTA</v>
          </cell>
          <cell r="J6" t="str">
            <v>Pending</v>
          </cell>
        </row>
        <row r="7">
          <cell r="C7" t="str">
            <v>528207_04_MS_HY_0004</v>
          </cell>
          <cell r="D7" t="str">
            <v>Method Statement - Piping Work for Chilled Water System</v>
          </cell>
          <cell r="E7"/>
          <cell r="F7"/>
          <cell r="I7"/>
          <cell r="J7"/>
        </row>
        <row r="8">
          <cell r="C8"/>
          <cell r="D8"/>
          <cell r="E8"/>
          <cell r="F8"/>
          <cell r="I8"/>
          <cell r="J8"/>
        </row>
        <row r="34">
          <cell r="I34" t="str">
            <v>DO NOT DELETE</v>
          </cell>
        </row>
        <row r="35">
          <cell r="I35" t="str">
            <v>GAA</v>
          </cell>
        </row>
        <row r="36">
          <cell r="I36" t="str">
            <v>CTA</v>
          </cell>
        </row>
        <row r="37">
          <cell r="I37" t="str">
            <v>AUR</v>
          </cell>
        </row>
        <row r="38">
          <cell r="I38" t="str">
            <v>STT</v>
          </cell>
        </row>
        <row r="39">
          <cell r="I39" t="str">
            <v>Closed</v>
          </cell>
        </row>
      </sheetData>
      <sheetData sheetId="7">
        <row r="4">
          <cell r="C4" t="str">
            <v>528207_04_MS_FI_0001</v>
          </cell>
        </row>
      </sheetData>
      <sheetData sheetId="8">
        <row r="4">
          <cell r="C4" t="str">
            <v>528207_04_MS_GEN_0001</v>
          </cell>
          <cell r="D4" t="str">
            <v>Method Statement - Erection and Dismantle of Scaffold</v>
          </cell>
          <cell r="E4">
            <v>3</v>
          </cell>
          <cell r="F4">
            <v>3</v>
          </cell>
          <cell r="I4"/>
          <cell r="J4"/>
        </row>
        <row r="5">
          <cell r="C5"/>
          <cell r="D5"/>
          <cell r="E5"/>
          <cell r="F5"/>
          <cell r="I5"/>
          <cell r="J5"/>
        </row>
        <row r="6">
          <cell r="C6"/>
          <cell r="D6"/>
          <cell r="E6"/>
          <cell r="F6"/>
          <cell r="I6"/>
          <cell r="J6"/>
        </row>
        <row r="7">
          <cell r="C7"/>
          <cell r="D7"/>
          <cell r="E7"/>
          <cell r="F7"/>
          <cell r="I7"/>
          <cell r="J7"/>
        </row>
        <row r="8">
          <cell r="C8"/>
          <cell r="D8"/>
          <cell r="E8"/>
          <cell r="F8"/>
          <cell r="I8"/>
          <cell r="J8"/>
        </row>
        <row r="9">
          <cell r="C9"/>
          <cell r="D9"/>
          <cell r="E9"/>
          <cell r="F9"/>
          <cell r="I9"/>
          <cell r="J9"/>
        </row>
        <row r="26">
          <cell r="I26" t="str">
            <v>DO NOT DELETE</v>
          </cell>
        </row>
        <row r="27">
          <cell r="I27" t="str">
            <v>GAA</v>
          </cell>
        </row>
        <row r="28">
          <cell r="I28" t="str">
            <v>CTA</v>
          </cell>
        </row>
        <row r="29">
          <cell r="I29" t="str">
            <v>AUR</v>
          </cell>
        </row>
        <row r="30">
          <cell r="I30" t="str">
            <v>STT</v>
          </cell>
        </row>
        <row r="31">
          <cell r="I31" t="str">
            <v>Closed</v>
          </cell>
        </row>
      </sheetData>
      <sheetData sheetId="9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erial Submissions"/>
    </sheetNames>
    <sheetDataSet>
      <sheetData sheetId="0">
        <row r="6">
          <cell r="B6">
            <v>45681</v>
          </cell>
        </row>
        <row r="7">
          <cell r="B7">
            <v>45688</v>
          </cell>
        </row>
        <row r="8">
          <cell r="B8">
            <v>45695</v>
          </cell>
        </row>
        <row r="9">
          <cell r="B9">
            <v>45702</v>
          </cell>
        </row>
        <row r="10">
          <cell r="B10">
            <v>45709</v>
          </cell>
        </row>
        <row r="11">
          <cell r="B11">
            <v>45716</v>
          </cell>
        </row>
        <row r="12">
          <cell r="B12">
            <v>45723</v>
          </cell>
        </row>
        <row r="13">
          <cell r="B13">
            <v>45730</v>
          </cell>
        </row>
        <row r="14">
          <cell r="B14">
            <v>45737</v>
          </cell>
        </row>
        <row r="15">
          <cell r="B15">
            <v>45744</v>
          </cell>
        </row>
        <row r="16">
          <cell r="B16">
            <v>45751</v>
          </cell>
        </row>
        <row r="17">
          <cell r="B17">
            <v>45758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425F-7C39-4778-BE8A-3B215EF11C2F}">
  <sheetPr codeName="Sheet1">
    <tabColor rgb="FF00B0F0"/>
    <pageSetUpPr fitToPage="1"/>
  </sheetPr>
  <dimension ref="A1:AJ135"/>
  <sheetViews>
    <sheetView view="pageBreakPreview" zoomScale="70" zoomScaleNormal="100" zoomScaleSheetLayoutView="70" workbookViewId="0">
      <selection activeCell="D12" sqref="D12"/>
    </sheetView>
  </sheetViews>
  <sheetFormatPr defaultColWidth="8.69921875" defaultRowHeight="15" customHeight="1" x14ac:dyDescent="0.25"/>
  <cols>
    <col min="1" max="1" width="17.69921875" customWidth="1"/>
    <col min="2" max="2" width="11.296875" customWidth="1"/>
    <col min="3" max="3" width="14.69921875" style="13" customWidth="1"/>
    <col min="4" max="4" width="11.8984375" style="13" customWidth="1"/>
    <col min="5" max="5" width="12.296875" style="13" customWidth="1"/>
    <col min="6" max="6" width="10.69921875" style="13" customWidth="1"/>
    <col min="7" max="7" width="12.09765625" style="13" customWidth="1"/>
    <col min="8" max="8" width="10.69921875" style="13" customWidth="1"/>
    <col min="9" max="9" width="12.09765625" style="13" customWidth="1"/>
    <col min="10" max="11" width="12.296875" style="13" customWidth="1"/>
    <col min="12" max="12" width="13.296875" style="13" customWidth="1"/>
    <col min="13" max="13" width="12.3984375" style="13" customWidth="1"/>
    <col min="14" max="14" width="12.296875" style="13" customWidth="1"/>
    <col min="15" max="15" width="10" style="3" customWidth="1"/>
    <col min="16" max="21" width="11.296875" style="13" customWidth="1"/>
    <col min="22" max="23" width="7.3984375" style="13" customWidth="1"/>
    <col min="24" max="24" width="7.296875" style="13" customWidth="1"/>
    <col min="25" max="25" width="1.3984375" style="13" customWidth="1"/>
    <col min="26" max="26" width="12.296875" style="13" customWidth="1"/>
    <col min="27" max="27" width="10" style="3" customWidth="1"/>
    <col min="28" max="33" width="10.69921875" style="13" customWidth="1"/>
    <col min="34" max="34" width="8" style="13" customWidth="1"/>
    <col min="35" max="36" width="7.296875" style="13" customWidth="1"/>
    <col min="37" max="37" width="1.69921875" customWidth="1"/>
  </cols>
  <sheetData>
    <row r="1" spans="1:36" ht="13.8" x14ac:dyDescent="0.25">
      <c r="A1" s="12" t="s">
        <v>0</v>
      </c>
      <c r="B1" s="12"/>
      <c r="M1" s="14"/>
      <c r="Y1" s="14"/>
    </row>
    <row r="2" spans="1:36" ht="13.8" x14ac:dyDescent="0.25">
      <c r="A2" s="12"/>
      <c r="B2" s="12"/>
      <c r="M2" s="14"/>
      <c r="Y2" s="14"/>
    </row>
    <row r="3" spans="1:36" ht="13.8" x14ac:dyDescent="0.25">
      <c r="A3" s="361" t="s">
        <v>1</v>
      </c>
      <c r="B3" s="363" t="s">
        <v>2</v>
      </c>
      <c r="C3" s="366" t="s">
        <v>3</v>
      </c>
      <c r="D3" s="366"/>
      <c r="E3" s="366"/>
      <c r="F3" s="366"/>
      <c r="G3" s="366"/>
      <c r="H3" s="366"/>
      <c r="I3" s="366"/>
      <c r="J3" s="366"/>
      <c r="K3" s="366"/>
      <c r="L3" s="367"/>
      <c r="M3" s="15"/>
      <c r="N3" s="368" t="s">
        <v>4</v>
      </c>
      <c r="O3" s="366"/>
      <c r="P3" s="366"/>
      <c r="Q3" s="366"/>
      <c r="R3" s="366"/>
      <c r="S3" s="366"/>
      <c r="T3" s="366"/>
      <c r="U3" s="366"/>
      <c r="V3" s="366"/>
      <c r="W3" s="366"/>
      <c r="X3" s="367"/>
      <c r="Y3" s="15"/>
      <c r="Z3" s="368" t="s">
        <v>5</v>
      </c>
      <c r="AA3" s="366"/>
      <c r="AB3" s="366"/>
      <c r="AC3" s="366"/>
      <c r="AD3" s="366"/>
      <c r="AE3" s="366"/>
      <c r="AF3" s="366"/>
      <c r="AG3" s="366"/>
      <c r="AH3" s="366"/>
      <c r="AI3" s="366"/>
      <c r="AJ3" s="367"/>
    </row>
    <row r="4" spans="1:36" ht="14.7" customHeight="1" x14ac:dyDescent="0.25">
      <c r="A4" s="362"/>
      <c r="B4" s="364"/>
      <c r="C4" s="222" t="s">
        <v>6</v>
      </c>
      <c r="D4" s="371" t="s">
        <v>7</v>
      </c>
      <c r="E4" s="372"/>
      <c r="F4" s="371" t="s">
        <v>8</v>
      </c>
      <c r="G4" s="372"/>
      <c r="H4" s="371" t="s">
        <v>9</v>
      </c>
      <c r="I4" s="372"/>
      <c r="J4" s="38"/>
      <c r="K4" s="38"/>
      <c r="L4" s="39"/>
      <c r="M4" s="33"/>
      <c r="N4" s="369" t="s">
        <v>6</v>
      </c>
      <c r="O4" s="370"/>
      <c r="P4" s="371" t="s">
        <v>7</v>
      </c>
      <c r="Q4" s="372"/>
      <c r="R4" s="371" t="s">
        <v>8</v>
      </c>
      <c r="S4" s="372"/>
      <c r="T4" s="371" t="s">
        <v>9</v>
      </c>
      <c r="U4" s="372"/>
      <c r="V4" s="38"/>
      <c r="W4" s="38"/>
      <c r="X4" s="39"/>
      <c r="Y4" s="33"/>
      <c r="Z4" s="369" t="s">
        <v>6</v>
      </c>
      <c r="AA4" s="370"/>
      <c r="AB4" s="371" t="s">
        <v>7</v>
      </c>
      <c r="AC4" s="372"/>
      <c r="AD4" s="371" t="s">
        <v>8</v>
      </c>
      <c r="AE4" s="372"/>
      <c r="AF4" s="371" t="s">
        <v>9</v>
      </c>
      <c r="AG4" s="372"/>
      <c r="AH4" s="38"/>
      <c r="AI4" s="38"/>
      <c r="AJ4" s="39"/>
    </row>
    <row r="5" spans="1:36" s="70" customFormat="1" ht="41.25" customHeight="1" x14ac:dyDescent="0.25">
      <c r="A5" s="362"/>
      <c r="B5" s="365"/>
      <c r="C5" s="223" t="s">
        <v>10</v>
      </c>
      <c r="D5" s="16" t="s">
        <v>11</v>
      </c>
      <c r="E5" s="16" t="s">
        <v>12</v>
      </c>
      <c r="F5" s="16" t="s">
        <v>11</v>
      </c>
      <c r="G5" s="16" t="s">
        <v>12</v>
      </c>
      <c r="H5" s="40" t="s">
        <v>11</v>
      </c>
      <c r="I5" s="40" t="s">
        <v>12</v>
      </c>
      <c r="J5" s="67" t="s">
        <v>13</v>
      </c>
      <c r="K5" s="68" t="s">
        <v>14</v>
      </c>
      <c r="L5" s="69" t="s">
        <v>15</v>
      </c>
      <c r="M5" s="33"/>
      <c r="N5" s="17" t="s">
        <v>16</v>
      </c>
      <c r="O5" s="18" t="s">
        <v>17</v>
      </c>
      <c r="P5" s="16" t="s">
        <v>11</v>
      </c>
      <c r="Q5" s="16" t="s">
        <v>12</v>
      </c>
      <c r="R5" s="16" t="s">
        <v>11</v>
      </c>
      <c r="S5" s="16" t="s">
        <v>12</v>
      </c>
      <c r="T5" s="16" t="s">
        <v>11</v>
      </c>
      <c r="U5" s="40" t="s">
        <v>12</v>
      </c>
      <c r="V5" s="67" t="s">
        <v>13</v>
      </c>
      <c r="W5" s="68" t="s">
        <v>14</v>
      </c>
      <c r="X5" s="69" t="s">
        <v>15</v>
      </c>
      <c r="Y5" s="33"/>
      <c r="Z5" s="17" t="s">
        <v>16</v>
      </c>
      <c r="AA5" s="18" t="s">
        <v>17</v>
      </c>
      <c r="AB5" s="16" t="s">
        <v>11</v>
      </c>
      <c r="AC5" s="16" t="s">
        <v>12</v>
      </c>
      <c r="AD5" s="16" t="s">
        <v>11</v>
      </c>
      <c r="AE5" s="16" t="s">
        <v>12</v>
      </c>
      <c r="AF5" s="16" t="s">
        <v>11</v>
      </c>
      <c r="AG5" s="40" t="s">
        <v>12</v>
      </c>
      <c r="AH5" s="67" t="s">
        <v>13</v>
      </c>
      <c r="AI5" s="68" t="s">
        <v>14</v>
      </c>
      <c r="AJ5" s="69" t="s">
        <v>15</v>
      </c>
    </row>
    <row r="6" spans="1:36" ht="16.2" customHeight="1" x14ac:dyDescent="0.25">
      <c r="A6" s="19" t="s">
        <v>18</v>
      </c>
      <c r="B6" s="35" cm="1">
        <f t="array" ref="B6">SUMPRODUCT((ST!$C$4:$C$1000&lt;&gt;"")*(ST!$D$4:$D$1000&lt;&gt;""))</f>
        <v>1</v>
      </c>
      <c r="C6" s="20" cm="1">
        <f t="array" ref="C6">SUMPRODUCT((ST!$C$4:$C$1000&lt;&gt;"")*(ST!$M$4:$M$1000&lt;&gt;""))</f>
        <v>1</v>
      </c>
      <c r="D6" s="26">
        <f>SUMPRODUCT((ST!$C$4:$C$1000&lt;&gt;"")*(ST!$N$4:$N$1000&lt;&gt;""))</f>
        <v>1</v>
      </c>
      <c r="E6" s="26">
        <f>SUMPRODUCT((ST!$C$4:$C$1000&lt;&gt;"")*(ST!$M$4:$M$1000&lt;&gt;"")*(ST!$N$4:$N$1000=""))</f>
        <v>0</v>
      </c>
      <c r="F6" s="26">
        <f>SUMPRODUCT((ST!$C$4:$C$1000&lt;&gt;"")*(ST!$O$4:$O$1000&lt;&gt;""))</f>
        <v>1</v>
      </c>
      <c r="G6" s="26">
        <f>SUMPRODUCT((ST!$C$4:$C$1000&lt;&gt;"")*(ST!$M$4:$M$1000&lt;&gt;"")*(ST!$O$4:$O$1000=""))</f>
        <v>0</v>
      </c>
      <c r="H6" s="41">
        <f>SUMPRODUCT((ST!$C$4:$C$1000&lt;&gt;"")*(ST!$P$4:$P$1000&lt;&gt;""))</f>
        <v>0</v>
      </c>
      <c r="I6" s="44">
        <f>SUMPRODUCT((ST!$C$4:$C$1000&lt;&gt;"")*(ST!$M$4:$M$1000&lt;&gt;"")*(ST!$P$4:$P$1000=""))</f>
        <v>1</v>
      </c>
      <c r="J6" s="21">
        <f>SUMPRODUCT((ST!$C$4:$C$1000&lt;&gt;"")*(ST!$Q$4:$Q$1000="A"))</f>
        <v>0</v>
      </c>
      <c r="K6" s="22">
        <f>SUMPRODUCT((ST!$C$4:$C$1000&lt;&gt;"")*(ST!$Q$4:$Q$1000="B"))</f>
        <v>0</v>
      </c>
      <c r="L6" s="23">
        <f>SUMPRODUCT((ST!$C$4:$C$1000&lt;&gt;"")*(ST!$Q$4:$Q$1000="C"))</f>
        <v>0</v>
      </c>
      <c r="M6" s="213"/>
      <c r="N6" s="42">
        <f>L6</f>
        <v>0</v>
      </c>
      <c r="O6" s="43">
        <f>SUMPRODUCT((ST!$C$4:$C$1000&lt;&gt;"")*(ST!$R$4:$R$1000&lt;&gt;""))</f>
        <v>0</v>
      </c>
      <c r="P6" s="26">
        <f>SUMPRODUCT((ST!$C$4:$C$1000&lt;&gt;"")*(ST!$S$4:$S$1000&lt;&gt;""))</f>
        <v>0</v>
      </c>
      <c r="Q6" s="26">
        <f>SUMPRODUCT((ST!$C$4:$C$1000&lt;&gt;"")*(ST!$R$4:$R$1000&lt;&gt;"")*(ST!$S$4:$S$1000=""))</f>
        <v>0</v>
      </c>
      <c r="R6" s="26">
        <f>SUMPRODUCT((ST!$C$4:$C$1000&lt;&gt;"")*(ST!$T$4:$T$1000&lt;&gt;""))</f>
        <v>0</v>
      </c>
      <c r="S6" s="26">
        <f>SUMPRODUCT((ST!$C$4:$C$1000&lt;&gt;"")*(ST!$R$4:$R$1000&lt;&gt;"")*(ST!$T$4:$T$1000=""))</f>
        <v>0</v>
      </c>
      <c r="T6" s="44">
        <f>SUMPRODUCT((ST!$C$4:$C$1000&lt;&gt;"")*(ST!$U$4:$U$1000&lt;&gt;""))</f>
        <v>0</v>
      </c>
      <c r="U6" s="44">
        <f>SUMPRODUCT((ST!$C$4:$C$1000&lt;&gt;"")*(ST!$R$4:$R$1000&lt;&gt;"")*(ST!$U$4:$U$1000=""))</f>
        <v>0</v>
      </c>
      <c r="V6" s="21">
        <f>SUMPRODUCT((ST!$C$4:$C$1000&lt;&gt;"")*(ST!$V$4:$V$1000="A"))</f>
        <v>0</v>
      </c>
      <c r="W6" s="22">
        <f>SUMPRODUCT((ST!$C$4:$C$1000&lt;&gt;"")*(ST!$V$4:$V$1000="B"))</f>
        <v>0</v>
      </c>
      <c r="X6" s="23">
        <f>SUMPRODUCT((ST!$C$4:$C$1000&lt;&gt;"")*(ST!$V$4:$V$1000="C"))</f>
        <v>0</v>
      </c>
      <c r="Y6" s="213"/>
      <c r="Z6" s="42">
        <f>X6</f>
        <v>0</v>
      </c>
      <c r="AA6" s="43">
        <f>SUMPRODUCT((ST!$C$4:$C$1000&lt;&gt;"")*(ST!$W$4:$W$1000&lt;&gt;""))</f>
        <v>0</v>
      </c>
      <c r="AB6" s="26">
        <f>SUMPRODUCT((ST!$C$4:$C$1000&lt;&gt;"")*(ST!$X$4:$X$1000&lt;&gt;""))</f>
        <v>0</v>
      </c>
      <c r="AC6" s="26">
        <f>SUMPRODUCT((ST!$C$4:$C$1000&lt;&gt;"")*(ST!$W$4:$W$1000&lt;&gt;"")*(ST!$X$4:$X$1000=""))</f>
        <v>0</v>
      </c>
      <c r="AD6" s="26">
        <f>SUMPRODUCT((ST!$C$4:$C$1000&lt;&gt;"")*(ST!$Y$4:$Y$1000&lt;&gt;""))</f>
        <v>0</v>
      </c>
      <c r="AE6" s="26">
        <f>SUMPRODUCT((ST!$C$4:$C$1000&lt;&gt;"")*(ST!$W$4:$W$1000&lt;&gt;"")*(ST!$Y$4:$Y$1000=""))</f>
        <v>0</v>
      </c>
      <c r="AF6" s="44">
        <f>SUMPRODUCT((ST!$C$4:$C$1000&lt;&gt;"")*(ST!$Z$4:$Z$1000&lt;&gt;""))</f>
        <v>0</v>
      </c>
      <c r="AG6" s="44">
        <f>SUMPRODUCT((ST!$C$4:$C$1000&lt;&gt;"")*(ST!$W$4:$W$1000&lt;&gt;"")*(ST!$Z$4:$Z$1000=""))</f>
        <v>0</v>
      </c>
      <c r="AH6" s="21">
        <f>SUMPRODUCT((ST!$C$4:$C$1000&lt;&gt;"")*(ST!$AA$4:$AA$1000="A"))</f>
        <v>0</v>
      </c>
      <c r="AI6" s="22">
        <f>SUMPRODUCT((ST!$C$4:$C$1000&lt;&gt;"")*(ST!$AA$4:$AA$1000="B"))</f>
        <v>0</v>
      </c>
      <c r="AJ6" s="23">
        <f>SUMPRODUCT((ST!$C$4:$C$1000&lt;&gt;"")*(ST!$AA$4:$AA$1000="C"))</f>
        <v>0</v>
      </c>
    </row>
    <row r="7" spans="1:36" ht="16.2" customHeight="1" x14ac:dyDescent="0.25">
      <c r="A7" s="24" t="s">
        <v>19</v>
      </c>
      <c r="B7" s="34" cm="1">
        <f t="array" ref="B7">SUMPRODUCT((AR!$C$4:$C$989&lt;&gt;"")*(AR!$D$4:$D$989&lt;&gt;""))</f>
        <v>38</v>
      </c>
      <c r="C7" s="25">
        <f>SUMPRODUCT((AR!$C$4:$C$989&lt;&gt;"")*(AR!$M$4:$M$989&lt;&gt;""))</f>
        <v>38</v>
      </c>
      <c r="D7" s="26">
        <f>SUMPRODUCT((AR!$C$4:$C$989&lt;&gt;"")*(AR!$N$4:$N$989&lt;&gt;""))</f>
        <v>37</v>
      </c>
      <c r="E7" s="26">
        <f>SUMPRODUCT((AR!$C$4:$C$989&lt;&gt;"")*(AR!$M$4:$M$989&lt;&gt;"")*(AR!$N$4:$N$989=""))</f>
        <v>1</v>
      </c>
      <c r="F7" s="26">
        <f>SUMPRODUCT((AR!$C$4:$C$989&lt;&gt;"")*(AR!$O$4:$O$989&lt;&gt;""))</f>
        <v>37</v>
      </c>
      <c r="G7" s="26">
        <f>SUMPRODUCT((AR!$C$4:$C$989&lt;&gt;"")*(AR!$M$4:$M$989&lt;&gt;"")*(AR!$O$4:$O$989=""))</f>
        <v>1</v>
      </c>
      <c r="H7" s="41">
        <f>SUMPRODUCT((AR!$C$4:$C$989&lt;&gt;"")*(AR!$P$4:$P$989&lt;&gt;""))</f>
        <v>24</v>
      </c>
      <c r="I7" s="41">
        <f>SUMPRODUCT((AR!$C$4:$C$989&lt;&gt;"")*(AR!$M$4:$M$989&lt;&gt;"")*(AR!$P$4:$P$989=""))</f>
        <v>14</v>
      </c>
      <c r="J7" s="27">
        <f>SUMPRODUCT((AR!$C$4:$C$989&lt;&gt;"")*(AR!$Q$4:$Q$989="A"))</f>
        <v>1</v>
      </c>
      <c r="K7" s="28">
        <f>SUMPRODUCT((AR!$C$4:$C$989&lt;&gt;"")*(AR!$Q$4:$Q$989="B"))</f>
        <v>15</v>
      </c>
      <c r="L7" s="29">
        <f>SUMPRODUCT((AR!$C$4:$C$989&lt;&gt;"")*(AR!$Q$4:$Q$989="C"))</f>
        <v>0</v>
      </c>
      <c r="M7" s="213"/>
      <c r="N7" s="42">
        <f>L7</f>
        <v>0</v>
      </c>
      <c r="O7" s="45">
        <f>SUMPRODUCT((AR!$C$4:$C$989&lt;&gt;"")*(AR!$R$4:$R$989&lt;&gt;""))</f>
        <v>1</v>
      </c>
      <c r="P7" s="26">
        <f>SUMPRODUCT((AR!$C$4:$C$989&lt;&gt;"")*(AR!$S$4:$S$989&lt;&gt;""))</f>
        <v>0</v>
      </c>
      <c r="Q7" s="26">
        <f>SUMPRODUCT((AR!$C$4:$C$989&lt;&gt;"")*(AR!$R$4:$R$989&lt;&gt;"")*(AR!$S$4:$S$989=""))</f>
        <v>1</v>
      </c>
      <c r="R7" s="26">
        <f>SUMPRODUCT((AR!$C$4:$C$989&lt;&gt;"")*(AR!$T$4:$T$989&lt;&gt;""))</f>
        <v>0</v>
      </c>
      <c r="S7" s="26">
        <f>SUMPRODUCT((AR!$C$4:$C$989&lt;&gt;"")*(AR!$R$4:$R$989&lt;&gt;"")*(AR!$T$4:$T$989=""))</f>
        <v>1</v>
      </c>
      <c r="T7" s="41">
        <f>SUMPRODUCT((AR!$C$4:$C$989&lt;&gt;"")*(AR!$U$4:$U$989&lt;&gt;""))</f>
        <v>0</v>
      </c>
      <c r="U7" s="41">
        <f>SUMPRODUCT((AR!$C$4:$C$989&lt;&gt;"")*(AR!$R$4:$R$989&lt;&gt;"")*(AR!$U$4:$U$989=""))</f>
        <v>1</v>
      </c>
      <c r="V7" s="27">
        <f>SUMPRODUCT((AR!$C$4:$C$989&lt;&gt;"")*(AR!$V$4:$V$989="A"))</f>
        <v>0</v>
      </c>
      <c r="W7" s="28">
        <f>SUMPRODUCT((AR!$C$4:$C$989&lt;&gt;"")*(AR!$V$4:$V$989="B"))</f>
        <v>0</v>
      </c>
      <c r="X7" s="29">
        <f>SUMPRODUCT((AR!$C$4:$C$989&lt;&gt;"")*(AR!$V$4:$V$989="C"))</f>
        <v>0</v>
      </c>
      <c r="Y7" s="213"/>
      <c r="Z7" s="42">
        <f>X7</f>
        <v>0</v>
      </c>
      <c r="AA7" s="45">
        <f>SUMPRODUCT((AR!$C$4:$C$989&lt;&gt;"")*(AR!$W$4:$W$989&lt;&gt;""))</f>
        <v>0</v>
      </c>
      <c r="AB7" s="26">
        <f>SUMPRODUCT((AR!$C$4:$C$989&lt;&gt;"")*(AR!$X$4:$X$989&lt;&gt;""))</f>
        <v>0</v>
      </c>
      <c r="AC7" s="26">
        <f>SUMPRODUCT((AR!$C$4:$C$989&lt;&gt;"")*(AR!$W$4:$W$989&lt;&gt;"")*(AR!$X$4:$X$989=""))</f>
        <v>0</v>
      </c>
      <c r="AD7" s="26">
        <f>SUMPRODUCT((AR!$C$4:$C$989&lt;&gt;"")*(AR!$Y$4:$Y$989&lt;&gt;""))</f>
        <v>0</v>
      </c>
      <c r="AE7" s="26">
        <f>SUMPRODUCT((AR!$C$4:$C$989&lt;&gt;"")*(AR!$W$4:$W$989&lt;&gt;"")*(AR!$Y$4:$Y$989=""))</f>
        <v>0</v>
      </c>
      <c r="AF7" s="41">
        <f>SUMPRODUCT((AR!$C$4:$C$989&lt;&gt;"")*(AR!$Z$4:$Z$989&lt;&gt;""))</f>
        <v>0</v>
      </c>
      <c r="AG7" s="41">
        <f>SUMPRODUCT((AR!$C$4:$C$989&lt;&gt;"")*(AR!$W$4:$W$989&lt;&gt;"")*(AR!$Z$4:$Z$989=""))</f>
        <v>0</v>
      </c>
      <c r="AH7" s="27">
        <f>SUMPRODUCT((AR!$C$4:$C$989&lt;&gt;"")*(AR!$AA$4:$AA$989="A"))</f>
        <v>0</v>
      </c>
      <c r="AI7" s="28">
        <f>SUMPRODUCT((AR!$C$4:$C$989&lt;&gt;"")*(AR!$AA$4:$AA$989="B"))</f>
        <v>0</v>
      </c>
      <c r="AJ7" s="29">
        <f>SUMPRODUCT((AR!$C$4:$C$989&lt;&gt;"")*(AR!$AA$4:$AA$989="C"))</f>
        <v>0</v>
      </c>
    </row>
    <row r="8" spans="1:36" ht="16.2" customHeight="1" x14ac:dyDescent="0.25">
      <c r="A8" s="24" t="s">
        <v>20</v>
      </c>
      <c r="B8" s="34">
        <f>SUMPRODUCT((ME!$C$4:$C$981&lt;&gt;"")*(ME!$D$4:$D$981&lt;&gt;""))</f>
        <v>24</v>
      </c>
      <c r="C8" s="25">
        <f>SUMPRODUCT((ME!$C$4:$C$981&lt;&gt;"")*(ME!$N$4:$N$981&lt;&gt;""))</f>
        <v>24</v>
      </c>
      <c r="D8" s="26">
        <f>SUMPRODUCT((ME!$C$4:$C$981&lt;&gt;"")*(ME!$O$4:$O$981&lt;&gt;""))</f>
        <v>21</v>
      </c>
      <c r="E8" s="26">
        <f>SUMPRODUCT((ME!$C$4:$C$981&lt;&gt;"")*(ME!$N$4:$N$981&lt;&gt;"")*(ME!$O$4:$O$981=""))</f>
        <v>3</v>
      </c>
      <c r="F8" s="26">
        <f>SUMPRODUCT((ME!$C$4:$C$981&lt;&gt;"")*(ME!$P$4:$P$981&lt;&gt;""))</f>
        <v>12</v>
      </c>
      <c r="G8" s="26">
        <f>SUMPRODUCT((ME!$C$4:$C$981&lt;&gt;"")*(ME!$N$4:$N$981&lt;&gt;"")*(ME!$P$4:$P$981=""))</f>
        <v>12</v>
      </c>
      <c r="H8" s="41">
        <f>SUMPRODUCT((ME!$C$4:$C$981&lt;&gt;"")*(ME!$Q$4:$Q$981&lt;&gt;""))</f>
        <v>2</v>
      </c>
      <c r="I8" s="41">
        <f>SUMPRODUCT((ME!$C$4:$C$981&lt;&gt;"")*(ME!$N$4:$N$981&lt;&gt;"")*(ME!$Q$4:$Q$981=""))</f>
        <v>22</v>
      </c>
      <c r="J8" s="27">
        <f>SUMPRODUCT((ME!$C$4:$C$981&lt;&gt;"")*(ME!$R$4:$R$981="A"))</f>
        <v>0</v>
      </c>
      <c r="K8" s="28">
        <f>SUMPRODUCT((ME!$C$4:$C$981&lt;&gt;"")*(ME!$R$4:$R$981="B"))</f>
        <v>2</v>
      </c>
      <c r="L8" s="29">
        <f>SUMPRODUCT((ME!$C$4:$C$981&lt;&gt;"")*(ME!$R$4:$R$981="C"))</f>
        <v>0</v>
      </c>
      <c r="M8" s="213"/>
      <c r="N8" s="46">
        <f>L8</f>
        <v>0</v>
      </c>
      <c r="O8" s="47">
        <f>SUMPRODUCT((ME!$C$4:$C$981&lt;&gt;"")*(ME!$S$4:$S$981&lt;&gt;""))</f>
        <v>0</v>
      </c>
      <c r="P8" s="26">
        <f>SUMPRODUCT((ME!$C$4:$C$981&lt;&gt;"")*(ME!$T$4:$T$981&lt;&gt;""))</f>
        <v>0</v>
      </c>
      <c r="Q8" s="26">
        <f>SUMPRODUCT((ME!$C$4:$C$981&lt;&gt;"")*(ME!$S$4:$S$981&lt;&gt;"")*(ME!$T$4:$T$981=""))</f>
        <v>0</v>
      </c>
      <c r="R8" s="26">
        <f>SUMPRODUCT((ME!$C$4:$C$981&lt;&gt;"")*(ME!$U$4:$U$981&lt;&gt;""))</f>
        <v>0</v>
      </c>
      <c r="S8" s="26">
        <f>SUMPRODUCT((ME!$C$4:$C$981&lt;&gt;"")*(ME!$S$4:$S$981&lt;&gt;"")*(ME!$U$4:$U$981=""))</f>
        <v>0</v>
      </c>
      <c r="T8" s="41">
        <f>SUMPRODUCT((ME!$C$4:$C$981&lt;&gt;"")*(ME!$V$4:$V$981&lt;&gt;""))</f>
        <v>0</v>
      </c>
      <c r="U8" s="41">
        <f>SUMPRODUCT((ME!$C$4:$C$981&lt;&gt;"")*(ME!$S$4:$S$981&lt;&gt;"")*(ME!$V$4:$V$981=""))</f>
        <v>0</v>
      </c>
      <c r="V8" s="27">
        <f>SUMPRODUCT((ME!$C$4:$C$981&lt;&gt;"")*(ME!$W$4:$W$981="A"))</f>
        <v>0</v>
      </c>
      <c r="W8" s="28">
        <f>SUMPRODUCT((ME!$C$4:$C$981&lt;&gt;"")*(ME!$W$4:$W$981="B"))</f>
        <v>0</v>
      </c>
      <c r="X8" s="29">
        <f>SUMPRODUCT((ME!$C$4:$C$981&lt;&gt;"")*(ME!$W$4:$W$981="C"))</f>
        <v>0</v>
      </c>
      <c r="Y8" s="213"/>
      <c r="Z8" s="46">
        <f>X8</f>
        <v>0</v>
      </c>
      <c r="AA8" s="47">
        <f>SUMPRODUCT((ME!$C$4:$C$981&lt;&gt;"")*(ME!$X$4:$X$981&lt;&gt;""))</f>
        <v>0</v>
      </c>
      <c r="AB8" s="26">
        <f>SUMPRODUCT((ME!$C$4:$C$981&lt;&gt;"")*(ME!$Y$4:$Y$981&lt;&gt;""))</f>
        <v>0</v>
      </c>
      <c r="AC8" s="26">
        <f>SUMPRODUCT((ME!$C$4:$C$981&lt;&gt;"")*(ME!$X$4:$X$981&lt;&gt;"")*(ME!$Y$4:$Y$981=""))</f>
        <v>0</v>
      </c>
      <c r="AD8" s="26">
        <f>SUMPRODUCT((ME!$C$4:$C$981&lt;&gt;"")*(ME!$Z$4:$Z$981&lt;&gt;""))</f>
        <v>0</v>
      </c>
      <c r="AE8" s="26">
        <f>SUMPRODUCT((ME!$C$4:$C$981&lt;&gt;"")*(ME!$X$4:$X$981&lt;&gt;"")*(ME!$Z$4:$Z$981=""))</f>
        <v>0</v>
      </c>
      <c r="AF8" s="41">
        <f>SUMPRODUCT((ME!$C$4:$C$981&lt;&gt;"")*(ME!$AA$4:$AA$981&lt;&gt;""))</f>
        <v>0</v>
      </c>
      <c r="AG8" s="41">
        <f>SUMPRODUCT((ME!$C$4:$C$981&lt;&gt;"")*(ME!$X$4:$X$981&lt;&gt;"")*(ME!$AA$4:$AA$981=""))</f>
        <v>0</v>
      </c>
      <c r="AH8" s="27">
        <f>SUMPRODUCT((ME!$C$4:$C$981&lt;&gt;"")*(ME!$AB$4:$AB$981="A"))</f>
        <v>0</v>
      </c>
      <c r="AI8" s="28">
        <f>SUMPRODUCT((ME!$C$4:$C$981&lt;&gt;"")*(ME!$AB$4:$AB$981="B"))</f>
        <v>0</v>
      </c>
      <c r="AJ8" s="29">
        <f>SUMPRODUCT((ME!$C$4:$C$981&lt;&gt;"")*(ME!$AB$4:$AB$981="C"))</f>
        <v>0</v>
      </c>
    </row>
    <row r="9" spans="1:36" ht="16.2" customHeight="1" x14ac:dyDescent="0.25">
      <c r="A9" s="24" t="s">
        <v>21</v>
      </c>
      <c r="B9" s="34">
        <f>SUMPRODUCT((FI!$C$4:$C$976&lt;&gt;"")*(FI!$D$4:$D$976&lt;&gt;""))</f>
        <v>14</v>
      </c>
      <c r="C9" s="25">
        <f>SUMPRODUCT((FI!$C$4:$C$976&lt;&gt;"")*(FI!$N$4:$N$976&lt;&gt;""))</f>
        <v>14</v>
      </c>
      <c r="D9" s="26">
        <f>SUMPRODUCT((FI!$C$4:$C$976&lt;&gt;"")*(FI!$O$4:$O$976&lt;&gt;""))</f>
        <v>14</v>
      </c>
      <c r="E9" s="26">
        <f>SUMPRODUCT((FI!$C$4:$C$976&lt;&gt;"")*(FI!$N$4:$N$976&lt;&gt;"")*(FI!$O$4:$O$976=""))</f>
        <v>0</v>
      </c>
      <c r="F9" s="26">
        <f>SUMPRODUCT((FI!$C$4:$C$976&lt;&gt;"")*(FI!$P$4:$P$976&lt;&gt;""))</f>
        <v>0</v>
      </c>
      <c r="G9" s="26">
        <f>SUMPRODUCT((FI!$C$4:$C$976&lt;&gt;"")*(FI!$N$4:$N$976&lt;&gt;"")*(FI!$P$4:$P$976=""))</f>
        <v>14</v>
      </c>
      <c r="H9" s="41">
        <f>SUMPRODUCT((FI!$C$4:$C$976&lt;&gt;"")*(FI!$Q$4:$Q$976&lt;&gt;""))</f>
        <v>0</v>
      </c>
      <c r="I9" s="41">
        <f>SUMPRODUCT((FI!$C$4:$C$976&lt;&gt;"")*(FI!$N$4:$N$976&lt;&gt;"")*(FI!$Q$4:$Q$976=""))</f>
        <v>14</v>
      </c>
      <c r="J9" s="27">
        <f>SUMPRODUCT((FI!$C$4:$C$976&lt;&gt;"")*(FI!$R$4:$R$976="A"))</f>
        <v>0</v>
      </c>
      <c r="K9" s="28">
        <f>SUMPRODUCT((FI!$C$4:$C$976&lt;&gt;"")*(FI!$R$4:$R$976="B"))</f>
        <v>0</v>
      </c>
      <c r="L9" s="29">
        <f>SUMPRODUCT((FI!$C$4:$C$976&lt;&gt;"")*(FI!$R$4:$R$976="C"))</f>
        <v>0</v>
      </c>
      <c r="M9" s="213"/>
      <c r="N9" s="42">
        <f t="shared" ref="N9:N11" si="0">L9</f>
        <v>0</v>
      </c>
      <c r="O9" s="45">
        <f>SUMPRODUCT((FI!$C$4:$C$976&lt;&gt;"")*(FI!$S$4:$S$976&lt;&gt;""))</f>
        <v>0</v>
      </c>
      <c r="P9" s="26">
        <f>SUMPRODUCT((FI!$C$4:$C$976&lt;&gt;"")*(FI!$T$4:$T$976&lt;&gt;""))</f>
        <v>0</v>
      </c>
      <c r="Q9" s="26">
        <f>SUMPRODUCT((FI!$C$4:$C$976&lt;&gt;"")*(FI!$S$4:$S$976&lt;&gt;"")*(FI!$T$4:$T$976=""))</f>
        <v>0</v>
      </c>
      <c r="R9" s="26">
        <f>SUMPRODUCT((FI!$C$4:$C$976&lt;&gt;"")*(FI!$U$4:$U$976&lt;&gt;""))</f>
        <v>0</v>
      </c>
      <c r="S9" s="26">
        <f>SUMPRODUCT((FI!$C$4:$C$976&lt;&gt;"")*(FI!$S$4:$S$976&lt;&gt;"")*(FI!$U$4:$U$976=""))</f>
        <v>0</v>
      </c>
      <c r="T9" s="41">
        <f>SUMPRODUCT((FI!$C$4:$C$976&lt;&gt;"")*(FI!$V$4:$V$976&lt;&gt;""))</f>
        <v>0</v>
      </c>
      <c r="U9" s="41">
        <f>SUMPRODUCT((FI!$C$4:$C$976&lt;&gt;"")*(FI!$S$4:$S$976&lt;&gt;"")*(FI!$V$4:$V$976=""))</f>
        <v>0</v>
      </c>
      <c r="V9" s="27">
        <f>SUMPRODUCT((FI!$C$4:$C$976&lt;&gt;"")*(FI!$W$4:$W$976="A"))</f>
        <v>0</v>
      </c>
      <c r="W9" s="28">
        <f>SUMPRODUCT((FI!$C$4:$C$976&lt;&gt;"")*(FI!$W$4:$W$976="B"))</f>
        <v>0</v>
      </c>
      <c r="X9" s="29">
        <f>SUMPRODUCT((FI!$C$4:$C$976&lt;&gt;"")*(FI!$W$4:$W$976="C"))</f>
        <v>0</v>
      </c>
      <c r="Y9" s="213"/>
      <c r="Z9" s="42">
        <f t="shared" ref="Z9:Z11" si="1">X9</f>
        <v>0</v>
      </c>
      <c r="AA9" s="45">
        <f>SUMPRODUCT((FI!$C$4:$C$976&lt;&gt;"")*(FI!$X$4:$X$976&lt;&gt;""))</f>
        <v>0</v>
      </c>
      <c r="AB9" s="26">
        <f>SUMPRODUCT((FI!$C$4:$C$976&lt;&gt;"")*(FI!$Y$4:$Y$976&lt;&gt;""))</f>
        <v>0</v>
      </c>
      <c r="AC9" s="26">
        <f>SUMPRODUCT((FI!$C$4:$C$976&lt;&gt;"")*(FI!$X$4:$X$976&lt;&gt;"")*(FI!$Y$4:$Y$976=""))</f>
        <v>0</v>
      </c>
      <c r="AD9" s="26">
        <f>SUMPRODUCT((FI!$C$4:$C$976&lt;&gt;"")*(FI!$Z$4:$Z$976&lt;&gt;""))</f>
        <v>0</v>
      </c>
      <c r="AE9" s="26">
        <f>SUMPRODUCT((FI!$C$4:$C$976&lt;&gt;"")*(FI!$X$4:$X$976&lt;&gt;"")*(FI!$Z$4:$Z$976=""))</f>
        <v>0</v>
      </c>
      <c r="AF9" s="41">
        <f>SUMPRODUCT((FI!$C$4:$C$976&lt;&gt;"")*(FI!$AA$4:$AA$976&lt;&gt;""))</f>
        <v>0</v>
      </c>
      <c r="AG9" s="41">
        <f>SUMPRODUCT((FI!$C$4:$C$976&lt;&gt;"")*(FI!$X$4:$X$976&lt;&gt;"")*(FI!$AA$4:$AA$976=""))</f>
        <v>0</v>
      </c>
      <c r="AH9" s="27">
        <f>SUMPRODUCT((FI!$C$4:$C$976&lt;&gt;"")*(FI!$AB$4:$AB$976="A"))</f>
        <v>0</v>
      </c>
      <c r="AI9" s="28">
        <f>SUMPRODUCT((FI!$C$4:$C$976&lt;&gt;"")*(FI!$AB$4:$AB$976="B"))</f>
        <v>0</v>
      </c>
      <c r="AJ9" s="29">
        <f>SUMPRODUCT((FI!$C$4:$C$976&lt;&gt;"")*(FI!$AB$4:$AB$976="C"))</f>
        <v>0</v>
      </c>
    </row>
    <row r="10" spans="1:36" ht="16.2" customHeight="1" x14ac:dyDescent="0.25">
      <c r="A10" s="24" t="s">
        <v>22</v>
      </c>
      <c r="B10" s="34">
        <f>SUMPRODUCT((HY!$C$4:$C$992&lt;&gt;"")*(HY!$D$4:$D$992&lt;&gt;""))</f>
        <v>11</v>
      </c>
      <c r="C10" s="25">
        <f>SUMPRODUCT((HY!$C$4:$C$992&lt;&gt;"")*(HY!$N$4:$N$992&lt;&gt;""))</f>
        <v>11</v>
      </c>
      <c r="D10" s="26">
        <f>SUMPRODUCT((HY!$C$4:$C$992&lt;&gt;"")*(HY!$O$4:$O$992&lt;&gt;""))</f>
        <v>11</v>
      </c>
      <c r="E10" s="26">
        <f>SUMPRODUCT((HY!$C$4:$C$992&lt;&gt;"")*(HY!$N$4:$N$992&lt;&gt;"")*(HY!$O$4:$O$992=""))</f>
        <v>0</v>
      </c>
      <c r="F10" s="26">
        <f>SUMPRODUCT((HY!$C$4:$C$992&lt;&gt;"")*(HY!$P$4:$P$992&lt;&gt;""))</f>
        <v>0</v>
      </c>
      <c r="G10" s="26">
        <f>SUMPRODUCT((HY!$C$4:$C$992&lt;&gt;"")*(HY!$N$4:$N$992&lt;&gt;"")*(HY!$P$4:$P$992=""))</f>
        <v>11</v>
      </c>
      <c r="H10" s="41">
        <f>SUMPRODUCT((HY!$C$4:$C$992&lt;&gt;"")*(HY!$Q$4:$Q$992&lt;&gt;""))</f>
        <v>0</v>
      </c>
      <c r="I10" s="41">
        <f>SUMPRODUCT((HY!$C$4:$C$992&lt;&gt;"")*(HY!$N$4:$N$992&lt;&gt;"")*(HY!$Q$4:$Q$992=""))</f>
        <v>11</v>
      </c>
      <c r="J10" s="27">
        <f>SUMPRODUCT((HY!$C$4:$C$992&lt;&gt;"")*(HY!$R$4:$R$992="A"))</f>
        <v>0</v>
      </c>
      <c r="K10" s="28">
        <f>SUMPRODUCT((HY!$C$4:$C$992&lt;&gt;"")*(HY!$R$4:$R$992="B"))</f>
        <v>0</v>
      </c>
      <c r="L10" s="29">
        <f>SUMPRODUCT((HY!$C$4:$C$992&lt;&gt;"")*(HY!$R$4:$R$992="C"))</f>
        <v>0</v>
      </c>
      <c r="M10" s="213"/>
      <c r="N10" s="42">
        <f t="shared" si="0"/>
        <v>0</v>
      </c>
      <c r="O10" s="45">
        <f>SUMPRODUCT((HY!$C$4:$C$992&lt;&gt;"")*(HY!$S$4:$S$992&lt;&gt;""))</f>
        <v>0</v>
      </c>
      <c r="P10" s="26">
        <f>SUMPRODUCT((HY!$C$4:$C$992&lt;&gt;"")*(HY!$T$4:$T$992&lt;&gt;""))</f>
        <v>0</v>
      </c>
      <c r="Q10" s="26">
        <f>SUMPRODUCT((HY!$C$4:$C$992&lt;&gt;"")*(HY!$S$4:$S$992&lt;&gt;"")*(HY!$T$4:$T$992=""))</f>
        <v>0</v>
      </c>
      <c r="R10" s="26">
        <f>SUMPRODUCT((HY!$C$4:$C$992&lt;&gt;"")*(HY!$U$4:$U$992&lt;&gt;""))</f>
        <v>0</v>
      </c>
      <c r="S10" s="26">
        <f>SUMPRODUCT((HY!$C$4:$C$992&lt;&gt;"")*(HY!$S$4:$S$992&lt;&gt;"")*(HY!$U$4:$U$992=""))</f>
        <v>0</v>
      </c>
      <c r="T10" s="41">
        <f>SUMPRODUCT((HY!$C$4:$C$992&lt;&gt;"")*(HY!$V$4:$V$992&lt;&gt;""))</f>
        <v>0</v>
      </c>
      <c r="U10" s="41">
        <f>SUMPRODUCT((HY!$C$4:$C$992&lt;&gt;"")*(HY!$S$4:$S$992&lt;&gt;"")*(HY!$V$4:$V$992=""))</f>
        <v>0</v>
      </c>
      <c r="V10" s="27">
        <f>SUMPRODUCT((HY!$C$4:$C$992&lt;&gt;"")*(HY!$W$4:$W$992="A"))</f>
        <v>0</v>
      </c>
      <c r="W10" s="28">
        <f>SUMPRODUCT((HY!$C$4:$C$992&lt;&gt;"")*(HY!$W$4:$W$992="B"))</f>
        <v>0</v>
      </c>
      <c r="X10" s="29">
        <f>SUMPRODUCT((HY!$C$4:$C$992&lt;&gt;"")*(HY!$W$4:$W$992="C"))</f>
        <v>0</v>
      </c>
      <c r="Y10" s="213"/>
      <c r="Z10" s="42">
        <f t="shared" si="1"/>
        <v>0</v>
      </c>
      <c r="AA10" s="45">
        <f>SUMPRODUCT((HY!$C$4:$C$992&lt;&gt;"")*(HY!$X$4:$X$992&lt;&gt;""))</f>
        <v>0</v>
      </c>
      <c r="AB10" s="26">
        <f>SUMPRODUCT((HY!$C$4:$C$992&lt;&gt;"")*(HY!$Y$4:$Y$992&lt;&gt;""))</f>
        <v>0</v>
      </c>
      <c r="AC10" s="26">
        <f>SUMPRODUCT((HY!$C$4:$C$992&lt;&gt;"")*(HY!$X$4:$X$992&lt;&gt;"")*(HY!$Y$4:$Y$992=""))</f>
        <v>0</v>
      </c>
      <c r="AD10" s="26">
        <f>SUMPRODUCT((HY!$C$4:$C$992&lt;&gt;"")*(HY!$Z$4:$Z$992&lt;&gt;""))</f>
        <v>0</v>
      </c>
      <c r="AE10" s="26">
        <f>SUMPRODUCT((HY!$C$4:$C$992&lt;&gt;"")*(HY!$X$4:$X$992&lt;&gt;"")*(HY!$Z$4:$Z$992=""))</f>
        <v>0</v>
      </c>
      <c r="AF10" s="41">
        <f>SUMPRODUCT((HY!$C$4:$C$992&lt;&gt;"")*(HY!$AA$4:$AA$992&lt;&gt;""))</f>
        <v>0</v>
      </c>
      <c r="AG10" s="41">
        <f>SUMPRODUCT((HY!$C$4:$C$992&lt;&gt;"")*(HY!$X$4:$X$992&lt;&gt;"")*(HY!$AA$4:$AA$992=""))</f>
        <v>0</v>
      </c>
      <c r="AH10" s="27">
        <f>SUMPRODUCT((HY!$C$4:$C$992&lt;&gt;"")*(HY!$AB$4:$AB$992="A"))</f>
        <v>0</v>
      </c>
      <c r="AI10" s="28">
        <f>SUMPRODUCT((HY!$C$4:$C$992&lt;&gt;"")*(HY!$AB$4:$AB$992="B"))</f>
        <v>0</v>
      </c>
      <c r="AJ10" s="29">
        <f>SUMPRODUCT((HY!$C$4:$C$992&lt;&gt;"")*(HY!$AB$4:$AB$992="C"))</f>
        <v>0</v>
      </c>
    </row>
    <row r="11" spans="1:36" ht="16.2" customHeight="1" x14ac:dyDescent="0.25">
      <c r="A11" s="24" t="s">
        <v>23</v>
      </c>
      <c r="B11" s="34" cm="1">
        <f t="array" ref="B11">SUMPRODUCT((EL!$C$4:$C$920&lt;&gt;"")*(EL!$D$4:$D$920&lt;&gt;""))</f>
        <v>47</v>
      </c>
      <c r="C11" s="25">
        <f>SUMPRODUCT((EL!$C$4:$C$920&lt;&gt;"")*(EL!$N$4:$N$920&lt;&gt;""))</f>
        <v>47</v>
      </c>
      <c r="D11" s="26">
        <f>SUMPRODUCT((EL!$C$4:$C$920&lt;&gt;"")*(EL!$O$4:$O$920&lt;&gt;""))</f>
        <v>42</v>
      </c>
      <c r="E11" s="26">
        <f>SUMPRODUCT((EL!$C$4:$C$920&lt;&gt;"")*(EL!$N$4:$N$920&lt;&gt;"")*(EL!$O$4:$O$920=""))</f>
        <v>5</v>
      </c>
      <c r="F11" s="26">
        <f>SUMPRODUCT((EL!$C$4:$C$920&lt;&gt;"")*(EL!$P$4:$P$920&lt;&gt;""))</f>
        <v>18</v>
      </c>
      <c r="G11" s="26">
        <f>SUMPRODUCT((EL!$C$4:$C$920&lt;&gt;"")*(EL!$N$4:$N$920&lt;&gt;"")*(EL!$P$4:$P$920=""))</f>
        <v>29</v>
      </c>
      <c r="H11" s="48">
        <f>SUMPRODUCT((EL!$C$4:$C$920&lt;&gt;"")*(EL!$Q$4:$Q$920&lt;&gt;""))</f>
        <v>0</v>
      </c>
      <c r="I11" s="48">
        <f>SUMPRODUCT((EL!$C$4:$C$920&lt;&gt;"")*(EL!$N$4:$N$920&lt;&gt;"")*(EL!$Q$4:$Q$920=""))</f>
        <v>47</v>
      </c>
      <c r="J11" s="27">
        <f>SUMPRODUCT((EL!$C$4:$C$920&lt;&gt;"")*(EL!$R$4:$R$920="A"))</f>
        <v>0</v>
      </c>
      <c r="K11" s="28">
        <f>SUMPRODUCT((EL!$C$4:$C$920&lt;&gt;"")*(EL!$R$4:$R$920="B"))</f>
        <v>0</v>
      </c>
      <c r="L11" s="29">
        <f>SUMPRODUCT((EL!$C$4:$C$920&lt;&gt;"")*(EL!$R$4:$R$920="C"))</f>
        <v>0</v>
      </c>
      <c r="M11" s="213"/>
      <c r="N11" s="42">
        <f t="shared" si="0"/>
        <v>0</v>
      </c>
      <c r="O11" s="49">
        <f>SUMPRODUCT((EL!$C$4:$C$920&lt;&gt;"")*(EL!$S$4:$S$920&lt;&gt;""))</f>
        <v>0</v>
      </c>
      <c r="P11" s="26">
        <f>SUMPRODUCT((EL!$C$4:$C$920&lt;&gt;"")*(EL!$T$4:$T$920&lt;&gt;""))</f>
        <v>0</v>
      </c>
      <c r="Q11" s="26">
        <f>SUMPRODUCT((EL!$C$4:$C$920&lt;&gt;"")*(EL!$S$4:$S$920&lt;&gt;"")*(EL!$T$4:$T$920=""))</f>
        <v>0</v>
      </c>
      <c r="R11" s="26">
        <f>SUMPRODUCT((EL!$C$4:$C$920&lt;&gt;"")*(EL!$U$4:$U$920&lt;&gt;""))</f>
        <v>0</v>
      </c>
      <c r="S11" s="26">
        <f>SUMPRODUCT((EL!$C$4:$C$920&lt;&gt;"")*(EL!$S$4:$S$920&lt;&gt;"")*(EL!$U$4:$U$920=""))</f>
        <v>0</v>
      </c>
      <c r="T11" s="48">
        <f>SUMPRODUCT((EL!$C$4:$C$920&lt;&gt;"")*(EL!$V$4:$V$920&lt;&gt;""))</f>
        <v>0</v>
      </c>
      <c r="U11" s="48">
        <f>SUMPRODUCT((EL!$C$4:$C$920&lt;&gt;"")*(EL!$S$4:$S$920&lt;&gt;"")*(EL!$V$4:$V$920=""))</f>
        <v>0</v>
      </c>
      <c r="V11" s="27">
        <f>SUMPRODUCT((EL!$C$4:$C$920&lt;&gt;"")*(EL!$W$4:$W$920="A"))</f>
        <v>0</v>
      </c>
      <c r="W11" s="28">
        <f>SUMPRODUCT((EL!$C$4:$C$920&lt;&gt;"")*(EL!$W$4:$W$920="B"))</f>
        <v>0</v>
      </c>
      <c r="X11" s="29">
        <f>SUMPRODUCT((EL!$C$4:$C$920&lt;&gt;"")*(EL!$W$4:$W$920="C"))</f>
        <v>0</v>
      </c>
      <c r="Y11" s="213"/>
      <c r="Z11" s="42">
        <f t="shared" si="1"/>
        <v>0</v>
      </c>
      <c r="AA11" s="49">
        <f>SUMPRODUCT((EL!$C$4:$C$920&lt;&gt;"")*(EL!$X$4:$X$920&lt;&gt;""))</f>
        <v>0</v>
      </c>
      <c r="AB11" s="26">
        <f>SUMPRODUCT((EL!$C$4:$C$920&lt;&gt;"")*(EL!$Y$4:$Y$920&lt;&gt;""))</f>
        <v>0</v>
      </c>
      <c r="AC11" s="26">
        <f>SUMPRODUCT((EL!$C$4:$C$920&lt;&gt;"")*(EL!$X$4:$X$920&lt;&gt;"")*(EL!$Y$4:$Y$920=""))</f>
        <v>0</v>
      </c>
      <c r="AD11" s="26">
        <f>SUMPRODUCT((EL!$C$4:$C$920&lt;&gt;"")*(EL!$Z$4:$Z$920&lt;&gt;""))</f>
        <v>0</v>
      </c>
      <c r="AE11" s="26">
        <f>SUMPRODUCT((EL!$C$4:$C$920&lt;&gt;"")*(EL!$X$4:$X$920&lt;&gt;"")*(EL!$Z$4:$Z$920=""))</f>
        <v>0</v>
      </c>
      <c r="AF11" s="48">
        <f>SUMPRODUCT((EL!$C$4:$C$920&lt;&gt;"")*(EL!$AA$4:$AA$920&lt;&gt;""))</f>
        <v>0</v>
      </c>
      <c r="AG11" s="48">
        <f>SUMPRODUCT((EL!$C$4:$C$920&lt;&gt;"")*(EL!$X$4:$X$920&lt;&gt;"")*(EL!$AA$4:$AA$920=""))</f>
        <v>0</v>
      </c>
      <c r="AH11" s="27">
        <f>SUMPRODUCT((EL!$C$4:$C$920&lt;&gt;"")*(EL!$AB$4:$AB$920="A"))</f>
        <v>0</v>
      </c>
      <c r="AI11" s="28">
        <f>SUMPRODUCT((EL!$C$4:$C$920&lt;&gt;"")*(EL!$AB$4:$AB$920="B"))</f>
        <v>0</v>
      </c>
      <c r="AJ11" s="29">
        <f>SUMPRODUCT((EL!$C$4:$C$920&lt;&gt;"")*(EL!$AB$4:$AB$920="C"))</f>
        <v>0</v>
      </c>
    </row>
    <row r="12" spans="1:36" s="30" customFormat="1" ht="13.8" x14ac:dyDescent="0.25">
      <c r="A12" s="31" t="s">
        <v>24</v>
      </c>
      <c r="B12" s="32">
        <f t="shared" ref="B12:G12" si="2">SUM(B6:B11)</f>
        <v>135</v>
      </c>
      <c r="C12" s="32">
        <f t="shared" si="2"/>
        <v>135</v>
      </c>
      <c r="D12" s="32">
        <f t="shared" si="2"/>
        <v>126</v>
      </c>
      <c r="E12" s="32">
        <f t="shared" si="2"/>
        <v>9</v>
      </c>
      <c r="F12" s="32">
        <f t="shared" si="2"/>
        <v>68</v>
      </c>
      <c r="G12" s="32">
        <f t="shared" si="2"/>
        <v>67</v>
      </c>
      <c r="H12" s="50">
        <f t="shared" ref="H12:L12" si="3">SUM(H6:H11)</f>
        <v>26</v>
      </c>
      <c r="I12" s="50">
        <f>SUM(I6:I11)</f>
        <v>109</v>
      </c>
      <c r="J12" s="32">
        <f t="shared" si="3"/>
        <v>1</v>
      </c>
      <c r="K12" s="32">
        <f t="shared" si="3"/>
        <v>17</v>
      </c>
      <c r="L12" s="32">
        <f t="shared" si="3"/>
        <v>0</v>
      </c>
      <c r="M12" s="32"/>
      <c r="N12" s="32">
        <f t="shared" ref="N12:X12" si="4">SUM(N6:N11)</f>
        <v>0</v>
      </c>
      <c r="O12" s="32">
        <f t="shared" si="4"/>
        <v>1</v>
      </c>
      <c r="P12" s="32">
        <f t="shared" si="4"/>
        <v>0</v>
      </c>
      <c r="Q12" s="32">
        <f t="shared" si="4"/>
        <v>1</v>
      </c>
      <c r="R12" s="32">
        <f>SUM(R6:R11)</f>
        <v>0</v>
      </c>
      <c r="S12" s="32">
        <f>SUM(S6:S11)</f>
        <v>1</v>
      </c>
      <c r="T12" s="50">
        <f t="shared" si="4"/>
        <v>0</v>
      </c>
      <c r="U12" s="50">
        <f t="shared" si="4"/>
        <v>1</v>
      </c>
      <c r="V12" s="32">
        <f t="shared" si="4"/>
        <v>0</v>
      </c>
      <c r="W12" s="32">
        <f t="shared" si="4"/>
        <v>0</v>
      </c>
      <c r="X12" s="32">
        <f t="shared" si="4"/>
        <v>0</v>
      </c>
      <c r="Y12" s="32"/>
      <c r="Z12" s="32">
        <f t="shared" ref="Z12:AC12" si="5">SUM(Z6:Z11)</f>
        <v>0</v>
      </c>
      <c r="AA12" s="32">
        <f t="shared" si="5"/>
        <v>0</v>
      </c>
      <c r="AB12" s="32">
        <f t="shared" si="5"/>
        <v>0</v>
      </c>
      <c r="AC12" s="32">
        <f t="shared" si="5"/>
        <v>0</v>
      </c>
      <c r="AD12" s="32">
        <f t="shared" ref="AD12" si="6">SUM(AD6:AD11)</f>
        <v>0</v>
      </c>
      <c r="AE12" s="32">
        <f>SUM(AE6:AE11)</f>
        <v>0</v>
      </c>
      <c r="AF12" s="50">
        <f t="shared" ref="AF12:AJ12" si="7">SUM(AF6:AF11)</f>
        <v>0</v>
      </c>
      <c r="AG12" s="50">
        <f t="shared" si="7"/>
        <v>0</v>
      </c>
      <c r="AH12" s="32">
        <f t="shared" si="7"/>
        <v>0</v>
      </c>
      <c r="AI12" s="32">
        <f t="shared" si="7"/>
        <v>0</v>
      </c>
      <c r="AJ12" s="78">
        <f t="shared" si="7"/>
        <v>0</v>
      </c>
    </row>
    <row r="119" spans="3:36" s="86" customFormat="1" ht="27.6" x14ac:dyDescent="0.25">
      <c r="C119" s="87" t="s">
        <v>1</v>
      </c>
      <c r="D119" s="87" t="s">
        <v>25</v>
      </c>
      <c r="E119" s="87" t="s">
        <v>17</v>
      </c>
      <c r="F119" s="87" t="s">
        <v>26</v>
      </c>
      <c r="G119" s="87" t="s">
        <v>27</v>
      </c>
      <c r="H119" s="87" t="s">
        <v>28</v>
      </c>
      <c r="I119" s="87" t="s">
        <v>29</v>
      </c>
      <c r="J119" s="87" t="s">
        <v>30</v>
      </c>
      <c r="K119" s="87" t="s">
        <v>31</v>
      </c>
      <c r="L119" s="87" t="s">
        <v>32</v>
      </c>
      <c r="M119" s="87" t="s">
        <v>33</v>
      </c>
      <c r="N119" s="87" t="s">
        <v>34</v>
      </c>
      <c r="O119" s="87"/>
      <c r="P119" s="87"/>
      <c r="Q119" s="87"/>
      <c r="R119" s="87"/>
      <c r="S119" s="85"/>
      <c r="T119" s="85"/>
      <c r="U119" s="84"/>
      <c r="V119" s="84"/>
      <c r="W119" s="84"/>
      <c r="X119" s="84"/>
      <c r="Y119" s="84"/>
      <c r="Z119" s="84"/>
      <c r="AA119" s="85"/>
      <c r="AB119" s="84"/>
      <c r="AC119" s="84"/>
      <c r="AD119" s="84"/>
      <c r="AE119" s="84"/>
      <c r="AF119" s="84"/>
      <c r="AG119" s="84"/>
      <c r="AH119" s="84"/>
      <c r="AI119" s="84"/>
      <c r="AJ119" s="84"/>
    </row>
    <row r="120" spans="3:36" ht="13.8" x14ac:dyDescent="0.25">
      <c r="C120" s="87" t="s">
        <v>18</v>
      </c>
      <c r="D120" s="80">
        <f>B6</f>
        <v>1</v>
      </c>
      <c r="E120" s="80" cm="1">
        <f t="array" ref="E120">SUMPRODUCT((ST!$C$4:$C$1000&lt;&gt;"")*(ST!$D$4:$D$1000&lt;&gt;"")*((ST!$J$4:$J$1000="A")+(ST!$J$4:$J$1000="B")+(ST!$J$4:$J$1000="PENDING")))</f>
        <v>1</v>
      </c>
      <c r="F120" s="80">
        <f>SUMPRODUCT((ST!$C$4:$C$1000&lt;&gt;"")*(ST!$D$4:$D$1000&lt;&gt;"")*((ST!$J$4:$J$1000="A")+(ST!$J$4:$J$1000="B")))</f>
        <v>0</v>
      </c>
      <c r="G120" s="80">
        <f>SUMPRODUCT((ST!$C$4:$C$1000&lt;&gt;"")*(ST!$D$4:$D$1000&lt;&gt;"")*(ST!$J$4:$J$1000="C"))</f>
        <v>0</v>
      </c>
      <c r="H120" s="80">
        <f>SUMPRODUCT((ST!$C$4:$C$1000&lt;&gt;"")*(ST!$D$4:$D$1000&lt;&gt;"")*((ST!$J$4:$J$1000="C")+(ST!$J$4:$J$1000="")))</f>
        <v>0</v>
      </c>
      <c r="I120" s="80" cm="1">
        <f t="array" ref="I120">SUMPRODUCT((ST!$C$4:$C$991&lt;&gt;"")*(ST!$D$4:$D$991&lt;&gt;"")*((ST!$H$4:$H$991=0)*(ST!$N$4:$N$991&lt;&gt;"")+(ST!$H$4:$H$991=1)*(ST!$S$4:$S$991&lt;&gt;"")+(ST!$H$4:$H$991=2)*(ST!$X$4:$X$991&lt;&gt;"")))</f>
        <v>1</v>
      </c>
      <c r="J120" s="80" cm="1">
        <f t="array" ref="J120">SUMPRODUCT((ST!$C$4:$C$1000&lt;&gt;"")*(ST!$D$4:$D$1000&lt;&gt;"")*(ST!$I$4:$I$1000="CTA"))</f>
        <v>0</v>
      </c>
      <c r="K120" s="80" cm="1">
        <f t="array" ref="K120">SUMPRODUCT((ST!$C$4:$C$991&lt;&gt;"")*(ST!$D$4:$D$991&lt;&gt;"")*((ST!$H$4:$H$991=0)*(ST!$O$4:$O$991&lt;&gt;"")+(ST!$H$4:$H$991=1)*(ST!$T$4:$T$991&lt;&gt;"")+(ST!$H$4:$H$991=2)*(ST!$Y$4:$Y$991&lt;&gt;"")))</f>
        <v>1</v>
      </c>
      <c r="L120" s="80">
        <f>SUMPRODUCT((ST!$C$4:$C$1000&lt;&gt;"")*(ST!$D$4:$D$1000&lt;&gt;"")*(ST!$I$4:$I$1000="AUR"))</f>
        <v>0</v>
      </c>
      <c r="M120" s="80" cm="1">
        <f t="array" ref="M120">SUMPRODUCT((ST!$C$4:$C$991&lt;&gt;"")*(ST!$D$4:$D$991&lt;&gt;"")*((ST!$H$4:$H$991=0)*(ST!$P$4:$P$991&lt;&gt;"")+(ST!$H$4:$H$991=1)*(ST!$U$4:$U$991&lt;&gt;"")+(ST!$H$4:$H$991=2)*(ST!$Z$4:$Z$991&lt;&gt;"")))</f>
        <v>0</v>
      </c>
      <c r="N120" s="80">
        <f>SUMPRODUCT((ST!$C$4:$C$1000&lt;&gt;"")*(ST!$D$4:$D$1000&lt;&gt;"")*(ST!$I$4:$I$1000="STT"))</f>
        <v>1</v>
      </c>
      <c r="O120" s="80"/>
      <c r="P120" s="80"/>
      <c r="Q120" s="80"/>
      <c r="R120" s="80"/>
    </row>
    <row r="121" spans="3:36" ht="13.8" x14ac:dyDescent="0.25">
      <c r="C121" s="87" t="s">
        <v>19</v>
      </c>
      <c r="D121" s="80">
        <f>B7</f>
        <v>38</v>
      </c>
      <c r="E121" s="80">
        <f>SUMPRODUCT((AR!$C$4:$C$989&lt;&gt;"")*(AR!$D$4:$D$989&lt;&gt;"")*((AR!$J$4:$J$989="A")+(AR!$J$4:$J$989="B")+(AR!$J$4:$J$989="PENDING")))</f>
        <v>38</v>
      </c>
      <c r="F121" s="80">
        <f>SUMPRODUCT((AR!$C$4:$C$989&lt;&gt;"")*(AR!$D$4:$D$989&lt;&gt;"")*((AR!$J$4:$J$989="A")+(AR!$J$4:$J$989="B")))</f>
        <v>25</v>
      </c>
      <c r="G121" s="80">
        <f>SUMPRODUCT((AR!$C$4:$C$989&lt;&gt;"")*(AR!$D$4:$D$989&lt;&gt;"")*(AR!$J$4:$J$989="C"))</f>
        <v>0</v>
      </c>
      <c r="H121" s="80">
        <f>SUMPRODUCT((AR!$C$4:$C$989&lt;&gt;"")*(AR!$D$4:$D$989&lt;&gt;"")*((AR!$J$4:$J$989="C")+(AR!$J$4:$J$989="")))</f>
        <v>0</v>
      </c>
      <c r="I121" s="80" cm="1">
        <f t="array" ref="I121">SUMPRODUCT((AR!$C$4:$C$997&lt;&gt;"")*(AR!$D$4:$D$997&lt;&gt;"")*((AR!$H$4:$H$997=0)*(AR!$N$4:$N$997&lt;&gt;"")+(AR!$H$4:$H$997=1)*(AR!$S$4:$S$997&lt;&gt;"")+(AR!$H$4:$H$997=2)*(AR!$X$4:$X$997&lt;&gt;"")))</f>
        <v>36</v>
      </c>
      <c r="J121" s="80" cm="1">
        <f t="array" ref="J121">SUMPRODUCT((AR!$C$4:$C$989&lt;&gt;"")*(AR!$D$4:$D$989&lt;&gt;"")*(AR!$I$4:$I$989="CTA"))</f>
        <v>2</v>
      </c>
      <c r="K121" s="80" cm="1">
        <f t="array" ref="K121">SUMPRODUCT((AR!$C$4:$C$997&lt;&gt;"")*(AR!$D$4:$D$997&lt;&gt;"")*((AR!$H$4:$H$997=0)*(AR!$O$4:$O$997&lt;&gt;"")+(AR!$H$4:$H$997=1)*(AR!$T$4:$T$997&lt;&gt;"")+(AR!$H$4:$H$997=2)*(AR!$Y$4:$Y$997&lt;&gt;"")))</f>
        <v>36</v>
      </c>
      <c r="L121" s="80">
        <f>SUMPRODUCT((AR!$C$4:$C$989&lt;&gt;"")*(AR!$D$4:$D$989&lt;&gt;"")*(AR!$I$4:$I$989="AUR"))</f>
        <v>0</v>
      </c>
      <c r="M121" s="80" cm="1">
        <f t="array" ref="M121">SUMPRODUCT((AR!$C$4:$C$997&lt;&gt;"")*(AR!$D$4:$D$997&lt;&gt;"")*((AR!$H$4:$H$997=0)*(AR!$P$4:$P$997&lt;&gt;"")+(AR!$H$4:$H$997=1)*(AR!$U$4:$U$997&lt;&gt;"")+(AR!$H$4:$H$997=2)*(AR!$Z$4:$Z$997&lt;&gt;"")))</f>
        <v>24</v>
      </c>
      <c r="N121" s="80">
        <f>SUMPRODUCT((AR!$C$4:$C$989&lt;&gt;"")*(AR!$D$4:$D$989&lt;&gt;"")*(AR!$I$4:$I$989="ART"))</f>
        <v>0</v>
      </c>
      <c r="O121" s="80"/>
      <c r="P121" s="80"/>
      <c r="Q121" s="80"/>
      <c r="R121" s="80"/>
    </row>
    <row r="122" spans="3:36" ht="13.8" x14ac:dyDescent="0.25">
      <c r="C122" s="87" t="s">
        <v>35</v>
      </c>
      <c r="D122" s="80">
        <f>SUM(D120:D121)</f>
        <v>39</v>
      </c>
      <c r="E122" s="80">
        <f t="shared" ref="E122:I122" si="8">SUM(E120:E121)</f>
        <v>39</v>
      </c>
      <c r="F122" s="80">
        <f t="shared" si="8"/>
        <v>25</v>
      </c>
      <c r="G122" s="80">
        <f t="shared" si="8"/>
        <v>0</v>
      </c>
      <c r="H122" s="80">
        <f t="shared" si="8"/>
        <v>0</v>
      </c>
      <c r="I122" s="80">
        <f t="shared" si="8"/>
        <v>37</v>
      </c>
      <c r="J122" s="80">
        <f t="shared" ref="J122" si="9">SUM(J120:J121)</f>
        <v>2</v>
      </c>
      <c r="K122" s="80">
        <f>SUM(K120:K121)</f>
        <v>37</v>
      </c>
      <c r="L122" s="80">
        <f t="shared" ref="L122" si="10">SUM(L120:L121)</f>
        <v>0</v>
      </c>
      <c r="M122" s="80">
        <f>SUM(M120:M121)</f>
        <v>24</v>
      </c>
      <c r="N122" s="80">
        <f>SUM(N120:N121)</f>
        <v>1</v>
      </c>
      <c r="O122" s="80"/>
      <c r="P122" s="80"/>
      <c r="Q122" s="80"/>
      <c r="R122" s="80"/>
    </row>
    <row r="123" spans="3:36" ht="13.8" x14ac:dyDescent="0.25">
      <c r="C123" s="87" t="s">
        <v>20</v>
      </c>
      <c r="D123" s="80">
        <f>B8</f>
        <v>24</v>
      </c>
      <c r="E123" s="80">
        <f>SUMPRODUCT((ME!$C$4:$C$981&lt;&gt;"")*(ME!$D$4:$D$981&lt;&gt;"")*((ME!$K$4:$K$981="A")+(ME!$K$4:$K$981="B")+(ME!$K$4:$K$981="PENDING")))</f>
        <v>21</v>
      </c>
      <c r="F123" s="80">
        <f>SUMPRODUCT((ME!$C$4:$C$981&lt;&gt;"")*(ME!$D$4:$D$981&lt;&gt;"")*((ME!$K$4:$K$981="A")+(ME!$K$4:$K$981="B")))</f>
        <v>2</v>
      </c>
      <c r="G123" s="80">
        <f>SUMPRODUCT((ME!$C$4:$C$981&lt;&gt;"")*(ME!$D$4:$D$981&lt;&gt;"")*(ME!$K$4:$K$981="C"))</f>
        <v>0</v>
      </c>
      <c r="H123" s="80">
        <f>SUMPRODUCT((ME!$C$4:$C$981&lt;&gt;"")*(ME!$D$4:$D$981&lt;&gt;"")*((ME!$K$4:$K$981="C")+(ME!$K$4:$K$981="")))</f>
        <v>0</v>
      </c>
      <c r="I123" s="80" cm="1">
        <f t="array" ref="I123">SUMPRODUCT((ME!$C$4:$C$989&lt;&gt;"")*(ME!$D$4:$D$989&lt;&gt;"")*((ME!$H$4:$H$989=0)*(ME!$O$4:$O$989&lt;&gt;"")+(ME!$H$4:$H$989=1)*(ME!$T$4:$T$989&lt;&gt;"")+(ME!$H$4:$H$989=2)*(ME!$Y$4:$Y$989&lt;&gt;"")))</f>
        <v>21</v>
      </c>
      <c r="J123" s="80" cm="1">
        <f t="array" ref="J123">SUMPRODUCT((ME!$C$4:$C$981&lt;&gt;"")*(ME!$D$4:$D$981&lt;&gt;"")*(ME!$J$4:$J$981="CTA"))</f>
        <v>2</v>
      </c>
      <c r="K123" s="80" cm="1">
        <f t="array" ref="K123">SUMPRODUCT((ME!$C$4:$C$989&lt;&gt;"")*(ME!$D$4:$D$989&lt;&gt;"")*((ME!$H$4:$H$989=0)*(ME!$P$4:$P$989&lt;&gt;"")+(ME!$H$4:$H$989=1)*(ME!$U$4:$U$989&lt;&gt;"")+(ME!$H$4:$H$989=2)*(ME!$Z$4:$Z$989&lt;&gt;"")))</f>
        <v>12</v>
      </c>
      <c r="L123" s="80">
        <f>SUMPRODUCT((ME!$C$4:$C$981&lt;&gt;"")*(ME!$D$4:$D$981&lt;&gt;"")*(ME!$J$4:$J$981="AUR"))</f>
        <v>10</v>
      </c>
      <c r="M123" s="80" cm="1">
        <f t="array" ref="M123">SUMPRODUCT((ME!$C$4:$C$989&lt;&gt;"")*(ME!$D$4:$D$989&lt;&gt;"")*((ME!$H$4:$H$989=0)*(ME!$Q$4:$Q$989&lt;&gt;"")+(ME!$H$4:$H$989=1)*(ME!$V$4:$V$989&lt;&gt;"")+(ME!$H$4:$H$989=2)*(ME!$AA$4:$AA$989&lt;&gt;"")))</f>
        <v>2</v>
      </c>
      <c r="N123" s="80">
        <f>SUMPRODUCT((ME!$C$4:$C$981&lt;&gt;"")*(ME!$D$4:$D$981&lt;&gt;"")*(ME!$J$4:$J$981="MET"))</f>
        <v>0</v>
      </c>
      <c r="O123" s="80"/>
      <c r="P123" s="80"/>
      <c r="Q123" s="80"/>
      <c r="R123" s="80"/>
    </row>
    <row r="124" spans="3:36" ht="13.8" x14ac:dyDescent="0.25">
      <c r="C124" s="87" t="s">
        <v>36</v>
      </c>
      <c r="D124" s="80">
        <f>B9</f>
        <v>14</v>
      </c>
      <c r="E124" s="80">
        <f>SUMPRODUCT((FI!$C$4:$C$976&lt;&gt;"")*(FI!$D$4:$D$976&lt;&gt;"")*((FI!$K$4:$K$976="A")+(FI!$K$4:$K$976="B")+(FI!$K$4:$K$976="PENDING")))</f>
        <v>14</v>
      </c>
      <c r="F124" s="80">
        <f>SUMPRODUCT((FI!$C$4:$C$976&lt;&gt;"")*(FI!$D$4:$D$976&lt;&gt;"")*((FI!$K$4:$K$976="A")+(FI!$K$4:$K$976="B")))</f>
        <v>0</v>
      </c>
      <c r="G124" s="80">
        <f>SUMPRODUCT((FI!$C$4:$C$976&lt;&gt;"")*(FI!$D$4:$D$976&lt;&gt;"")*(FI!$K$4:$K$976="C"))</f>
        <v>0</v>
      </c>
      <c r="H124" s="80">
        <f>SUMPRODUCT((FI!$C$4:$C$976&lt;&gt;"")*(FI!$D$4:$D$976&lt;&gt;"")*((FI!$K$4:$K$976="C")+(FI!$K$4:$K$976="")))</f>
        <v>0</v>
      </c>
      <c r="I124" s="80" cm="1">
        <f t="array" ref="I124">SUMPRODUCT((FI!$C$4:$C$991&lt;&gt;"")*(FI!$D$4:$D$991&lt;&gt;"")*((FI!$H$4:$H$991=0)*(FI!$O$4:$O$991&lt;&gt;"")+(FI!$H$4:$H$991=1)*(FI!$T$4:$T$991&lt;&gt;"")+(FI!$H$4:$H$991=2)*(FI!$Y$4:$Y$991&lt;&gt;"")))</f>
        <v>14</v>
      </c>
      <c r="J124" s="80" cm="1">
        <f t="array" ref="J124">SUMPRODUCT((FI!$C$4:$C$991&lt;&gt;"")*(FI!$D$4:$D$991&lt;&gt;"")*(FI!$J$4:$J$991="CTA"))</f>
        <v>0</v>
      </c>
      <c r="K124" s="80" cm="1">
        <f t="array" ref="K124">SUMPRODUCT((FI!$C$4:$C$991&lt;&gt;"")*(FI!$D$4:$D$991&lt;&gt;"")*((FI!$H$4:$H$991=0)*(FI!$O$4:$O$991&lt;&gt;"")+(FI!$H$4:$H$991=1)*(FI!$T$4:$T$991&lt;&gt;"")+(FI!$H$4:$H$991=2)*(FI!$Y$4:$Y$991&lt;&gt;"")))</f>
        <v>14</v>
      </c>
      <c r="L124" s="80">
        <f>SUMPRODUCT((FI!$C$4:$C$976&lt;&gt;"")*(FI!$D$4:$D$976&lt;&gt;"")*(FI!$J$4:$J$976="AUR"))</f>
        <v>14</v>
      </c>
      <c r="M124" s="80" cm="1">
        <f t="array" ref="M124">SUMPRODUCT((FI!$C$4:$C$991&lt;&gt;"")*(FI!$D$4:$D$991&lt;&gt;"")*((FI!$H$4:$H$991=0)*(FI!$Q$4:$Q$991&lt;&gt;"")+(FI!$H$4:$H$991=1)*(FI!$V$4:$V$991&lt;&gt;"")+(FI!$H$4:$H$991=2)*(FI!$AA$4:$AA$991&lt;&gt;"")))</f>
        <v>0</v>
      </c>
      <c r="N124" s="80">
        <f>SUMPRODUCT((FI!$C$4:$C$976&lt;&gt;"")*(FI!$D$4:$D$976&lt;&gt;"")*(FI!$J$4:$J$976="FIT"))</f>
        <v>0</v>
      </c>
      <c r="O124" s="80"/>
      <c r="P124" s="80"/>
      <c r="Q124" s="80"/>
      <c r="R124" s="80"/>
    </row>
    <row r="125" spans="3:36" ht="13.8" x14ac:dyDescent="0.25">
      <c r="C125" s="87" t="s">
        <v>22</v>
      </c>
      <c r="D125" s="80">
        <f>B10</f>
        <v>11</v>
      </c>
      <c r="E125" s="80">
        <f>SUMPRODUCT((HY!$C$4:$C$992&lt;&gt;"")*(HY!$D$4:$D$992&lt;&gt;"")*((HY!$K$4:$K$992="A")+(HY!$K$4:$K$992="B")+(HY!$K$4:$K$992="PENDING")))</f>
        <v>11</v>
      </c>
      <c r="F125" s="80">
        <f>SUMPRODUCT((HY!$C$4:$C$992&lt;&gt;"")*(HY!$D$4:$D$992&lt;&gt;"")*((HY!$K$4:$K$992="A")+(HY!$K$4:$K$992="B")))</f>
        <v>0</v>
      </c>
      <c r="G125" s="80">
        <f>SUMPRODUCT((HY!$C$4:$C$992&lt;&gt;"")*(HY!$D$4:$D$992&lt;&gt;"")*(HY!$K$4:$K$992="C"))</f>
        <v>0</v>
      </c>
      <c r="H125" s="80">
        <f>SUMPRODUCT((HY!$C$4:$C$992&lt;&gt;"")*(HY!$D$4:$D$992&lt;&gt;"")*((HY!$K$4:$K$992="C")+(HY!$K$4:$K$992="")))</f>
        <v>0</v>
      </c>
      <c r="I125" s="80" cm="1">
        <f t="array" ref="I125">SUMPRODUCT((HY!$C$4:$C$991&lt;&gt;"")*(HY!$D$4:$D$991&lt;&gt;"")*((HY!$H$4:$H$991=0)*(HY!$O$4:$O$991&lt;&gt;"")+(HY!$H$4:$H$991=1)*(HY!$T$4:$T$991&lt;&gt;"")+(HY!$H$4:$H$991=2)*(HY!$Y$4:$Y$991&lt;&gt;"")))</f>
        <v>11</v>
      </c>
      <c r="J125" s="80" cm="1">
        <f t="array" ref="J125">SUMPRODUCT((HY!$C$4:$C$992&lt;&gt;"")*(HY!$D$4:$D$992&lt;&gt;"")*(HY!$J$4:$J$992="CTA"))</f>
        <v>0</v>
      </c>
      <c r="K125" s="80" cm="1">
        <f t="array" ref="K125">SUMPRODUCT((HY!$C$4:$C$991&lt;&gt;"")*(HY!$D$4:$D$991&lt;&gt;"")*((HY!$H$4:$H$991=0)*(HY!$P$4:$P$991&lt;&gt;"")+(HY!$H$4:$H$991=1)*(HY!$U$4:$U$991&lt;&gt;"")+(HY!$H$4:$H$991=2)*(HY!$Z$4:$Z$991&lt;&gt;"")))</f>
        <v>0</v>
      </c>
      <c r="L125" s="80">
        <f>SUMPRODUCT((HY!$C$4:$C$992&lt;&gt;"")*(HY!$D$4:$D$992&lt;&gt;"")*(HY!$J$4:$J$992="AUR"))</f>
        <v>11</v>
      </c>
      <c r="M125" s="80" cm="1">
        <f t="array" ref="M125">SUMPRODUCT((HY!$C$4:$C$991&lt;&gt;"")*(HY!$D$4:$D$991&lt;&gt;"")*((HY!$H$4:$H$991=0)*(HY!$Q$4:$Q$991&lt;&gt;"")+(HY!$H$4:$H$991=1)*(HY!$V$4:$V$991&lt;&gt;"")+(HY!$H$4:$H$991=2)*(HY!$AA$4:$AA$991&lt;&gt;"")))</f>
        <v>0</v>
      </c>
      <c r="N125" s="80">
        <f>SUMPRODUCT((HY!$C$4:$C$992&lt;&gt;"")*(HY!$D$4:$D$992&lt;&gt;"")*(HY!$J$4:$J$992="HYT"))</f>
        <v>0</v>
      </c>
      <c r="O125" s="80"/>
      <c r="P125" s="80"/>
      <c r="Q125" s="80"/>
      <c r="R125" s="80"/>
    </row>
    <row r="126" spans="3:36" ht="27.6" x14ac:dyDescent="0.25">
      <c r="C126" s="87" t="s">
        <v>23</v>
      </c>
      <c r="D126" s="80">
        <f>B11</f>
        <v>47</v>
      </c>
      <c r="E126" s="80" cm="1">
        <f t="array" ref="E126">SUMPRODUCT((EL!$C$4:$C$920&lt;&gt;"")*(EL!$D$4:$D$920&lt;&gt;"")*((EL!$K$4:$K$920="A")+(EL!$K$4:$K$920="B")+(EL!$K$4:$K$920="PENDING")))</f>
        <v>47</v>
      </c>
      <c r="F126" s="80" cm="1">
        <f t="array" ref="F126">SUMPRODUCT((EL!$C$4:$C$920&lt;&gt;"")*(EL!$D$4:$D$920&lt;&gt;"")*((EL!$K$4:$K$920="A")+(EL!$K$4:$K$920="B")))</f>
        <v>0</v>
      </c>
      <c r="G126" s="80" cm="1">
        <f t="array" ref="G126">SUMPRODUCT((EL!$C$4:$C$920&lt;&gt;"")*(EL!$D$4:$D$920&lt;&gt;"")*(EL!$K$4:$K$920="C"))</f>
        <v>0</v>
      </c>
      <c r="H126" s="80" cm="1">
        <f t="array" ref="H126">SUMPRODUCT((EL!$C$4:$C$920&lt;&gt;"")*(EL!$D$4:$D$920&lt;&gt;"")*((EL!$K$4:$K$920="C")+(EL!$K$4:$K$920="")))</f>
        <v>0</v>
      </c>
      <c r="I126" s="80" cm="1">
        <f t="array" ref="I126">SUMPRODUCT((EL!$C$4:$C$979&lt;&gt;"")*(EL!$D$4:$D$979&lt;&gt;"")*((EL!$H$4:$H$979=0)*(EL!$O$4:$O$979&lt;&gt;"")+(EL!$H$4:$H$979=1)*(EL!$T$4:$T$979&lt;&gt;"")+(EL!$H$4:$H$979=2)*(EL!$Y$4:$Y$979&lt;&gt;"")))</f>
        <v>42</v>
      </c>
      <c r="J126" s="80" cm="1">
        <f t="array" ref="J126">SUMPRODUCT((EL!$C$4:$C$920&lt;&gt;"")*(EL!$D$4:$D$920&lt;&gt;"")*(EL!$J$4:$J$920="CTA"))</f>
        <v>5</v>
      </c>
      <c r="K126" s="80" cm="1">
        <f t="array" ref="K126">SUMPRODUCT((EL!$C$4:$C$979&lt;&gt;"")*(EL!$D$4:$D$979&lt;&gt;"")*((EL!$H$4:$H$979=0)*(EL!$P$4:$P$979&lt;&gt;"")+(EL!$H$4:$H$979=1)*(EL!$U$4:$U$979&lt;&gt;"")+(EL!$H$4:$H$979=2)*(EL!$Z$4:$Z$979&lt;&gt;"")))</f>
        <v>18</v>
      </c>
      <c r="L126" s="80" cm="1">
        <f t="array" ref="L126">SUMPRODUCT((EL!$C$4:$C$920&lt;&gt;"")*(EL!$D$4:$D$920&lt;&gt;"")*(EL!$J$4:$J$920="AUR"))</f>
        <v>24</v>
      </c>
      <c r="M126" s="80" cm="1">
        <f t="array" ref="M126">SUMPRODUCT((EL!$C$4:$C$979&lt;&gt;"")*(EL!$D$4:$D$979&lt;&gt;"")*((EL!$H$4:$H$979=0)*(EL!$Q$4:$Q$979&lt;&gt;"")+(EL!$H$4:$H$979=1)*(EL!$V$4:$V$979&lt;&gt;"")+(EL!$H$4:$H$979=2)*(EL!$AA$4:$AA$979&lt;&gt;"")))</f>
        <v>0</v>
      </c>
      <c r="N126" s="80" cm="1">
        <f t="array" ref="N126">SUMPRODUCT((EL!$C$4:$C$920&lt;&gt;"")*(EL!$D$4:$D$920&lt;&gt;"")*(EL!$J$4:$J$920="ELT"))</f>
        <v>0</v>
      </c>
      <c r="O126" s="80"/>
      <c r="P126" s="80"/>
      <c r="Q126" s="80"/>
      <c r="R126" s="80"/>
    </row>
    <row r="127" spans="3:36" ht="13.8" x14ac:dyDescent="0.25">
      <c r="C127" s="87" t="s">
        <v>24</v>
      </c>
      <c r="D127" s="80">
        <f>SUM(D122:D126)</f>
        <v>135</v>
      </c>
      <c r="E127" s="80">
        <f>SUM(E122:E126)</f>
        <v>132</v>
      </c>
      <c r="F127" s="80">
        <f t="shared" ref="F127:H127" si="11">SUM(F122:F126)</f>
        <v>27</v>
      </c>
      <c r="G127" s="80">
        <f t="shared" si="11"/>
        <v>0</v>
      </c>
      <c r="H127" s="80">
        <f t="shared" si="11"/>
        <v>0</v>
      </c>
      <c r="I127" s="80">
        <f>SUM(I122:I126)</f>
        <v>125</v>
      </c>
      <c r="J127" s="80">
        <f t="shared" ref="J127" si="12">SUM(J122:J126)</f>
        <v>9</v>
      </c>
      <c r="K127" s="80">
        <f>SUM(K122:K126)</f>
        <v>81</v>
      </c>
      <c r="L127" s="80">
        <f t="shared" ref="L127" si="13">SUM(L122:L126)</f>
        <v>59</v>
      </c>
      <c r="M127" s="80">
        <f>SUM(M122:M126)</f>
        <v>26</v>
      </c>
      <c r="N127" s="80">
        <f>SUM(N122:N126)</f>
        <v>1</v>
      </c>
      <c r="O127" s="80"/>
      <c r="P127" s="80"/>
      <c r="Q127" s="80"/>
      <c r="R127" s="80"/>
    </row>
    <row r="128" spans="3:36" ht="13.8" x14ac:dyDescent="0.25">
      <c r="C128" s="87" t="s">
        <v>35</v>
      </c>
      <c r="D128" s="80"/>
      <c r="E128" s="88">
        <f>E122/$D122</f>
        <v>1</v>
      </c>
      <c r="F128" s="88">
        <f t="shared" ref="F128:G128" si="14">F122/$D122</f>
        <v>0.64102564102564108</v>
      </c>
      <c r="G128" s="88">
        <f t="shared" si="14"/>
        <v>0</v>
      </c>
      <c r="H128" s="88">
        <f>H122/$D122</f>
        <v>0</v>
      </c>
      <c r="I128" s="88">
        <f>I122/$D122</f>
        <v>0.94871794871794868</v>
      </c>
      <c r="J128" s="88">
        <f t="shared" ref="J128" si="15">J122/$D122</f>
        <v>5.128205128205128E-2</v>
      </c>
      <c r="K128" s="88">
        <f t="shared" ref="K128:K133" si="16">K122/$D122</f>
        <v>0.94871794871794868</v>
      </c>
      <c r="L128" s="88">
        <f t="shared" ref="L128" si="17">L122/$D122</f>
        <v>0</v>
      </c>
      <c r="M128" s="88">
        <f t="shared" ref="M128:N133" si="18">M122/$D122</f>
        <v>0.61538461538461542</v>
      </c>
      <c r="N128" s="88">
        <f t="shared" si="18"/>
        <v>2.564102564102564E-2</v>
      </c>
      <c r="O128" s="80"/>
      <c r="P128" s="80"/>
      <c r="Q128" s="80"/>
      <c r="R128" s="80"/>
    </row>
    <row r="129" spans="3:18" ht="13.8" x14ac:dyDescent="0.25">
      <c r="C129" s="87" t="s">
        <v>20</v>
      </c>
      <c r="D129" s="80"/>
      <c r="E129" s="88">
        <f>E123/$D123</f>
        <v>0.875</v>
      </c>
      <c r="F129" s="88">
        <f>F123/$D123</f>
        <v>8.3333333333333329E-2</v>
      </c>
      <c r="G129" s="88">
        <f t="shared" ref="G129:I129" si="19">G123/$D123</f>
        <v>0</v>
      </c>
      <c r="H129" s="88">
        <f t="shared" si="19"/>
        <v>0</v>
      </c>
      <c r="I129" s="88">
        <f t="shared" si="19"/>
        <v>0.875</v>
      </c>
      <c r="J129" s="88">
        <f t="shared" ref="J129" si="20">J123/$D123</f>
        <v>8.3333333333333329E-2</v>
      </c>
      <c r="K129" s="88">
        <f t="shared" si="16"/>
        <v>0.5</v>
      </c>
      <c r="L129" s="88">
        <f t="shared" ref="L129" si="21">L123/$D123</f>
        <v>0.41666666666666669</v>
      </c>
      <c r="M129" s="88">
        <f t="shared" si="18"/>
        <v>8.3333333333333329E-2</v>
      </c>
      <c r="N129" s="88">
        <f t="shared" si="18"/>
        <v>0</v>
      </c>
      <c r="O129" s="80"/>
      <c r="P129" s="80"/>
      <c r="Q129" s="80"/>
      <c r="R129" s="80"/>
    </row>
    <row r="130" spans="3:18" ht="13.8" x14ac:dyDescent="0.25">
      <c r="C130" s="87" t="s">
        <v>36</v>
      </c>
      <c r="D130" s="80"/>
      <c r="E130" s="88">
        <f>E124/$D124</f>
        <v>1</v>
      </c>
      <c r="F130" s="88">
        <f t="shared" ref="F130:I130" si="22">F124/$D124</f>
        <v>0</v>
      </c>
      <c r="G130" s="88">
        <f t="shared" si="22"/>
        <v>0</v>
      </c>
      <c r="H130" s="88">
        <f t="shared" si="22"/>
        <v>0</v>
      </c>
      <c r="I130" s="88">
        <f t="shared" si="22"/>
        <v>1</v>
      </c>
      <c r="J130" s="88">
        <f t="shared" ref="J130" si="23">J124/$D124</f>
        <v>0</v>
      </c>
      <c r="K130" s="88">
        <f t="shared" si="16"/>
        <v>1</v>
      </c>
      <c r="L130" s="88">
        <f t="shared" ref="L130" si="24">L124/$D124</f>
        <v>1</v>
      </c>
      <c r="M130" s="88">
        <f t="shared" si="18"/>
        <v>0</v>
      </c>
      <c r="N130" s="88">
        <f t="shared" si="18"/>
        <v>0</v>
      </c>
      <c r="O130" s="80"/>
      <c r="P130" s="80"/>
      <c r="Q130" s="80"/>
      <c r="R130" s="80"/>
    </row>
    <row r="131" spans="3:18" ht="13.8" x14ac:dyDescent="0.25">
      <c r="C131" s="87" t="s">
        <v>22</v>
      </c>
      <c r="D131" s="80"/>
      <c r="E131" s="88">
        <f t="shared" ref="E131:H133" si="25">E125/$D125</f>
        <v>1</v>
      </c>
      <c r="F131" s="88">
        <f t="shared" si="25"/>
        <v>0</v>
      </c>
      <c r="G131" s="88">
        <f t="shared" si="25"/>
        <v>0</v>
      </c>
      <c r="H131" s="88">
        <f t="shared" si="25"/>
        <v>0</v>
      </c>
      <c r="I131" s="88">
        <f t="shared" ref="I131" si="26">I125/$D125</f>
        <v>1</v>
      </c>
      <c r="J131" s="88">
        <f t="shared" ref="J131" si="27">J125/$D125</f>
        <v>0</v>
      </c>
      <c r="K131" s="88">
        <f t="shared" si="16"/>
        <v>0</v>
      </c>
      <c r="L131" s="88">
        <f t="shared" ref="L131" si="28">L125/$D125</f>
        <v>1</v>
      </c>
      <c r="M131" s="88">
        <f t="shared" si="18"/>
        <v>0</v>
      </c>
      <c r="N131" s="88">
        <f t="shared" si="18"/>
        <v>0</v>
      </c>
      <c r="O131" s="80"/>
      <c r="P131" s="80"/>
      <c r="Q131" s="80"/>
      <c r="R131" s="80"/>
    </row>
    <row r="132" spans="3:18" ht="27.6" x14ac:dyDescent="0.25">
      <c r="C132" s="87" t="s">
        <v>23</v>
      </c>
      <c r="D132" s="80"/>
      <c r="E132" s="88">
        <f t="shared" si="25"/>
        <v>1</v>
      </c>
      <c r="F132" s="88">
        <f t="shared" si="25"/>
        <v>0</v>
      </c>
      <c r="G132" s="88">
        <f t="shared" si="25"/>
        <v>0</v>
      </c>
      <c r="H132" s="88">
        <f t="shared" si="25"/>
        <v>0</v>
      </c>
      <c r="I132" s="88">
        <f t="shared" ref="I132" si="29">I126/$D126</f>
        <v>0.8936170212765957</v>
      </c>
      <c r="J132" s="88">
        <f t="shared" ref="J132" si="30">J126/$D126</f>
        <v>0.10638297872340426</v>
      </c>
      <c r="K132" s="88">
        <f t="shared" si="16"/>
        <v>0.38297872340425532</v>
      </c>
      <c r="L132" s="88">
        <f t="shared" ref="L132" si="31">L126/$D126</f>
        <v>0.51063829787234039</v>
      </c>
      <c r="M132" s="88">
        <f t="shared" si="18"/>
        <v>0</v>
      </c>
      <c r="N132" s="88">
        <f t="shared" si="18"/>
        <v>0</v>
      </c>
      <c r="O132" s="80"/>
      <c r="P132" s="80"/>
      <c r="Q132" s="80"/>
      <c r="R132" s="80"/>
    </row>
    <row r="133" spans="3:18" ht="13.8" x14ac:dyDescent="0.25">
      <c r="C133" s="87" t="s">
        <v>24</v>
      </c>
      <c r="D133" s="80"/>
      <c r="E133" s="88">
        <f t="shared" si="25"/>
        <v>0.97777777777777775</v>
      </c>
      <c r="F133" s="88">
        <f t="shared" si="25"/>
        <v>0.2</v>
      </c>
      <c r="G133" s="88">
        <f t="shared" si="25"/>
        <v>0</v>
      </c>
      <c r="H133" s="88">
        <f t="shared" si="25"/>
        <v>0</v>
      </c>
      <c r="I133" s="88">
        <f t="shared" ref="I133" si="32">I127/$D127</f>
        <v>0.92592592592592593</v>
      </c>
      <c r="J133" s="88">
        <f t="shared" ref="J133" si="33">J127/$D127</f>
        <v>6.6666666666666666E-2</v>
      </c>
      <c r="K133" s="88">
        <f t="shared" si="16"/>
        <v>0.6</v>
      </c>
      <c r="L133" s="88">
        <f t="shared" ref="L133" si="34">L127/$D127</f>
        <v>0.43703703703703706</v>
      </c>
      <c r="M133" s="88">
        <f t="shared" si="18"/>
        <v>0.19259259259259259</v>
      </c>
      <c r="N133" s="88">
        <f t="shared" si="18"/>
        <v>7.4074074074074077E-3</v>
      </c>
      <c r="O133" s="80"/>
      <c r="P133" s="80"/>
      <c r="Q133" s="80"/>
      <c r="R133" s="80"/>
    </row>
    <row r="134" spans="3:18" ht="13.8" x14ac:dyDescent="0.25"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</row>
    <row r="135" spans="3:18" ht="13.8" x14ac:dyDescent="0.25">
      <c r="E135" s="373" t="s">
        <v>37</v>
      </c>
      <c r="F135" s="373"/>
      <c r="G135" s="373"/>
      <c r="H135" s="373"/>
      <c r="I135" s="373"/>
      <c r="J135" s="373"/>
      <c r="K135" s="373"/>
      <c r="L135" s="373"/>
      <c r="M135" s="373"/>
      <c r="N135" s="373"/>
      <c r="O135" s="373"/>
      <c r="P135" s="373"/>
      <c r="Q135" s="373"/>
    </row>
  </sheetData>
  <mergeCells count="17">
    <mergeCell ref="Z3:AJ3"/>
    <mergeCell ref="AB4:AC4"/>
    <mergeCell ref="AD4:AE4"/>
    <mergeCell ref="E135:Q135"/>
    <mergeCell ref="AF4:AG4"/>
    <mergeCell ref="Z4:AA4"/>
    <mergeCell ref="A3:A5"/>
    <mergeCell ref="B3:B5"/>
    <mergeCell ref="C3:L3"/>
    <mergeCell ref="N3:X3"/>
    <mergeCell ref="N4:O4"/>
    <mergeCell ref="D4:E4"/>
    <mergeCell ref="F4:G4"/>
    <mergeCell ref="H4:I4"/>
    <mergeCell ref="P4:Q4"/>
    <mergeCell ref="R4:S4"/>
    <mergeCell ref="T4:U4"/>
  </mergeCells>
  <conditionalFormatting sqref="D12:I12">
    <cfRule type="dataBar" priority="28">
      <dataBar>
        <cfvo type="num" val="0"/>
        <cfvo type="num" val="$C$12"/>
        <color rgb="FF638EC6"/>
      </dataBar>
      <extLst>
        <ext xmlns:x14="http://schemas.microsoft.com/office/spreadsheetml/2009/9/main" uri="{B025F937-C7B1-47D3-B67F-A62EFF666E3E}">
          <x14:id>{9205AEB6-4017-494A-88CB-A6CBA465504E}</x14:id>
        </ext>
      </extLst>
    </cfRule>
  </conditionalFormatting>
  <conditionalFormatting sqref="O12:U12">
    <cfRule type="dataBar" priority="25">
      <dataBar>
        <cfvo type="num" val="0"/>
        <cfvo type="num" val="$N$12"/>
        <color rgb="FF638EC6"/>
      </dataBar>
      <extLst>
        <ext xmlns:x14="http://schemas.microsoft.com/office/spreadsheetml/2009/9/main" uri="{B025F937-C7B1-47D3-B67F-A62EFF666E3E}">
          <x14:id>{BF1C4B44-7E6E-459B-A4D3-46DCD20EADF4}</x14:id>
        </ext>
      </extLst>
    </cfRule>
  </conditionalFormatting>
  <conditionalFormatting sqref="AA12:AG12">
    <cfRule type="dataBar" priority="12">
      <dataBar>
        <cfvo type="num" val="0"/>
        <cfvo type="num" val="$Z$12"/>
        <color rgb="FF638EC6"/>
      </dataBar>
      <extLst>
        <ext xmlns:x14="http://schemas.microsoft.com/office/spreadsheetml/2009/9/main" uri="{B025F937-C7B1-47D3-B67F-A62EFF666E3E}">
          <x14:id>{E1224F8B-1E6E-490F-9456-D36946B93DC5}</x14:id>
        </ext>
      </extLst>
    </cfRule>
  </conditionalFormatting>
  <printOptions horizontalCentered="1"/>
  <pageMargins left="0.23622047244094499" right="0.23622047244094499" top="0.74803149606299202" bottom="0.74803149606299202" header="0.31496062992126" footer="0.31496062992126"/>
  <pageSetup paperSize="8" scale="49" fitToHeight="0" orientation="landscape" r:id="rId1"/>
  <headerFooter>
    <oddHeader>&amp;L&amp;G&amp;C&amp;18Project Terra BKK2 Request for Information Submission List</oddHeader>
    <oddFooter>&amp;L&amp;D&amp;RPage &amp;P of &amp;N</odd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AEB6-4017-494A-88CB-A6CBA465504E}">
            <x14:dataBar minLength="0" maxLength="100" gradient="0">
              <x14:cfvo type="num">
                <xm:f>0</xm:f>
              </x14:cfvo>
              <x14:cfvo type="num">
                <xm:f>$C$12</xm:f>
              </x14:cfvo>
              <x14:negativeFillColor rgb="FFFF0000"/>
              <x14:axisColor rgb="FF000000"/>
            </x14:dataBar>
          </x14:cfRule>
          <xm:sqref>D12:I12</xm:sqref>
        </x14:conditionalFormatting>
        <x14:conditionalFormatting xmlns:xm="http://schemas.microsoft.com/office/excel/2006/main">
          <x14:cfRule type="dataBar" id="{BF1C4B44-7E6E-459B-A4D3-46DCD20EADF4}">
            <x14:dataBar minLength="0" maxLength="100" gradient="0">
              <x14:cfvo type="num">
                <xm:f>0</xm:f>
              </x14:cfvo>
              <x14:cfvo type="num">
                <xm:f>$N$12</xm:f>
              </x14:cfvo>
              <x14:negativeFillColor rgb="FFFF0000"/>
              <x14:axisColor rgb="FF000000"/>
            </x14:dataBar>
          </x14:cfRule>
          <xm:sqref>O12:U12</xm:sqref>
        </x14:conditionalFormatting>
        <x14:conditionalFormatting xmlns:xm="http://schemas.microsoft.com/office/excel/2006/main">
          <x14:cfRule type="dataBar" id="{E1224F8B-1E6E-490F-9456-D36946B93DC5}">
            <x14:dataBar minLength="0" maxLength="100" gradient="0">
              <x14:cfvo type="num">
                <xm:f>0</xm:f>
              </x14:cfvo>
              <x14:cfvo type="num">
                <xm:f>$Z$12</xm:f>
              </x14:cfvo>
              <x14:negativeFillColor rgb="FFFF0000"/>
              <x14:axisColor rgb="FF000000"/>
            </x14:dataBar>
          </x14:cfRule>
          <xm:sqref>AA12:AG12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5B47-1DF1-4118-84E5-21679EC9C9E5}">
  <sheetPr codeName="Sheet2">
    <tabColor rgb="FF00B0F0"/>
    <pageSetUpPr fitToPage="1"/>
  </sheetPr>
  <dimension ref="A2:AL139"/>
  <sheetViews>
    <sheetView view="pageBreakPreview" topLeftCell="A74" zoomScaleNormal="100" zoomScaleSheetLayoutView="100" workbookViewId="0">
      <selection activeCell="J148" sqref="J148"/>
    </sheetView>
  </sheetViews>
  <sheetFormatPr defaultColWidth="8.69921875" defaultRowHeight="15" customHeight="1" x14ac:dyDescent="0.25"/>
  <cols>
    <col min="1" max="1" width="11.3984375" customWidth="1"/>
    <col min="2" max="2" width="12.69921875" customWidth="1"/>
    <col min="3" max="3" width="13.09765625" style="13" customWidth="1"/>
    <col min="4" max="4" width="10.296875" style="13" customWidth="1"/>
    <col min="5" max="5" width="11.296875" style="13" customWidth="1"/>
    <col min="6" max="11" width="7.8984375" style="13" customWidth="1"/>
    <col min="12" max="13" width="12.296875" style="13" customWidth="1"/>
    <col min="14" max="14" width="13.296875" style="13" customWidth="1"/>
    <col min="15" max="15" width="12.3984375" style="13" customWidth="1"/>
    <col min="16" max="16" width="12.296875" style="13" customWidth="1"/>
    <col min="17" max="17" width="10" style="3" customWidth="1"/>
    <col min="18" max="23" width="11.296875" style="13" customWidth="1"/>
    <col min="24" max="25" width="7.3984375" style="13" customWidth="1"/>
    <col min="26" max="26" width="7.296875" style="13" customWidth="1"/>
    <col min="27" max="27" width="1.3984375" style="13" customWidth="1"/>
    <col min="28" max="28" width="12.296875" style="13" customWidth="1"/>
    <col min="29" max="29" width="10" style="3" customWidth="1"/>
    <col min="30" max="35" width="10.69921875" style="13" customWidth="1"/>
    <col min="36" max="36" width="8" style="13" customWidth="1"/>
    <col min="37" max="38" width="7.296875" style="13" customWidth="1"/>
    <col min="39" max="39" width="1.69921875" customWidth="1"/>
  </cols>
  <sheetData>
    <row r="2" spans="1:27" ht="33" customHeight="1" x14ac:dyDescent="0.4">
      <c r="A2" s="242" t="s">
        <v>0</v>
      </c>
      <c r="B2" s="12"/>
      <c r="O2" s="14"/>
      <c r="AA2" s="14"/>
    </row>
    <row r="3" spans="1:27" ht="13.8" x14ac:dyDescent="0.25">
      <c r="A3" s="12"/>
      <c r="B3" s="12"/>
      <c r="O3" s="14"/>
      <c r="AA3" s="14"/>
    </row>
    <row r="4" spans="1:27" ht="15" customHeight="1" thickBot="1" x14ac:dyDescent="0.3"/>
    <row r="5" spans="1:27" ht="15" customHeight="1" x14ac:dyDescent="0.25">
      <c r="B5" s="374" t="s">
        <v>18</v>
      </c>
      <c r="C5" s="375"/>
      <c r="D5" s="375"/>
      <c r="E5" s="375"/>
      <c r="F5" s="375"/>
      <c r="G5" s="375"/>
      <c r="H5" s="375"/>
      <c r="I5" s="375"/>
      <c r="J5" s="375"/>
      <c r="K5" s="376"/>
    </row>
    <row r="6" spans="1:27" ht="15" customHeight="1" x14ac:dyDescent="0.25">
      <c r="B6" s="377" t="s">
        <v>38</v>
      </c>
      <c r="C6" s="379" t="s">
        <v>39</v>
      </c>
      <c r="D6" s="379" t="s">
        <v>40</v>
      </c>
      <c r="E6" s="379" t="s">
        <v>41</v>
      </c>
      <c r="F6" s="379" t="s">
        <v>42</v>
      </c>
      <c r="G6" s="379"/>
      <c r="H6" s="379"/>
      <c r="I6" s="379"/>
      <c r="J6" s="379"/>
      <c r="K6" s="381"/>
    </row>
    <row r="7" spans="1:27" ht="15" customHeight="1" x14ac:dyDescent="0.25">
      <c r="B7" s="377"/>
      <c r="C7" s="379"/>
      <c r="D7" s="379"/>
      <c r="E7" s="379"/>
      <c r="F7" s="379" t="s">
        <v>43</v>
      </c>
      <c r="G7" s="379"/>
      <c r="H7" s="379"/>
      <c r="I7" s="382" t="s">
        <v>44</v>
      </c>
      <c r="J7" s="384" t="s">
        <v>45</v>
      </c>
      <c r="K7" s="386" t="s">
        <v>46</v>
      </c>
    </row>
    <row r="8" spans="1:27" ht="15" customHeight="1" x14ac:dyDescent="0.25">
      <c r="B8" s="378"/>
      <c r="C8" s="380"/>
      <c r="D8" s="380"/>
      <c r="E8" s="380"/>
      <c r="F8" s="236" t="s">
        <v>47</v>
      </c>
      <c r="G8" s="236" t="s">
        <v>48</v>
      </c>
      <c r="H8" s="236" t="s">
        <v>49</v>
      </c>
      <c r="I8" s="383"/>
      <c r="J8" s="385"/>
      <c r="K8" s="387"/>
    </row>
    <row r="9" spans="1:27" ht="15" customHeight="1" x14ac:dyDescent="0.25">
      <c r="B9" s="325">
        <v>46027</v>
      </c>
      <c r="C9" s="326" cm="1">
        <f t="array" ref="C9">SUMPRODUCT((ST!$C$4:$C$501&lt;&gt;"")*(ST!$D$4:$D$501&lt;&gt;"")*((ST!$F$4:$F$501&lt;=B9)+(ST!$F$4:$F$501&gt;B9)))</f>
        <v>1</v>
      </c>
      <c r="D9" s="326" cm="1">
        <f t="array" ref="D9">SUMPRODUCT((ST!$C$4:$C$501&lt;&gt;"")*(ST!$D$4:$D$501&lt;&gt;"")*(ST!$E$4:$E$501&lt;=B9))</f>
        <v>1</v>
      </c>
      <c r="E9" s="326" cm="1">
        <f t="array" ref="E9">SUMPRODUCT((ST!$C$4:$C$501&lt;&gt;"")*(ST!$D$4:$D$501&lt;&gt;"")*(ST!$F$4:$F$501&lt;&gt;"")*(ST!$F$4:$F$501&lt;=B9))</f>
        <v>0</v>
      </c>
      <c r="F9" s="326" cm="1">
        <f t="array" ref="F9">SUMPRODUCT((ST!$C$4:$C$501&lt;&gt;"")*(ST!$D$4:$D$501&lt;&gt;"")*(ST!$F$4:$F$501&lt;=$B9)*(ST!$J$4:$J$501="Pending")*(ST!$I$4:$I$501="CTA"))</f>
        <v>0</v>
      </c>
      <c r="G9" s="326" cm="1">
        <f t="array" ref="G9">SUMPRODUCT((ST!$C$4:$C$501&lt;&gt;"")*(ST!$D$4:$D$501&lt;&gt;"")*(ST!$F$4:$F$501&lt;=$B9)*(ST!$J$4:$J$501="Pending")*(ST!$I$4:$I$501="AUR"))</f>
        <v>0</v>
      </c>
      <c r="H9" s="326" cm="1">
        <f t="array" ref="H9">SUMPRODUCT((ST!$C$4:$C$501&lt;&gt;"")*(ST!$D$4:$D$501&lt;&gt;"")*(ST!$F$4:$F$501&lt;=$B9)*(ST!$J$4:$J$501="Pending")*(ST!$I$4:$I$501="STT"))</f>
        <v>0</v>
      </c>
      <c r="I9" s="326" cm="1">
        <f t="array" ref="I9">SUMPRODUCT((ST!$C$4:$C$501&lt;&gt;"")*(ST!$D$4:$D$501&lt;&gt;"")*(ST!$F$4:$F$501&lt;=$B9)*(ST!$J$4:$J$501="A"))</f>
        <v>0</v>
      </c>
      <c r="J9" s="326" cm="1">
        <f t="array" ref="J9">SUMPRODUCT((ST!$C$4:$C$501&lt;&gt;"")*(ST!$D$4:$D$501&lt;&gt;"")*(ST!$F$4:$F$501&lt;=$B9)*(ST!$J$4:$J$501="B"))</f>
        <v>0</v>
      </c>
      <c r="K9" s="327" cm="1">
        <f t="array" ref="K9">SUMPRODUCT((ST!$C$4:$C$501&lt;&gt;"")*(ST!$D$4:$D$501&lt;&gt;"")*(ST!$F$4:$F$501&lt;=$B9)*(ST!$J$4:$J$501="C"))</f>
        <v>0</v>
      </c>
    </row>
    <row r="10" spans="1:27" ht="15" customHeight="1" x14ac:dyDescent="0.25">
      <c r="B10" s="325">
        <f>B9+7</f>
        <v>46034</v>
      </c>
      <c r="C10" s="326" cm="1">
        <f t="array" ref="C10">SUMPRODUCT((ST!$C$4:$C$501&lt;&gt;"")*(ST!$D$4:$D$501&lt;&gt;"")*((ST!$F$4:$F$501&lt;=B10)+(ST!$F$4:$F$501&gt;B10)))</f>
        <v>1</v>
      </c>
      <c r="D10" s="326" cm="1">
        <f t="array" ref="D10">SUMPRODUCT((ST!$C$4:$C$501&lt;&gt;"")*(ST!$D$4:$D$501&lt;&gt;"")*(ST!$E$4:$E$501&lt;=B10))</f>
        <v>1</v>
      </c>
      <c r="E10" s="326" cm="1">
        <f t="array" ref="E10">SUMPRODUCT((ST!$C$4:$C$501&lt;&gt;"")*(ST!$D$4:$D$501&lt;&gt;"")*(ST!$F$4:$F$501&lt;&gt;"")*(ST!$F$4:$F$501&lt;=B10))</f>
        <v>0</v>
      </c>
      <c r="F10" s="326" cm="1">
        <f t="array" ref="F10">SUMPRODUCT((ST!$C$4:$C$501&lt;&gt;"")*(ST!$D$4:$D$501&lt;&gt;"")*(ST!$F$4:$F$501&lt;=$B10)*(ST!$J$4:$J$501="Pending")*(ST!$I$4:$I$501="CTA"))</f>
        <v>0</v>
      </c>
      <c r="G10" s="326" cm="1">
        <f t="array" ref="G10">SUMPRODUCT((ST!$C$4:$C$501&lt;&gt;"")*(ST!$D$4:$D$501&lt;&gt;"")*(ST!$F$4:$F$501&lt;=$B10)*(ST!$J$4:$J$501="Pending")*(ST!$I$4:$I$501="AUR"))</f>
        <v>0</v>
      </c>
      <c r="H10" s="326" cm="1">
        <f t="array" ref="H10">SUMPRODUCT((ST!$C$4:$C$501&lt;&gt;"")*(ST!$D$4:$D$501&lt;&gt;"")*(ST!$F$4:$F$501&lt;=$B10)*(ST!$J$4:$J$501="Pending")*(ST!$I$4:$I$501="STT"))</f>
        <v>0</v>
      </c>
      <c r="I10" s="326" cm="1">
        <f t="array" ref="I10">SUMPRODUCT((ST!$C$4:$C$501&lt;&gt;"")*(ST!$D$4:$D$501&lt;&gt;"")*(ST!$F$4:$F$501&lt;=$B10)*(ST!$J$4:$J$501="A"))</f>
        <v>0</v>
      </c>
      <c r="J10" s="326" cm="1">
        <f t="array" ref="J10">SUMPRODUCT((ST!$C$4:$C$501&lt;&gt;"")*(ST!$D$4:$D$501&lt;&gt;"")*(ST!$F$4:$F$501&lt;=$B10)*(ST!$J$4:$J$501="B"))</f>
        <v>0</v>
      </c>
      <c r="K10" s="327" cm="1">
        <f t="array" ref="K10">SUMPRODUCT((ST!$C$4:$C$501&lt;&gt;"")*(ST!$D$4:$D$501&lt;&gt;"")*(ST!$F$4:$F$501&lt;=$B10)*(ST!$J$4:$J$501="C"))</f>
        <v>0</v>
      </c>
    </row>
    <row r="11" spans="1:27" ht="15" customHeight="1" x14ac:dyDescent="0.25">
      <c r="B11" s="325">
        <f>B10+7</f>
        <v>46041</v>
      </c>
      <c r="C11" s="326" cm="1">
        <f t="array" ref="C11">SUMPRODUCT((ST!$C$4:$C$501&lt;&gt;"")*(ST!$D$4:$D$501&lt;&gt;"")*((ST!$F$4:$F$501&lt;=B11)+(ST!$F$4:$F$501&gt;B11)))</f>
        <v>1</v>
      </c>
      <c r="D11" s="326" cm="1">
        <f t="array" ref="D11">SUMPRODUCT((ST!$C$4:$C$501&lt;&gt;"")*(ST!$D$4:$D$501&lt;&gt;"")*(ST!$E$4:$E$501&lt;=B11))</f>
        <v>1</v>
      </c>
      <c r="E11" s="326" cm="1">
        <f t="array" ref="E11">SUMPRODUCT((ST!$C$4:$C$501&lt;&gt;"")*(ST!$D$4:$D$501&lt;&gt;"")*(ST!$F$4:$F$501&lt;&gt;"")*(ST!$F$4:$F$501&lt;=B11))</f>
        <v>0</v>
      </c>
      <c r="F11" s="326" cm="1">
        <f t="array" ref="F11">SUMPRODUCT((ST!$C$4:$C$501&lt;&gt;"")*(ST!$D$4:$D$501&lt;&gt;"")*(ST!$F$4:$F$501&lt;=$B11)*(ST!$J$4:$J$501="Pending")*(ST!$I$4:$I$501="CTA"))</f>
        <v>0</v>
      </c>
      <c r="G11" s="326" cm="1">
        <f t="array" ref="G11">SUMPRODUCT((ST!$C$4:$C$501&lt;&gt;"")*(ST!$D$4:$D$501&lt;&gt;"")*(ST!$F$4:$F$501&lt;=$B11)*(ST!$J$4:$J$501="Pending")*(ST!$I$4:$I$501="AUR"))</f>
        <v>0</v>
      </c>
      <c r="H11" s="326" cm="1">
        <f t="array" ref="H11">SUMPRODUCT((ST!$C$4:$C$501&lt;&gt;"")*(ST!$D$4:$D$501&lt;&gt;"")*(ST!$F$4:$F$501&lt;=$B11)*(ST!$J$4:$J$501="Pending")*(ST!$I$4:$I$501="STT"))</f>
        <v>0</v>
      </c>
      <c r="I11" s="326" cm="1">
        <f t="array" ref="I11">SUMPRODUCT((ST!$C$4:$C$501&lt;&gt;"")*(ST!$D$4:$D$501&lt;&gt;"")*(ST!$F$4:$F$501&lt;=$B11)*(ST!$J$4:$J$501="A"))</f>
        <v>0</v>
      </c>
      <c r="J11" s="326" cm="1">
        <f t="array" ref="J11">SUMPRODUCT((ST!$C$4:$C$501&lt;&gt;"")*(ST!$D$4:$D$501&lt;&gt;"")*(ST!$F$4:$F$501&lt;=$B11)*(ST!$J$4:$J$501="B"))</f>
        <v>0</v>
      </c>
      <c r="K11" s="327" cm="1">
        <f t="array" ref="K11">SUMPRODUCT((ST!$C$4:$C$501&lt;&gt;"")*(ST!$D$4:$D$501&lt;&gt;"")*(ST!$F$4:$F$501&lt;=$B11)*(ST!$J$4:$J$501="C"))</f>
        <v>0</v>
      </c>
    </row>
    <row r="12" spans="1:27" ht="15" customHeight="1" x14ac:dyDescent="0.25">
      <c r="B12" s="325">
        <f>B11+7</f>
        <v>46048</v>
      </c>
      <c r="C12" s="326" cm="1">
        <f t="array" ref="C12">SUMPRODUCT((ST!$C$4:$C$501&lt;&gt;"")*(ST!$D$4:$D$501&lt;&gt;"")*((ST!$F$4:$F$501&lt;=B12)+(ST!$F$4:$F$501&gt;B12)))</f>
        <v>1</v>
      </c>
      <c r="D12" s="326" cm="1">
        <f t="array" ref="D12">SUMPRODUCT((ST!$C$4:$C$501&lt;&gt;"")*(ST!$D$4:$D$501&lt;&gt;"")*(ST!$E$4:$E$501&lt;=B12))</f>
        <v>1</v>
      </c>
      <c r="E12" s="326" cm="1">
        <f t="array" ref="E12">SUMPRODUCT((ST!$C$4:$C$501&lt;&gt;"")*(ST!$D$4:$D$501&lt;&gt;"")*(ST!$F$4:$F$501&lt;&gt;"")*(ST!$F$4:$F$501&lt;=B12))</f>
        <v>0</v>
      </c>
      <c r="F12" s="326" cm="1">
        <f t="array" ref="F12">SUMPRODUCT((ST!$C$4:$C$501&lt;&gt;"")*(ST!$D$4:$D$501&lt;&gt;"")*(ST!$F$4:$F$501&lt;=$B12)*(ST!$J$4:$J$501="Pending")*(ST!$I$4:$I$501="CTA"))</f>
        <v>0</v>
      </c>
      <c r="G12" s="326" cm="1">
        <f t="array" ref="G12">SUMPRODUCT((ST!$C$4:$C$501&lt;&gt;"")*(ST!$D$4:$D$501&lt;&gt;"")*(ST!$F$4:$F$501&lt;=$B12)*(ST!$J$4:$J$501="Pending")*(ST!$I$4:$I$501="AUR"))</f>
        <v>0</v>
      </c>
      <c r="H12" s="326" cm="1">
        <f t="array" ref="H12">SUMPRODUCT((ST!$C$4:$C$501&lt;&gt;"")*(ST!$D$4:$D$501&lt;&gt;"")*(ST!$F$4:$F$501&lt;=$B12)*(ST!$J$4:$J$501="Pending")*(ST!$I$4:$I$501="STT"))</f>
        <v>0</v>
      </c>
      <c r="I12" s="326" cm="1">
        <f t="array" ref="I12">SUMPRODUCT((ST!$C$4:$C$501&lt;&gt;"")*(ST!$D$4:$D$501&lt;&gt;"")*(ST!$F$4:$F$501&lt;=$B12)*(ST!$J$4:$J$501="A"))</f>
        <v>0</v>
      </c>
      <c r="J12" s="326" cm="1">
        <f t="array" ref="J12">SUMPRODUCT((ST!$C$4:$C$501&lt;&gt;"")*(ST!$D$4:$D$501&lt;&gt;"")*(ST!$F$4:$F$501&lt;=$B12)*(ST!$J$4:$J$501="B"))</f>
        <v>0</v>
      </c>
      <c r="K12" s="327" cm="1">
        <f t="array" ref="K12">SUMPRODUCT((ST!$C$4:$C$501&lt;&gt;"")*(ST!$D$4:$D$501&lt;&gt;"")*(ST!$F$4:$F$501&lt;=$B12)*(ST!$J$4:$J$501="C"))</f>
        <v>0</v>
      </c>
    </row>
    <row r="13" spans="1:27" ht="15" customHeight="1" x14ac:dyDescent="0.25">
      <c r="B13" s="325">
        <f>B12+7</f>
        <v>46055</v>
      </c>
      <c r="C13" s="326" cm="1">
        <f t="array" ref="C13">SUMPRODUCT((ST!$C$4:$C$501&lt;&gt;"")*(ST!$D$4:$D$501&lt;&gt;"")*((ST!$F$4:$F$501&lt;=B13)+(ST!$F$4:$F$501&gt;B13)))</f>
        <v>1</v>
      </c>
      <c r="D13" s="326" cm="1">
        <f t="array" ref="D13">SUMPRODUCT((ST!$C$4:$C$501&lt;&gt;"")*(ST!$D$4:$D$501&lt;&gt;"")*(ST!$E$4:$E$501&lt;=B13))</f>
        <v>1</v>
      </c>
      <c r="E13" s="326" cm="1">
        <f t="array" ref="E13">SUMPRODUCT((ST!$C$4:$C$501&lt;&gt;"")*(ST!$D$4:$D$501&lt;&gt;"")*(ST!$F$4:$F$501&lt;&gt;"")*(ST!$F$4:$F$501&lt;=B13))</f>
        <v>0</v>
      </c>
      <c r="F13" s="326" cm="1">
        <f t="array" ref="F13">SUMPRODUCT((ST!$C$4:$C$501&lt;&gt;"")*(ST!$D$4:$D$501&lt;&gt;"")*(ST!$F$4:$F$501&lt;=$B13)*(ST!$J$4:$J$501="Pending")*(ST!$I$4:$I$501="CTA"))</f>
        <v>0</v>
      </c>
      <c r="G13" s="326" cm="1">
        <f t="array" ref="G13">SUMPRODUCT((ST!$C$4:$C$501&lt;&gt;"")*(ST!$D$4:$D$501&lt;&gt;"")*(ST!$F$4:$F$501&lt;=$B13)*(ST!$J$4:$J$501="Pending")*(ST!$I$4:$I$501="AUR"))</f>
        <v>0</v>
      </c>
      <c r="H13" s="326" cm="1">
        <f t="array" ref="H13">SUMPRODUCT((ST!$C$4:$C$501&lt;&gt;"")*(ST!$D$4:$D$501&lt;&gt;"")*(ST!$F$4:$F$501&lt;=$B13)*(ST!$J$4:$J$501="Pending")*(ST!$I$4:$I$501="STT"))</f>
        <v>0</v>
      </c>
      <c r="I13" s="326" cm="1">
        <f t="array" ref="I13">SUMPRODUCT((ST!$C$4:$C$501&lt;&gt;"")*(ST!$D$4:$D$501&lt;&gt;"")*(ST!$F$4:$F$501&lt;=$B13)*(ST!$J$4:$J$501="A"))</f>
        <v>0</v>
      </c>
      <c r="J13" s="326" cm="1">
        <f t="array" ref="J13">SUMPRODUCT((ST!$C$4:$C$501&lt;&gt;"")*(ST!$D$4:$D$501&lt;&gt;"")*(ST!$F$4:$F$501&lt;=$B13)*(ST!$J$4:$J$501="B"))</f>
        <v>0</v>
      </c>
      <c r="K13" s="327" cm="1">
        <f t="array" ref="K13">SUMPRODUCT((ST!$C$4:$C$501&lt;&gt;"")*(ST!$D$4:$D$501&lt;&gt;"")*(ST!$F$4:$F$501&lt;=$B13)*(ST!$J$4:$J$501="C"))</f>
        <v>0</v>
      </c>
    </row>
    <row r="14" spans="1:27" ht="15" customHeight="1" x14ac:dyDescent="0.25">
      <c r="B14" s="325">
        <f>B13+7</f>
        <v>46062</v>
      </c>
      <c r="C14" s="326" cm="1">
        <f t="array" ref="C14">SUMPRODUCT((ST!$C$4:$C$501&lt;&gt;"")*(ST!$D$4:$D$501&lt;&gt;"")*((ST!$F$4:$F$501&lt;=B14)+(ST!$F$4:$F$501&gt;B14)))</f>
        <v>1</v>
      </c>
      <c r="D14" s="326" cm="1">
        <f t="array" ref="D14">SUMPRODUCT((ST!$C$4:$C$501&lt;&gt;"")*(ST!$D$4:$D$501&lt;&gt;"")*(ST!$E$4:$E$501&lt;=B14))</f>
        <v>1</v>
      </c>
      <c r="E14" s="326" cm="1">
        <f t="array" ref="E14">SUMPRODUCT((ST!$C$4:$C$501&lt;&gt;"")*(ST!$D$4:$D$501&lt;&gt;"")*(ST!$F$4:$F$501&lt;&gt;"")*(ST!$F$4:$F$501&lt;=B14))</f>
        <v>0</v>
      </c>
      <c r="F14" s="326" cm="1">
        <f t="array" ref="F14">SUMPRODUCT((ST!$C$4:$C$501&lt;&gt;"")*(ST!$D$4:$D$501&lt;&gt;"")*(ST!$F$4:$F$501&lt;=$B14)*(ST!$J$4:$J$501="Pending")*(ST!$I$4:$I$501="CTA"))</f>
        <v>0</v>
      </c>
      <c r="G14" s="326" cm="1">
        <f t="array" ref="G14">SUMPRODUCT((ST!$C$4:$C$501&lt;&gt;"")*(ST!$D$4:$D$501&lt;&gt;"")*(ST!$F$4:$F$501&lt;=$B14)*(ST!$J$4:$J$501="Pending")*(ST!$I$4:$I$501="AUR"))</f>
        <v>0</v>
      </c>
      <c r="H14" s="326" cm="1">
        <f t="array" ref="H14">SUMPRODUCT((ST!$C$4:$C$501&lt;&gt;"")*(ST!$D$4:$D$501&lt;&gt;"")*(ST!$F$4:$F$501&lt;=$B14)*(ST!$J$4:$J$501="Pending")*(ST!$I$4:$I$501="STT"))</f>
        <v>0</v>
      </c>
      <c r="I14" s="326" cm="1">
        <f t="array" ref="I14">SUMPRODUCT((ST!$C$4:$C$501&lt;&gt;"")*(ST!$D$4:$D$501&lt;&gt;"")*(ST!$F$4:$F$501&lt;=$B14)*(ST!$J$4:$J$501="A"))</f>
        <v>0</v>
      </c>
      <c r="J14" s="326" cm="1">
        <f t="array" ref="J14">SUMPRODUCT((ST!$C$4:$C$501&lt;&gt;"")*(ST!$D$4:$D$501&lt;&gt;"")*(ST!$F$4:$F$501&lt;=$B14)*(ST!$J$4:$J$501="B"))</f>
        <v>0</v>
      </c>
      <c r="K14" s="327" cm="1">
        <f t="array" ref="K14">SUMPRODUCT((ST!$C$4:$C$501&lt;&gt;"")*(ST!$D$4:$D$501&lt;&gt;"")*(ST!$F$4:$F$501&lt;=$B14)*(ST!$J$4:$J$501="C"))</f>
        <v>0</v>
      </c>
    </row>
    <row r="15" spans="1:27" ht="15" customHeight="1" x14ac:dyDescent="0.25">
      <c r="B15" s="325">
        <f t="shared" ref="B15:B18" si="0">B14+7</f>
        <v>46069</v>
      </c>
      <c r="C15" s="326" cm="1">
        <f t="array" ref="C15">SUMPRODUCT((ST!$C$4:$C$501&lt;&gt;"")*(ST!$D$4:$D$501&lt;&gt;"")*((ST!$F$4:$F$501&lt;=B15)+(ST!$F$4:$F$501&gt;B15)))</f>
        <v>1</v>
      </c>
      <c r="D15" s="326" cm="1">
        <f t="array" ref="D15">SUMPRODUCT((ST!$C$4:$C$501&lt;&gt;"")*(ST!$D$4:$D$501&lt;&gt;"")*(ST!$E$4:$E$501&lt;=B15))</f>
        <v>1</v>
      </c>
      <c r="E15" s="326" cm="1">
        <f t="array" ref="E15">SUMPRODUCT((ST!$C$4:$C$501&lt;&gt;"")*(ST!$D$4:$D$501&lt;&gt;"")*(ST!$F$4:$F$501&lt;&gt;"")*(ST!$F$4:$F$501&lt;=B15))</f>
        <v>1</v>
      </c>
      <c r="F15" s="326"/>
      <c r="G15" s="326"/>
      <c r="H15" s="326"/>
      <c r="I15" s="326"/>
      <c r="J15" s="326"/>
      <c r="K15" s="327"/>
    </row>
    <row r="16" spans="1:27" ht="15" customHeight="1" x14ac:dyDescent="0.25">
      <c r="B16" s="325">
        <f t="shared" si="0"/>
        <v>46076</v>
      </c>
      <c r="C16" s="326" cm="1">
        <f t="array" ref="C16">SUMPRODUCT((ST!$C$4:$C$501&lt;&gt;"")*(ST!$D$4:$D$501&lt;&gt;"")*((ST!$F$4:$F$501&lt;=B16)+(ST!$F$4:$F$501&gt;B16)))</f>
        <v>1</v>
      </c>
      <c r="D16" s="326" cm="1">
        <f t="array" ref="D16">SUMPRODUCT((ST!$C$4:$C$501&lt;&gt;"")*(ST!$D$4:$D$501&lt;&gt;"")*(ST!$E$4:$E$501&lt;=B16))</f>
        <v>1</v>
      </c>
      <c r="E16" s="326" cm="1">
        <f t="array" ref="E16">SUMPRODUCT((ST!$C$4:$C$501&lt;&gt;"")*(ST!$D$4:$D$501&lt;&gt;"")*(ST!$F$4:$F$501&lt;&gt;"")*(ST!$F$4:$F$501&lt;=B16))</f>
        <v>1</v>
      </c>
      <c r="F16" s="326"/>
      <c r="G16" s="326"/>
      <c r="H16" s="326"/>
      <c r="I16" s="326"/>
      <c r="J16" s="326"/>
      <c r="K16" s="327"/>
    </row>
    <row r="17" spans="2:11" ht="15" customHeight="1" x14ac:dyDescent="0.25">
      <c r="B17" s="325">
        <f t="shared" si="0"/>
        <v>46083</v>
      </c>
      <c r="C17" s="326" cm="1">
        <f t="array" ref="C17">SUMPRODUCT((ST!$C$4:$C$501&lt;&gt;"")*(ST!$D$4:$D$501&lt;&gt;"")*((ST!$F$4:$F$501&lt;=B17)+(ST!$F$4:$F$501&gt;B17)))</f>
        <v>1</v>
      </c>
      <c r="D17" s="326" cm="1">
        <f t="array" ref="D17">SUMPRODUCT((ST!$C$4:$C$501&lt;&gt;"")*(ST!$D$4:$D$501&lt;&gt;"")*(ST!$E$4:$E$501&lt;=B17))</f>
        <v>1</v>
      </c>
      <c r="E17" s="326" cm="1">
        <f t="array" ref="E17">SUMPRODUCT((ST!$C$4:$C$501&lt;&gt;"")*(ST!$D$4:$D$501&lt;&gt;"")*(ST!$F$4:$F$501&lt;&gt;"")*(ST!$F$4:$F$501&lt;=B17))</f>
        <v>1</v>
      </c>
      <c r="F17" s="326"/>
      <c r="G17" s="326"/>
      <c r="H17" s="326"/>
      <c r="I17" s="326"/>
      <c r="J17" s="326"/>
      <c r="K17" s="327"/>
    </row>
    <row r="18" spans="2:11" ht="15" customHeight="1" x14ac:dyDescent="0.25">
      <c r="B18" s="325">
        <f t="shared" si="0"/>
        <v>46090</v>
      </c>
      <c r="C18" s="326" cm="1">
        <f t="array" ref="C18">SUMPRODUCT((ST!$C$4:$C$501&lt;&gt;"")*(ST!$D$4:$D$501&lt;&gt;"")*((ST!$F$4:$F$501&lt;=B18)+(ST!$F$4:$F$501&gt;B18)))</f>
        <v>1</v>
      </c>
      <c r="D18" s="326" cm="1">
        <f t="array" ref="D18">SUMPRODUCT((ST!$C$4:$C$501&lt;&gt;"")*(ST!$D$4:$D$501&lt;&gt;"")*(ST!$E$4:$E$501&lt;=B18))</f>
        <v>1</v>
      </c>
      <c r="E18" s="326" cm="1">
        <f t="array" ref="E18">SUMPRODUCT((ST!$C$4:$C$501&lt;&gt;"")*(ST!$D$4:$D$501&lt;&gt;"")*(ST!$F$4:$F$501&lt;&gt;"")*(ST!$F$4:$F$501&lt;=B18))</f>
        <v>1</v>
      </c>
      <c r="F18" s="326"/>
      <c r="G18" s="326"/>
      <c r="H18" s="326"/>
      <c r="I18" s="326"/>
      <c r="J18" s="326"/>
      <c r="K18" s="327"/>
    </row>
    <row r="19" spans="2:11" ht="15" customHeight="1" x14ac:dyDescent="0.25">
      <c r="B19" s="352"/>
      <c r="C19" s="353"/>
      <c r="D19" s="353"/>
      <c r="E19" s="353"/>
      <c r="F19" s="353"/>
      <c r="G19" s="353"/>
      <c r="H19" s="353"/>
      <c r="I19" s="353"/>
      <c r="J19" s="353"/>
      <c r="K19" s="354"/>
    </row>
    <row r="20" spans="2:11" ht="15" customHeight="1" x14ac:dyDescent="0.25">
      <c r="B20" s="254"/>
      <c r="C20" s="255"/>
      <c r="D20" s="255"/>
      <c r="E20" s="255"/>
      <c r="F20" s="255"/>
      <c r="G20" s="255"/>
      <c r="H20" s="255"/>
      <c r="I20" s="255"/>
      <c r="J20" s="255"/>
      <c r="K20" s="255"/>
    </row>
    <row r="22" spans="2:11" ht="15" customHeight="1" x14ac:dyDescent="0.25">
      <c r="B22" s="374" t="s">
        <v>19</v>
      </c>
      <c r="C22" s="375"/>
      <c r="D22" s="375"/>
      <c r="E22" s="375"/>
      <c r="F22" s="375"/>
      <c r="G22" s="375"/>
      <c r="H22" s="375"/>
      <c r="I22" s="375"/>
      <c r="J22" s="375"/>
      <c r="K22" s="376"/>
    </row>
    <row r="23" spans="2:11" ht="15" customHeight="1" x14ac:dyDescent="0.25">
      <c r="B23" s="377" t="s">
        <v>38</v>
      </c>
      <c r="C23" s="379" t="s">
        <v>39</v>
      </c>
      <c r="D23" s="379" t="s">
        <v>40</v>
      </c>
      <c r="E23" s="379" t="s">
        <v>41</v>
      </c>
      <c r="F23" s="379" t="s">
        <v>42</v>
      </c>
      <c r="G23" s="379"/>
      <c r="H23" s="379"/>
      <c r="I23" s="379"/>
      <c r="J23" s="379"/>
      <c r="K23" s="381"/>
    </row>
    <row r="24" spans="2:11" ht="15" customHeight="1" x14ac:dyDescent="0.25">
      <c r="B24" s="377"/>
      <c r="C24" s="379"/>
      <c r="D24" s="379"/>
      <c r="E24" s="379"/>
      <c r="F24" s="379" t="s">
        <v>43</v>
      </c>
      <c r="G24" s="379"/>
      <c r="H24" s="379"/>
      <c r="I24" s="382" t="s">
        <v>44</v>
      </c>
      <c r="J24" s="384" t="s">
        <v>45</v>
      </c>
      <c r="K24" s="386" t="s">
        <v>46</v>
      </c>
    </row>
    <row r="25" spans="2:11" ht="15" customHeight="1" x14ac:dyDescent="0.25">
      <c r="B25" s="378"/>
      <c r="C25" s="380"/>
      <c r="D25" s="380"/>
      <c r="E25" s="380"/>
      <c r="F25" s="236" t="s">
        <v>47</v>
      </c>
      <c r="G25" s="236" t="s">
        <v>48</v>
      </c>
      <c r="H25" s="236" t="s">
        <v>49</v>
      </c>
      <c r="I25" s="383"/>
      <c r="J25" s="385"/>
      <c r="K25" s="387"/>
    </row>
    <row r="26" spans="2:11" ht="15" customHeight="1" x14ac:dyDescent="0.25">
      <c r="B26" s="325">
        <f t="shared" ref="B26:B35" si="1">B9</f>
        <v>46027</v>
      </c>
      <c r="C26" s="326" cm="1">
        <f t="array" ref="C26">SUMPRODUCT((AR!$C$4:$C$498&lt;&gt;"")*(AR!$D$4:$D$498&lt;&gt;"")*((AR!$E$4:$E$498&lt;=B26)+(AR!$E$4:$E$498&gt;B26)))</f>
        <v>38</v>
      </c>
      <c r="D26" s="326" cm="1">
        <f t="array" ref="D26">SUMPRODUCT((AR!$C$4:$C$498&lt;&gt;"")*(AR!$D$4:$D$498&lt;&gt;"")*(AR!$E$4:$E$498&lt;=B26))</f>
        <v>38</v>
      </c>
      <c r="E26" s="326" cm="1">
        <f t="array" ref="E26">SUMPRODUCT((AR!$C$4:$C$498&lt;&gt;"")*(AR!$D$4:$D$498&lt;&gt;"")*(AR!$F$4:$F$498&lt;&gt;"")*(AR!$F$4:$F$498&lt;=B26))</f>
        <v>0</v>
      </c>
      <c r="F26" s="326" cm="1">
        <f t="array" ref="F26">SUMPRODUCT((AR!$C$4:$C$498&lt;&gt;"")*(AR!$D$4:$D$498&lt;&gt;"")*(AR!$F$4:$F$498&lt;=$B26)*(AR!$J$4:$J$498="Pending")*(AR!$I$4:$I$498="CTA"))</f>
        <v>0</v>
      </c>
      <c r="G26" s="326" cm="1">
        <f t="array" ref="G26">SUMPRODUCT((AR!$C$4:$C$498&lt;&gt;"")*(AR!$D$4:$D$498&lt;&gt;"")*(AR!$F$4:$F$498&lt;=$B26)*(AR!$J$4:$J$498="Pending")*(AR!$I$4:$I$498="AUR"))</f>
        <v>0</v>
      </c>
      <c r="H26" s="326" cm="1">
        <f t="array" ref="H26">SUMPRODUCT((AR!$C$4:$C$498&lt;&gt;"")*(AR!$D$4:$D$498&lt;&gt;"")*(AR!$F$4:$F$498&lt;=$B26)*(AR!$J$4:$J$498="Pending")*(AR!$I$4:$I$498="STT"))</f>
        <v>0</v>
      </c>
      <c r="I26" s="326" cm="1">
        <f t="array" ref="I26">SUMPRODUCT((AR!$C$4:$C$498&lt;&gt;"")*(AR!$D$4:$D$498&lt;&gt;"")*(AR!$F$4:$F$498&lt;=$B26)*(AR!$J$4:$J$498="A"))</f>
        <v>0</v>
      </c>
      <c r="J26" s="326" cm="1">
        <f t="array" ref="J26">SUMPRODUCT((AR!$C$4:$C$498&lt;&gt;"")*(AR!$D$4:$D$498&lt;&gt;"")*(AR!$F$4:$F$498&lt;=$B26)*(AR!$J$4:$J$498="B"))</f>
        <v>0</v>
      </c>
      <c r="K26" s="327" cm="1">
        <f t="array" ref="K26">SUMPRODUCT((AR!$C$4:$C$498&lt;&gt;"")*(AR!$D$4:$D$498&lt;&gt;"")*(AR!$F$4:$F$498&lt;=$B26)*(AR!$J$4:$J$498="C"))</f>
        <v>0</v>
      </c>
    </row>
    <row r="27" spans="2:11" ht="15" customHeight="1" x14ac:dyDescent="0.25">
      <c r="B27" s="325">
        <f t="shared" si="1"/>
        <v>46034</v>
      </c>
      <c r="C27" s="326" cm="1">
        <f t="array" ref="C27">SUMPRODUCT((AR!$C$4:$C$498&lt;&gt;"")*(AR!$D$4:$D$498&lt;&gt;"")*((AR!$E$4:$E$498&lt;=B27)+(AR!$E$4:$E$498&gt;B27)))</f>
        <v>38</v>
      </c>
      <c r="D27" s="326" cm="1">
        <f t="array" ref="D27">SUMPRODUCT((AR!$C$4:$C$498&lt;&gt;"")*(AR!$D$4:$D$498&lt;&gt;"")*(AR!$E$4:$E$498&lt;=B27))</f>
        <v>38</v>
      </c>
      <c r="E27" s="326" cm="1">
        <f t="array" ref="E27">SUMPRODUCT((AR!$C$4:$C$498&lt;&gt;"")*(AR!$D$4:$D$498&lt;&gt;"")*(AR!$F$4:$F$498&lt;&gt;"")*(AR!$F$4:$F$498&lt;=B27))</f>
        <v>1</v>
      </c>
      <c r="F27" s="326" cm="1">
        <f t="array" ref="F27">SUMPRODUCT((AR!$C$4:$C$498&lt;&gt;"")*(AR!$D$4:$D$498&lt;&gt;"")*(AR!$F$4:$F$498&lt;=$B27)*(AR!$J$4:$J$498="Pending")*(AR!$I$4:$I$498="CTA"))</f>
        <v>1</v>
      </c>
      <c r="G27" s="326" cm="1">
        <f t="array" ref="G27">SUMPRODUCT((AR!$C$4:$C$498&lt;&gt;"")*(AR!$D$4:$D$498&lt;&gt;"")*(AR!$F$4:$F$498&lt;=$B27)*(AR!$J$4:$J$498="Pending")*(AR!$I$4:$I$498="AUR"))</f>
        <v>0</v>
      </c>
      <c r="H27" s="326" cm="1">
        <f t="array" ref="H27">SUMPRODUCT((AR!$C$4:$C$498&lt;&gt;"")*(AR!$D$4:$D$498&lt;&gt;"")*(AR!$F$4:$F$498&lt;=$B27)*(AR!$J$4:$J$498="Pending")*(AR!$I$4:$I$498="STT"))</f>
        <v>0</v>
      </c>
      <c r="I27" s="326" cm="1">
        <f t="array" ref="I27">SUMPRODUCT((AR!$C$4:$C$498&lt;&gt;"")*(AR!$D$4:$D$498&lt;&gt;"")*(AR!$F$4:$F$498&lt;=$B27)*(AR!$J$4:$J$498="A"))</f>
        <v>0</v>
      </c>
      <c r="J27" s="326" cm="1">
        <f t="array" ref="J27">SUMPRODUCT((AR!$C$4:$C$498&lt;&gt;"")*(AR!$D$4:$D$498&lt;&gt;"")*(AR!$F$4:$F$498&lt;=$B27)*(AR!$J$4:$J$498="B"))</f>
        <v>0</v>
      </c>
      <c r="K27" s="327" cm="1">
        <f t="array" ref="K27">SUMPRODUCT((AR!$C$4:$C$498&lt;&gt;"")*(AR!$D$4:$D$498&lt;&gt;"")*(AR!$F$4:$F$498&lt;=$B27)*(AR!$J$4:$J$498="C"))</f>
        <v>0</v>
      </c>
    </row>
    <row r="28" spans="2:11" ht="15" customHeight="1" x14ac:dyDescent="0.25">
      <c r="B28" s="325">
        <f t="shared" si="1"/>
        <v>46041</v>
      </c>
      <c r="C28" s="326" cm="1">
        <f t="array" ref="C28">SUMPRODUCT((AR!$C$4:$C$498&lt;&gt;"")*(AR!$D$4:$D$498&lt;&gt;"")*((AR!$E$4:$E$498&lt;=B28)+(AR!$E$4:$E$498&gt;B28)))</f>
        <v>38</v>
      </c>
      <c r="D28" s="326" cm="1">
        <f t="array" ref="D28">SUMPRODUCT((AR!$C$4:$C$498&lt;&gt;"")*(AR!$D$4:$D$498&lt;&gt;"")*(AR!$E$4:$E$498&lt;=B28))</f>
        <v>38</v>
      </c>
      <c r="E28" s="326" cm="1">
        <f t="array" ref="E28">SUMPRODUCT((AR!$C$4:$C$498&lt;&gt;"")*(AR!$D$4:$D$498&lt;&gt;"")*(AR!$F$4:$F$498&lt;&gt;"")*(AR!$F$4:$F$498&lt;=B28))</f>
        <v>12</v>
      </c>
      <c r="F28" s="326" cm="1">
        <f t="array" ref="F28">SUMPRODUCT((AR!$C$4:$C$498&lt;&gt;"")*(AR!$D$4:$D$498&lt;&gt;"")*(AR!$F$4:$F$498&lt;=$B28)*(AR!$J$4:$J$498="Pending")*(AR!$I$4:$I$498="CTA"))</f>
        <v>1</v>
      </c>
      <c r="G28" s="326" cm="1">
        <f t="array" ref="G28">SUMPRODUCT((AR!$C$4:$C$498&lt;&gt;"")*(AR!$D$4:$D$498&lt;&gt;"")*(AR!$F$4:$F$498&lt;=$B28)*(AR!$J$4:$J$498="Pending")*(AR!$I$4:$I$498="AUR"))</f>
        <v>0</v>
      </c>
      <c r="H28" s="326" cm="1">
        <f t="array" ref="H28">SUMPRODUCT((AR!$C$4:$C$498&lt;&gt;"")*(AR!$D$4:$D$498&lt;&gt;"")*(AR!$F$4:$F$498&lt;=$B28)*(AR!$J$4:$J$498="Pending")*(AR!$I$4:$I$498="STT"))</f>
        <v>1</v>
      </c>
      <c r="I28" s="326" cm="1">
        <f t="array" ref="I28">SUMPRODUCT((AR!$C$4:$C$498&lt;&gt;"")*(AR!$D$4:$D$498&lt;&gt;"")*(AR!$F$4:$F$498&lt;=$B28)*(AR!$J$4:$J$498="A"))</f>
        <v>1</v>
      </c>
      <c r="J28" s="326" cm="1">
        <f t="array" ref="J28">SUMPRODUCT((AR!$C$4:$C$498&lt;&gt;"")*(AR!$D$4:$D$498&lt;&gt;"")*(AR!$F$4:$F$498&lt;=$B28)*(AR!$J$4:$J$498="B"))</f>
        <v>9</v>
      </c>
      <c r="K28" s="327" cm="1">
        <f t="array" ref="K28">SUMPRODUCT((AR!$C$4:$C$498&lt;&gt;"")*(AR!$D$4:$D$498&lt;&gt;"")*(AR!$F$4:$F$498&lt;=$B28)*(AR!$J$4:$J$498="C"))</f>
        <v>0</v>
      </c>
    </row>
    <row r="29" spans="2:11" ht="15" customHeight="1" x14ac:dyDescent="0.25">
      <c r="B29" s="325">
        <f t="shared" si="1"/>
        <v>46048</v>
      </c>
      <c r="C29" s="326" cm="1">
        <f t="array" ref="C29">SUMPRODUCT((AR!$C$4:$C$498&lt;&gt;"")*(AR!$D$4:$D$498&lt;&gt;"")*((AR!$E$4:$E$498&lt;=B29)+(AR!$E$4:$E$498&gt;B29)))</f>
        <v>38</v>
      </c>
      <c r="D29" s="326" cm="1">
        <f t="array" ref="D29">SUMPRODUCT((AR!$C$4:$C$498&lt;&gt;"")*(AR!$D$4:$D$498&lt;&gt;"")*(AR!$E$4:$E$498&lt;=B29))</f>
        <v>38</v>
      </c>
      <c r="E29" s="326" cm="1">
        <f t="array" ref="E29">SUMPRODUCT((AR!$C$4:$C$498&lt;&gt;"")*(AR!$D$4:$D$498&lt;&gt;"")*(AR!$F$4:$F$498&lt;&gt;"")*(AR!$F$4:$F$498&lt;=B29))</f>
        <v>33</v>
      </c>
      <c r="F29" s="326" cm="1">
        <f t="array" ref="F29">SUMPRODUCT((AR!$C$4:$C$498&lt;&gt;"")*(AR!$D$4:$D$498&lt;&gt;"")*(AR!$F$4:$F$498&lt;=$B29)*(AR!$J$4:$J$498="Pending")*(AR!$I$4:$I$498="CTA"))</f>
        <v>1</v>
      </c>
      <c r="G29" s="326" cm="1">
        <f t="array" ref="G29">SUMPRODUCT((AR!$C$4:$C$498&lt;&gt;"")*(AR!$D$4:$D$498&lt;&gt;"")*(AR!$F$4:$F$498&lt;=$B29)*(AR!$J$4:$J$498="Pending")*(AR!$I$4:$I$498="AUR"))</f>
        <v>0</v>
      </c>
      <c r="H29" s="326" cm="1">
        <f t="array" ref="H29">SUMPRODUCT((AR!$C$4:$C$498&lt;&gt;"")*(AR!$D$4:$D$498&lt;&gt;"")*(AR!$F$4:$F$498&lt;=$B29)*(AR!$J$4:$J$498="Pending")*(AR!$I$4:$I$498="STT"))</f>
        <v>7</v>
      </c>
      <c r="I29" s="326" cm="1">
        <f t="array" ref="I29">SUMPRODUCT((AR!$C$4:$C$498&lt;&gt;"")*(AR!$D$4:$D$498&lt;&gt;"")*(AR!$F$4:$F$498&lt;=$B29)*(AR!$J$4:$J$498="A"))</f>
        <v>1</v>
      </c>
      <c r="J29" s="326" cm="1">
        <f t="array" ref="J29">SUMPRODUCT((AR!$C$4:$C$498&lt;&gt;"")*(AR!$D$4:$D$498&lt;&gt;"")*(AR!$F$4:$F$498&lt;=$B29)*(AR!$J$4:$J$498="B"))</f>
        <v>24</v>
      </c>
      <c r="K29" s="327" cm="1">
        <f t="array" ref="K29">SUMPRODUCT((AR!$C$4:$C$498&lt;&gt;"")*(AR!$D$4:$D$498&lt;&gt;"")*(AR!$F$4:$F$498&lt;=$B29)*(AR!$J$4:$J$498="C"))</f>
        <v>0</v>
      </c>
    </row>
    <row r="30" spans="2:11" ht="15" customHeight="1" x14ac:dyDescent="0.25">
      <c r="B30" s="325">
        <f t="shared" si="1"/>
        <v>46055</v>
      </c>
      <c r="C30" s="326" cm="1">
        <f t="array" ref="C30">SUMPRODUCT((AR!$C$4:$C$498&lt;&gt;"")*(AR!$D$4:$D$498&lt;&gt;"")*((AR!$E$4:$E$498&lt;=B30)+(AR!$E$4:$E$498&gt;B30)))</f>
        <v>38</v>
      </c>
      <c r="D30" s="326" cm="1">
        <f t="array" ref="D30">SUMPRODUCT((AR!$C$4:$C$498&lt;&gt;"")*(AR!$D$4:$D$498&lt;&gt;"")*(AR!$E$4:$E$498&lt;=B30))</f>
        <v>38</v>
      </c>
      <c r="E30" s="326" cm="1">
        <f t="array" ref="E30">SUMPRODUCT((AR!$C$4:$C$498&lt;&gt;"")*(AR!$D$4:$D$498&lt;&gt;"")*(AR!$F$4:$F$498&lt;&gt;"")*(AR!$F$4:$F$498&lt;=B30))</f>
        <v>33</v>
      </c>
      <c r="F30" s="326" cm="1">
        <f t="array" ref="F30">SUMPRODUCT((AR!$C$4:$C$498&lt;&gt;"")*(AR!$D$4:$D$498&lt;&gt;"")*(AR!$F$4:$F$498&lt;=$B30)*(AR!$J$4:$J$498="Pending")*(AR!$I$4:$I$498="CTA"))</f>
        <v>1</v>
      </c>
      <c r="G30" s="326" cm="1">
        <f t="array" ref="G30">SUMPRODUCT((AR!$C$4:$C$498&lt;&gt;"")*(AR!$D$4:$D$498&lt;&gt;"")*(AR!$F$4:$F$498&lt;=$B30)*(AR!$J$4:$J$498="Pending")*(AR!$I$4:$I$498="AUR"))</f>
        <v>0</v>
      </c>
      <c r="H30" s="326" cm="1">
        <f t="array" ref="H30">SUMPRODUCT((AR!$C$4:$C$498&lt;&gt;"")*(AR!$D$4:$D$498&lt;&gt;"")*(AR!$F$4:$F$498&lt;=$B30)*(AR!$J$4:$J$498="Pending")*(AR!$I$4:$I$498="STT"))</f>
        <v>7</v>
      </c>
      <c r="I30" s="326" cm="1">
        <f t="array" ref="I30">SUMPRODUCT((AR!$C$4:$C$498&lt;&gt;"")*(AR!$D$4:$D$498&lt;&gt;"")*(AR!$F$4:$F$498&lt;=$B30)*(AR!$J$4:$J$498="A"))</f>
        <v>1</v>
      </c>
      <c r="J30" s="326" cm="1">
        <f t="array" ref="J30">SUMPRODUCT((AR!$C$4:$C$498&lt;&gt;"")*(AR!$D$4:$D$498&lt;&gt;"")*(AR!$F$4:$F$498&lt;=$B30)*(AR!$J$4:$J$498="B"))</f>
        <v>24</v>
      </c>
      <c r="K30" s="327" cm="1">
        <f t="array" ref="K30">SUMPRODUCT((AR!$C$4:$C$498&lt;&gt;"")*(AR!$D$4:$D$498&lt;&gt;"")*(AR!$F$4:$F$498&lt;=$B30)*(AR!$J$4:$J$498="C"))</f>
        <v>0</v>
      </c>
    </row>
    <row r="31" spans="2:11" ht="15" customHeight="1" x14ac:dyDescent="0.25">
      <c r="B31" s="325">
        <f t="shared" si="1"/>
        <v>46062</v>
      </c>
      <c r="C31" s="326" cm="1">
        <f t="array" ref="C31">SUMPRODUCT((AR!$C$4:$C$498&lt;&gt;"")*(AR!$D$4:$D$498&lt;&gt;"")*((AR!$E$4:$E$498&lt;=B31)+(AR!$E$4:$E$498&gt;B31)))</f>
        <v>38</v>
      </c>
      <c r="D31" s="326" cm="1">
        <f t="array" ref="D31">SUMPRODUCT((AR!$C$4:$C$498&lt;&gt;"")*(AR!$D$4:$D$498&lt;&gt;"")*(AR!$E$4:$E$498&lt;=B31))</f>
        <v>38</v>
      </c>
      <c r="E31" s="326" cm="1">
        <f t="array" ref="E31">SUMPRODUCT((AR!$C$4:$C$498&lt;&gt;"")*(AR!$D$4:$D$498&lt;&gt;"")*(AR!$F$4:$F$498&lt;&gt;"")*(AR!$F$4:$F$498&lt;=B31))</f>
        <v>37</v>
      </c>
      <c r="F31" s="326" cm="1">
        <f t="array" ref="F31">SUMPRODUCT((AR!$C$4:$C$498&lt;&gt;"")*(AR!$D$4:$D$498&lt;&gt;"")*(AR!$F$4:$F$498&lt;=$B31)*(AR!$J$4:$J$498="Pending")*(AR!$I$4:$I$498="CTA"))</f>
        <v>1</v>
      </c>
      <c r="G31" s="326" cm="1">
        <f t="array" ref="G31">SUMPRODUCT((AR!$C$4:$C$498&lt;&gt;"")*(AR!$D$4:$D$498&lt;&gt;"")*(AR!$F$4:$F$498&lt;=$B31)*(AR!$J$4:$J$498="Pending")*(AR!$I$4:$I$498="AUR"))</f>
        <v>0</v>
      </c>
      <c r="H31" s="326" cm="1">
        <f t="array" ref="H31">SUMPRODUCT((AR!$C$4:$C$498&lt;&gt;"")*(AR!$D$4:$D$498&lt;&gt;"")*(AR!$F$4:$F$498&lt;=$B31)*(AR!$J$4:$J$498="Pending")*(AR!$I$4:$I$498="STT"))</f>
        <v>11</v>
      </c>
      <c r="I31" s="326" cm="1">
        <f t="array" ref="I31">SUMPRODUCT((AR!$C$4:$C$498&lt;&gt;"")*(AR!$D$4:$D$498&lt;&gt;"")*(AR!$F$4:$F$498&lt;=$B31)*(AR!$J$4:$J$498="A"))</f>
        <v>1</v>
      </c>
      <c r="J31" s="326" cm="1">
        <f t="array" ref="J31">SUMPRODUCT((AR!$C$4:$C$498&lt;&gt;"")*(AR!$D$4:$D$498&lt;&gt;"")*(AR!$F$4:$F$498&lt;=$B31)*(AR!$J$4:$J$498="B"))</f>
        <v>24</v>
      </c>
      <c r="K31" s="327" cm="1">
        <f t="array" ref="K31">SUMPRODUCT((AR!$C$4:$C$498&lt;&gt;"")*(AR!$D$4:$D$498&lt;&gt;"")*(AR!$F$4:$F$498&lt;=$B31)*(AR!$J$4:$J$498="C"))</f>
        <v>0</v>
      </c>
    </row>
    <row r="32" spans="2:11" ht="15" customHeight="1" x14ac:dyDescent="0.25">
      <c r="B32" s="325">
        <f t="shared" si="1"/>
        <v>46069</v>
      </c>
      <c r="C32" s="326" cm="1">
        <f t="array" ref="C32">SUMPRODUCT((AR!$C$4:$C$498&lt;&gt;"")*(AR!$D$4:$D$498&lt;&gt;"")*((AR!$E$4:$E$498&lt;=B32)+(AR!$E$4:$E$498&gt;B32)))</f>
        <v>38</v>
      </c>
      <c r="D32" s="326" cm="1">
        <f t="array" ref="D32">SUMPRODUCT((AR!$C$4:$C$498&lt;&gt;"")*(AR!$D$4:$D$498&lt;&gt;"")*(AR!$E$4:$E$498&lt;=B32))</f>
        <v>38</v>
      </c>
      <c r="E32" s="326" cm="1">
        <f t="array" ref="E32">SUMPRODUCT((AR!$C$4:$C$498&lt;&gt;"")*(AR!$D$4:$D$498&lt;&gt;"")*(AR!$F$4:$F$498&lt;&gt;"")*(AR!$F$4:$F$498&lt;=B32))</f>
        <v>38</v>
      </c>
      <c r="F32" s="326"/>
      <c r="G32" s="326"/>
      <c r="H32" s="326"/>
      <c r="I32" s="326"/>
      <c r="J32" s="326"/>
      <c r="K32" s="327"/>
    </row>
    <row r="33" spans="2:11" ht="15" customHeight="1" x14ac:dyDescent="0.25">
      <c r="B33" s="325">
        <f t="shared" si="1"/>
        <v>46076</v>
      </c>
      <c r="C33" s="326" cm="1">
        <f t="array" ref="C33">SUMPRODUCT((AR!$C$4:$C$498&lt;&gt;"")*(AR!$D$4:$D$498&lt;&gt;"")*((AR!$E$4:$E$498&lt;=B33)+(AR!$E$4:$E$498&gt;B33)))</f>
        <v>38</v>
      </c>
      <c r="D33" s="326" cm="1">
        <f t="array" ref="D33">SUMPRODUCT((AR!$C$4:$C$498&lt;&gt;"")*(AR!$D$4:$D$498&lt;&gt;"")*(AR!$E$4:$E$498&lt;=B33))</f>
        <v>38</v>
      </c>
      <c r="E33" s="326" cm="1">
        <f t="array" ref="E33">SUMPRODUCT((AR!$C$4:$C$498&lt;&gt;"")*(AR!$D$4:$D$498&lt;&gt;"")*(AR!$F$4:$F$498&lt;&gt;"")*(AR!$F$4:$F$498&lt;=B33))</f>
        <v>38</v>
      </c>
      <c r="F33" s="326"/>
      <c r="G33" s="326"/>
      <c r="H33" s="326"/>
      <c r="I33" s="326"/>
      <c r="J33" s="326"/>
      <c r="K33" s="327"/>
    </row>
    <row r="34" spans="2:11" ht="15" customHeight="1" x14ac:dyDescent="0.25">
      <c r="B34" s="325">
        <f t="shared" si="1"/>
        <v>46083</v>
      </c>
      <c r="C34" s="326" cm="1">
        <f t="array" ref="C34">SUMPRODUCT((AR!$C$4:$C$498&lt;&gt;"")*(AR!$D$4:$D$498&lt;&gt;"")*((AR!$E$4:$E$498&lt;=B34)+(AR!$E$4:$E$498&gt;B34)))</f>
        <v>38</v>
      </c>
      <c r="D34" s="326" cm="1">
        <f t="array" ref="D34">SUMPRODUCT((AR!$C$4:$C$498&lt;&gt;"")*(AR!$D$4:$D$498&lt;&gt;"")*(AR!$E$4:$E$498&lt;=B34))</f>
        <v>38</v>
      </c>
      <c r="E34" s="326" cm="1">
        <f t="array" ref="E34">SUMPRODUCT((AR!$C$4:$C$498&lt;&gt;"")*(AR!$D$4:$D$498&lt;&gt;"")*(AR!$F$4:$F$498&lt;&gt;"")*(AR!$F$4:$F$498&lt;=B34))</f>
        <v>38</v>
      </c>
      <c r="F34" s="326"/>
      <c r="G34" s="326"/>
      <c r="H34" s="326"/>
      <c r="I34" s="326"/>
      <c r="J34" s="326"/>
      <c r="K34" s="327"/>
    </row>
    <row r="35" spans="2:11" ht="15" customHeight="1" x14ac:dyDescent="0.25">
      <c r="B35" s="325">
        <f t="shared" si="1"/>
        <v>46090</v>
      </c>
      <c r="C35" s="326" cm="1">
        <f t="array" ref="C35">SUMPRODUCT((AR!$C$4:$C$498&lt;&gt;"")*(AR!$D$4:$D$498&lt;&gt;"")*((AR!$E$4:$E$498&lt;=B35)+(AR!$E$4:$E$498&gt;B35)))</f>
        <v>38</v>
      </c>
      <c r="D35" s="326" cm="1">
        <f t="array" ref="D35">SUMPRODUCT((AR!$C$4:$C$498&lt;&gt;"")*(AR!$D$4:$D$498&lt;&gt;"")*(AR!$E$4:$E$498&lt;=B35))</f>
        <v>38</v>
      </c>
      <c r="E35" s="326" cm="1">
        <f t="array" ref="E35">SUMPRODUCT((AR!$C$4:$C$498&lt;&gt;"")*(AR!$D$4:$D$498&lt;&gt;"")*(AR!$F$4:$F$498&lt;&gt;"")*(AR!$F$4:$F$498&lt;=B35))</f>
        <v>38</v>
      </c>
      <c r="F35" s="326"/>
      <c r="G35" s="326"/>
      <c r="H35" s="326"/>
      <c r="I35" s="326"/>
      <c r="J35" s="326"/>
      <c r="K35" s="327"/>
    </row>
    <row r="36" spans="2:11" ht="15" customHeight="1" x14ac:dyDescent="0.25">
      <c r="B36" s="352"/>
      <c r="C36" s="353"/>
      <c r="D36" s="353"/>
      <c r="E36" s="353"/>
      <c r="F36" s="353"/>
      <c r="G36" s="353"/>
      <c r="H36" s="353"/>
      <c r="I36" s="353"/>
      <c r="J36" s="353"/>
      <c r="K36" s="354"/>
    </row>
    <row r="38" spans="2:11" ht="15" customHeight="1" x14ac:dyDescent="0.25">
      <c r="B38" s="374" t="s">
        <v>50</v>
      </c>
      <c r="C38" s="375"/>
      <c r="D38" s="375"/>
      <c r="E38" s="375"/>
      <c r="F38" s="375"/>
      <c r="G38" s="375"/>
      <c r="H38" s="375"/>
      <c r="I38" s="375"/>
      <c r="J38" s="375"/>
      <c r="K38" s="376"/>
    </row>
    <row r="39" spans="2:11" ht="15" customHeight="1" x14ac:dyDescent="0.25">
      <c r="B39" s="377" t="s">
        <v>38</v>
      </c>
      <c r="C39" s="379" t="s">
        <v>39</v>
      </c>
      <c r="D39" s="379" t="s">
        <v>40</v>
      </c>
      <c r="E39" s="379" t="s">
        <v>41</v>
      </c>
      <c r="F39" s="379" t="s">
        <v>42</v>
      </c>
      <c r="G39" s="379"/>
      <c r="H39" s="379"/>
      <c r="I39" s="379"/>
      <c r="J39" s="379"/>
      <c r="K39" s="381"/>
    </row>
    <row r="40" spans="2:11" ht="15" customHeight="1" x14ac:dyDescent="0.25">
      <c r="B40" s="377"/>
      <c r="C40" s="379"/>
      <c r="D40" s="379"/>
      <c r="E40" s="379"/>
      <c r="F40" s="379" t="s">
        <v>43</v>
      </c>
      <c r="G40" s="379"/>
      <c r="H40" s="379"/>
      <c r="I40" s="382" t="s">
        <v>44</v>
      </c>
      <c r="J40" s="384" t="s">
        <v>45</v>
      </c>
      <c r="K40" s="386" t="s">
        <v>46</v>
      </c>
    </row>
    <row r="41" spans="2:11" ht="15" customHeight="1" x14ac:dyDescent="0.25">
      <c r="B41" s="378"/>
      <c r="C41" s="380"/>
      <c r="D41" s="380"/>
      <c r="E41" s="380"/>
      <c r="F41" s="236" t="s">
        <v>47</v>
      </c>
      <c r="G41" s="236" t="s">
        <v>48</v>
      </c>
      <c r="H41" s="236" t="s">
        <v>49</v>
      </c>
      <c r="I41" s="383"/>
      <c r="J41" s="385"/>
      <c r="K41" s="387"/>
    </row>
    <row r="42" spans="2:11" ht="15" customHeight="1" x14ac:dyDescent="0.25">
      <c r="B42" s="325">
        <f t="shared" ref="B42:B51" si="2">B9</f>
        <v>46027</v>
      </c>
      <c r="C42" s="326" cm="1">
        <f t="array" ref="C42">SUMPRODUCT((EL!$C$4:$C$477&lt;&gt;"")*(EL!$D$4:$D$477&lt;&gt;"")*((EL!$E$4:$E$477&lt;=B42)+(EL!$E$4:$E$477&gt;B42)))</f>
        <v>47</v>
      </c>
      <c r="D42" s="351" cm="1">
        <f t="array" ref="D42">SUMPRODUCT((EL!$C$4:$C$477&lt;&gt;"")*(EL!$D$4:$D$477&lt;&gt;"")*(EL!$E$4:$E$477&lt;=B42))</f>
        <v>47</v>
      </c>
      <c r="E42" s="326" cm="1">
        <f t="array" ref="E42">SUMPRODUCT((EL!$C$4:$C$477&lt;&gt;"")*(EL!$D$4:$D$477&lt;&gt;"")*(EL!$F$4:$F$477&lt;&gt;"")*(EL!$F$4:$F$477&lt;=B42))</f>
        <v>0</v>
      </c>
      <c r="F42" s="326" cm="1">
        <f t="array" ref="F42">SUMPRODUCT((EL!$C$4:$C$477&lt;&gt;"")*(EL!$D$4:$D$477&lt;&gt;"")*(EL!$F$4:$F$477&lt;=$B42)*(EL!$K$4:$K$477="Pending")*(EL!$J$4:$J$477="CTA"))</f>
        <v>0</v>
      </c>
      <c r="G42" s="326" cm="1">
        <f t="array" ref="G42">SUMPRODUCT((EL!$C$4:$C$477&lt;&gt;"")*(EL!$D$4:$D$477&lt;&gt;"")*(EL!$F$4:$F$477&lt;=$B42)*(EL!$K$4:$K$477="Pending")*(EL!$J$4:$J$477="AUR"))</f>
        <v>0</v>
      </c>
      <c r="H42" s="326" cm="1">
        <f t="array" ref="H42">SUMPRODUCT((EL!$C$4:$C$477&lt;&gt;"")*(EL!$D$4:$D$477&lt;&gt;"")*(EL!$F$4:$F$477&lt;=$B42)*(EL!$K$4:$K$477="Pending")*(EL!$J$4:$J$477="STT"))</f>
        <v>0</v>
      </c>
      <c r="I42" s="326" cm="1">
        <f t="array" ref="I42">SUMPRODUCT((EL!$C$4:$C$477&lt;&gt;"")*(EL!$D$4:$D$477&lt;&gt;"")*(EL!$F$4:$F$477&lt;=$B42)*(EL!$K$4:$K$477="A"))</f>
        <v>0</v>
      </c>
      <c r="J42" s="326" cm="1">
        <f t="array" ref="J42">SUMPRODUCT((EL!$C$4:$C$477&lt;&gt;"")*(EL!$D$4:$D$477&lt;&gt;"")*(EL!$F$4:$F$477&lt;=$B42)*(EL!$K$4:$K$477="B"))</f>
        <v>0</v>
      </c>
      <c r="K42" s="327" cm="1">
        <f t="array" ref="K42">SUMPRODUCT((EL!$C$4:$C$477&lt;&gt;"")*(EL!$D$4:$D$477&lt;&gt;"")*(EL!$F$4:$F$477&lt;=$B42)*(EL!$K$4:$K$477="C"))</f>
        <v>0</v>
      </c>
    </row>
    <row r="43" spans="2:11" ht="15" customHeight="1" x14ac:dyDescent="0.25">
      <c r="B43" s="325">
        <f t="shared" si="2"/>
        <v>46034</v>
      </c>
      <c r="C43" s="326" cm="1">
        <f t="array" ref="C43">SUMPRODUCT((EL!$C$4:$C$477&lt;&gt;"")*(EL!$D$4:$D$477&lt;&gt;"")*((EL!$E$4:$E$477&lt;=B43)+(EL!$E$4:$E$477&gt;B43)))</f>
        <v>47</v>
      </c>
      <c r="D43" s="351" cm="1">
        <f t="array" ref="D43">SUMPRODUCT((EL!$C$4:$C$477&lt;&gt;"")*(EL!$D$4:$D$477&lt;&gt;"")*(EL!$E$4:$E$477&lt;=B43))</f>
        <v>47</v>
      </c>
      <c r="E43" s="326" cm="1">
        <f t="array" ref="E43">SUMPRODUCT((EL!$C$4:$C$477&lt;&gt;"")*(EL!$D$4:$D$477&lt;&gt;"")*(EL!$F$4:$F$477&lt;&gt;"")*(EL!$F$4:$F$477&lt;=B43))</f>
        <v>0</v>
      </c>
      <c r="F43" s="326" cm="1">
        <f t="array" ref="F43">SUMPRODUCT((EL!$C$4:$C$477&lt;&gt;"")*(EL!$D$4:$D$477&lt;&gt;"")*(EL!$F$4:$F$477&lt;=$B43)*(EL!$K$4:$K$477="Pending")*(EL!$J$4:$J$477="CTA"))</f>
        <v>0</v>
      </c>
      <c r="G43" s="326" cm="1">
        <f t="array" ref="G43">SUMPRODUCT((EL!$C$4:$C$477&lt;&gt;"")*(EL!$D$4:$D$477&lt;&gt;"")*(EL!$F$4:$F$477&lt;=$B43)*(EL!$K$4:$K$477="Pending")*(EL!$J$4:$J$477="AUR"))</f>
        <v>0</v>
      </c>
      <c r="H43" s="326" cm="1">
        <f t="array" ref="H43">SUMPRODUCT((EL!$C$4:$C$477&lt;&gt;"")*(EL!$D$4:$D$477&lt;&gt;"")*(EL!$F$4:$F$477&lt;=$B43)*(EL!$K$4:$K$477="Pending")*(EL!$J$4:$J$477="STT"))</f>
        <v>0</v>
      </c>
      <c r="I43" s="326" cm="1">
        <f t="array" ref="I43">SUMPRODUCT((EL!$C$4:$C$477&lt;&gt;"")*(EL!$D$4:$D$477&lt;&gt;"")*(EL!$F$4:$F$477&lt;=$B43)*(EL!$K$4:$K$477="A"))</f>
        <v>0</v>
      </c>
      <c r="J43" s="326" cm="1">
        <f t="array" ref="J43">SUMPRODUCT((EL!$C$4:$C$477&lt;&gt;"")*(EL!$D$4:$D$477&lt;&gt;"")*(EL!$F$4:$F$477&lt;=$B43)*(EL!$K$4:$K$477="B"))</f>
        <v>0</v>
      </c>
      <c r="K43" s="327" cm="1">
        <f t="array" ref="K43">SUMPRODUCT((EL!$C$4:$C$477&lt;&gt;"")*(EL!$D$4:$D$477&lt;&gt;"")*(EL!$F$4:$F$477&lt;=$B43)*(EL!$K$4:$K$477="C"))</f>
        <v>0</v>
      </c>
    </row>
    <row r="44" spans="2:11" ht="15" customHeight="1" x14ac:dyDescent="0.25">
      <c r="B44" s="325">
        <f t="shared" si="2"/>
        <v>46041</v>
      </c>
      <c r="C44" s="326" cm="1">
        <f t="array" ref="C44">SUMPRODUCT((EL!$C$4:$C$477&lt;&gt;"")*(EL!$D$4:$D$477&lt;&gt;"")*((EL!$E$4:$E$477&lt;=B44)+(EL!$E$4:$E$477&gt;B44)))</f>
        <v>47</v>
      </c>
      <c r="D44" s="351" cm="1">
        <f t="array" ref="D44">SUMPRODUCT((EL!$C$4:$C$477&lt;&gt;"")*(EL!$D$4:$D$477&lt;&gt;"")*(EL!$E$4:$E$477&lt;=B44))</f>
        <v>47</v>
      </c>
      <c r="E44" s="326" cm="1">
        <f t="array" ref="E44">SUMPRODUCT((EL!$C$4:$C$477&lt;&gt;"")*(EL!$D$4:$D$477&lt;&gt;"")*(EL!$F$4:$F$477&lt;&gt;"")*(EL!$F$4:$F$477&lt;=B44))</f>
        <v>17</v>
      </c>
      <c r="F44" s="326" cm="1">
        <f t="array" ref="F44">SUMPRODUCT((EL!$C$4:$C$477&lt;&gt;"")*(EL!$D$4:$D$477&lt;&gt;"")*(EL!$F$4:$F$477&lt;=$B44)*(EL!$K$4:$K$477="Pending")*(EL!$J$4:$J$477="CTA"))</f>
        <v>0</v>
      </c>
      <c r="G44" s="326" cm="1">
        <f t="array" ref="G44">SUMPRODUCT((EL!$C$4:$C$477&lt;&gt;"")*(EL!$D$4:$D$477&lt;&gt;"")*(EL!$F$4:$F$477&lt;=$B44)*(EL!$K$4:$K$477="Pending")*(EL!$J$4:$J$477="AUR"))</f>
        <v>7</v>
      </c>
      <c r="H44" s="326" cm="1">
        <f t="array" ref="H44">SUMPRODUCT((EL!$C$4:$C$477&lt;&gt;"")*(EL!$D$4:$D$477&lt;&gt;"")*(EL!$F$4:$F$477&lt;=$B44)*(EL!$K$4:$K$477="Pending")*(EL!$J$4:$J$477="STT"))</f>
        <v>10</v>
      </c>
      <c r="I44" s="326" cm="1">
        <f t="array" ref="I44">SUMPRODUCT((EL!$C$4:$C$477&lt;&gt;"")*(EL!$D$4:$D$477&lt;&gt;"")*(EL!$F$4:$F$477&lt;=$B44)*(EL!$K$4:$K$477="A"))</f>
        <v>0</v>
      </c>
      <c r="J44" s="326" cm="1">
        <f t="array" ref="J44">SUMPRODUCT((EL!$C$4:$C$477&lt;&gt;"")*(EL!$D$4:$D$477&lt;&gt;"")*(EL!$F$4:$F$477&lt;=$B44)*(EL!$K$4:$K$477="B"))</f>
        <v>0</v>
      </c>
      <c r="K44" s="327" cm="1">
        <f t="array" ref="K44">SUMPRODUCT((EL!$C$4:$C$477&lt;&gt;"")*(EL!$D$4:$D$477&lt;&gt;"")*(EL!$F$4:$F$477&lt;=$B44)*(EL!$K$4:$K$477="C"))</f>
        <v>0</v>
      </c>
    </row>
    <row r="45" spans="2:11" ht="15" customHeight="1" x14ac:dyDescent="0.25">
      <c r="B45" s="325">
        <f t="shared" si="2"/>
        <v>46048</v>
      </c>
      <c r="C45" s="326" cm="1">
        <f t="array" ref="C45">SUMPRODUCT((EL!$C$4:$C$477&lt;&gt;"")*(EL!$D$4:$D$477&lt;&gt;"")*((EL!$E$4:$E$477&lt;=B45)+(EL!$E$4:$E$477&gt;B45)))</f>
        <v>47</v>
      </c>
      <c r="D45" s="326" cm="1">
        <f t="array" ref="D45">SUMPRODUCT((EL!$C$4:$C$477&lt;&gt;"")*(EL!$D$4:$D$477&lt;&gt;"")*(EL!$E$4:$E$477&lt;=B45))</f>
        <v>47</v>
      </c>
      <c r="E45" s="326" cm="1">
        <f t="array" ref="E45">SUMPRODUCT((EL!$C$4:$C$477&lt;&gt;"")*(EL!$D$4:$D$477&lt;&gt;"")*(EL!$F$4:$F$477&lt;&gt;"")*(EL!$F$4:$F$477&lt;=B45))</f>
        <v>30</v>
      </c>
      <c r="F45" s="326" cm="1">
        <f t="array" ref="F45">SUMPRODUCT((EL!$C$4:$C$477&lt;&gt;"")*(EL!$D$4:$D$477&lt;&gt;"")*(EL!$F$4:$F$477&lt;=$B45)*(EL!$K$4:$K$477="Pending")*(EL!$J$4:$J$477="CTA"))</f>
        <v>0</v>
      </c>
      <c r="G45" s="326" cm="1">
        <f t="array" ref="G45">SUMPRODUCT((EL!$C$4:$C$477&lt;&gt;"")*(EL!$D$4:$D$477&lt;&gt;"")*(EL!$F$4:$F$477&lt;=$B45)*(EL!$K$4:$K$477="Pending")*(EL!$J$4:$J$477="AUR"))</f>
        <v>12</v>
      </c>
      <c r="H45" s="326" cm="1">
        <f t="array" ref="H45">SUMPRODUCT((EL!$C$4:$C$477&lt;&gt;"")*(EL!$D$4:$D$477&lt;&gt;"")*(EL!$F$4:$F$477&lt;=$B45)*(EL!$K$4:$K$477="Pending")*(EL!$J$4:$J$477="STT"))</f>
        <v>18</v>
      </c>
      <c r="I45" s="326" cm="1">
        <f t="array" ref="I45">SUMPRODUCT((EL!$C$4:$C$477&lt;&gt;"")*(EL!$D$4:$D$477&lt;&gt;"")*(EL!$F$4:$F$477&lt;=$B45)*(EL!$K$4:$K$477="A"))</f>
        <v>0</v>
      </c>
      <c r="J45" s="326" cm="1">
        <f t="array" ref="J45">SUMPRODUCT((EL!$C$4:$C$477&lt;&gt;"")*(EL!$D$4:$D$477&lt;&gt;"")*(EL!$F$4:$F$477&lt;=$B45)*(EL!$K$4:$K$477="B"))</f>
        <v>0</v>
      </c>
      <c r="K45" s="327" cm="1">
        <f t="array" ref="K45">SUMPRODUCT((EL!$C$4:$C$477&lt;&gt;"")*(EL!$D$4:$D$477&lt;&gt;"")*(EL!$F$4:$F$477&lt;=$B45)*(EL!$K$4:$K$477="C"))</f>
        <v>0</v>
      </c>
    </row>
    <row r="46" spans="2:11" ht="15" customHeight="1" x14ac:dyDescent="0.25">
      <c r="B46" s="325">
        <f t="shared" si="2"/>
        <v>46055</v>
      </c>
      <c r="C46" s="326" cm="1">
        <f t="array" ref="C46">SUMPRODUCT((EL!$C$4:$C$477&lt;&gt;"")*(EL!$D$4:$D$477&lt;&gt;"")*((EL!$E$4:$E$477&lt;=B46)+(EL!$E$4:$E$477&gt;B46)))</f>
        <v>47</v>
      </c>
      <c r="D46" s="326" cm="1">
        <f t="array" ref="D46">SUMPRODUCT((EL!$C$4:$C$477&lt;&gt;"")*(EL!$D$4:$D$477&lt;&gt;"")*(EL!$E$4:$E$477&lt;=B46))</f>
        <v>47</v>
      </c>
      <c r="E46" s="326" cm="1">
        <f t="array" ref="E46">SUMPRODUCT((EL!$C$4:$C$477&lt;&gt;"")*(EL!$D$4:$D$477&lt;&gt;"")*(EL!$F$4:$F$477&lt;&gt;"")*(EL!$F$4:$F$477&lt;=B46))</f>
        <v>37</v>
      </c>
      <c r="F46" s="326" cm="1">
        <f t="array" ref="F46">SUMPRODUCT((EL!$C$4:$C$477&lt;&gt;"")*(EL!$D$4:$D$477&lt;&gt;"")*(EL!$F$4:$F$477&lt;=$B46)*(EL!$K$4:$K$477="Pending")*(EL!$J$4:$J$477="CTA"))</f>
        <v>0</v>
      </c>
      <c r="G46" s="326" cm="1">
        <f t="array" ref="G46">SUMPRODUCT((EL!$C$4:$C$477&lt;&gt;"")*(EL!$D$4:$D$477&lt;&gt;"")*(EL!$F$4:$F$477&lt;=$B46)*(EL!$K$4:$K$477="Pending")*(EL!$J$4:$J$477="AUR"))</f>
        <v>19</v>
      </c>
      <c r="H46" s="326" cm="1">
        <f t="array" ref="H46">SUMPRODUCT((EL!$C$4:$C$477&lt;&gt;"")*(EL!$D$4:$D$477&lt;&gt;"")*(EL!$F$4:$F$477&lt;=$B46)*(EL!$K$4:$K$477="Pending")*(EL!$J$4:$J$477="STT"))</f>
        <v>18</v>
      </c>
      <c r="I46" s="326" cm="1">
        <f t="array" ref="I46">SUMPRODUCT((EL!$C$4:$C$477&lt;&gt;"")*(EL!$D$4:$D$477&lt;&gt;"")*(EL!$F$4:$F$477&lt;=$B46)*(EL!$K$4:$K$477="A"))</f>
        <v>0</v>
      </c>
      <c r="J46" s="326" cm="1">
        <f t="array" ref="J46">SUMPRODUCT((EL!$C$4:$C$477&lt;&gt;"")*(EL!$D$4:$D$477&lt;&gt;"")*(EL!$F$4:$F$477&lt;=$B46)*(EL!$K$4:$K$477="B"))</f>
        <v>0</v>
      </c>
      <c r="K46" s="327" cm="1">
        <f t="array" ref="K46">SUMPRODUCT((EL!$C$4:$C$477&lt;&gt;"")*(EL!$D$4:$D$477&lt;&gt;"")*(EL!$F$4:$F$477&lt;=$B46)*(EL!$K$4:$K$477="C"))</f>
        <v>0</v>
      </c>
    </row>
    <row r="47" spans="2:11" ht="15" customHeight="1" x14ac:dyDescent="0.25">
      <c r="B47" s="325">
        <f t="shared" si="2"/>
        <v>46062</v>
      </c>
      <c r="C47" s="326" cm="1">
        <f t="array" ref="C47">SUMPRODUCT((EL!$C$4:$C$477&lt;&gt;"")*(EL!$D$4:$D$477&lt;&gt;"")*((EL!$E$4:$E$477&lt;=B47)+(EL!$E$4:$E$477&gt;B47)))</f>
        <v>47</v>
      </c>
      <c r="D47" s="326" cm="1">
        <f t="array" ref="D47">SUMPRODUCT((EL!$C$4:$C$477&lt;&gt;"")*(EL!$D$4:$D$477&lt;&gt;"")*(EL!$E$4:$E$477&lt;=B47))</f>
        <v>47</v>
      </c>
      <c r="E47" s="326" cm="1">
        <f t="array" ref="E47">SUMPRODUCT((EL!$C$4:$C$477&lt;&gt;"")*(EL!$D$4:$D$477&lt;&gt;"")*(EL!$F$4:$F$477&lt;&gt;"")*(EL!$F$4:$F$477&lt;=B47))</f>
        <v>40</v>
      </c>
      <c r="F47" s="326" cm="1">
        <f t="array" ref="F47">SUMPRODUCT((EL!$C$4:$C$477&lt;&gt;"")*(EL!$D$4:$D$477&lt;&gt;"")*(EL!$F$4:$F$477&lt;=$B47)*(EL!$K$4:$K$477="Pending")*(EL!$J$4:$J$477="CTA"))</f>
        <v>0</v>
      </c>
      <c r="G47" s="326" cm="1">
        <f t="array" ref="G47">SUMPRODUCT((EL!$C$4:$C$477&lt;&gt;"")*(EL!$D$4:$D$477&lt;&gt;"")*(EL!$F$4:$F$477&lt;=$B47)*(EL!$K$4:$K$477="Pending")*(EL!$J$4:$J$477="AUR"))</f>
        <v>22</v>
      </c>
      <c r="H47" s="326" cm="1">
        <f t="array" ref="H47">SUMPRODUCT((EL!$C$4:$C$477&lt;&gt;"")*(EL!$D$4:$D$477&lt;&gt;"")*(EL!$F$4:$F$477&lt;=$B47)*(EL!$K$4:$K$477="Pending")*(EL!$J$4:$J$477="STT"))</f>
        <v>18</v>
      </c>
      <c r="I47" s="326" cm="1">
        <f t="array" ref="I47">SUMPRODUCT((EL!$C$4:$C$477&lt;&gt;"")*(EL!$D$4:$D$477&lt;&gt;"")*(EL!$F$4:$F$477&lt;=$B47)*(EL!$K$4:$K$477="A"))</f>
        <v>0</v>
      </c>
      <c r="J47" s="326" cm="1">
        <f t="array" ref="J47">SUMPRODUCT((EL!$C$4:$C$477&lt;&gt;"")*(EL!$D$4:$D$477&lt;&gt;"")*(EL!$F$4:$F$477&lt;=$B47)*(EL!$K$4:$K$477="B"))</f>
        <v>0</v>
      </c>
      <c r="K47" s="327" cm="1">
        <f t="array" ref="K47">SUMPRODUCT((EL!$C$4:$C$477&lt;&gt;"")*(EL!$D$4:$D$477&lt;&gt;"")*(EL!$F$4:$F$477&lt;=$B47)*(EL!$K$4:$K$477="C"))</f>
        <v>0</v>
      </c>
    </row>
    <row r="48" spans="2:11" ht="15" customHeight="1" x14ac:dyDescent="0.25">
      <c r="B48" s="325">
        <f t="shared" si="2"/>
        <v>46069</v>
      </c>
      <c r="C48" s="326" cm="1">
        <f t="array" ref="C48">SUMPRODUCT((EL!$C$4:$C$477&lt;&gt;"")*(EL!$D$4:$D$477&lt;&gt;"")*((EL!$E$4:$E$477&lt;=B48)+(EL!$E$4:$E$477&gt;B48)))</f>
        <v>47</v>
      </c>
      <c r="D48" s="326" cm="1">
        <f t="array" ref="D48">SUMPRODUCT((EL!$C$4:$C$477&lt;&gt;"")*(EL!$D$4:$D$477&lt;&gt;"")*(EL!$E$4:$E$477&lt;=B48))</f>
        <v>47</v>
      </c>
      <c r="E48" s="326" cm="1">
        <f t="array" ref="E48">SUMPRODUCT((EL!$C$4:$C$477&lt;&gt;"")*(EL!$D$4:$D$477&lt;&gt;"")*(EL!$F$4:$F$477&lt;&gt;"")*(EL!$F$4:$F$477&lt;=B48))</f>
        <v>47</v>
      </c>
      <c r="F48" s="326"/>
      <c r="G48" s="326"/>
      <c r="H48" s="326"/>
      <c r="I48" s="326"/>
      <c r="J48" s="326"/>
      <c r="K48" s="327"/>
    </row>
    <row r="49" spans="2:11" ht="15" customHeight="1" x14ac:dyDescent="0.25">
      <c r="B49" s="325">
        <f t="shared" si="2"/>
        <v>46076</v>
      </c>
      <c r="C49" s="326" cm="1">
        <f t="array" ref="C49">SUMPRODUCT((EL!$C$4:$C$477&lt;&gt;"")*(EL!$D$4:$D$477&lt;&gt;"")*((EL!$E$4:$E$477&lt;=B49)+(EL!$E$4:$E$477&gt;B49)))</f>
        <v>47</v>
      </c>
      <c r="D49" s="326" cm="1">
        <f t="array" ref="D49">SUMPRODUCT((EL!$C$4:$C$477&lt;&gt;"")*(EL!$D$4:$D$477&lt;&gt;"")*(EL!$E$4:$E$477&lt;=B49))</f>
        <v>47</v>
      </c>
      <c r="E49" s="326" cm="1">
        <f t="array" ref="E49">SUMPRODUCT((EL!$C$4:$C$477&lt;&gt;"")*(EL!$D$4:$D$477&lt;&gt;"")*(EL!$F$4:$F$477&lt;&gt;"")*(EL!$F$4:$F$477&lt;=B49))</f>
        <v>47</v>
      </c>
      <c r="F49" s="326"/>
      <c r="G49" s="326"/>
      <c r="H49" s="326"/>
      <c r="I49" s="326"/>
      <c r="J49" s="326"/>
      <c r="K49" s="327"/>
    </row>
    <row r="50" spans="2:11" ht="15" customHeight="1" x14ac:dyDescent="0.25">
      <c r="B50" s="325">
        <f t="shared" si="2"/>
        <v>46083</v>
      </c>
      <c r="C50" s="326" cm="1">
        <f t="array" ref="C50">SUMPRODUCT((EL!$C$4:$C$477&lt;&gt;"")*(EL!$D$4:$D$477&lt;&gt;"")*((EL!$E$4:$E$477&lt;=B50)+(EL!$E$4:$E$477&gt;B50)))</f>
        <v>47</v>
      </c>
      <c r="D50" s="326" cm="1">
        <f t="array" ref="D50">SUMPRODUCT((EL!$C$4:$C$477&lt;&gt;"")*(EL!$D$4:$D$477&lt;&gt;"")*(EL!$E$4:$E$477&lt;=B50))</f>
        <v>47</v>
      </c>
      <c r="E50" s="326" cm="1">
        <f t="array" ref="E50">SUMPRODUCT((EL!$C$4:$C$477&lt;&gt;"")*(EL!$D$4:$D$477&lt;&gt;"")*(EL!$F$4:$F$477&lt;&gt;"")*(EL!$F$4:$F$477&lt;=B50))</f>
        <v>47</v>
      </c>
      <c r="F50" s="326"/>
      <c r="G50" s="326"/>
      <c r="H50" s="326"/>
      <c r="I50" s="326"/>
      <c r="J50" s="326"/>
      <c r="K50" s="327"/>
    </row>
    <row r="51" spans="2:11" ht="15" customHeight="1" x14ac:dyDescent="0.25">
      <c r="B51" s="325">
        <f t="shared" si="2"/>
        <v>46090</v>
      </c>
      <c r="C51" s="326" cm="1">
        <f t="array" ref="C51">SUMPRODUCT((EL!$C$4:$C$477&lt;&gt;"")*(EL!$D$4:$D$477&lt;&gt;"")*((EL!$E$4:$E$477&lt;=B51)+(EL!$E$4:$E$477&gt;B51)))</f>
        <v>47</v>
      </c>
      <c r="D51" s="326" cm="1">
        <f t="array" ref="D51">SUMPRODUCT((EL!$C$4:$C$477&lt;&gt;"")*(EL!$D$4:$D$477&lt;&gt;"")*(EL!$E$4:$E$477&lt;=B51))</f>
        <v>47</v>
      </c>
      <c r="E51" s="326" cm="1">
        <f t="array" ref="E51">SUMPRODUCT((EL!$C$4:$C$477&lt;&gt;"")*(EL!$D$4:$D$477&lt;&gt;"")*(EL!$F$4:$F$477&lt;&gt;"")*(EL!$F$4:$F$477&lt;=B51))</f>
        <v>47</v>
      </c>
      <c r="F51" s="326"/>
      <c r="G51" s="326"/>
      <c r="H51" s="326"/>
      <c r="I51" s="326"/>
      <c r="J51" s="326"/>
      <c r="K51" s="327"/>
    </row>
    <row r="52" spans="2:11" ht="15" customHeight="1" x14ac:dyDescent="0.25">
      <c r="B52" s="352"/>
      <c r="C52" s="353"/>
      <c r="D52" s="353"/>
      <c r="E52" s="353"/>
      <c r="F52" s="353"/>
      <c r="G52" s="353"/>
      <c r="H52" s="353"/>
      <c r="I52" s="353"/>
      <c r="J52" s="353"/>
      <c r="K52" s="354"/>
    </row>
    <row r="58" spans="2:11" ht="15" customHeight="1" thickBot="1" x14ac:dyDescent="0.3"/>
    <row r="59" spans="2:11" ht="15" customHeight="1" x14ac:dyDescent="0.25">
      <c r="B59" s="374" t="s">
        <v>20</v>
      </c>
      <c r="C59" s="375"/>
      <c r="D59" s="375"/>
      <c r="E59" s="375"/>
      <c r="F59" s="375"/>
      <c r="G59" s="375"/>
      <c r="H59" s="375"/>
      <c r="I59" s="375"/>
      <c r="J59" s="375"/>
      <c r="K59" s="376"/>
    </row>
    <row r="60" spans="2:11" ht="15" customHeight="1" x14ac:dyDescent="0.25">
      <c r="B60" s="377" t="s">
        <v>38</v>
      </c>
      <c r="C60" s="379" t="s">
        <v>39</v>
      </c>
      <c r="D60" s="379" t="s">
        <v>40</v>
      </c>
      <c r="E60" s="379" t="s">
        <v>41</v>
      </c>
      <c r="F60" s="379" t="s">
        <v>42</v>
      </c>
      <c r="G60" s="379"/>
      <c r="H60" s="379"/>
      <c r="I60" s="379"/>
      <c r="J60" s="379"/>
      <c r="K60" s="381"/>
    </row>
    <row r="61" spans="2:11" ht="15" customHeight="1" x14ac:dyDescent="0.25">
      <c r="B61" s="377"/>
      <c r="C61" s="379"/>
      <c r="D61" s="379"/>
      <c r="E61" s="379"/>
      <c r="F61" s="379" t="s">
        <v>43</v>
      </c>
      <c r="G61" s="379"/>
      <c r="H61" s="379"/>
      <c r="I61" s="382" t="s">
        <v>44</v>
      </c>
      <c r="J61" s="384" t="s">
        <v>45</v>
      </c>
      <c r="K61" s="386" t="s">
        <v>46</v>
      </c>
    </row>
    <row r="62" spans="2:11" ht="15" customHeight="1" x14ac:dyDescent="0.25">
      <c r="B62" s="378"/>
      <c r="C62" s="380"/>
      <c r="D62" s="380"/>
      <c r="E62" s="380"/>
      <c r="F62" s="236" t="s">
        <v>47</v>
      </c>
      <c r="G62" s="236" t="s">
        <v>48</v>
      </c>
      <c r="H62" s="236" t="s">
        <v>49</v>
      </c>
      <c r="I62" s="383"/>
      <c r="J62" s="385"/>
      <c r="K62" s="387"/>
    </row>
    <row r="63" spans="2:11" ht="15" customHeight="1" x14ac:dyDescent="0.25">
      <c r="B63" s="325">
        <f t="shared" ref="B63:B72" si="3">B9</f>
        <v>46027</v>
      </c>
      <c r="C63" s="326" cm="1">
        <f t="array" ref="C63">SUMPRODUCT((ME!$C$4:$C$501&lt;&gt;"")*(ME!$D$4:$D$501&lt;&gt;"")*((ME!$E$4:$E$501&lt;=B63)+(ME!$E$4:$E$501&gt;B63)))</f>
        <v>24</v>
      </c>
      <c r="D63" s="326" cm="1">
        <f t="array" ref="D63">SUMPRODUCT((ME!$C$4:$C$501&lt;&gt;"")*(ME!$D$4:$D$501&lt;&gt;"")*(ME!$E$4:$E$501&lt;=B63))</f>
        <v>24</v>
      </c>
      <c r="E63" s="326" cm="1">
        <f t="array" ref="E63">SUMPRODUCT((ME!$C$4:$C$501&lt;&gt;"")*(ME!$D$4:$D$501&lt;&gt;"")*(ME!$F$4:$F$501&lt;&gt;"")*(ME!$F$4:$F$501&lt;=B63))</f>
        <v>0</v>
      </c>
      <c r="F63" s="326" cm="1">
        <f t="array" ref="F63">SUMPRODUCT((ME!$C$4:$C$501&lt;&gt;"")*(ME!$D$4:$D$501&lt;&gt;"")*(ME!$F$4:$F$501&lt;=$B63)*(ME!$K$4:$K$501="Pending")*(ME!$J$4:$J$501="CTA"))</f>
        <v>0</v>
      </c>
      <c r="G63" s="326" cm="1">
        <f t="array" ref="G63">SUMPRODUCT((ME!$C$4:$C$501&lt;&gt;"")*(ME!$D$4:$D$501&lt;&gt;"")*(ME!$F$4:$F$501&lt;=$B63)*(ME!$K$4:$K$501="Pending")*(ME!$J$4:$J$501="AUR"))</f>
        <v>0</v>
      </c>
      <c r="H63" s="326" cm="1">
        <f t="array" ref="H63">SUMPRODUCT((ME!$C$4:$C$501&lt;&gt;"")*(ME!$D$4:$D$501&lt;&gt;"")*(ME!$F$4:$F$501&lt;=$B63)*(ME!$K$4:$K$501="Pending")*(ME!$J$4:$J$501="STT"))</f>
        <v>0</v>
      </c>
      <c r="I63" s="326" cm="1">
        <f t="array" ref="I63">SUMPRODUCT((ME!$C$4:$C$501&lt;&gt;"")*(ME!$D$4:$D$501&lt;&gt;"")*(ME!$F$4:$F$501&lt;=$B63)*(ME!$K$4:$K$501="A"))</f>
        <v>0</v>
      </c>
      <c r="J63" s="326" cm="1">
        <f t="array" ref="J63">SUMPRODUCT((ME!$C$4:$C$501&lt;&gt;"")*(ME!$D$4:$D$501&lt;&gt;"")*(ME!$F$4:$F$501&lt;=$B63)*(ME!$K$4:$K$501="B"))</f>
        <v>0</v>
      </c>
      <c r="K63" s="327" cm="1">
        <f t="array" ref="K63">SUMPRODUCT((ME!$C$4:$C$501&lt;&gt;"")*(ME!$D$4:$D$501&lt;&gt;"")*(ME!$F$4:$F$501&lt;=$B63)*(ME!$K$4:$K$501="C"))</f>
        <v>0</v>
      </c>
    </row>
    <row r="64" spans="2:11" ht="15" customHeight="1" x14ac:dyDescent="0.25">
      <c r="B64" s="325">
        <f t="shared" si="3"/>
        <v>46034</v>
      </c>
      <c r="C64" s="326" cm="1">
        <f t="array" ref="C64">SUMPRODUCT((ME!$C$4:$C$501&lt;&gt;"")*(ME!$D$4:$D$501&lt;&gt;"")*((ME!$E$4:$E$501&lt;=B64)+(ME!$E$4:$E$501&gt;B64)))</f>
        <v>24</v>
      </c>
      <c r="D64" s="326" cm="1">
        <f t="array" ref="D64">SUMPRODUCT((ME!$C$4:$C$501&lt;&gt;"")*(ME!$D$4:$D$501&lt;&gt;"")*(ME!$E$4:$E$501&lt;=B64))</f>
        <v>24</v>
      </c>
      <c r="E64" s="326" cm="1">
        <f t="array" ref="E64">SUMPRODUCT((ME!$C$4:$C$501&lt;&gt;"")*(ME!$D$4:$D$501&lt;&gt;"")*(ME!$F$4:$F$501&lt;&gt;"")*(ME!$F$4:$F$501&lt;=B64))</f>
        <v>5</v>
      </c>
      <c r="F64" s="326" cm="1">
        <f t="array" ref="F64">SUMPRODUCT((ME!$C$4:$C$501&lt;&gt;"")*(ME!$D$4:$D$501&lt;&gt;"")*(ME!$F$4:$F$501&lt;=$B64)*(ME!$K$4:$K$501="Pending")*(ME!$J$4:$J$501="CTA"))</f>
        <v>0</v>
      </c>
      <c r="G64" s="326" cm="1">
        <f t="array" ref="G64">SUMPRODUCT((ME!$C$4:$C$501&lt;&gt;"")*(ME!$D$4:$D$501&lt;&gt;"")*(ME!$F$4:$F$501&lt;=$B64)*(ME!$K$4:$K$501="Pending")*(ME!$J$4:$J$501="AUR"))</f>
        <v>0</v>
      </c>
      <c r="H64" s="326" cm="1">
        <f t="array" ref="H64">SUMPRODUCT((ME!$C$4:$C$501&lt;&gt;"")*(ME!$D$4:$D$501&lt;&gt;"")*(ME!$F$4:$F$501&lt;=$B64)*(ME!$K$4:$K$501="Pending")*(ME!$J$4:$J$501="STT"))</f>
        <v>4</v>
      </c>
      <c r="I64" s="326" cm="1">
        <f t="array" ref="I64">SUMPRODUCT((ME!$C$4:$C$501&lt;&gt;"")*(ME!$D$4:$D$501&lt;&gt;"")*(ME!$F$4:$F$501&lt;=$B64)*(ME!$K$4:$K$501="A"))</f>
        <v>0</v>
      </c>
      <c r="J64" s="326" cm="1">
        <f t="array" ref="J64">SUMPRODUCT((ME!$C$4:$C$501&lt;&gt;"")*(ME!$D$4:$D$501&lt;&gt;"")*(ME!$F$4:$F$501&lt;=$B64)*(ME!$K$4:$K$501="B"))</f>
        <v>0</v>
      </c>
      <c r="K64" s="327" cm="1">
        <f t="array" ref="K64">SUMPRODUCT((ME!$C$4:$C$501&lt;&gt;"")*(ME!$D$4:$D$501&lt;&gt;"")*(ME!$F$4:$F$501&lt;=$B64)*(ME!$K$4:$K$501="C"))</f>
        <v>0</v>
      </c>
    </row>
    <row r="65" spans="2:11" ht="15" customHeight="1" x14ac:dyDescent="0.25">
      <c r="B65" s="325">
        <f t="shared" si="3"/>
        <v>46041</v>
      </c>
      <c r="C65" s="326" cm="1">
        <f t="array" ref="C65">SUMPRODUCT((ME!$C$4:$C$501&lt;&gt;"")*(ME!$D$4:$D$501&lt;&gt;"")*((ME!$E$4:$E$501&lt;=B65)+(ME!$E$4:$E$501&gt;B65)))</f>
        <v>24</v>
      </c>
      <c r="D65" s="326" cm="1">
        <f t="array" ref="D65">SUMPRODUCT((ME!$C$4:$C$501&lt;&gt;"")*(ME!$D$4:$D$501&lt;&gt;"")*(ME!$E$4:$E$501&lt;=B65))</f>
        <v>24</v>
      </c>
      <c r="E65" s="326" cm="1">
        <f t="array" ref="E65">SUMPRODUCT((ME!$C$4:$C$501&lt;&gt;"")*(ME!$D$4:$D$501&lt;&gt;"")*(ME!$F$4:$F$501&lt;&gt;"")*(ME!$F$4:$F$501&lt;=B65))</f>
        <v>8</v>
      </c>
      <c r="F65" s="326" cm="1">
        <f t="array" ref="F65">SUMPRODUCT((ME!$C$4:$C$501&lt;&gt;"")*(ME!$D$4:$D$501&lt;&gt;"")*(ME!$F$4:$F$501&lt;=$B65)*(ME!$K$4:$K$501="Pending")*(ME!$J$4:$J$501="CTA"))</f>
        <v>0</v>
      </c>
      <c r="G65" s="326" cm="1">
        <f t="array" ref="G65">SUMPRODUCT((ME!$C$4:$C$501&lt;&gt;"")*(ME!$D$4:$D$501&lt;&gt;"")*(ME!$F$4:$F$501&lt;=$B65)*(ME!$K$4:$K$501="Pending")*(ME!$J$4:$J$501="AUR"))</f>
        <v>0</v>
      </c>
      <c r="H65" s="326" cm="1">
        <f t="array" ref="H65">SUMPRODUCT((ME!$C$4:$C$501&lt;&gt;"")*(ME!$D$4:$D$501&lt;&gt;"")*(ME!$F$4:$F$501&lt;=$B65)*(ME!$K$4:$K$501="Pending")*(ME!$J$4:$J$501="STT"))</f>
        <v>6</v>
      </c>
      <c r="I65" s="326" cm="1">
        <f t="array" ref="I65">SUMPRODUCT((ME!$C$4:$C$501&lt;&gt;"")*(ME!$D$4:$D$501&lt;&gt;"")*(ME!$F$4:$F$501&lt;=$B65)*(ME!$K$4:$K$501="A"))</f>
        <v>0</v>
      </c>
      <c r="J65" s="326" cm="1">
        <f t="array" ref="J65">SUMPRODUCT((ME!$C$4:$C$501&lt;&gt;"")*(ME!$D$4:$D$501&lt;&gt;"")*(ME!$F$4:$F$501&lt;=$B65)*(ME!$K$4:$K$501="B"))</f>
        <v>1</v>
      </c>
      <c r="K65" s="327" cm="1">
        <f t="array" ref="K65">SUMPRODUCT((ME!$C$4:$C$501&lt;&gt;"")*(ME!$D$4:$D$501&lt;&gt;"")*(ME!$F$4:$F$501&lt;=$B65)*(ME!$K$4:$K$501="C"))</f>
        <v>0</v>
      </c>
    </row>
    <row r="66" spans="2:11" ht="15" customHeight="1" x14ac:dyDescent="0.25">
      <c r="B66" s="325">
        <f t="shared" si="3"/>
        <v>46048</v>
      </c>
      <c r="C66" s="326" cm="1">
        <f t="array" ref="C66">SUMPRODUCT((ME!$C$4:$C$501&lt;&gt;"")*(ME!$D$4:$D$501&lt;&gt;"")*((ME!$E$4:$E$501&lt;=B66)+(ME!$E$4:$E$501&gt;B66)))</f>
        <v>24</v>
      </c>
      <c r="D66" s="326" cm="1">
        <f t="array" ref="D66">SUMPRODUCT((ME!$C$4:$C$501&lt;&gt;"")*(ME!$D$4:$D$501&lt;&gt;"")*(ME!$E$4:$E$501&lt;=B66))</f>
        <v>24</v>
      </c>
      <c r="E66" s="326" cm="1">
        <f t="array" ref="E66">SUMPRODUCT((ME!$C$4:$C$501&lt;&gt;"")*(ME!$D$4:$D$501&lt;&gt;"")*(ME!$F$4:$F$501&lt;&gt;"")*(ME!$F$4:$F$501&lt;=B66))</f>
        <v>15</v>
      </c>
      <c r="F66" s="326" cm="1">
        <f t="array" ref="F66">SUMPRODUCT((ME!$C$4:$C$501&lt;&gt;"")*(ME!$D$4:$D$501&lt;&gt;"")*(ME!$F$4:$F$501&lt;=$B66)*(ME!$K$4:$K$501="Pending")*(ME!$J$4:$J$501="CTA"))</f>
        <v>0</v>
      </c>
      <c r="G66" s="326" cm="1">
        <f t="array" ref="G66">SUMPRODUCT((ME!$C$4:$C$501&lt;&gt;"")*(ME!$D$4:$D$501&lt;&gt;"")*(ME!$F$4:$F$501&lt;=$B66)*(ME!$K$4:$K$501="Pending")*(ME!$J$4:$J$501="AUR"))</f>
        <v>2</v>
      </c>
      <c r="H66" s="326" cm="1">
        <f t="array" ref="H66">SUMPRODUCT((ME!$C$4:$C$501&lt;&gt;"")*(ME!$D$4:$D$501&lt;&gt;"")*(ME!$F$4:$F$501&lt;=$B66)*(ME!$K$4:$K$501="Pending")*(ME!$J$4:$J$501="STT"))</f>
        <v>8</v>
      </c>
      <c r="I66" s="326" cm="1">
        <f t="array" ref="I66">SUMPRODUCT((ME!$C$4:$C$501&lt;&gt;"")*(ME!$D$4:$D$501&lt;&gt;"")*(ME!$F$4:$F$501&lt;=$B66)*(ME!$K$4:$K$501="A"))</f>
        <v>0</v>
      </c>
      <c r="J66" s="326" cm="1">
        <f t="array" ref="J66">SUMPRODUCT((ME!$C$4:$C$501&lt;&gt;"")*(ME!$D$4:$D$501&lt;&gt;"")*(ME!$F$4:$F$501&lt;=$B66)*(ME!$K$4:$K$501="B"))</f>
        <v>2</v>
      </c>
      <c r="K66" s="327" cm="1">
        <f t="array" ref="K66">SUMPRODUCT((ME!$C$4:$C$501&lt;&gt;"")*(ME!$D$4:$D$501&lt;&gt;"")*(ME!$F$4:$F$501&lt;=$B66)*(ME!$K$4:$K$501="C"))</f>
        <v>0</v>
      </c>
    </row>
    <row r="67" spans="2:11" ht="15" customHeight="1" x14ac:dyDescent="0.25">
      <c r="B67" s="325">
        <f t="shared" si="3"/>
        <v>46055</v>
      </c>
      <c r="C67" s="326" cm="1">
        <f t="array" ref="C67">SUMPRODUCT((ME!$C$4:$C$501&lt;&gt;"")*(ME!$D$4:$D$501&lt;&gt;"")*((ME!$E$4:$E$501&lt;=B67)+(ME!$E$4:$E$501&gt;B67)))</f>
        <v>24</v>
      </c>
      <c r="D67" s="326" cm="1">
        <f t="array" ref="D67">SUMPRODUCT((ME!$C$4:$C$501&lt;&gt;"")*(ME!$D$4:$D$501&lt;&gt;"")*(ME!$E$4:$E$501&lt;=B67))</f>
        <v>24</v>
      </c>
      <c r="E67" s="326" cm="1">
        <f t="array" ref="E67">SUMPRODUCT((ME!$C$4:$C$501&lt;&gt;"")*(ME!$D$4:$D$501&lt;&gt;"")*(ME!$F$4:$F$501&lt;&gt;"")*(ME!$F$4:$F$501&lt;=B67))</f>
        <v>19</v>
      </c>
      <c r="F67" s="326" cm="1">
        <f t="array" ref="F67">SUMPRODUCT((ME!$C$4:$C$501&lt;&gt;"")*(ME!$D$4:$D$501&lt;&gt;"")*(ME!$F$4:$F$501&lt;=$B67)*(ME!$K$4:$K$501="Pending")*(ME!$J$4:$J$501="CTA"))</f>
        <v>0</v>
      </c>
      <c r="G67" s="326" cm="1">
        <f t="array" ref="G67">SUMPRODUCT((ME!$C$4:$C$501&lt;&gt;"")*(ME!$D$4:$D$501&lt;&gt;"")*(ME!$F$4:$F$501&lt;=$B67)*(ME!$K$4:$K$501="Pending")*(ME!$J$4:$J$501="AUR"))</f>
        <v>6</v>
      </c>
      <c r="H67" s="326" cm="1">
        <f t="array" ref="H67">SUMPRODUCT((ME!$C$4:$C$501&lt;&gt;"")*(ME!$D$4:$D$501&lt;&gt;"")*(ME!$F$4:$F$501&lt;=$B67)*(ME!$K$4:$K$501="Pending")*(ME!$J$4:$J$501="STT"))</f>
        <v>8</v>
      </c>
      <c r="I67" s="326" cm="1">
        <f t="array" ref="I67">SUMPRODUCT((ME!$C$4:$C$501&lt;&gt;"")*(ME!$D$4:$D$501&lt;&gt;"")*(ME!$F$4:$F$501&lt;=$B67)*(ME!$K$4:$K$501="A"))</f>
        <v>0</v>
      </c>
      <c r="J67" s="326" cm="1">
        <f t="array" ref="J67">SUMPRODUCT((ME!$C$4:$C$501&lt;&gt;"")*(ME!$D$4:$D$501&lt;&gt;"")*(ME!$F$4:$F$501&lt;=$B67)*(ME!$K$4:$K$501="B"))</f>
        <v>2</v>
      </c>
      <c r="K67" s="327" cm="1">
        <f t="array" ref="K67">SUMPRODUCT((ME!$C$4:$C$501&lt;&gt;"")*(ME!$D$4:$D$501&lt;&gt;"")*(ME!$F$4:$F$501&lt;=$B67)*(ME!$K$4:$K$501="C"))</f>
        <v>0</v>
      </c>
    </row>
    <row r="68" spans="2:11" ht="15" customHeight="1" x14ac:dyDescent="0.25">
      <c r="B68" s="325">
        <f t="shared" si="3"/>
        <v>46062</v>
      </c>
      <c r="C68" s="326" cm="1">
        <f t="array" ref="C68">SUMPRODUCT((ME!$C$4:$C$501&lt;&gt;"")*(ME!$D$4:$D$501&lt;&gt;"")*((ME!$E$4:$E$501&lt;=B68)+(ME!$E$4:$E$501&gt;B68)))</f>
        <v>24</v>
      </c>
      <c r="D68" s="326" cm="1">
        <f t="array" ref="D68">SUMPRODUCT((ME!$C$4:$C$501&lt;&gt;"")*(ME!$D$4:$D$501&lt;&gt;"")*(ME!$E$4:$E$501&lt;=B68))</f>
        <v>24</v>
      </c>
      <c r="E68" s="326" cm="1">
        <f t="array" ref="E68">SUMPRODUCT((ME!$C$4:$C$501&lt;&gt;"")*(ME!$D$4:$D$501&lt;&gt;"")*(ME!$F$4:$F$501&lt;&gt;"")*(ME!$F$4:$F$501&lt;=B68))</f>
        <v>22</v>
      </c>
      <c r="F68" s="326" cm="1">
        <f t="array" ref="F68">SUMPRODUCT((ME!$C$4:$C$501&lt;&gt;"")*(ME!$D$4:$D$501&lt;&gt;"")*(ME!$F$4:$F$501&lt;=$B68)*(ME!$K$4:$K$501="Pending")*(ME!$J$4:$J$501="CTA"))</f>
        <v>0</v>
      </c>
      <c r="G68" s="326" cm="1">
        <f t="array" ref="G68">SUMPRODUCT((ME!$C$4:$C$501&lt;&gt;"")*(ME!$D$4:$D$501&lt;&gt;"")*(ME!$F$4:$F$501&lt;=$B68)*(ME!$K$4:$K$501="Pending")*(ME!$J$4:$J$501="AUR"))</f>
        <v>9</v>
      </c>
      <c r="H68" s="326" cm="1">
        <f t="array" ref="H68">SUMPRODUCT((ME!$C$4:$C$501&lt;&gt;"")*(ME!$D$4:$D$501&lt;&gt;"")*(ME!$F$4:$F$501&lt;=$B68)*(ME!$K$4:$K$501="Pending")*(ME!$J$4:$J$501="STT"))</f>
        <v>8</v>
      </c>
      <c r="I68" s="326" cm="1">
        <f t="array" ref="I68">SUMPRODUCT((ME!$C$4:$C$501&lt;&gt;"")*(ME!$D$4:$D$501&lt;&gt;"")*(ME!$F$4:$F$501&lt;=$B68)*(ME!$K$4:$K$501="A"))</f>
        <v>0</v>
      </c>
      <c r="J68" s="326" cm="1">
        <f t="array" ref="J68">SUMPRODUCT((ME!$C$4:$C$501&lt;&gt;"")*(ME!$D$4:$D$501&lt;&gt;"")*(ME!$F$4:$F$501&lt;=$B68)*(ME!$K$4:$K$501="B"))</f>
        <v>2</v>
      </c>
      <c r="K68" s="327" cm="1">
        <f t="array" ref="K68">SUMPRODUCT((ME!$C$4:$C$501&lt;&gt;"")*(ME!$D$4:$D$501&lt;&gt;"")*(ME!$F$4:$F$501&lt;=$B68)*(ME!$K$4:$K$501="C"))</f>
        <v>0</v>
      </c>
    </row>
    <row r="69" spans="2:11" ht="15" customHeight="1" x14ac:dyDescent="0.25">
      <c r="B69" s="325">
        <f t="shared" si="3"/>
        <v>46069</v>
      </c>
      <c r="C69" s="326" cm="1">
        <f t="array" ref="C69">SUMPRODUCT((ME!$C$4:$C$501&lt;&gt;"")*(ME!$D$4:$D$501&lt;&gt;"")*((ME!$E$4:$E$501&lt;=B69)+(ME!$E$4:$E$501&gt;B69)))</f>
        <v>24</v>
      </c>
      <c r="D69" s="326" cm="1">
        <f t="array" ref="D69">SUMPRODUCT((ME!$C$4:$C$501&lt;&gt;"")*(ME!$D$4:$D$501&lt;&gt;"")*(ME!$E$4:$E$501&lt;=B69))</f>
        <v>24</v>
      </c>
      <c r="E69" s="326" cm="1">
        <f t="array" ref="E69">SUMPRODUCT((ME!$C$4:$C$501&lt;&gt;"")*(ME!$D$4:$D$501&lt;&gt;"")*(ME!$F$4:$F$501&lt;&gt;"")*(ME!$F$4:$F$501&lt;=B69))</f>
        <v>24</v>
      </c>
      <c r="F69" s="326"/>
      <c r="G69" s="326"/>
      <c r="H69" s="326"/>
      <c r="I69" s="326"/>
      <c r="J69" s="326"/>
      <c r="K69" s="327"/>
    </row>
    <row r="70" spans="2:11" ht="15" customHeight="1" x14ac:dyDescent="0.25">
      <c r="B70" s="325">
        <f t="shared" si="3"/>
        <v>46076</v>
      </c>
      <c r="C70" s="326" cm="1">
        <f t="array" ref="C70">SUMPRODUCT((ME!$C$4:$C$501&lt;&gt;"")*(ME!$D$4:$D$501&lt;&gt;"")*((ME!$E$4:$E$501&lt;=B70)+(ME!$E$4:$E$501&gt;B70)))</f>
        <v>24</v>
      </c>
      <c r="D70" s="326" cm="1">
        <f t="array" ref="D70">SUMPRODUCT((ME!$C$4:$C$501&lt;&gt;"")*(ME!$D$4:$D$501&lt;&gt;"")*(ME!$E$4:$E$501&lt;=B70))</f>
        <v>24</v>
      </c>
      <c r="E70" s="326" cm="1">
        <f t="array" ref="E70">SUMPRODUCT((ME!$C$4:$C$501&lt;&gt;"")*(ME!$D$4:$D$501&lt;&gt;"")*(ME!$F$4:$F$501&lt;&gt;"")*(ME!$F$4:$F$501&lt;=B70))</f>
        <v>24</v>
      </c>
      <c r="F70" s="326"/>
      <c r="G70" s="326"/>
      <c r="H70" s="326"/>
      <c r="I70" s="326"/>
      <c r="J70" s="326"/>
      <c r="K70" s="327"/>
    </row>
    <row r="71" spans="2:11" ht="15" customHeight="1" x14ac:dyDescent="0.25">
      <c r="B71" s="325">
        <f t="shared" si="3"/>
        <v>46083</v>
      </c>
      <c r="C71" s="326" cm="1">
        <f t="array" ref="C71">SUMPRODUCT((ME!$C$4:$C$501&lt;&gt;"")*(ME!$D$4:$D$501&lt;&gt;"")*((ME!$E$4:$E$501&lt;=B71)+(ME!$E$4:$E$501&gt;B71)))</f>
        <v>24</v>
      </c>
      <c r="D71" s="326" cm="1">
        <f t="array" ref="D71">SUMPRODUCT((ME!$C$4:$C$501&lt;&gt;"")*(ME!$D$4:$D$501&lt;&gt;"")*(ME!$E$4:$E$501&lt;=B71))</f>
        <v>24</v>
      </c>
      <c r="E71" s="326" cm="1">
        <f t="array" ref="E71">SUMPRODUCT((ME!$C$4:$C$501&lt;&gt;"")*(ME!$D$4:$D$501&lt;&gt;"")*(ME!$F$4:$F$501&lt;&gt;"")*(ME!$F$4:$F$501&lt;=B71))</f>
        <v>24</v>
      </c>
      <c r="F71" s="326"/>
      <c r="G71" s="326"/>
      <c r="H71" s="326"/>
      <c r="I71" s="326"/>
      <c r="J71" s="326"/>
      <c r="K71" s="327"/>
    </row>
    <row r="72" spans="2:11" ht="15" customHeight="1" x14ac:dyDescent="0.25">
      <c r="B72" s="325">
        <f t="shared" si="3"/>
        <v>46090</v>
      </c>
      <c r="C72" s="326" cm="1">
        <f t="array" ref="C72">SUMPRODUCT((ME!$C$4:$C$501&lt;&gt;"")*(ME!$D$4:$D$501&lt;&gt;"")*((ME!$E$4:$E$501&lt;=B72)+(ME!$E$4:$E$501&gt;B72)))</f>
        <v>24</v>
      </c>
      <c r="D72" s="326" cm="1">
        <f t="array" ref="D72">SUMPRODUCT((ME!$C$4:$C$501&lt;&gt;"")*(ME!$D$4:$D$501&lt;&gt;"")*(ME!$E$4:$E$501&lt;=B72))</f>
        <v>24</v>
      </c>
      <c r="E72" s="326" cm="1">
        <f t="array" ref="E72">SUMPRODUCT((ME!$C$4:$C$501&lt;&gt;"")*(ME!$D$4:$D$501&lt;&gt;"")*(ME!$F$4:$F$501&lt;&gt;"")*(ME!$F$4:$F$501&lt;=B72))</f>
        <v>24</v>
      </c>
      <c r="F72" s="326"/>
      <c r="G72" s="326"/>
      <c r="H72" s="326"/>
      <c r="I72" s="326"/>
      <c r="J72" s="326"/>
      <c r="K72" s="327"/>
    </row>
    <row r="73" spans="2:11" ht="15" customHeight="1" x14ac:dyDescent="0.25">
      <c r="B73" s="352"/>
      <c r="C73" s="353"/>
      <c r="D73" s="353"/>
      <c r="E73" s="353"/>
      <c r="F73" s="353"/>
      <c r="G73" s="353"/>
      <c r="H73" s="353"/>
      <c r="I73" s="353"/>
      <c r="J73" s="353"/>
      <c r="K73" s="354"/>
    </row>
    <row r="74" spans="2:11" ht="15" customHeight="1" x14ac:dyDescent="0.25">
      <c r="B74" s="252"/>
      <c r="C74" s="253"/>
      <c r="D74" s="253"/>
      <c r="E74" s="253"/>
      <c r="F74" s="253"/>
      <c r="G74" s="253"/>
      <c r="H74" s="253"/>
      <c r="I74" s="253"/>
      <c r="J74" s="253"/>
      <c r="K74" s="253"/>
    </row>
    <row r="75" spans="2:11" ht="15" customHeight="1" x14ac:dyDescent="0.25">
      <c r="B75" s="388" t="s">
        <v>21</v>
      </c>
      <c r="C75" s="389"/>
      <c r="D75" s="389"/>
      <c r="E75" s="389"/>
      <c r="F75" s="389"/>
      <c r="G75" s="389"/>
      <c r="H75" s="389"/>
      <c r="I75" s="389"/>
      <c r="J75" s="389"/>
      <c r="K75" s="390"/>
    </row>
    <row r="76" spans="2:11" ht="15" customHeight="1" x14ac:dyDescent="0.25">
      <c r="B76" s="377" t="s">
        <v>38</v>
      </c>
      <c r="C76" s="379" t="s">
        <v>39</v>
      </c>
      <c r="D76" s="379" t="s">
        <v>40</v>
      </c>
      <c r="E76" s="379" t="s">
        <v>41</v>
      </c>
      <c r="F76" s="379" t="s">
        <v>42</v>
      </c>
      <c r="G76" s="379"/>
      <c r="H76" s="379"/>
      <c r="I76" s="379"/>
      <c r="J76" s="379"/>
      <c r="K76" s="381"/>
    </row>
    <row r="77" spans="2:11" ht="15" customHeight="1" x14ac:dyDescent="0.25">
      <c r="B77" s="377"/>
      <c r="C77" s="379"/>
      <c r="D77" s="379"/>
      <c r="E77" s="379"/>
      <c r="F77" s="379" t="s">
        <v>43</v>
      </c>
      <c r="G77" s="379"/>
      <c r="H77" s="379"/>
      <c r="I77" s="382" t="s">
        <v>44</v>
      </c>
      <c r="J77" s="384" t="s">
        <v>45</v>
      </c>
      <c r="K77" s="386" t="s">
        <v>46</v>
      </c>
    </row>
    <row r="78" spans="2:11" ht="15" customHeight="1" x14ac:dyDescent="0.25">
      <c r="B78" s="378"/>
      <c r="C78" s="380"/>
      <c r="D78" s="380"/>
      <c r="E78" s="380"/>
      <c r="F78" s="236" t="s">
        <v>47</v>
      </c>
      <c r="G78" s="236" t="s">
        <v>48</v>
      </c>
      <c r="H78" s="236" t="s">
        <v>49</v>
      </c>
      <c r="I78" s="383"/>
      <c r="J78" s="385"/>
      <c r="K78" s="387"/>
    </row>
    <row r="79" spans="2:11" ht="15" customHeight="1" x14ac:dyDescent="0.25">
      <c r="B79" s="325">
        <f t="shared" ref="B79:B88" si="4">B9</f>
        <v>46027</v>
      </c>
      <c r="C79" s="326" cm="1">
        <f t="array" ref="C79">SUMPRODUCT((FI!$C$4:$C$501&lt;&gt;"")*(FI!$D$4:$D$501&lt;&gt;"")*((FI!$E$4:$E$501&lt;=B79)+(FI!$E$4:$E$501&gt;B79)))</f>
        <v>14</v>
      </c>
      <c r="D79" s="326" cm="1">
        <f t="array" ref="D79">SUMPRODUCT((FI!$C$4:$C$501&lt;&gt;"")*(FI!$D$4:$D$501&lt;&gt;"")*(FI!$E$4:$E$501&lt;=B79))</f>
        <v>14</v>
      </c>
      <c r="E79" s="326" cm="1">
        <f t="array" ref="E79">SUMPRODUCT((FI!$C$4:$C$501&lt;&gt;"")*(FI!$D$4:$D$501&lt;&gt;"")*(FI!$F$4:$F$501&lt;&gt;"")*(FI!$F$4:$F$501&lt;=B79))</f>
        <v>0</v>
      </c>
      <c r="F79" s="326" cm="1">
        <f t="array" ref="F79">SUMPRODUCT((FI!$C$4:$C$501&lt;&gt;"")*(FI!$D$4:$D$501&lt;&gt;"")*(FI!$F$4:$F$501&lt;=$B79)*(FI!$K$4:$K$501="Pending")*(FI!$J$4:$J$501="CTA"))</f>
        <v>0</v>
      </c>
      <c r="G79" s="326" cm="1">
        <f t="array" ref="G79">SUMPRODUCT((FI!$C$4:$C$501&lt;&gt;"")*(FI!$D$4:$D$501&lt;&gt;"")*(FI!$F$4:$F$501&lt;=$B79)*(FI!$K$4:$K$501="Pending")*(FI!$J$4:$J$501="AUR"))</f>
        <v>0</v>
      </c>
      <c r="H79" s="326" cm="1">
        <f t="array" ref="H79">SUMPRODUCT((FI!$C$4:$C$501&lt;&gt;"")*(FI!$D$4:$D$501&lt;&gt;"")*(FI!$F$4:$F$501&lt;=$B79)*(FI!$K$4:$K$501="Pending")*(FI!$J$4:$J$501="STT"))</f>
        <v>0</v>
      </c>
      <c r="I79" s="326" cm="1">
        <f t="array" ref="I79">SUMPRODUCT((FI!$C$4:$C$501&lt;&gt;"")*(FI!$D$4:$D$501&lt;&gt;"")*(FI!$F$4:$F$501&lt;=$B79)*(FI!$K$4:$K$501="A"))</f>
        <v>0</v>
      </c>
      <c r="J79" s="326" cm="1">
        <f t="array" ref="J79">SUMPRODUCT((FI!$C$4:$C$501&lt;&gt;"")*(FI!$D$4:$D$501&lt;&gt;"")*(FI!$F$4:$F$501&lt;=$B79)*(FI!$K$4:$K$501="B"))</f>
        <v>0</v>
      </c>
      <c r="K79" s="327" cm="1">
        <f t="array" ref="K79">SUMPRODUCT((FI!$C$4:$C$501&lt;&gt;"")*(FI!$D$4:$D$501&lt;&gt;"")*(FI!$F$4:$F$501&lt;=$B79)*(FI!$K$4:$K$501="C"))</f>
        <v>0</v>
      </c>
    </row>
    <row r="80" spans="2:11" ht="15" customHeight="1" x14ac:dyDescent="0.25">
      <c r="B80" s="325">
        <f t="shared" si="4"/>
        <v>46034</v>
      </c>
      <c r="C80" s="326" cm="1">
        <f t="array" ref="C80">SUMPRODUCT((FI!$C$4:$C$501&lt;&gt;"")*(FI!$D$4:$D$501&lt;&gt;"")*((FI!$E$4:$E$501&lt;=B80)+(FI!$E$4:$E$501&gt;B80)))</f>
        <v>14</v>
      </c>
      <c r="D80" s="326" cm="1">
        <f t="array" ref="D80">SUMPRODUCT((FI!$C$4:$C$501&lt;&gt;"")*(FI!$D$4:$D$501&lt;&gt;"")*(FI!$E$4:$E$501&lt;=B80))</f>
        <v>14</v>
      </c>
      <c r="E80" s="326" cm="1">
        <f t="array" ref="E80">SUMPRODUCT((FI!$C$4:$C$501&lt;&gt;"")*(FI!$D$4:$D$501&lt;&gt;"")*(FI!$F$4:$F$501&lt;&gt;"")*(FI!$F$4:$F$501&lt;=B80))</f>
        <v>0</v>
      </c>
      <c r="F80" s="326" cm="1">
        <f t="array" ref="F80">SUMPRODUCT((FI!$C$4:$C$501&lt;&gt;"")*(FI!$D$4:$D$501&lt;&gt;"")*(FI!$F$4:$F$501&lt;=$B80)*(FI!$K$4:$K$501="Pending")*(FI!$J$4:$J$501="CTA"))</f>
        <v>0</v>
      </c>
      <c r="G80" s="326" cm="1">
        <f t="array" ref="G80">SUMPRODUCT((FI!$C$4:$C$501&lt;&gt;"")*(FI!$D$4:$D$501&lt;&gt;"")*(FI!$F$4:$F$501&lt;=$B80)*(FI!$K$4:$K$501="Pending")*(FI!$J$4:$J$501="AUR"))</f>
        <v>0</v>
      </c>
      <c r="H80" s="326" cm="1">
        <f t="array" ref="H80">SUMPRODUCT((FI!$C$4:$C$501&lt;&gt;"")*(FI!$D$4:$D$501&lt;&gt;"")*(FI!$F$4:$F$501&lt;=$B80)*(FI!$K$4:$K$501="Pending")*(FI!$J$4:$J$501="STT"))</f>
        <v>0</v>
      </c>
      <c r="I80" s="326" cm="1">
        <f t="array" ref="I80">SUMPRODUCT((FI!$C$4:$C$501&lt;&gt;"")*(FI!$D$4:$D$501&lt;&gt;"")*(FI!$F$4:$F$501&lt;=$B80)*(FI!$K$4:$K$501="A"))</f>
        <v>0</v>
      </c>
      <c r="J80" s="326" cm="1">
        <f t="array" ref="J80">SUMPRODUCT((FI!$C$4:$C$501&lt;&gt;"")*(FI!$D$4:$D$501&lt;&gt;"")*(FI!$F$4:$F$501&lt;=$B80)*(FI!$K$4:$K$501="B"))</f>
        <v>0</v>
      </c>
      <c r="K80" s="327" cm="1">
        <f t="array" ref="K80">SUMPRODUCT((FI!$C$4:$C$501&lt;&gt;"")*(FI!$D$4:$D$501&lt;&gt;"")*(FI!$F$4:$F$501&lt;=$B80)*(FI!$K$4:$K$501="C"))</f>
        <v>0</v>
      </c>
    </row>
    <row r="81" spans="2:11" ht="15" customHeight="1" x14ac:dyDescent="0.25">
      <c r="B81" s="325">
        <f t="shared" si="4"/>
        <v>46041</v>
      </c>
      <c r="C81" s="326" cm="1">
        <f t="array" ref="C81">SUMPRODUCT((FI!$C$4:$C$501&lt;&gt;"")*(FI!$D$4:$D$501&lt;&gt;"")*((FI!$E$4:$E$501&lt;=B81)+(FI!$E$4:$E$501&gt;B81)))</f>
        <v>14</v>
      </c>
      <c r="D81" s="326" cm="1">
        <f t="array" ref="D81">SUMPRODUCT((FI!$C$4:$C$501&lt;&gt;"")*(FI!$D$4:$D$501&lt;&gt;"")*(FI!$E$4:$E$501&lt;=B81))</f>
        <v>14</v>
      </c>
      <c r="E81" s="326" cm="1">
        <f t="array" ref="E81">SUMPRODUCT((FI!$C$4:$C$501&lt;&gt;"")*(FI!$D$4:$D$501&lt;&gt;"")*(FI!$F$4:$F$501&lt;&gt;"")*(FI!$F$4:$F$501&lt;=B81))</f>
        <v>4</v>
      </c>
      <c r="F81" s="326" cm="1">
        <f t="array" ref="F81">SUMPRODUCT((FI!$C$4:$C$501&lt;&gt;"")*(FI!$D$4:$D$501&lt;&gt;"")*(FI!$F$4:$F$501&lt;=$B81)*(FI!$K$4:$K$501="Pending")*(FI!$J$4:$J$501="CTA"))</f>
        <v>0</v>
      </c>
      <c r="G81" s="326" cm="1">
        <f t="array" ref="G81">SUMPRODUCT((FI!$C$4:$C$501&lt;&gt;"")*(FI!$D$4:$D$501&lt;&gt;"")*(FI!$F$4:$F$501&lt;=$B81)*(FI!$K$4:$K$501="Pending")*(FI!$J$4:$J$501="AUR"))</f>
        <v>4</v>
      </c>
      <c r="H81" s="326" cm="1">
        <f t="array" ref="H81">SUMPRODUCT((FI!$C$4:$C$501&lt;&gt;"")*(FI!$D$4:$D$501&lt;&gt;"")*(FI!$F$4:$F$501&lt;=$B81)*(FI!$K$4:$K$501="Pending")*(FI!$J$4:$J$501="STT"))</f>
        <v>0</v>
      </c>
      <c r="I81" s="326" cm="1">
        <f t="array" ref="I81">SUMPRODUCT((FI!$C$4:$C$501&lt;&gt;"")*(FI!$D$4:$D$501&lt;&gt;"")*(FI!$F$4:$F$501&lt;=$B81)*(FI!$K$4:$K$501="A"))</f>
        <v>0</v>
      </c>
      <c r="J81" s="326" cm="1">
        <f t="array" ref="J81">SUMPRODUCT((FI!$C$4:$C$501&lt;&gt;"")*(FI!$D$4:$D$501&lt;&gt;"")*(FI!$F$4:$F$501&lt;=$B81)*(FI!$K$4:$K$501="B"))</f>
        <v>0</v>
      </c>
      <c r="K81" s="327" cm="1">
        <f t="array" ref="K81">SUMPRODUCT((FI!$C$4:$C$501&lt;&gt;"")*(FI!$D$4:$D$501&lt;&gt;"")*(FI!$F$4:$F$501&lt;=$B81)*(FI!$K$4:$K$501="C"))</f>
        <v>0</v>
      </c>
    </row>
    <row r="82" spans="2:11" ht="15" customHeight="1" x14ac:dyDescent="0.25">
      <c r="B82" s="325">
        <f t="shared" si="4"/>
        <v>46048</v>
      </c>
      <c r="C82" s="326" cm="1">
        <f t="array" ref="C82">SUMPRODUCT((FI!$C$4:$C$501&lt;&gt;"")*(FI!$D$4:$D$501&lt;&gt;"")*((FI!$E$4:$E$501&lt;=B82)+(FI!$E$4:$E$501&gt;B82)))</f>
        <v>14</v>
      </c>
      <c r="D82" s="326" cm="1">
        <f t="array" ref="D82">SUMPRODUCT((FI!$C$4:$C$501&lt;&gt;"")*(FI!$D$4:$D$501&lt;&gt;"")*(FI!$E$4:$E$501&lt;=B82))</f>
        <v>14</v>
      </c>
      <c r="E82" s="326" cm="1">
        <f t="array" ref="E82">SUMPRODUCT((FI!$C$4:$C$501&lt;&gt;"")*(FI!$D$4:$D$501&lt;&gt;"")*(FI!$F$4:$F$501&lt;&gt;"")*(FI!$F$4:$F$501&lt;=B82))</f>
        <v>13</v>
      </c>
      <c r="F82" s="326" cm="1">
        <f t="array" ref="F82">SUMPRODUCT((FI!$C$4:$C$501&lt;&gt;"")*(FI!$D$4:$D$501&lt;&gt;"")*(FI!$F$4:$F$501&lt;=$B82)*(FI!$K$4:$K$501="Pending")*(FI!$J$4:$J$501="CTA"))</f>
        <v>0</v>
      </c>
      <c r="G82" s="326" cm="1">
        <f t="array" ref="G82">SUMPRODUCT((FI!$C$4:$C$501&lt;&gt;"")*(FI!$D$4:$D$501&lt;&gt;"")*(FI!$F$4:$F$501&lt;=$B82)*(FI!$K$4:$K$501="Pending")*(FI!$J$4:$J$501="AUR"))</f>
        <v>13</v>
      </c>
      <c r="H82" s="326" cm="1">
        <f t="array" ref="H82">SUMPRODUCT((FI!$C$4:$C$501&lt;&gt;"")*(FI!$D$4:$D$501&lt;&gt;"")*(FI!$F$4:$F$501&lt;=$B82)*(FI!$K$4:$K$501="Pending")*(FI!$J$4:$J$501="STT"))</f>
        <v>0</v>
      </c>
      <c r="I82" s="326" cm="1">
        <f t="array" ref="I82">SUMPRODUCT((FI!$C$4:$C$501&lt;&gt;"")*(FI!$D$4:$D$501&lt;&gt;"")*(FI!$F$4:$F$501&lt;=$B82)*(FI!$K$4:$K$501="A"))</f>
        <v>0</v>
      </c>
      <c r="J82" s="326" cm="1">
        <f t="array" ref="J82">SUMPRODUCT((FI!$C$4:$C$501&lt;&gt;"")*(FI!$D$4:$D$501&lt;&gt;"")*(FI!$F$4:$F$501&lt;=$B82)*(FI!$K$4:$K$501="B"))</f>
        <v>0</v>
      </c>
      <c r="K82" s="327" cm="1">
        <f t="array" ref="K82">SUMPRODUCT((FI!$C$4:$C$501&lt;&gt;"")*(FI!$D$4:$D$501&lt;&gt;"")*(FI!$F$4:$F$501&lt;=$B82)*(FI!$K$4:$K$501="C"))</f>
        <v>0</v>
      </c>
    </row>
    <row r="83" spans="2:11" ht="15" customHeight="1" x14ac:dyDescent="0.25">
      <c r="B83" s="325">
        <f t="shared" si="4"/>
        <v>46055</v>
      </c>
      <c r="C83" s="326" cm="1">
        <f t="array" ref="C83">SUMPRODUCT((FI!$C$4:$C$501&lt;&gt;"")*(FI!$D$4:$D$501&lt;&gt;"")*((FI!$E$4:$E$501&lt;=B83)+(FI!$E$4:$E$501&gt;B83)))</f>
        <v>14</v>
      </c>
      <c r="D83" s="326" cm="1">
        <f t="array" ref="D83">SUMPRODUCT((FI!$C$4:$C$501&lt;&gt;"")*(FI!$D$4:$D$501&lt;&gt;"")*(FI!$E$4:$E$501&lt;=B83))</f>
        <v>14</v>
      </c>
      <c r="E83" s="326" cm="1">
        <f t="array" ref="E83">SUMPRODUCT((FI!$C$4:$C$501&lt;&gt;"")*(FI!$D$4:$D$501&lt;&gt;"")*(FI!$F$4:$F$501&lt;&gt;"")*(FI!$F$4:$F$501&lt;=B83))</f>
        <v>14</v>
      </c>
      <c r="F83" s="326" cm="1">
        <f t="array" ref="F83">SUMPRODUCT((FI!$C$4:$C$501&lt;&gt;"")*(FI!$D$4:$D$501&lt;&gt;"")*(FI!$F$4:$F$501&lt;=$B83)*(FI!$K$4:$K$501="Pending")*(FI!$J$4:$J$501="CTA"))</f>
        <v>0</v>
      </c>
      <c r="G83" s="326" cm="1">
        <f t="array" ref="G83">SUMPRODUCT((FI!$C$4:$C$501&lt;&gt;"")*(FI!$D$4:$D$501&lt;&gt;"")*(FI!$F$4:$F$501&lt;=$B83)*(FI!$K$4:$K$501="Pending")*(FI!$J$4:$J$501="AUR"))</f>
        <v>14</v>
      </c>
      <c r="H83" s="326" cm="1">
        <f t="array" ref="H83">SUMPRODUCT((FI!$C$4:$C$501&lt;&gt;"")*(FI!$D$4:$D$501&lt;&gt;"")*(FI!$F$4:$F$501&lt;=$B83)*(FI!$K$4:$K$501="Pending")*(FI!$J$4:$J$501="STT"))</f>
        <v>0</v>
      </c>
      <c r="I83" s="326" cm="1">
        <f t="array" ref="I83">SUMPRODUCT((FI!$C$4:$C$501&lt;&gt;"")*(FI!$D$4:$D$501&lt;&gt;"")*(FI!$F$4:$F$501&lt;=$B83)*(FI!$K$4:$K$501="A"))</f>
        <v>0</v>
      </c>
      <c r="J83" s="326" cm="1">
        <f t="array" ref="J83">SUMPRODUCT((FI!$C$4:$C$501&lt;&gt;"")*(FI!$D$4:$D$501&lt;&gt;"")*(FI!$F$4:$F$501&lt;=$B83)*(FI!$K$4:$K$501="B"))</f>
        <v>0</v>
      </c>
      <c r="K83" s="327" cm="1">
        <f t="array" ref="K83">SUMPRODUCT((FI!$C$4:$C$501&lt;&gt;"")*(FI!$D$4:$D$501&lt;&gt;"")*(FI!$F$4:$F$501&lt;=$B83)*(FI!$K$4:$K$501="C"))</f>
        <v>0</v>
      </c>
    </row>
    <row r="84" spans="2:11" ht="15" customHeight="1" x14ac:dyDescent="0.25">
      <c r="B84" s="325">
        <f t="shared" si="4"/>
        <v>46062</v>
      </c>
      <c r="C84" s="326" cm="1">
        <f t="array" ref="C84">SUMPRODUCT((FI!$C$4:$C$501&lt;&gt;"")*(FI!$D$4:$D$501&lt;&gt;"")*((FI!$E$4:$E$501&lt;=B84)+(FI!$E$4:$E$501&gt;B84)))</f>
        <v>14</v>
      </c>
      <c r="D84" s="326" cm="1">
        <f t="array" ref="D84">SUMPRODUCT((FI!$C$4:$C$501&lt;&gt;"")*(FI!$D$4:$D$501&lt;&gt;"")*(FI!$E$4:$E$501&lt;=B84))</f>
        <v>14</v>
      </c>
      <c r="E84" s="326" cm="1">
        <f t="array" ref="E84">SUMPRODUCT((FI!$C$4:$C$501&lt;&gt;"")*(FI!$D$4:$D$501&lt;&gt;"")*(FI!$F$4:$F$501&lt;&gt;"")*(FI!$F$4:$F$501&lt;=B84))</f>
        <v>14</v>
      </c>
      <c r="F84" s="326" cm="1">
        <f t="array" ref="F84">SUMPRODUCT((FI!$C$4:$C$501&lt;&gt;"")*(FI!$D$4:$D$501&lt;&gt;"")*(FI!$F$4:$F$501&lt;=$B84)*(FI!$K$4:$K$501="Pending")*(FI!$J$4:$J$501="CTA"))</f>
        <v>0</v>
      </c>
      <c r="G84" s="326" cm="1">
        <f t="array" ref="G84">SUMPRODUCT((FI!$C$4:$C$501&lt;&gt;"")*(FI!$D$4:$D$501&lt;&gt;"")*(FI!$F$4:$F$501&lt;=$B84)*(FI!$K$4:$K$501="Pending")*(FI!$J$4:$J$501="AUR"))</f>
        <v>14</v>
      </c>
      <c r="H84" s="326" cm="1">
        <f t="array" ref="H84">SUMPRODUCT((FI!$C$4:$C$501&lt;&gt;"")*(FI!$D$4:$D$501&lt;&gt;"")*(FI!$F$4:$F$501&lt;=$B84)*(FI!$K$4:$K$501="Pending")*(FI!$J$4:$J$501="STT"))</f>
        <v>0</v>
      </c>
      <c r="I84" s="326" cm="1">
        <f t="array" ref="I84">SUMPRODUCT((FI!$C$4:$C$501&lt;&gt;"")*(FI!$D$4:$D$501&lt;&gt;"")*(FI!$F$4:$F$501&lt;=$B84)*(FI!$K$4:$K$501="A"))</f>
        <v>0</v>
      </c>
      <c r="J84" s="326" cm="1">
        <f t="array" ref="J84">SUMPRODUCT((FI!$C$4:$C$501&lt;&gt;"")*(FI!$D$4:$D$501&lt;&gt;"")*(FI!$F$4:$F$501&lt;=$B84)*(FI!$K$4:$K$501="B"))</f>
        <v>0</v>
      </c>
      <c r="K84" s="327" cm="1">
        <f t="array" ref="K84">SUMPRODUCT((FI!$C$4:$C$501&lt;&gt;"")*(FI!$D$4:$D$501&lt;&gt;"")*(FI!$F$4:$F$501&lt;=$B84)*(FI!$K$4:$K$501="C"))</f>
        <v>0</v>
      </c>
    </row>
    <row r="85" spans="2:11" ht="15" customHeight="1" x14ac:dyDescent="0.25">
      <c r="B85" s="325">
        <f t="shared" si="4"/>
        <v>46069</v>
      </c>
      <c r="C85" s="326" cm="1">
        <f t="array" ref="C85">SUMPRODUCT((FI!$C$4:$C$501&lt;&gt;"")*(FI!$D$4:$D$501&lt;&gt;"")*((FI!$E$4:$E$501&lt;=B85)+(FI!$E$4:$E$501&gt;B85)))</f>
        <v>14</v>
      </c>
      <c r="D85" s="326" cm="1">
        <f t="array" ref="D85">SUMPRODUCT((FI!$C$4:$C$501&lt;&gt;"")*(FI!$D$4:$D$501&lt;&gt;"")*(FI!$E$4:$E$501&lt;=B85))</f>
        <v>14</v>
      </c>
      <c r="E85" s="326" cm="1">
        <f t="array" ref="E85">SUMPRODUCT((FI!$C$4:$C$501&lt;&gt;"")*(FI!$D$4:$D$501&lt;&gt;"")*(FI!$F$4:$F$501&lt;&gt;"")*(FI!$F$4:$F$501&lt;=B85))</f>
        <v>14</v>
      </c>
      <c r="F85" s="326"/>
      <c r="G85" s="326"/>
      <c r="H85" s="326"/>
      <c r="I85" s="326"/>
      <c r="J85" s="326"/>
      <c r="K85" s="327"/>
    </row>
    <row r="86" spans="2:11" ht="15" customHeight="1" x14ac:dyDescent="0.25">
      <c r="B86" s="325">
        <f t="shared" si="4"/>
        <v>46076</v>
      </c>
      <c r="C86" s="326" cm="1">
        <f t="array" ref="C86">SUMPRODUCT((FI!$C$4:$C$501&lt;&gt;"")*(FI!$D$4:$D$501&lt;&gt;"")*((FI!$E$4:$E$501&lt;=B86)+(FI!$E$4:$E$501&gt;B86)))</f>
        <v>14</v>
      </c>
      <c r="D86" s="326" cm="1">
        <f t="array" ref="D86">SUMPRODUCT((FI!$C$4:$C$501&lt;&gt;"")*(FI!$D$4:$D$501&lt;&gt;"")*(FI!$E$4:$E$501&lt;=B86))</f>
        <v>14</v>
      </c>
      <c r="E86" s="326" cm="1">
        <f t="array" ref="E86">SUMPRODUCT((FI!$C$4:$C$501&lt;&gt;"")*(FI!$D$4:$D$501&lt;&gt;"")*(FI!$F$4:$F$501&lt;&gt;"")*(FI!$F$4:$F$501&lt;=B86))</f>
        <v>14</v>
      </c>
      <c r="F86" s="326"/>
      <c r="G86" s="326"/>
      <c r="H86" s="326"/>
      <c r="I86" s="326"/>
      <c r="J86" s="326"/>
      <c r="K86" s="327"/>
    </row>
    <row r="87" spans="2:11" ht="15" customHeight="1" x14ac:dyDescent="0.25">
      <c r="B87" s="325">
        <f t="shared" si="4"/>
        <v>46083</v>
      </c>
      <c r="C87" s="326" cm="1">
        <f t="array" ref="C87">SUMPRODUCT((FI!$C$4:$C$501&lt;&gt;"")*(FI!$D$4:$D$501&lt;&gt;"")*((FI!$E$4:$E$501&lt;=B87)+(FI!$E$4:$E$501&gt;B87)))</f>
        <v>14</v>
      </c>
      <c r="D87" s="326" cm="1">
        <f t="array" ref="D87">SUMPRODUCT((FI!$C$4:$C$501&lt;&gt;"")*(FI!$D$4:$D$501&lt;&gt;"")*(FI!$E$4:$E$501&lt;=B87))</f>
        <v>14</v>
      </c>
      <c r="E87" s="326" cm="1">
        <f t="array" ref="E87">SUMPRODUCT((FI!$C$4:$C$501&lt;&gt;"")*(FI!$D$4:$D$501&lt;&gt;"")*(FI!$F$4:$F$501&lt;&gt;"")*(FI!$F$4:$F$501&lt;=B87))</f>
        <v>14</v>
      </c>
      <c r="F87" s="326"/>
      <c r="G87" s="326"/>
      <c r="H87" s="326"/>
      <c r="I87" s="326"/>
      <c r="J87" s="326"/>
      <c r="K87" s="327"/>
    </row>
    <row r="88" spans="2:11" ht="15" customHeight="1" x14ac:dyDescent="0.25">
      <c r="B88" s="325">
        <f t="shared" si="4"/>
        <v>46090</v>
      </c>
      <c r="C88" s="326" cm="1">
        <f t="array" ref="C88">SUMPRODUCT((FI!$C$4:$C$501&lt;&gt;"")*(FI!$D$4:$D$501&lt;&gt;"")*((FI!$E$4:$E$501&lt;=B88)+(FI!$E$4:$E$501&gt;B88)))</f>
        <v>14</v>
      </c>
      <c r="D88" s="326" cm="1">
        <f t="array" ref="D88">SUMPRODUCT((FI!$C$4:$C$501&lt;&gt;"")*(FI!$D$4:$D$501&lt;&gt;"")*(FI!$E$4:$E$501&lt;=B88))</f>
        <v>14</v>
      </c>
      <c r="E88" s="326" cm="1">
        <f t="array" ref="E88">SUMPRODUCT((FI!$C$4:$C$501&lt;&gt;"")*(FI!$D$4:$D$501&lt;&gt;"")*(FI!$F$4:$F$501&lt;&gt;"")*(FI!$F$4:$F$501&lt;=B88))</f>
        <v>14</v>
      </c>
      <c r="F88" s="326"/>
      <c r="G88" s="326"/>
      <c r="H88" s="326"/>
      <c r="I88" s="326"/>
      <c r="J88" s="326"/>
      <c r="K88" s="327"/>
    </row>
    <row r="89" spans="2:11" ht="15" customHeight="1" x14ac:dyDescent="0.25">
      <c r="B89" s="352"/>
      <c r="C89" s="353"/>
      <c r="D89" s="353"/>
      <c r="E89" s="353"/>
      <c r="F89" s="353"/>
      <c r="G89" s="353"/>
      <c r="H89" s="353"/>
      <c r="I89" s="353"/>
      <c r="J89" s="353"/>
      <c r="K89" s="354"/>
    </row>
    <row r="95" spans="2:11" ht="15" hidden="1" customHeight="1" x14ac:dyDescent="0.25"/>
    <row r="96" spans="2:11" ht="15" hidden="1" customHeight="1" x14ac:dyDescent="0.25"/>
    <row r="97" spans="2:11" ht="15" hidden="1" customHeight="1" x14ac:dyDescent="0.25">
      <c r="B97" s="374" t="s">
        <v>22</v>
      </c>
      <c r="C97" s="375"/>
      <c r="D97" s="375"/>
      <c r="E97" s="375"/>
      <c r="F97" s="375"/>
      <c r="G97" s="375"/>
      <c r="H97" s="375"/>
      <c r="I97" s="375"/>
      <c r="J97" s="375"/>
      <c r="K97" s="376"/>
    </row>
    <row r="98" spans="2:11" ht="15" hidden="1" customHeight="1" x14ac:dyDescent="0.25">
      <c r="B98" s="377" t="s">
        <v>38</v>
      </c>
      <c r="C98" s="379" t="s">
        <v>39</v>
      </c>
      <c r="D98" s="379" t="s">
        <v>40</v>
      </c>
      <c r="E98" s="379" t="s">
        <v>41</v>
      </c>
      <c r="F98" s="379" t="s">
        <v>42</v>
      </c>
      <c r="G98" s="379"/>
      <c r="H98" s="379"/>
      <c r="I98" s="379"/>
      <c r="J98" s="379"/>
      <c r="K98" s="381"/>
    </row>
    <row r="99" spans="2:11" ht="15" hidden="1" customHeight="1" x14ac:dyDescent="0.25">
      <c r="B99" s="377"/>
      <c r="C99" s="379"/>
      <c r="D99" s="379"/>
      <c r="E99" s="379"/>
      <c r="F99" s="379" t="s">
        <v>43</v>
      </c>
      <c r="G99" s="379"/>
      <c r="H99" s="379"/>
      <c r="I99" s="382" t="s">
        <v>44</v>
      </c>
      <c r="J99" s="384" t="s">
        <v>45</v>
      </c>
      <c r="K99" s="386" t="s">
        <v>46</v>
      </c>
    </row>
    <row r="100" spans="2:11" ht="15" hidden="1" customHeight="1" thickBot="1" x14ac:dyDescent="0.3">
      <c r="B100" s="378"/>
      <c r="C100" s="380"/>
      <c r="D100" s="380"/>
      <c r="E100" s="380"/>
      <c r="F100" s="236" t="s">
        <v>47</v>
      </c>
      <c r="G100" s="236" t="s">
        <v>48</v>
      </c>
      <c r="H100" s="236" t="s">
        <v>49</v>
      </c>
      <c r="I100" s="383"/>
      <c r="J100" s="385"/>
      <c r="K100" s="387"/>
    </row>
    <row r="101" spans="2:11" ht="15" hidden="1" customHeight="1" x14ac:dyDescent="0.25">
      <c r="B101" s="237">
        <v>45684</v>
      </c>
      <c r="C101" s="238" cm="1">
        <f t="array" ref="C101">SUMPRODUCT((EL!$C$4:$C$477&lt;&gt;"")*(EL!$D$4:$D$477&lt;&gt;"")*((EL!$E$4:$E$477&lt;=B101)+(EL!$E$4:$E$477&gt;B101)))</f>
        <v>47</v>
      </c>
      <c r="D101" s="238" cm="1">
        <f t="array" ref="D101">SUMPRODUCT((EL!$C$4:$C$477&lt;&gt;"")*(EL!$D$4:$D$477&lt;&gt;"")*(EL!$E$4:$E$477&lt;=B101))</f>
        <v>47</v>
      </c>
      <c r="E101" s="238" cm="1">
        <f t="array" ref="E101">SUMPRODUCT((EL!$C$4:$C$477&lt;&gt;"")*(EL!$D$4:$D$477&lt;&gt;"")*(EL!$F$4:$F$477&lt;&gt;"")*(EL!$F$4:$F$477&lt;=B101))</f>
        <v>0</v>
      </c>
      <c r="F101" s="238" cm="1">
        <f t="array" ref="F101">SUMPRODUCT((EL!$C$4:$C$477&lt;&gt;"")*(EL!$D$4:$D$477&lt;&gt;"")*(EL!$F$4:$F$477&lt;=$B101)*(EL!$K$4:$K$477="Pending")*(EL!$J$4:$J$477="CTA"))</f>
        <v>0</v>
      </c>
      <c r="G101" s="238" cm="1">
        <f t="array" ref="G101">SUMPRODUCT((EL!$C$4:$C$477&lt;&gt;"")*(EL!$D$4:$D$477&lt;&gt;"")*(EL!$F$4:$F$477&lt;=$B101)*(EL!$K$4:$K$477="Pending")*(EL!$J$4:$J$477="AUR"))</f>
        <v>0</v>
      </c>
      <c r="H101" s="238" cm="1">
        <f t="array" ref="H101">SUMPRODUCT((EL!$C$4:$C$477&lt;&gt;"")*(EL!$D$4:$D$477&lt;&gt;"")*(EL!$F$4:$F$477&lt;=$B101)*(EL!$K$4:$K$477="Pending")*(EL!$J$4:$J$477="STT"))</f>
        <v>0</v>
      </c>
      <c r="I101" s="238" cm="1">
        <f t="array" ref="I101">SUMPRODUCT((EL!$C$4:$C$477&lt;&gt;"")*(EL!$D$4:$D$477&lt;&gt;"")*(EL!$F$4:$F$477&lt;=$B101)*(EL!$K$4:$K$477="A"))</f>
        <v>0</v>
      </c>
      <c r="J101" s="238" cm="1">
        <f t="array" ref="J101">SUMPRODUCT((EL!$C$4:$C$477&lt;&gt;"")*(EL!$D$4:$D$477&lt;&gt;"")*(EL!$F$4:$F$477&lt;=$B101)*(EL!$K$4:$K$477="B"))</f>
        <v>0</v>
      </c>
      <c r="K101" s="238" cm="1">
        <f t="array" ref="K101">SUMPRODUCT((EL!$C$4:$C$477&lt;&gt;"")*(EL!$D$4:$D$477&lt;&gt;"")*(EL!$F$4:$F$477&lt;=$B101)*(EL!$K$4:$K$477="C"))</f>
        <v>0</v>
      </c>
    </row>
    <row r="102" spans="2:11" ht="15" hidden="1" customHeight="1" x14ac:dyDescent="0.25">
      <c r="B102" s="240">
        <v>45691</v>
      </c>
      <c r="C102" s="238" cm="1">
        <f t="array" ref="C102">SUMPRODUCT(([1]HY!$C$4:$C$501&lt;&gt;"")*([1]HY!$D$4:$D$501&lt;&gt;"")*(([1]HY!$E$4:$E$501&lt;=B102)+([1]HY!$E$4:$E$501&gt;B102)))</f>
        <v>4</v>
      </c>
      <c r="D102" s="238" cm="1">
        <f t="array" ref="D102">SUMPRODUCT(([1]HY!$C$4:$C$501&lt;&gt;"")*([1]HY!$D$4:$D$501&lt;&gt;"")*([1]HY!$E$4:$E$501&lt;=B102))</f>
        <v>4</v>
      </c>
      <c r="E102" s="238" cm="1">
        <f t="array" ref="E102">SUMPRODUCT(([1]HY!$C$4:$C$501&lt;&gt;"")*([1]HY!$D$4:$D$501&lt;&gt;"")*([1]HY!$F$4:$F$501&lt;&gt;"")*([1]HY!$F$4:$F$501&lt;=B102))</f>
        <v>3</v>
      </c>
      <c r="F102" s="238" cm="1">
        <f t="array" ref="F102">SUMPRODUCT(([1]HY!$C$4:$C$501&lt;&gt;"")*([1]HY!$D$4:$D$501&lt;&gt;"")*([1]HY!$F$4:$F$501&lt;=B102)*([1]HY!$J$4:$J$501="Pending")*([1]HY!$I$4:$I$501="CTA"))</f>
        <v>1</v>
      </c>
      <c r="G102" s="238" cm="1">
        <f t="array" ref="G102">SUMPRODUCT(([1]HY!$C$4:$C$501&lt;&gt;"")*([1]HY!$D$4:$D$501&lt;&gt;"")*([1]HY!$F$4:$F$501&lt;=B102)*([1]HY!$J$4:$J$501="Pending")*([1]HY!$I$4:$I$501="AUR"))</f>
        <v>0</v>
      </c>
      <c r="H102" s="238" cm="1">
        <f t="array" ref="H102">SUMPRODUCT(([1]HY!$C$4:$C$501&lt;&gt;"")*([1]HY!$D$4:$D$501&lt;&gt;"")*([1]HY!$F$4:$F$501&lt;=B102)*([1]HY!$J$4:$J$501="Pending")*([1]HY!$I$4:$I$501="STT"))</f>
        <v>0</v>
      </c>
      <c r="I102" s="238" cm="1">
        <f t="array" ref="I102">SUMPRODUCT(([1]HY!$C$4:$C$501&lt;&gt;"")*([1]HY!$D$4:$D$501&lt;&gt;"")*([1]HY!$F$4:$F$501&lt;=B102)*([1]HY!$J$4:$J$501="A"))</f>
        <v>0</v>
      </c>
      <c r="J102" s="238" cm="1">
        <f t="array" ref="J102">SUMPRODUCT(([1]HY!$C$4:$C$501&lt;&gt;"")*([1]HY!$D$4:$D$501&lt;&gt;"")*([1]HY!$F$4:$F$501&lt;=B102)*([1]HY!$J$4:$J$501="B"))</f>
        <v>2</v>
      </c>
      <c r="K102" s="238" cm="1">
        <f t="array" ref="K102">SUMPRODUCT(([1]HY!$C$4:$C$501&lt;&gt;"")*([1]HY!$D$4:$D$501&lt;&gt;"")*([1]HY!$F$4:$F$501&lt;=B102)*([1]HY!$J$4:$J$501="C"))</f>
        <v>0</v>
      </c>
    </row>
    <row r="103" spans="2:11" ht="15" hidden="1" customHeight="1" x14ac:dyDescent="0.25">
      <c r="B103" s="240">
        <v>45696</v>
      </c>
      <c r="C103" s="238" cm="1">
        <f t="array" ref="C103">SUMPRODUCT(([1]HY!$C$4:$C$501&lt;&gt;"")*([1]HY!$D$4:$D$501&lt;&gt;"")*(([1]HY!$E$4:$E$501&lt;=B103)+([1]HY!$E$4:$E$501&gt;B103)))</f>
        <v>4</v>
      </c>
      <c r="D103" s="238"/>
      <c r="E103" s="238"/>
      <c r="F103" s="238"/>
      <c r="G103" s="238"/>
      <c r="H103" s="238"/>
      <c r="I103" s="238"/>
      <c r="J103" s="238"/>
      <c r="K103" s="239"/>
    </row>
    <row r="104" spans="2:11" ht="15" hidden="1" customHeight="1" x14ac:dyDescent="0.25">
      <c r="B104" s="240">
        <v>45705</v>
      </c>
      <c r="C104" s="238" cm="1">
        <f t="array" ref="C104">SUMPRODUCT(([1]HY!$C$4:$C$501&lt;&gt;"")*([1]HY!$D$4:$D$501&lt;&gt;"")*(([1]HY!$E$4:$E$501&lt;=B104)+([1]HY!$E$4:$E$501&gt;B104)))</f>
        <v>4</v>
      </c>
      <c r="D104" s="238"/>
      <c r="E104" s="238"/>
      <c r="F104" s="238"/>
      <c r="G104" s="238"/>
      <c r="H104" s="238"/>
      <c r="I104" s="238"/>
      <c r="J104" s="238"/>
      <c r="K104" s="239"/>
    </row>
    <row r="105" spans="2:11" ht="15" hidden="1" customHeight="1" x14ac:dyDescent="0.25">
      <c r="B105" s="240">
        <v>45712</v>
      </c>
      <c r="C105" s="238" cm="1">
        <f t="array" ref="C105">SUMPRODUCT(([1]HY!$C$4:$C$501&lt;&gt;"")*([1]HY!$D$4:$D$501&lt;&gt;"")*(([1]HY!$E$4:$E$501&lt;=B105)+([1]HY!$E$4:$E$501&gt;B105)))</f>
        <v>4</v>
      </c>
      <c r="D105" s="238"/>
      <c r="E105" s="238"/>
      <c r="F105" s="238"/>
      <c r="G105" s="238"/>
      <c r="H105" s="238"/>
      <c r="I105" s="238"/>
      <c r="J105" s="238"/>
      <c r="K105" s="239"/>
    </row>
    <row r="106" spans="2:11" ht="15" hidden="1" customHeight="1" x14ac:dyDescent="0.25">
      <c r="B106" s="240">
        <v>45719</v>
      </c>
      <c r="C106" s="87"/>
      <c r="D106" s="87"/>
      <c r="E106" s="87"/>
      <c r="F106" s="87"/>
      <c r="G106" s="87"/>
      <c r="H106" s="87"/>
      <c r="I106" s="87"/>
      <c r="J106" s="87"/>
      <c r="K106" s="241"/>
    </row>
    <row r="107" spans="2:11" ht="15" hidden="1" customHeight="1" x14ac:dyDescent="0.25">
      <c r="B107" s="240">
        <v>45724</v>
      </c>
      <c r="C107" s="87"/>
      <c r="D107" s="87"/>
      <c r="E107" s="87"/>
      <c r="F107" s="87"/>
      <c r="G107" s="87"/>
      <c r="H107" s="87"/>
      <c r="I107" s="87"/>
      <c r="J107" s="87"/>
      <c r="K107" s="241"/>
    </row>
    <row r="108" spans="2:11" ht="15" hidden="1" customHeight="1" x14ac:dyDescent="0.25">
      <c r="B108" s="240">
        <v>45739</v>
      </c>
      <c r="C108" s="87"/>
      <c r="D108" s="87"/>
      <c r="E108" s="87"/>
      <c r="F108" s="87"/>
      <c r="G108" s="87"/>
      <c r="H108" s="87"/>
      <c r="I108" s="87"/>
      <c r="J108" s="87"/>
      <c r="K108" s="241"/>
    </row>
    <row r="109" spans="2:11" ht="15" hidden="1" customHeight="1" x14ac:dyDescent="0.25">
      <c r="B109" s="240"/>
      <c r="C109" s="87"/>
      <c r="D109" s="87"/>
      <c r="E109" s="87"/>
      <c r="F109" s="87"/>
      <c r="G109" s="87"/>
      <c r="H109" s="87"/>
      <c r="I109" s="87"/>
      <c r="J109" s="87"/>
      <c r="K109" s="241"/>
    </row>
    <row r="110" spans="2:11" ht="15" hidden="1" customHeight="1" x14ac:dyDescent="0.25">
      <c r="B110" s="240"/>
      <c r="C110" s="87"/>
      <c r="D110" s="87"/>
      <c r="E110" s="87"/>
      <c r="F110" s="87"/>
      <c r="G110" s="87"/>
      <c r="H110" s="87"/>
      <c r="I110" s="87"/>
      <c r="J110" s="87"/>
      <c r="K110" s="241"/>
    </row>
    <row r="111" spans="2:11" ht="15" hidden="1" customHeight="1" x14ac:dyDescent="0.25">
      <c r="B111" s="240"/>
      <c r="C111" s="87"/>
      <c r="D111" s="87"/>
      <c r="E111" s="87"/>
      <c r="F111" s="87"/>
      <c r="G111" s="87"/>
      <c r="H111" s="87"/>
      <c r="I111" s="87"/>
      <c r="J111" s="87"/>
      <c r="K111" s="241"/>
    </row>
    <row r="112" spans="2:11" ht="15" hidden="1" customHeight="1" x14ac:dyDescent="0.25"/>
    <row r="113" spans="2:11" ht="15" hidden="1" customHeight="1" x14ac:dyDescent="0.25"/>
    <row r="114" spans="2:11" ht="15" hidden="1" customHeight="1" x14ac:dyDescent="0.25"/>
    <row r="115" spans="2:11" ht="15" hidden="1" customHeight="1" x14ac:dyDescent="0.25"/>
    <row r="116" spans="2:11" ht="15" hidden="1" customHeight="1" x14ac:dyDescent="0.25"/>
    <row r="117" spans="2:11" ht="15" hidden="1" customHeight="1" x14ac:dyDescent="0.25"/>
    <row r="118" spans="2:11" ht="15" hidden="1" customHeight="1" thickBot="1" x14ac:dyDescent="0.3"/>
    <row r="119" spans="2:11" ht="15" hidden="1" customHeight="1" x14ac:dyDescent="0.25">
      <c r="B119" s="374" t="s">
        <v>51</v>
      </c>
      <c r="C119" s="375"/>
      <c r="D119" s="375"/>
      <c r="E119" s="375"/>
      <c r="F119" s="375"/>
      <c r="G119" s="375"/>
      <c r="H119" s="375"/>
      <c r="I119" s="375"/>
      <c r="J119" s="375"/>
      <c r="K119" s="376"/>
    </row>
    <row r="120" spans="2:11" ht="15" hidden="1" customHeight="1" x14ac:dyDescent="0.25">
      <c r="B120" s="377" t="s">
        <v>38</v>
      </c>
      <c r="C120" s="379" t="s">
        <v>39</v>
      </c>
      <c r="D120" s="379" t="s">
        <v>40</v>
      </c>
      <c r="E120" s="379" t="s">
        <v>41</v>
      </c>
      <c r="F120" s="379" t="s">
        <v>42</v>
      </c>
      <c r="G120" s="379"/>
      <c r="H120" s="379"/>
      <c r="I120" s="379"/>
      <c r="J120" s="379"/>
      <c r="K120" s="381"/>
    </row>
    <row r="121" spans="2:11" ht="15" hidden="1" customHeight="1" x14ac:dyDescent="0.25">
      <c r="B121" s="377"/>
      <c r="C121" s="379"/>
      <c r="D121" s="379"/>
      <c r="E121" s="379"/>
      <c r="F121" s="379" t="s">
        <v>43</v>
      </c>
      <c r="G121" s="379"/>
      <c r="H121" s="379"/>
      <c r="I121" s="382" t="s">
        <v>44</v>
      </c>
      <c r="J121" s="384" t="s">
        <v>45</v>
      </c>
      <c r="K121" s="386" t="s">
        <v>46</v>
      </c>
    </row>
    <row r="122" spans="2:11" ht="15" hidden="1" customHeight="1" thickBot="1" x14ac:dyDescent="0.3">
      <c r="B122" s="378"/>
      <c r="C122" s="380"/>
      <c r="D122" s="380"/>
      <c r="E122" s="380"/>
      <c r="F122" s="236" t="s">
        <v>47</v>
      </c>
      <c r="G122" s="236" t="s">
        <v>48</v>
      </c>
      <c r="H122" s="236" t="s">
        <v>49</v>
      </c>
      <c r="I122" s="383"/>
      <c r="J122" s="385"/>
      <c r="K122" s="387"/>
    </row>
    <row r="123" spans="2:11" ht="15" hidden="1" customHeight="1" x14ac:dyDescent="0.25">
      <c r="B123" s="237">
        <v>45684</v>
      </c>
      <c r="C123" s="238" cm="1">
        <f t="array" ref="C123">SUMPRODUCT(([1]GEN!$C$4:$C$501&lt;&gt;"")*([1]GEN!$D$4:$D$501&lt;&gt;"")*(([1]GEN!$E$4:$E$501&lt;=B124)+([1]GEN!$E$4:$E$501&gt;B124)))</f>
        <v>1</v>
      </c>
      <c r="D123" s="238" cm="1">
        <f t="array" ref="D123">SUMPRODUCT(([1]GEN!$C$4:$C$501&lt;&gt;"")*([1]GEN!$D$4:$D$501&lt;&gt;"")*([1]GEN!$E$4:$E$501&lt;=B123))</f>
        <v>1</v>
      </c>
      <c r="E123" s="238" cm="1">
        <f t="array" ref="E123">SUMPRODUCT(([1]GEN!$C$4:$C$501&lt;&gt;"")*([1]GEN!$D$4:$D$501&lt;&gt;"")*([1]GEN!$F$4:$F$501&lt;&gt;"")*([1]GEN!$F$4:$F$501&lt;=B123))</f>
        <v>1</v>
      </c>
      <c r="F123" s="238" cm="1">
        <f t="array" ref="F123">SUMPRODUCT(([1]GEN!$C$4:$C$501&lt;&gt;"")*([1]GEN!$D$4:$D$501&lt;&gt;"")*([1]GEN!$F$4:$F$501&lt;=B123)*([1]GEN!$J$4:$J$501="Pending")*([1]GEN!$I$4:$I$501="CTA"))</f>
        <v>0</v>
      </c>
      <c r="G123" s="238" cm="1">
        <f t="array" ref="G123">SUMPRODUCT(([1]GEN!$C$4:$C$501&lt;&gt;"")*([1]GEN!$D$4:$D$501&lt;&gt;"")*([1]GEN!$F$4:$F$501&lt;=B123)*([1]GEN!$J$4:$J$501="Pending")*([1]GEN!$I$4:$I$501="AUR"))</f>
        <v>0</v>
      </c>
      <c r="H123" s="238" cm="1">
        <f t="array" ref="H123">SUMPRODUCT(([1]GEN!$C$4:$C$501&lt;&gt;"")*([1]GEN!$D$4:$D$501&lt;&gt;"")*([1]GEN!$F$4:$F$501&lt;=B123)*([1]GEN!$J$4:$J$501="Pending")*([1]GEN!$I$4:$I$501="STT"))</f>
        <v>0</v>
      </c>
      <c r="I123" s="238" cm="1">
        <f t="array" ref="I123">SUMPRODUCT(([1]GEN!$C$4:$C$501&lt;&gt;"")*([1]GEN!$D$4:$D$501&lt;&gt;"")*([1]GEN!$F$4:$F$501&lt;=B123)*([1]GEN!$J$4:$J$501="A"))</f>
        <v>0</v>
      </c>
      <c r="J123" s="238" cm="1">
        <f t="array" ref="J123">SUMPRODUCT(([1]GEN!$C$4:$C$501&lt;&gt;"")*([1]GEN!$D$4:$D$501&lt;&gt;"")*([1]GEN!$F$4:$F$501&lt;=B123)*([1]GEN!$J$4:$J$501="B"))</f>
        <v>0</v>
      </c>
      <c r="K123" s="238" cm="1">
        <f t="array" ref="K123">SUMPRODUCT(([1]GEN!$C$4:$C$501&lt;&gt;"")*([1]GEN!$D$4:$D$501&lt;&gt;"")*([1]GEN!$F$4:$F$501&lt;=B123)*([1]GEN!$J$4:$J$501="C"))</f>
        <v>0</v>
      </c>
    </row>
    <row r="124" spans="2:11" ht="15" hidden="1" customHeight="1" x14ac:dyDescent="0.25">
      <c r="B124" s="240">
        <v>45691</v>
      </c>
      <c r="C124" s="238" cm="1">
        <f t="array" ref="C124">SUMPRODUCT(([1]GEN!$C$4:$C$501&lt;&gt;"")*([1]GEN!$D$4:$D$501&lt;&gt;"")*(([1]GEN!$E$4:$E$501&lt;=B125)+([1]GEN!$E$4:$E$501&gt;B125)))</f>
        <v>1</v>
      </c>
      <c r="D124" s="238" cm="1">
        <f t="array" ref="D124">SUMPRODUCT(([1]GEN!$C$4:$C$501&lt;&gt;"")*([1]GEN!$D$4:$D$501&lt;&gt;"")*([1]GEN!$E$4:$E$501&lt;=B124))</f>
        <v>1</v>
      </c>
      <c r="E124" s="238" cm="1">
        <f t="array" ref="E124">SUMPRODUCT(([1]GEN!$C$4:$C$501&lt;&gt;"")*([1]GEN!$D$4:$D$501&lt;&gt;"")*([1]GEN!$F$4:$F$501&lt;&gt;"")*([1]GEN!$F$4:$F$501&lt;=B124))</f>
        <v>1</v>
      </c>
      <c r="F124" s="238" cm="1">
        <f t="array" ref="F124">SUMPRODUCT(([1]GEN!$C$4:$C$501&lt;&gt;"")*([1]GEN!$D$4:$D$501&lt;&gt;"")*([1]GEN!$F$4:$F$501&lt;=B124)*([1]GEN!$J$4:$J$501="Pending")*([1]GEN!$I$4:$I$501="CTA"))</f>
        <v>0</v>
      </c>
      <c r="G124" s="238" cm="1">
        <f t="array" ref="G124">SUMPRODUCT(([1]GEN!$C$4:$C$501&lt;&gt;"")*([1]GEN!$D$4:$D$501&lt;&gt;"")*([1]GEN!$F$4:$F$501&lt;=B124)*([1]GEN!$J$4:$J$501="Pending")*([1]GEN!$I$4:$I$501="AUR"))</f>
        <v>0</v>
      </c>
      <c r="H124" s="238" cm="1">
        <f t="array" ref="H124">SUMPRODUCT(([1]GEN!$C$4:$C$501&lt;&gt;"")*([1]GEN!$D$4:$D$501&lt;&gt;"")*([1]GEN!$F$4:$F$501&lt;=B124)*([1]GEN!$J$4:$J$501="Pending")*([1]GEN!$I$4:$I$501="STT"))</f>
        <v>0</v>
      </c>
      <c r="I124" s="238" cm="1">
        <f t="array" ref="I124">SUMPRODUCT(([1]GEN!$C$4:$C$501&lt;&gt;"")*([1]GEN!$D$4:$D$501&lt;&gt;"")*([1]GEN!$F$4:$F$501&lt;=B124)*([1]GEN!$J$4:$J$501="A"))</f>
        <v>0</v>
      </c>
      <c r="J124" s="238" cm="1">
        <f t="array" ref="J124">SUMPRODUCT(([1]GEN!$C$4:$C$501&lt;&gt;"")*([1]GEN!$D$4:$D$501&lt;&gt;"")*([1]GEN!$F$4:$F$501&lt;=B124)*([1]GEN!$J$4:$J$501="B"))</f>
        <v>0</v>
      </c>
      <c r="K124" s="238" cm="1">
        <f t="array" ref="K124">SUMPRODUCT(([1]GEN!$C$4:$C$501&lt;&gt;"")*([1]GEN!$D$4:$D$501&lt;&gt;"")*([1]GEN!$F$4:$F$501&lt;=B124)*([1]GEN!$J$4:$J$501="C"))</f>
        <v>0</v>
      </c>
    </row>
    <row r="125" spans="2:11" ht="15" hidden="1" customHeight="1" x14ac:dyDescent="0.25">
      <c r="B125" s="240">
        <v>45696</v>
      </c>
      <c r="C125" s="238" cm="1">
        <f t="array" ref="C125">SUMPRODUCT(([1]GEN!$C$4:$C$501&lt;&gt;"")*([1]GEN!$D$4:$D$501&lt;&gt;"")*(([1]GEN!$E$4:$E$501&lt;=B126)+([1]GEN!$E$4:$E$501&gt;B126)))</f>
        <v>1</v>
      </c>
      <c r="D125" s="238"/>
      <c r="E125" s="238"/>
      <c r="F125" s="238"/>
      <c r="G125" s="238"/>
      <c r="H125" s="238"/>
      <c r="I125" s="238"/>
      <c r="J125" s="238"/>
      <c r="K125" s="239"/>
    </row>
    <row r="126" spans="2:11" ht="15" hidden="1" customHeight="1" x14ac:dyDescent="0.25">
      <c r="B126" s="240">
        <v>45705</v>
      </c>
      <c r="C126" s="238" cm="1">
        <f t="array" ref="C126">SUMPRODUCT(([1]GEN!$C$4:$C$501&lt;&gt;"")*([1]GEN!$D$4:$D$501&lt;&gt;"")*(([1]GEN!$E$4:$E$501&lt;=B127)+([1]GEN!$E$4:$E$501&gt;B127)))</f>
        <v>1</v>
      </c>
      <c r="D126" s="238"/>
      <c r="E126" s="238"/>
      <c r="F126" s="238"/>
      <c r="G126" s="238"/>
      <c r="H126" s="238"/>
      <c r="I126" s="238"/>
      <c r="J126" s="238"/>
      <c r="K126" s="239"/>
    </row>
    <row r="127" spans="2:11" ht="15" hidden="1" customHeight="1" x14ac:dyDescent="0.25">
      <c r="B127" s="240">
        <v>45712</v>
      </c>
      <c r="C127" s="238" cm="1">
        <f t="array" ref="C127">SUMPRODUCT(([1]GEN!$C$4:$C$501&lt;&gt;"")*([1]GEN!$D$4:$D$501&lt;&gt;"")*(([1]GEN!$E$4:$E$501&lt;=B128)+([1]GEN!$E$4:$E$501&gt;B128)))</f>
        <v>1</v>
      </c>
      <c r="D127" s="238"/>
      <c r="E127" s="238"/>
      <c r="F127" s="238"/>
      <c r="G127" s="238"/>
      <c r="H127" s="238"/>
      <c r="I127" s="238"/>
      <c r="J127" s="238"/>
      <c r="K127" s="239"/>
    </row>
    <row r="128" spans="2:11" ht="15" hidden="1" customHeight="1" x14ac:dyDescent="0.25">
      <c r="B128" s="240">
        <v>45739</v>
      </c>
      <c r="C128" s="87"/>
      <c r="D128" s="87"/>
      <c r="E128" s="87"/>
      <c r="F128" s="87"/>
      <c r="G128" s="87"/>
      <c r="H128" s="87"/>
      <c r="I128" s="87"/>
      <c r="J128" s="87"/>
      <c r="K128" s="241"/>
    </row>
    <row r="129" spans="2:11" ht="15" hidden="1" customHeight="1" x14ac:dyDescent="0.25">
      <c r="B129" s="240"/>
      <c r="C129" s="87"/>
      <c r="D129" s="87"/>
      <c r="E129" s="87"/>
      <c r="F129" s="87"/>
      <c r="G129" s="87"/>
      <c r="H129" s="87"/>
      <c r="I129" s="87"/>
      <c r="J129" s="87"/>
      <c r="K129" s="241"/>
    </row>
    <row r="130" spans="2:11" ht="15" hidden="1" customHeight="1" x14ac:dyDescent="0.25">
      <c r="B130" s="240"/>
      <c r="C130" s="87"/>
      <c r="D130" s="87"/>
      <c r="E130" s="87"/>
      <c r="F130" s="87"/>
      <c r="G130" s="87"/>
      <c r="H130" s="87"/>
      <c r="I130" s="87"/>
      <c r="J130" s="87"/>
      <c r="K130" s="241"/>
    </row>
    <row r="131" spans="2:11" ht="15" hidden="1" customHeight="1" x14ac:dyDescent="0.25">
      <c r="B131" s="240"/>
      <c r="C131" s="87"/>
      <c r="D131" s="87"/>
      <c r="E131" s="87"/>
      <c r="F131" s="87"/>
      <c r="G131" s="87"/>
      <c r="H131" s="87"/>
      <c r="I131" s="87"/>
      <c r="J131" s="87"/>
      <c r="K131" s="241"/>
    </row>
    <row r="132" spans="2:11" ht="15" hidden="1" customHeight="1" x14ac:dyDescent="0.25">
      <c r="B132" s="240"/>
      <c r="C132" s="87"/>
      <c r="D132" s="87"/>
      <c r="E132" s="87"/>
      <c r="F132" s="87"/>
      <c r="G132" s="87"/>
      <c r="H132" s="87"/>
      <c r="I132" s="87"/>
      <c r="J132" s="87"/>
      <c r="K132" s="241"/>
    </row>
    <row r="133" spans="2:11" ht="15" hidden="1" customHeight="1" x14ac:dyDescent="0.25">
      <c r="B133" s="240"/>
      <c r="C133" s="87"/>
      <c r="D133" s="87"/>
      <c r="E133" s="87"/>
      <c r="F133" s="87"/>
      <c r="G133" s="87"/>
      <c r="H133" s="87"/>
      <c r="I133" s="87"/>
      <c r="J133" s="87"/>
      <c r="K133" s="241"/>
    </row>
    <row r="134" spans="2:11" ht="15" hidden="1" customHeight="1" x14ac:dyDescent="0.25"/>
    <row r="135" spans="2:11" ht="15" hidden="1" customHeight="1" x14ac:dyDescent="0.25"/>
    <row r="136" spans="2:11" ht="15" hidden="1" customHeight="1" x14ac:dyDescent="0.25"/>
    <row r="137" spans="2:11" ht="15" hidden="1" customHeight="1" x14ac:dyDescent="0.25"/>
    <row r="138" spans="2:11" ht="15" hidden="1" customHeight="1" x14ac:dyDescent="0.25"/>
    <row r="139" spans="2:11" ht="15" hidden="1" customHeight="1" x14ac:dyDescent="0.25"/>
  </sheetData>
  <mergeCells count="70">
    <mergeCell ref="B5:K5"/>
    <mergeCell ref="B6:B8"/>
    <mergeCell ref="C6:C8"/>
    <mergeCell ref="D6:D8"/>
    <mergeCell ref="E6:E8"/>
    <mergeCell ref="F6:K6"/>
    <mergeCell ref="F7:H7"/>
    <mergeCell ref="I7:I8"/>
    <mergeCell ref="J7:J8"/>
    <mergeCell ref="K7:K8"/>
    <mergeCell ref="B22:K22"/>
    <mergeCell ref="B23:B25"/>
    <mergeCell ref="C23:C25"/>
    <mergeCell ref="D23:D25"/>
    <mergeCell ref="E23:E25"/>
    <mergeCell ref="F23:K23"/>
    <mergeCell ref="F24:H24"/>
    <mergeCell ref="I24:I25"/>
    <mergeCell ref="J24:J25"/>
    <mergeCell ref="K24:K25"/>
    <mergeCell ref="B38:K38"/>
    <mergeCell ref="B39:B41"/>
    <mergeCell ref="C39:C41"/>
    <mergeCell ref="D39:D41"/>
    <mergeCell ref="E39:E41"/>
    <mergeCell ref="F39:K39"/>
    <mergeCell ref="F40:H40"/>
    <mergeCell ref="I40:I41"/>
    <mergeCell ref="J40:J41"/>
    <mergeCell ref="K40:K41"/>
    <mergeCell ref="B59:K59"/>
    <mergeCell ref="B60:B62"/>
    <mergeCell ref="C60:C62"/>
    <mergeCell ref="D60:D62"/>
    <mergeCell ref="E60:E62"/>
    <mergeCell ref="F60:K60"/>
    <mergeCell ref="F61:H61"/>
    <mergeCell ref="I61:I62"/>
    <mergeCell ref="J61:J62"/>
    <mergeCell ref="K61:K62"/>
    <mergeCell ref="B75:K75"/>
    <mergeCell ref="B76:B78"/>
    <mergeCell ref="C76:C78"/>
    <mergeCell ref="D76:D78"/>
    <mergeCell ref="E76:E78"/>
    <mergeCell ref="F76:K76"/>
    <mergeCell ref="F77:H77"/>
    <mergeCell ref="I77:I78"/>
    <mergeCell ref="J77:J78"/>
    <mergeCell ref="K77:K78"/>
    <mergeCell ref="B97:K97"/>
    <mergeCell ref="B98:B100"/>
    <mergeCell ref="C98:C100"/>
    <mergeCell ref="D98:D100"/>
    <mergeCell ref="E98:E100"/>
    <mergeCell ref="F98:K98"/>
    <mergeCell ref="F99:H99"/>
    <mergeCell ref="I99:I100"/>
    <mergeCell ref="J99:J100"/>
    <mergeCell ref="K99:K100"/>
    <mergeCell ref="B119:K119"/>
    <mergeCell ref="B120:B122"/>
    <mergeCell ref="C120:C122"/>
    <mergeCell ref="D120:D122"/>
    <mergeCell ref="E120:E122"/>
    <mergeCell ref="F120:K120"/>
    <mergeCell ref="F121:H121"/>
    <mergeCell ref="I121:I122"/>
    <mergeCell ref="J121:J122"/>
    <mergeCell ref="K121:K122"/>
  </mergeCells>
  <conditionalFormatting sqref="B9:K19 B26:K36 B42:K52 B63:K73 B79:K89">
    <cfRule type="expression" dxfId="238" priority="1">
      <formula>WEEKNUM($B9,2)=WEEKNUM(TODAY(),2)</formula>
    </cfRule>
    <cfRule type="expression" dxfId="237" priority="2">
      <formula>$B9=TODAY()-WEEKDAY(TODAY(),2)+8</formula>
    </cfRule>
    <cfRule type="expression" dxfId="236" priority="3">
      <formula>$B9=TODAY()</formula>
    </cfRule>
  </conditionalFormatting>
  <printOptions horizontalCentered="1"/>
  <pageMargins left="0.23622047244094499" right="0.23622047244094499" top="0.74803149606299202" bottom="0.74803149606299202" header="0.31496062992126" footer="0.31496062992126"/>
  <pageSetup paperSize="8" scale="81" fitToHeight="0" orientation="landscape" r:id="rId1"/>
  <headerFooter>
    <oddHeader>&amp;L&amp;G&amp;C&amp;20Project Terra BKK2 Request for Information
 Submission List</oddHeader>
    <oddFooter>&amp;L&amp;D&amp;RPage &amp;P of &amp;N</oddFooter>
  </headerFooter>
  <rowBreaks count="1" manualBreakCount="1">
    <brk id="56" max="21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A89"/>
  <sheetViews>
    <sheetView view="pageBreakPreview" zoomScaleNormal="100" zoomScaleSheetLayoutView="100" workbookViewId="0">
      <selection activeCell="D10" sqref="D10"/>
    </sheetView>
  </sheetViews>
  <sheetFormatPr defaultColWidth="9.296875" defaultRowHeight="13.8" x14ac:dyDescent="0.25"/>
  <cols>
    <col min="1" max="1" width="4.296875" style="3" customWidth="1"/>
    <col min="2" max="2" width="14.3984375" style="3" customWidth="1"/>
    <col min="3" max="3" width="28" style="3" customWidth="1"/>
    <col min="4" max="4" width="71.59765625" style="85" customWidth="1"/>
    <col min="5" max="5" width="15.3984375" style="85" customWidth="1"/>
    <col min="6" max="6" width="11.296875" style="206" bestFit="1" customWidth="1"/>
    <col min="7" max="7" width="12.3984375" style="206" customWidth="1"/>
    <col min="8" max="8" width="5.296875" style="3" customWidth="1"/>
    <col min="9" max="9" width="6.69921875" style="207" customWidth="1"/>
    <col min="10" max="10" width="10.3984375" style="207" customWidth="1"/>
    <col min="11" max="11" width="9.69921875" style="208" bestFit="1" customWidth="1"/>
    <col min="12" max="12" width="36.69921875" style="207" customWidth="1"/>
    <col min="13" max="16" width="10.3984375" style="57" customWidth="1"/>
    <col min="17" max="17" width="10.3984375" style="3" customWidth="1"/>
    <col min="18" max="21" width="10.3984375" style="57" customWidth="1"/>
    <col min="22" max="22" width="10.3984375" style="3" customWidth="1"/>
    <col min="23" max="26" width="10.3984375" style="57" customWidth="1"/>
    <col min="27" max="27" width="10.3984375" style="3" customWidth="1"/>
    <col min="28" max="16384" width="9.296875" style="3"/>
  </cols>
  <sheetData>
    <row r="1" spans="1:27" ht="14.4" thickBot="1" x14ac:dyDescent="0.3">
      <c r="A1" s="61" t="s">
        <v>52</v>
      </c>
      <c r="B1" s="37"/>
      <c r="C1" s="55"/>
      <c r="D1" s="37"/>
      <c r="E1" s="37"/>
      <c r="F1" s="55"/>
      <c r="G1" s="55"/>
      <c r="H1" s="37"/>
      <c r="I1" s="55"/>
      <c r="J1" s="55"/>
      <c r="K1" s="37"/>
      <c r="L1" s="62" t="s">
        <v>53</v>
      </c>
      <c r="M1" s="192" t="s">
        <v>54</v>
      </c>
      <c r="N1" s="193" t="s">
        <v>47</v>
      </c>
      <c r="O1" s="194" t="s">
        <v>48</v>
      </c>
    </row>
    <row r="2" spans="1:27" ht="41.4" x14ac:dyDescent="0.25">
      <c r="A2" s="6" t="s">
        <v>55</v>
      </c>
      <c r="B2" s="7" t="s">
        <v>1</v>
      </c>
      <c r="C2" s="7" t="s">
        <v>56</v>
      </c>
      <c r="D2" s="7" t="s">
        <v>57</v>
      </c>
      <c r="E2" s="7" t="s">
        <v>58</v>
      </c>
      <c r="F2" s="8" t="s">
        <v>59</v>
      </c>
      <c r="G2" s="8" t="s">
        <v>60</v>
      </c>
      <c r="H2" s="7" t="s">
        <v>61</v>
      </c>
      <c r="I2" s="51" t="s">
        <v>62</v>
      </c>
      <c r="J2" s="51" t="s">
        <v>42</v>
      </c>
      <c r="K2" s="52" t="s">
        <v>63</v>
      </c>
      <c r="L2" s="53" t="s">
        <v>64</v>
      </c>
      <c r="M2" s="391" t="s">
        <v>65</v>
      </c>
      <c r="N2" s="392"/>
      <c r="O2" s="393"/>
      <c r="P2" s="394"/>
      <c r="Q2" s="395"/>
      <c r="R2" s="396" t="s">
        <v>66</v>
      </c>
      <c r="S2" s="397"/>
      <c r="T2" s="398"/>
      <c r="U2" s="399"/>
      <c r="V2" s="400"/>
      <c r="W2" s="391" t="s">
        <v>67</v>
      </c>
      <c r="X2" s="392"/>
      <c r="Y2" s="393"/>
      <c r="Z2" s="394"/>
      <c r="AA2" s="395"/>
    </row>
    <row r="3" spans="1:27" x14ac:dyDescent="0.25">
      <c r="A3" s="89"/>
      <c r="B3" s="90"/>
      <c r="C3" s="91"/>
      <c r="D3" s="90"/>
      <c r="E3" s="90"/>
      <c r="F3" s="92"/>
      <c r="G3" s="92"/>
      <c r="H3" s="90"/>
      <c r="I3" s="93"/>
      <c r="J3" s="93"/>
      <c r="K3" s="94"/>
      <c r="L3" s="95"/>
      <c r="M3" s="96" t="s">
        <v>17</v>
      </c>
      <c r="N3" s="97" t="s">
        <v>47</v>
      </c>
      <c r="O3" s="98" t="s">
        <v>48</v>
      </c>
      <c r="P3" s="99" t="s">
        <v>49</v>
      </c>
      <c r="Q3" s="195" t="s">
        <v>42</v>
      </c>
      <c r="R3" s="331" t="s">
        <v>17</v>
      </c>
      <c r="S3" s="332" t="s">
        <v>47</v>
      </c>
      <c r="T3" s="333" t="s">
        <v>48</v>
      </c>
      <c r="U3" s="334" t="s">
        <v>49</v>
      </c>
      <c r="V3" s="335" t="s">
        <v>42</v>
      </c>
      <c r="W3" s="96" t="s">
        <v>17</v>
      </c>
      <c r="X3" s="97" t="s">
        <v>47</v>
      </c>
      <c r="Y3" s="98" t="s">
        <v>48</v>
      </c>
      <c r="Z3" s="99" t="s">
        <v>49</v>
      </c>
      <c r="AA3" s="195" t="s">
        <v>42</v>
      </c>
    </row>
    <row r="4" spans="1:27" s="233" customFormat="1" ht="30.75" customHeight="1" x14ac:dyDescent="0.25">
      <c r="A4" s="105">
        <v>1</v>
      </c>
      <c r="B4" s="106" t="s">
        <v>68</v>
      </c>
      <c r="C4" s="107" t="s">
        <v>69</v>
      </c>
      <c r="D4" s="157" t="s">
        <v>70</v>
      </c>
      <c r="E4" s="108"/>
      <c r="F4" s="146">
        <v>46063</v>
      </c>
      <c r="G4" s="141">
        <f>F4+7</f>
        <v>46070</v>
      </c>
      <c r="H4" s="135">
        <v>0</v>
      </c>
      <c r="I4" s="158" t="s">
        <v>49</v>
      </c>
      <c r="J4" s="158" t="s">
        <v>71</v>
      </c>
      <c r="K4" s="164"/>
      <c r="L4" s="150"/>
      <c r="M4" s="146">
        <v>46063</v>
      </c>
      <c r="N4" s="112">
        <v>46064</v>
      </c>
      <c r="O4" s="109">
        <v>46064</v>
      </c>
      <c r="P4" s="109"/>
      <c r="Q4" s="113"/>
      <c r="R4" s="109"/>
      <c r="S4" s="112"/>
      <c r="T4" s="112"/>
      <c r="U4" s="109"/>
      <c r="V4" s="111"/>
      <c r="W4" s="109"/>
      <c r="X4" s="112"/>
      <c r="Y4" s="112"/>
      <c r="Z4" s="109"/>
      <c r="AA4" s="111"/>
    </row>
    <row r="5" spans="1:27" s="234" customFormat="1" ht="30.75" customHeight="1" x14ac:dyDescent="0.25">
      <c r="A5" s="114">
        <v>2</v>
      </c>
      <c r="B5" s="115" t="s">
        <v>68</v>
      </c>
      <c r="C5" s="107" t="s">
        <v>72</v>
      </c>
      <c r="D5" s="157"/>
      <c r="E5" s="249"/>
      <c r="F5" s="141"/>
      <c r="G5" s="117"/>
      <c r="H5" s="166"/>
      <c r="I5" s="119"/>
      <c r="J5" s="119"/>
      <c r="K5" s="120"/>
      <c r="L5" s="196"/>
      <c r="M5" s="117"/>
      <c r="N5" s="117"/>
      <c r="O5" s="117"/>
      <c r="P5" s="117"/>
      <c r="Q5" s="113"/>
      <c r="R5" s="197"/>
      <c r="S5" s="197"/>
      <c r="T5" s="197"/>
      <c r="U5" s="197"/>
      <c r="V5" s="198"/>
      <c r="W5" s="197"/>
      <c r="X5" s="197"/>
      <c r="Y5" s="197"/>
      <c r="Z5" s="197"/>
      <c r="AA5" s="198"/>
    </row>
    <row r="6" spans="1:27" s="235" customFormat="1" ht="30.75" customHeight="1" x14ac:dyDescent="0.25">
      <c r="A6" s="121"/>
      <c r="B6" s="122"/>
      <c r="C6" s="107"/>
      <c r="D6" s="217"/>
      <c r="E6" s="217"/>
      <c r="F6" s="123"/>
      <c r="G6" s="123"/>
      <c r="H6" s="130"/>
      <c r="I6" s="125"/>
      <c r="J6" s="125"/>
      <c r="K6" s="126"/>
      <c r="L6" s="196"/>
      <c r="M6" s="123"/>
      <c r="N6" s="123"/>
      <c r="O6" s="123"/>
      <c r="P6" s="123"/>
      <c r="Q6" s="113"/>
      <c r="R6" s="199"/>
      <c r="S6" s="199"/>
      <c r="T6" s="199"/>
      <c r="U6" s="199"/>
      <c r="V6" s="200"/>
      <c r="W6" s="199"/>
      <c r="X6" s="199"/>
      <c r="Y6" s="199"/>
      <c r="Z6" s="199"/>
      <c r="AA6" s="200"/>
    </row>
    <row r="7" spans="1:27" s="56" customFormat="1" ht="30.75" customHeight="1" x14ac:dyDescent="0.25">
      <c r="A7" s="127"/>
      <c r="B7" s="201"/>
      <c r="C7" s="107"/>
      <c r="D7" s="218"/>
      <c r="E7" s="218"/>
      <c r="F7" s="130"/>
      <c r="G7" s="130"/>
      <c r="H7" s="166"/>
      <c r="I7" s="148"/>
      <c r="J7" s="148"/>
      <c r="K7" s="130"/>
      <c r="L7" s="147"/>
      <c r="M7" s="132"/>
      <c r="N7" s="132"/>
      <c r="O7" s="130"/>
      <c r="P7" s="130"/>
      <c r="Q7" s="148"/>
      <c r="R7" s="132"/>
      <c r="S7" s="132"/>
      <c r="T7" s="132"/>
      <c r="U7" s="132"/>
      <c r="V7" s="148"/>
      <c r="W7" s="132"/>
      <c r="X7" s="132"/>
      <c r="Y7" s="132"/>
      <c r="Z7" s="132"/>
      <c r="AA7" s="148"/>
    </row>
    <row r="8" spans="1:27" ht="30.75" customHeight="1" x14ac:dyDescent="0.25">
      <c r="A8" s="135"/>
      <c r="B8" s="145"/>
      <c r="C8" s="107"/>
      <c r="D8" s="136"/>
      <c r="E8" s="136"/>
      <c r="F8" s="141"/>
      <c r="G8" s="141"/>
      <c r="H8" s="110"/>
      <c r="I8" s="138"/>
      <c r="J8" s="138"/>
      <c r="K8" s="164"/>
      <c r="L8" s="147"/>
      <c r="M8" s="140"/>
      <c r="N8" s="140"/>
      <c r="O8" s="141"/>
      <c r="P8" s="142"/>
      <c r="Q8" s="148"/>
      <c r="R8" s="140"/>
      <c r="S8" s="140"/>
      <c r="T8" s="140"/>
      <c r="U8" s="140"/>
      <c r="V8" s="149"/>
      <c r="W8" s="140"/>
      <c r="X8" s="140"/>
      <c r="Y8" s="140"/>
      <c r="Z8" s="140"/>
      <c r="AA8" s="149"/>
    </row>
    <row r="9" spans="1:27" s="56" customFormat="1" ht="30.75" customHeight="1" x14ac:dyDescent="0.25">
      <c r="A9" s="127"/>
      <c r="B9" s="201"/>
      <c r="C9" s="107"/>
      <c r="D9" s="128"/>
      <c r="E9" s="128"/>
      <c r="F9" s="130"/>
      <c r="G9" s="130"/>
      <c r="H9" s="166"/>
      <c r="I9" s="148"/>
      <c r="J9" s="148"/>
      <c r="K9" s="130"/>
      <c r="L9" s="147"/>
      <c r="M9" s="132"/>
      <c r="N9" s="132"/>
      <c r="O9" s="130"/>
      <c r="P9" s="130"/>
      <c r="Q9" s="148"/>
      <c r="R9" s="132"/>
      <c r="S9" s="132"/>
      <c r="T9" s="132"/>
      <c r="U9" s="132"/>
      <c r="V9" s="148"/>
      <c r="W9" s="132"/>
      <c r="X9" s="132"/>
      <c r="Y9" s="132"/>
      <c r="Z9" s="132"/>
      <c r="AA9" s="148"/>
    </row>
    <row r="10" spans="1:27" ht="51" customHeight="1" x14ac:dyDescent="0.25">
      <c r="A10" s="135"/>
      <c r="B10" s="145"/>
      <c r="C10" s="107"/>
      <c r="D10" s="175"/>
      <c r="E10" s="175"/>
      <c r="F10" s="141"/>
      <c r="G10" s="141"/>
      <c r="H10" s="110"/>
      <c r="I10" s="138"/>
      <c r="J10" s="138"/>
      <c r="K10" s="146"/>
      <c r="L10" s="147"/>
      <c r="M10" s="141"/>
      <c r="N10" s="141"/>
      <c r="O10" s="141"/>
      <c r="P10" s="142"/>
      <c r="Q10" s="148"/>
      <c r="R10" s="140"/>
      <c r="S10" s="140"/>
      <c r="T10" s="140"/>
      <c r="U10" s="140"/>
      <c r="V10" s="149"/>
      <c r="W10" s="140"/>
      <c r="X10" s="140"/>
      <c r="Y10" s="140"/>
      <c r="Z10" s="140"/>
      <c r="AA10" s="149"/>
    </row>
    <row r="11" spans="1:27" ht="51" customHeight="1" x14ac:dyDescent="0.25">
      <c r="A11" s="127"/>
      <c r="B11" s="201"/>
      <c r="C11" s="107"/>
      <c r="D11" s="175"/>
      <c r="E11" s="175"/>
      <c r="F11" s="141"/>
      <c r="G11" s="141"/>
      <c r="H11" s="110"/>
      <c r="I11" s="138"/>
      <c r="J11" s="138"/>
      <c r="K11" s="146"/>
      <c r="L11" s="147"/>
      <c r="M11" s="141"/>
      <c r="N11" s="141"/>
      <c r="O11" s="141"/>
      <c r="P11" s="142"/>
      <c r="Q11" s="148"/>
      <c r="R11" s="140"/>
      <c r="S11" s="140"/>
      <c r="T11" s="140"/>
      <c r="U11" s="140"/>
      <c r="V11" s="149"/>
      <c r="W11" s="140"/>
      <c r="X11" s="140"/>
      <c r="Y11" s="140"/>
      <c r="Z11" s="140"/>
      <c r="AA11" s="149"/>
    </row>
    <row r="12" spans="1:27" ht="30.75" customHeight="1" x14ac:dyDescent="0.25">
      <c r="A12" s="135"/>
      <c r="B12" s="145"/>
      <c r="C12" s="107"/>
      <c r="D12" s="152"/>
      <c r="E12" s="152"/>
      <c r="F12" s="141"/>
      <c r="G12" s="141"/>
      <c r="H12" s="110"/>
      <c r="I12" s="138"/>
      <c r="J12" s="138"/>
      <c r="K12" s="146"/>
      <c r="L12" s="202"/>
      <c r="M12" s="141"/>
      <c r="N12" s="141"/>
      <c r="O12" s="141"/>
      <c r="P12" s="141"/>
      <c r="Q12" s="148"/>
      <c r="R12" s="140"/>
      <c r="S12" s="140"/>
      <c r="T12" s="140"/>
      <c r="U12" s="140"/>
      <c r="V12" s="149"/>
      <c r="W12" s="140"/>
      <c r="X12" s="140"/>
      <c r="Y12" s="140"/>
      <c r="Z12" s="140"/>
      <c r="AA12" s="149"/>
    </row>
    <row r="13" spans="1:27" s="70" customFormat="1" ht="30.75" customHeight="1" x14ac:dyDescent="0.25">
      <c r="A13" s="127"/>
      <c r="B13" s="201"/>
      <c r="C13" s="107"/>
      <c r="D13" s="156"/>
      <c r="E13" s="156"/>
      <c r="F13" s="141"/>
      <c r="G13" s="141"/>
      <c r="H13" s="110"/>
      <c r="I13" s="138"/>
      <c r="J13" s="138"/>
      <c r="K13" s="153"/>
      <c r="L13" s="147"/>
      <c r="M13" s="140"/>
      <c r="N13" s="140"/>
      <c r="O13" s="141"/>
      <c r="P13" s="142"/>
      <c r="Q13" s="148"/>
      <c r="R13" s="154"/>
      <c r="S13" s="154"/>
      <c r="T13" s="154"/>
      <c r="U13" s="154"/>
      <c r="V13" s="155"/>
      <c r="W13" s="154"/>
      <c r="X13" s="154"/>
      <c r="Y13" s="154"/>
      <c r="Z13" s="154"/>
      <c r="AA13" s="155"/>
    </row>
    <row r="14" spans="1:27" s="70" customFormat="1" ht="30.75" customHeight="1" x14ac:dyDescent="0.25">
      <c r="A14" s="135"/>
      <c r="B14" s="145"/>
      <c r="C14" s="107"/>
      <c r="D14" s="128"/>
      <c r="E14" s="128"/>
      <c r="F14" s="141"/>
      <c r="G14" s="141"/>
      <c r="H14" s="149"/>
      <c r="I14" s="138"/>
      <c r="J14" s="138"/>
      <c r="K14" s="153"/>
      <c r="L14" s="147"/>
      <c r="M14" s="141"/>
      <c r="N14" s="141"/>
      <c r="O14" s="141"/>
      <c r="P14" s="142"/>
      <c r="Q14" s="148"/>
      <c r="R14" s="154"/>
      <c r="S14" s="154"/>
      <c r="T14" s="154"/>
      <c r="U14" s="154"/>
      <c r="V14" s="155"/>
      <c r="W14" s="154"/>
      <c r="X14" s="154"/>
      <c r="Y14" s="154"/>
      <c r="Z14" s="154"/>
      <c r="AA14" s="155"/>
    </row>
    <row r="15" spans="1:27" s="56" customFormat="1" ht="30.75" customHeight="1" x14ac:dyDescent="0.25">
      <c r="A15" s="127"/>
      <c r="B15" s="201"/>
      <c r="C15" s="107"/>
      <c r="D15" s="157"/>
      <c r="E15" s="157"/>
      <c r="F15" s="130"/>
      <c r="G15" s="130"/>
      <c r="H15" s="148"/>
      <c r="I15" s="148"/>
      <c r="J15" s="148"/>
      <c r="K15" s="130"/>
      <c r="L15" s="147"/>
      <c r="M15" s="132"/>
      <c r="N15" s="132"/>
      <c r="O15" s="130"/>
      <c r="P15" s="130"/>
      <c r="Q15" s="148"/>
      <c r="R15" s="132"/>
      <c r="S15" s="132"/>
      <c r="T15" s="132"/>
      <c r="U15" s="132"/>
      <c r="V15" s="148"/>
      <c r="W15" s="132"/>
      <c r="X15" s="132"/>
      <c r="Y15" s="132"/>
      <c r="Z15" s="132"/>
      <c r="AA15" s="148"/>
    </row>
    <row r="16" spans="1:27" s="233" customFormat="1" ht="30.75" customHeight="1" x14ac:dyDescent="0.25">
      <c r="A16" s="135"/>
      <c r="B16" s="145"/>
      <c r="C16" s="107"/>
      <c r="D16" s="111"/>
      <c r="E16" s="111"/>
      <c r="F16" s="130"/>
      <c r="G16" s="130"/>
      <c r="H16" s="111"/>
      <c r="I16" s="111"/>
      <c r="J16" s="111"/>
      <c r="K16" s="112"/>
      <c r="L16" s="203"/>
      <c r="M16" s="112"/>
      <c r="N16" s="112"/>
      <c r="O16" s="112"/>
      <c r="P16" s="112"/>
      <c r="Q16" s="148"/>
      <c r="R16" s="112"/>
      <c r="S16" s="112"/>
      <c r="T16" s="112"/>
      <c r="U16" s="112"/>
      <c r="V16" s="111"/>
      <c r="W16" s="112"/>
      <c r="X16" s="112"/>
      <c r="Y16" s="112"/>
      <c r="Z16" s="112"/>
      <c r="AA16" s="111"/>
    </row>
    <row r="17" spans="1:27" ht="14.4" x14ac:dyDescent="0.25">
      <c r="A17" s="158"/>
      <c r="B17" s="159"/>
      <c r="C17" s="160"/>
      <c r="D17" s="161"/>
      <c r="E17" s="161"/>
      <c r="F17" s="204"/>
      <c r="G17" s="204"/>
      <c r="H17" s="205"/>
      <c r="I17" s="138"/>
      <c r="J17" s="138"/>
      <c r="K17" s="171"/>
      <c r="L17" s="138"/>
      <c r="M17" s="140"/>
      <c r="N17" s="140"/>
      <c r="O17" s="140"/>
      <c r="P17" s="140"/>
      <c r="Q17" s="149"/>
      <c r="R17" s="140"/>
      <c r="S17" s="140"/>
      <c r="T17" s="140"/>
      <c r="U17" s="140"/>
      <c r="V17" s="149"/>
      <c r="W17" s="140"/>
      <c r="X17" s="140"/>
      <c r="Y17" s="140"/>
      <c r="Z17" s="140"/>
      <c r="AA17" s="149"/>
    </row>
    <row r="19" spans="1:27" x14ac:dyDescent="0.25">
      <c r="K19" s="208" t="s">
        <v>73</v>
      </c>
    </row>
    <row r="75" spans="9:10" x14ac:dyDescent="0.25">
      <c r="I75" s="209" t="s">
        <v>74</v>
      </c>
      <c r="J75" s="209"/>
    </row>
    <row r="76" spans="9:10" x14ac:dyDescent="0.25">
      <c r="I76" s="207" t="s">
        <v>54</v>
      </c>
    </row>
    <row r="77" spans="9:10" x14ac:dyDescent="0.25">
      <c r="I77" s="207" t="s">
        <v>47</v>
      </c>
    </row>
    <row r="78" spans="9:10" x14ac:dyDescent="0.25">
      <c r="I78" s="207" t="s">
        <v>48</v>
      </c>
    </row>
    <row r="79" spans="9:10" x14ac:dyDescent="0.25">
      <c r="I79" s="207" t="s">
        <v>49</v>
      </c>
    </row>
    <row r="80" spans="9:10" x14ac:dyDescent="0.25">
      <c r="I80" s="207" t="s">
        <v>75</v>
      </c>
    </row>
    <row r="89" spans="4:4" x14ac:dyDescent="0.25">
      <c r="D89" s="85" t="s">
        <v>76</v>
      </c>
    </row>
  </sheetData>
  <autoFilter ref="A1:AA17" xr:uid="{7796A23A-9241-48A6-9F98-5D29A79B5525}"/>
  <mergeCells count="3">
    <mergeCell ref="M2:Q2"/>
    <mergeCell ref="R2:V2"/>
    <mergeCell ref="W2:AA2"/>
  </mergeCells>
  <phoneticPr fontId="7" type="noConversion"/>
  <conditionalFormatting sqref="A4:D4 N4:AA4 A5:AA500">
    <cfRule type="expression" dxfId="235" priority="13">
      <formula>$I4="GAA"</formula>
    </cfRule>
  </conditionalFormatting>
  <conditionalFormatting sqref="A5:AA500 A4:D4 N4:AA4">
    <cfRule type="expression" dxfId="234" priority="12">
      <formula>$I4="CTA"</formula>
    </cfRule>
  </conditionalFormatting>
  <conditionalFormatting sqref="A4:XFD14">
    <cfRule type="expression" dxfId="233" priority="7">
      <formula>$I4="AUR"</formula>
    </cfRule>
  </conditionalFormatting>
  <conditionalFormatting sqref="E4:M4">
    <cfRule type="expression" dxfId="232" priority="2">
      <formula>$I4="CTA"</formula>
    </cfRule>
    <cfRule type="expression" dxfId="231" priority="3">
      <formula>$I4="GAA"</formula>
    </cfRule>
  </conditionalFormatting>
  <conditionalFormatting sqref="J4">
    <cfRule type="expression" dxfId="230" priority="1">
      <formula>$J4="Pending"</formula>
    </cfRule>
    <cfRule type="expression" dxfId="229" priority="4">
      <formula>SUMPRODUCT(($D4&lt;&gt;"")*($J4="")+($J4="C"))</formula>
    </cfRule>
    <cfRule type="expression" dxfId="228" priority="5">
      <formula>$J4="Pending"</formula>
    </cfRule>
    <cfRule type="expression" dxfId="227" priority="6">
      <formula>SUMPRODUCT(($J4="A")+($J4="B"))</formula>
    </cfRule>
  </conditionalFormatting>
  <conditionalFormatting sqref="J5:J500">
    <cfRule type="expression" dxfId="226" priority="8">
      <formula>SUMPRODUCT(($D5&lt;&gt;"")*($J5="")+($J5="C"))</formula>
    </cfRule>
    <cfRule type="expression" dxfId="225" priority="9">
      <formula>$J5="Pending"</formula>
    </cfRule>
    <cfRule type="expression" dxfId="224" priority="10">
      <formula>SUMPRODUCT(($J5="A")+($J5="B"))</formula>
    </cfRule>
  </conditionalFormatting>
  <dataValidations count="3">
    <dataValidation type="list" allowBlank="1" showInputMessage="1" showErrorMessage="1" sqref="I77:J1048576 J1 I1:I3" xr:uid="{A14A9C11-44EF-476B-A402-0CEFF8B5E333}">
      <formula1>$I$76:$I$79</formula1>
    </dataValidation>
    <dataValidation type="list" allowBlank="1" showInputMessage="1" showErrorMessage="1" sqref="I4:I74" xr:uid="{EB4C5821-1999-4DF7-B636-6A78C6DFE29C}">
      <formula1>$I$76:$I$80</formula1>
    </dataValidation>
    <dataValidation type="list" allowBlank="1" showInputMessage="1" showErrorMessage="1" sqref="J4:J74" xr:uid="{E4045BE9-E47B-4D43-A44C-F35A8DFF331C}">
      <formula1>"A,B,C,Pending,"</formula1>
    </dataValidation>
  </dataValidations>
  <pageMargins left="0.23622047244094499" right="0.23622047244094499" top="0.74803149606299202" bottom="0.74803149606299202" header="0.31496062992126" footer="0.31496062992126"/>
  <pageSetup paperSize="8" scale="50" fitToHeight="0" orientation="landscape" r:id="rId1"/>
  <headerFooter>
    <oddHeader>&amp;L&amp;G&amp;CProject Terra Phase 4 Material Approval Submission List</oddHeader>
    <oddFooter>&amp;L&amp;D&amp;RPage &amp;P of &amp;N</oddFooter>
  </headerFooter>
  <colBreaks count="1" manualBreakCount="1">
    <brk id="12" max="1048575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 filterMode="1">
    <pageSetUpPr fitToPage="1"/>
  </sheetPr>
  <dimension ref="A1:AA66"/>
  <sheetViews>
    <sheetView view="pageBreakPreview" zoomScale="85" zoomScaleNormal="85" zoomScaleSheetLayoutView="85" workbookViewId="0">
      <pane ySplit="3" topLeftCell="A41" activePane="bottomLeft" state="frozen"/>
      <selection pane="bottomLeft" activeCell="D55" sqref="D55"/>
    </sheetView>
  </sheetViews>
  <sheetFormatPr defaultColWidth="9.296875" defaultRowHeight="13.8" x14ac:dyDescent="0.25"/>
  <cols>
    <col min="1" max="1" width="4.296875" style="1" customWidth="1"/>
    <col min="2" max="2" width="14.3984375" style="1" customWidth="1"/>
    <col min="3" max="3" width="29.69921875" style="1" customWidth="1"/>
    <col min="4" max="4" width="87.3984375" style="10" customWidth="1"/>
    <col min="5" max="5" width="15.3984375" style="85" customWidth="1"/>
    <col min="6" max="6" width="12.69921875" style="11" customWidth="1"/>
    <col min="7" max="7" width="12.3984375" style="11" customWidth="1"/>
    <col min="8" max="8" width="5.09765625" style="1" customWidth="1"/>
    <col min="9" max="9" width="9.3984375" style="36" customWidth="1"/>
    <col min="10" max="10" width="8.69921875" style="36" customWidth="1"/>
    <col min="11" max="11" width="10.69921875" style="54" customWidth="1"/>
    <col min="12" max="12" width="36.69921875" style="36" customWidth="1"/>
    <col min="13" max="15" width="10.3984375" style="2" customWidth="1"/>
    <col min="16" max="16" width="11.69921875" style="2" bestFit="1" customWidth="1"/>
    <col min="17" max="17" width="10.3984375" style="1" customWidth="1"/>
    <col min="18" max="21" width="10.3984375" style="2" customWidth="1"/>
    <col min="22" max="22" width="10.3984375" style="1" customWidth="1"/>
    <col min="23" max="26" width="10.3984375" style="2" customWidth="1"/>
    <col min="27" max="27" width="10.3984375" style="1" customWidth="1"/>
    <col min="28" max="16384" width="9.296875" style="1"/>
  </cols>
  <sheetData>
    <row r="1" spans="1:27" x14ac:dyDescent="0.25">
      <c r="A1" s="37" t="s">
        <v>52</v>
      </c>
      <c r="B1" s="55"/>
      <c r="C1" s="37"/>
      <c r="D1" s="37"/>
      <c r="E1" s="37"/>
      <c r="F1" s="37"/>
      <c r="G1" s="37"/>
      <c r="H1" s="37"/>
      <c r="I1" s="37"/>
      <c r="J1" s="37"/>
      <c r="K1" s="37"/>
      <c r="L1" s="62" t="s">
        <v>53</v>
      </c>
      <c r="M1" s="65" t="s">
        <v>54</v>
      </c>
      <c r="N1" s="63" t="s">
        <v>47</v>
      </c>
      <c r="O1" s="64" t="s">
        <v>48</v>
      </c>
      <c r="P1" s="4"/>
      <c r="Q1" s="5"/>
      <c r="R1" s="4"/>
      <c r="S1" s="4"/>
      <c r="T1" s="4"/>
      <c r="U1" s="4"/>
      <c r="V1" s="5"/>
      <c r="W1" s="4"/>
      <c r="X1" s="4"/>
      <c r="Y1" s="4"/>
      <c r="Z1" s="4"/>
      <c r="AA1" s="5"/>
    </row>
    <row r="2" spans="1:27" s="3" customFormat="1" ht="41.4" x14ac:dyDescent="0.25">
      <c r="A2" s="6" t="s">
        <v>55</v>
      </c>
      <c r="B2" s="7" t="s">
        <v>1</v>
      </c>
      <c r="C2" s="7" t="s">
        <v>56</v>
      </c>
      <c r="D2" s="7" t="s">
        <v>57</v>
      </c>
      <c r="E2" s="7" t="s">
        <v>58</v>
      </c>
      <c r="F2" s="8" t="s">
        <v>59</v>
      </c>
      <c r="G2" s="8" t="s">
        <v>60</v>
      </c>
      <c r="H2" s="7" t="s">
        <v>61</v>
      </c>
      <c r="I2" s="51" t="s">
        <v>62</v>
      </c>
      <c r="J2" s="51" t="s">
        <v>42</v>
      </c>
      <c r="K2" s="52" t="s">
        <v>63</v>
      </c>
      <c r="L2" s="53" t="s">
        <v>64</v>
      </c>
      <c r="M2" s="392" t="s">
        <v>65</v>
      </c>
      <c r="N2" s="407"/>
      <c r="O2" s="408"/>
      <c r="P2" s="409"/>
      <c r="Q2" s="411"/>
      <c r="R2" s="401" t="s">
        <v>66</v>
      </c>
      <c r="S2" s="402"/>
      <c r="T2" s="403"/>
      <c r="U2" s="404"/>
      <c r="V2" s="405"/>
      <c r="W2" s="406" t="s">
        <v>67</v>
      </c>
      <c r="X2" s="407"/>
      <c r="Y2" s="408"/>
      <c r="Z2" s="409"/>
      <c r="AA2" s="410"/>
    </row>
    <row r="3" spans="1:27" x14ac:dyDescent="0.25">
      <c r="A3" s="89"/>
      <c r="B3" s="91"/>
      <c r="C3" s="91"/>
      <c r="D3" s="90"/>
      <c r="E3" s="90"/>
      <c r="F3" s="92"/>
      <c r="G3" s="92"/>
      <c r="H3" s="90"/>
      <c r="I3" s="162"/>
      <c r="J3" s="162"/>
      <c r="K3" s="94"/>
      <c r="L3" s="95"/>
      <c r="M3" s="101" t="s">
        <v>17</v>
      </c>
      <c r="N3" s="102" t="s">
        <v>47</v>
      </c>
      <c r="O3" s="103" t="s">
        <v>48</v>
      </c>
      <c r="P3" s="104" t="s">
        <v>49</v>
      </c>
      <c r="Q3" s="100" t="s">
        <v>42</v>
      </c>
      <c r="R3" s="336" t="s">
        <v>17</v>
      </c>
      <c r="S3" s="337" t="s">
        <v>47</v>
      </c>
      <c r="T3" s="338" t="s">
        <v>48</v>
      </c>
      <c r="U3" s="339" t="s">
        <v>49</v>
      </c>
      <c r="V3" s="340" t="s">
        <v>42</v>
      </c>
      <c r="W3" s="101" t="s">
        <v>17</v>
      </c>
      <c r="X3" s="102" t="s">
        <v>47</v>
      </c>
      <c r="Y3" s="103" t="s">
        <v>48</v>
      </c>
      <c r="Z3" s="104" t="s">
        <v>49</v>
      </c>
      <c r="AA3" s="100" t="s">
        <v>42</v>
      </c>
    </row>
    <row r="4" spans="1:27" s="149" customFormat="1" ht="15" customHeight="1" x14ac:dyDescent="0.25">
      <c r="A4" s="163">
        <v>1</v>
      </c>
      <c r="B4" s="163" t="s">
        <v>19</v>
      </c>
      <c r="C4" s="107" t="s">
        <v>77</v>
      </c>
      <c r="D4" s="128" t="s">
        <v>78</v>
      </c>
      <c r="E4" s="108"/>
      <c r="F4" s="146">
        <v>46034</v>
      </c>
      <c r="G4" s="141">
        <f>F4+7</f>
        <v>46041</v>
      </c>
      <c r="H4" s="135">
        <v>0</v>
      </c>
      <c r="I4" s="158" t="s">
        <v>47</v>
      </c>
      <c r="J4" s="158" t="s">
        <v>71</v>
      </c>
      <c r="K4" s="164"/>
      <c r="L4" s="150"/>
      <c r="M4" s="146">
        <v>46034</v>
      </c>
      <c r="N4" s="141"/>
      <c r="O4" s="141"/>
      <c r="P4" s="142"/>
      <c r="Q4" s="148"/>
      <c r="R4" s="140"/>
      <c r="S4" s="140"/>
      <c r="T4" s="141"/>
      <c r="U4" s="140"/>
      <c r="W4" s="140"/>
      <c r="X4" s="140"/>
      <c r="Y4" s="140"/>
      <c r="Z4" s="140"/>
    </row>
    <row r="5" spans="1:27" s="148" customFormat="1" ht="15" customHeight="1" x14ac:dyDescent="0.25">
      <c r="A5" s="165">
        <f t="shared" ref="A5" si="0">A4+1</f>
        <v>2</v>
      </c>
      <c r="B5" s="165" t="s">
        <v>19</v>
      </c>
      <c r="C5" s="107" t="s">
        <v>79</v>
      </c>
      <c r="D5" s="136"/>
      <c r="E5" s="217"/>
      <c r="F5" s="146"/>
      <c r="G5" s="130"/>
      <c r="H5" s="166"/>
      <c r="I5" s="127"/>
      <c r="K5" s="132"/>
      <c r="L5" s="167"/>
      <c r="M5" s="146"/>
      <c r="N5" s="130"/>
      <c r="O5" s="130"/>
      <c r="P5" s="168"/>
      <c r="Q5" s="111"/>
      <c r="R5" s="132"/>
      <c r="S5" s="132"/>
      <c r="T5" s="132"/>
      <c r="U5" s="132"/>
      <c r="W5" s="132"/>
      <c r="X5" s="132"/>
      <c r="Y5" s="132"/>
      <c r="Z5" s="132"/>
    </row>
    <row r="6" spans="1:27" s="149" customFormat="1" ht="15" customHeight="1" x14ac:dyDescent="0.25">
      <c r="A6" s="165">
        <f>A5+1</f>
        <v>3</v>
      </c>
      <c r="B6" s="165" t="s">
        <v>19</v>
      </c>
      <c r="C6" s="107" t="s">
        <v>80</v>
      </c>
      <c r="D6" s="128" t="s">
        <v>81</v>
      </c>
      <c r="E6" s="217"/>
      <c r="F6" s="141">
        <v>46042</v>
      </c>
      <c r="G6" s="141">
        <f>F6+7</f>
        <v>46049</v>
      </c>
      <c r="H6" s="135">
        <v>0</v>
      </c>
      <c r="I6" s="158" t="s">
        <v>75</v>
      </c>
      <c r="J6" s="158" t="s">
        <v>45</v>
      </c>
      <c r="K6" s="164">
        <v>46057</v>
      </c>
      <c r="L6" s="150"/>
      <c r="M6" s="146">
        <f>F6</f>
        <v>46042</v>
      </c>
      <c r="N6" s="141">
        <v>46043</v>
      </c>
      <c r="O6" s="141">
        <v>46051</v>
      </c>
      <c r="P6" s="151">
        <v>46057</v>
      </c>
      <c r="Q6" s="148" t="s">
        <v>45</v>
      </c>
      <c r="R6" s="140"/>
      <c r="S6" s="140"/>
      <c r="T6" s="140"/>
      <c r="U6" s="140"/>
      <c r="W6" s="140"/>
      <c r="X6" s="140"/>
      <c r="Y6" s="140"/>
      <c r="Z6" s="140"/>
    </row>
    <row r="7" spans="1:27" s="144" customFormat="1" ht="14.4" x14ac:dyDescent="0.25">
      <c r="A7" s="165">
        <f t="shared" ref="A7:A38" si="1">A6+1</f>
        <v>4</v>
      </c>
      <c r="B7" s="165" t="s">
        <v>19</v>
      </c>
      <c r="C7" s="107" t="s">
        <v>82</v>
      </c>
      <c r="D7" s="128" t="s">
        <v>83</v>
      </c>
      <c r="E7" s="218"/>
      <c r="F7" s="141">
        <v>46042</v>
      </c>
      <c r="G7" s="141">
        <f>F7+7</f>
        <v>46049</v>
      </c>
      <c r="H7" s="135">
        <v>0</v>
      </c>
      <c r="I7" s="158" t="s">
        <v>75</v>
      </c>
      <c r="J7" s="158" t="s">
        <v>45</v>
      </c>
      <c r="K7" s="146">
        <v>46058</v>
      </c>
      <c r="L7" s="147"/>
      <c r="M7" s="146">
        <f t="shared" ref="M7:M8" si="2">F7</f>
        <v>46042</v>
      </c>
      <c r="N7" s="141">
        <v>46043</v>
      </c>
      <c r="O7" s="141">
        <v>46052</v>
      </c>
      <c r="P7" s="130">
        <v>46058</v>
      </c>
      <c r="Q7" s="133"/>
      <c r="R7" s="143"/>
      <c r="S7" s="143"/>
      <c r="T7" s="143"/>
      <c r="U7" s="143"/>
      <c r="W7" s="143"/>
      <c r="X7" s="143"/>
      <c r="Y7" s="143"/>
      <c r="Z7" s="143"/>
    </row>
    <row r="8" spans="1:27" s="144" customFormat="1" ht="15" customHeight="1" x14ac:dyDescent="0.3">
      <c r="A8" s="165">
        <f t="shared" si="1"/>
        <v>5</v>
      </c>
      <c r="B8" s="165" t="s">
        <v>19</v>
      </c>
      <c r="C8" s="107" t="s">
        <v>84</v>
      </c>
      <c r="D8" s="128" t="s">
        <v>85</v>
      </c>
      <c r="E8" s="136"/>
      <c r="F8" s="141">
        <v>46042</v>
      </c>
      <c r="G8" s="141">
        <f>F8+7</f>
        <v>46049</v>
      </c>
      <c r="H8" s="135">
        <v>0</v>
      </c>
      <c r="I8" s="158" t="s">
        <v>75</v>
      </c>
      <c r="J8" s="158" t="s">
        <v>45</v>
      </c>
      <c r="K8" s="139">
        <v>46057</v>
      </c>
      <c r="L8" s="131"/>
      <c r="M8" s="146">
        <f t="shared" si="2"/>
        <v>46042</v>
      </c>
      <c r="N8" s="141">
        <v>46043</v>
      </c>
      <c r="O8" s="116">
        <v>46051</v>
      </c>
      <c r="P8" s="139">
        <v>46057</v>
      </c>
      <c r="Q8" s="133" t="s">
        <v>45</v>
      </c>
      <c r="R8" s="143"/>
      <c r="S8" s="143"/>
      <c r="T8" s="143"/>
      <c r="U8" s="143"/>
      <c r="W8" s="143"/>
      <c r="X8" s="143"/>
      <c r="Y8" s="143"/>
      <c r="Z8" s="171"/>
    </row>
    <row r="9" spans="1:27" s="138" customFormat="1" ht="28.5" customHeight="1" x14ac:dyDescent="0.3">
      <c r="A9" s="165">
        <f t="shared" si="1"/>
        <v>6</v>
      </c>
      <c r="B9" s="165" t="s">
        <v>19</v>
      </c>
      <c r="C9" s="107" t="s">
        <v>86</v>
      </c>
      <c r="D9" s="189" t="s">
        <v>87</v>
      </c>
      <c r="E9" s="128"/>
      <c r="F9" s="141">
        <v>46042</v>
      </c>
      <c r="G9" s="141">
        <f>F9+7</f>
        <v>46049</v>
      </c>
      <c r="H9" s="135">
        <v>0</v>
      </c>
      <c r="I9" s="158" t="s">
        <v>49</v>
      </c>
      <c r="J9" s="158" t="s">
        <v>71</v>
      </c>
      <c r="K9" s="139"/>
      <c r="L9" s="131"/>
      <c r="M9" s="146">
        <f t="shared" ref="M9" si="3">F9</f>
        <v>46042</v>
      </c>
      <c r="N9" s="146">
        <v>46052</v>
      </c>
      <c r="O9" s="146">
        <v>46058</v>
      </c>
      <c r="P9" s="164"/>
      <c r="Q9" s="174"/>
      <c r="R9" s="171"/>
      <c r="S9" s="171"/>
      <c r="T9" s="171"/>
      <c r="U9" s="171"/>
      <c r="W9" s="132"/>
      <c r="X9" s="132"/>
      <c r="Y9" s="171"/>
      <c r="Z9" s="171"/>
    </row>
    <row r="10" spans="1:27" s="138" customFormat="1" ht="15" customHeight="1" x14ac:dyDescent="0.3">
      <c r="A10" s="165">
        <f t="shared" si="1"/>
        <v>7</v>
      </c>
      <c r="B10" s="165" t="s">
        <v>19</v>
      </c>
      <c r="C10" s="107" t="s">
        <v>88</v>
      </c>
      <c r="D10" s="172"/>
      <c r="E10" s="175"/>
      <c r="F10" s="146"/>
      <c r="G10" s="169"/>
      <c r="H10" s="118"/>
      <c r="I10" s="170"/>
      <c r="J10" s="170"/>
      <c r="K10" s="169"/>
      <c r="L10" s="131"/>
      <c r="M10" s="146"/>
      <c r="N10" s="146"/>
      <c r="O10" s="146"/>
      <c r="P10" s="146"/>
      <c r="R10" s="171"/>
      <c r="S10" s="171"/>
      <c r="T10" s="171"/>
      <c r="U10" s="171"/>
      <c r="W10" s="171"/>
      <c r="X10" s="171"/>
      <c r="Y10" s="171"/>
      <c r="Z10" s="171"/>
    </row>
    <row r="11" spans="1:27" s="138" customFormat="1" ht="15" customHeight="1" x14ac:dyDescent="0.3">
      <c r="A11" s="165">
        <f t="shared" si="1"/>
        <v>8</v>
      </c>
      <c r="B11" s="165" t="s">
        <v>19</v>
      </c>
      <c r="C11" s="107" t="s">
        <v>89</v>
      </c>
      <c r="D11" s="172"/>
      <c r="E11" s="175"/>
      <c r="F11" s="146"/>
      <c r="G11" s="116"/>
      <c r="H11" s="137"/>
      <c r="I11" s="170"/>
      <c r="J11" s="170"/>
      <c r="K11" s="139"/>
      <c r="L11" s="131"/>
      <c r="M11" s="146"/>
      <c r="N11" s="146"/>
      <c r="O11" s="146"/>
      <c r="P11" s="146"/>
      <c r="R11" s="171"/>
      <c r="S11" s="171"/>
      <c r="T11" s="171"/>
      <c r="U11" s="171"/>
      <c r="W11" s="171"/>
      <c r="X11" s="171"/>
      <c r="Y11" s="171"/>
      <c r="Z11" s="171"/>
    </row>
    <row r="12" spans="1:27" s="149" customFormat="1" ht="15" customHeight="1" x14ac:dyDescent="0.3">
      <c r="A12" s="165">
        <f t="shared" si="1"/>
        <v>9</v>
      </c>
      <c r="B12" s="165" t="s">
        <v>19</v>
      </c>
      <c r="C12" s="107" t="s">
        <v>90</v>
      </c>
      <c r="D12" s="189" t="s">
        <v>91</v>
      </c>
      <c r="E12" s="152"/>
      <c r="F12" s="141">
        <v>46042</v>
      </c>
      <c r="G12" s="141">
        <f>F12+7</f>
        <v>46049</v>
      </c>
      <c r="H12" s="135">
        <v>0</v>
      </c>
      <c r="I12" s="158" t="s">
        <v>75</v>
      </c>
      <c r="J12" s="158" t="s">
        <v>45</v>
      </c>
      <c r="K12" s="139">
        <v>46057</v>
      </c>
      <c r="L12" s="131"/>
      <c r="M12" s="146">
        <f t="shared" ref="M12" si="4">F12</f>
        <v>46042</v>
      </c>
      <c r="N12" s="130">
        <v>46043</v>
      </c>
      <c r="O12" s="130">
        <v>46051</v>
      </c>
      <c r="P12" s="130">
        <v>46057</v>
      </c>
      <c r="Q12" s="148" t="s">
        <v>45</v>
      </c>
      <c r="R12" s="140"/>
      <c r="S12" s="140"/>
      <c r="T12" s="140"/>
      <c r="U12" s="140"/>
      <c r="W12" s="140"/>
      <c r="X12" s="140"/>
      <c r="Y12" s="140"/>
      <c r="Z12" s="140"/>
    </row>
    <row r="13" spans="1:27" s="144" customFormat="1" ht="15" customHeight="1" x14ac:dyDescent="0.3">
      <c r="A13" s="165">
        <f t="shared" si="1"/>
        <v>10</v>
      </c>
      <c r="B13" s="165" t="s">
        <v>19</v>
      </c>
      <c r="C13" s="107" t="s">
        <v>92</v>
      </c>
      <c r="D13" s="128" t="s">
        <v>93</v>
      </c>
      <c r="E13" s="156"/>
      <c r="F13" s="141">
        <v>46042</v>
      </c>
      <c r="G13" s="141">
        <f>F13+7</f>
        <v>46049</v>
      </c>
      <c r="H13" s="135">
        <v>0</v>
      </c>
      <c r="I13" s="158" t="s">
        <v>75</v>
      </c>
      <c r="J13" s="158" t="s">
        <v>45</v>
      </c>
      <c r="K13" s="139">
        <v>46057</v>
      </c>
      <c r="L13" s="131"/>
      <c r="M13" s="146">
        <f t="shared" ref="M13" si="5">F13</f>
        <v>46042</v>
      </c>
      <c r="N13" s="124">
        <v>46043</v>
      </c>
      <c r="O13" s="130">
        <v>46051</v>
      </c>
      <c r="P13" s="130">
        <v>46057</v>
      </c>
      <c r="Q13" s="148" t="s">
        <v>45</v>
      </c>
      <c r="R13" s="143"/>
      <c r="S13" s="143"/>
      <c r="T13" s="143"/>
      <c r="U13" s="143"/>
      <c r="W13" s="143"/>
      <c r="X13" s="143"/>
      <c r="Y13" s="143"/>
      <c r="Z13" s="143"/>
    </row>
    <row r="14" spans="1:27" s="144" customFormat="1" ht="15" customHeight="1" x14ac:dyDescent="0.3">
      <c r="A14" s="165">
        <f t="shared" si="1"/>
        <v>11</v>
      </c>
      <c r="B14" s="165" t="s">
        <v>19</v>
      </c>
      <c r="C14" s="107" t="s">
        <v>94</v>
      </c>
      <c r="D14" s="189" t="s">
        <v>95</v>
      </c>
      <c r="E14" s="128"/>
      <c r="F14" s="141">
        <v>46042</v>
      </c>
      <c r="G14" s="141">
        <f>F14+7</f>
        <v>46049</v>
      </c>
      <c r="H14" s="135">
        <v>0</v>
      </c>
      <c r="I14" s="158" t="s">
        <v>75</v>
      </c>
      <c r="J14" s="158" t="s">
        <v>45</v>
      </c>
      <c r="K14" s="139">
        <v>46057</v>
      </c>
      <c r="L14" s="131"/>
      <c r="M14" s="146">
        <f t="shared" ref="M14" si="6">F14</f>
        <v>46042</v>
      </c>
      <c r="N14" s="116">
        <v>46043</v>
      </c>
      <c r="O14" s="130">
        <v>46051</v>
      </c>
      <c r="P14" s="130">
        <v>46057</v>
      </c>
      <c r="Q14" s="148" t="s">
        <v>45</v>
      </c>
      <c r="R14" s="143"/>
      <c r="S14" s="143"/>
      <c r="T14" s="143"/>
      <c r="U14" s="143"/>
      <c r="W14" s="143"/>
      <c r="X14" s="143"/>
      <c r="Y14" s="143"/>
      <c r="Z14" s="143"/>
    </row>
    <row r="15" spans="1:27" s="149" customFormat="1" ht="15" customHeight="1" x14ac:dyDescent="0.3">
      <c r="A15" s="165">
        <f t="shared" si="1"/>
        <v>12</v>
      </c>
      <c r="B15" s="165" t="s">
        <v>19</v>
      </c>
      <c r="C15" s="107" t="s">
        <v>96</v>
      </c>
      <c r="D15" s="189" t="s">
        <v>97</v>
      </c>
      <c r="E15" s="157"/>
      <c r="F15" s="141">
        <v>46042</v>
      </c>
      <c r="G15" s="141">
        <f t="shared" ref="G15:G16" si="7">F15+7</f>
        <v>46049</v>
      </c>
      <c r="H15" s="135">
        <v>0</v>
      </c>
      <c r="I15" s="158" t="s">
        <v>75</v>
      </c>
      <c r="J15" s="158" t="s">
        <v>45</v>
      </c>
      <c r="K15" s="139">
        <v>46057</v>
      </c>
      <c r="L15" s="131"/>
      <c r="M15" s="146">
        <f t="shared" ref="M15:M16" si="8">F15</f>
        <v>46042</v>
      </c>
      <c r="N15" s="130">
        <v>46043</v>
      </c>
      <c r="O15" s="130">
        <v>46051</v>
      </c>
      <c r="P15" s="130">
        <v>46057</v>
      </c>
      <c r="Q15" s="148" t="s">
        <v>45</v>
      </c>
      <c r="R15" s="140"/>
      <c r="S15" s="140"/>
      <c r="T15" s="140"/>
      <c r="U15" s="140"/>
      <c r="W15" s="140"/>
      <c r="X15" s="140"/>
      <c r="Y15" s="140"/>
      <c r="Z15" s="140"/>
    </row>
    <row r="16" spans="1:27" s="149" customFormat="1" ht="15" customHeight="1" x14ac:dyDescent="0.3">
      <c r="A16" s="165">
        <f t="shared" si="1"/>
        <v>13</v>
      </c>
      <c r="B16" s="165" t="s">
        <v>19</v>
      </c>
      <c r="C16" s="107" t="s">
        <v>98</v>
      </c>
      <c r="D16" s="189" t="s">
        <v>99</v>
      </c>
      <c r="E16" s="111"/>
      <c r="F16" s="141">
        <v>46042</v>
      </c>
      <c r="G16" s="141">
        <f t="shared" si="7"/>
        <v>46049</v>
      </c>
      <c r="H16" s="135">
        <v>0</v>
      </c>
      <c r="I16" s="158" t="s">
        <v>75</v>
      </c>
      <c r="J16" s="158" t="s">
        <v>45</v>
      </c>
      <c r="K16" s="139">
        <v>46059</v>
      </c>
      <c r="L16" s="131"/>
      <c r="M16" s="146">
        <f t="shared" si="8"/>
        <v>46042</v>
      </c>
      <c r="N16" s="130">
        <v>46052</v>
      </c>
      <c r="O16" s="130">
        <v>46057</v>
      </c>
      <c r="P16" s="130">
        <v>46059</v>
      </c>
      <c r="Q16" s="148" t="s">
        <v>45</v>
      </c>
      <c r="R16" s="140"/>
      <c r="S16" s="140"/>
      <c r="T16" s="140"/>
      <c r="U16" s="140"/>
      <c r="W16" s="140"/>
      <c r="X16" s="140"/>
      <c r="Y16" s="140"/>
      <c r="Z16" s="140"/>
    </row>
    <row r="17" spans="1:26" s="149" customFormat="1" ht="15" customHeight="1" x14ac:dyDescent="0.3">
      <c r="A17" s="165">
        <f t="shared" si="1"/>
        <v>14</v>
      </c>
      <c r="B17" s="165" t="s">
        <v>19</v>
      </c>
      <c r="C17" s="107" t="s">
        <v>100</v>
      </c>
      <c r="D17" s="128" t="s">
        <v>101</v>
      </c>
      <c r="E17" s="111"/>
      <c r="F17" s="141">
        <v>46042</v>
      </c>
      <c r="G17" s="141">
        <f t="shared" ref="G17" si="9">F17+7</f>
        <v>46049</v>
      </c>
      <c r="H17" s="135">
        <v>0</v>
      </c>
      <c r="I17" s="158" t="s">
        <v>75</v>
      </c>
      <c r="J17" s="158" t="s">
        <v>45</v>
      </c>
      <c r="K17" s="139">
        <v>46057</v>
      </c>
      <c r="L17" s="131"/>
      <c r="M17" s="146">
        <f t="shared" ref="M17" si="10">F17</f>
        <v>46042</v>
      </c>
      <c r="N17" s="130">
        <v>46043</v>
      </c>
      <c r="O17" s="130">
        <v>46051</v>
      </c>
      <c r="P17" s="130">
        <v>46057</v>
      </c>
      <c r="Q17" s="148" t="s">
        <v>45</v>
      </c>
      <c r="R17" s="140"/>
      <c r="S17" s="140"/>
      <c r="T17" s="140"/>
      <c r="U17" s="140"/>
      <c r="W17" s="140"/>
      <c r="X17" s="140"/>
      <c r="Y17" s="140"/>
      <c r="Z17" s="140"/>
    </row>
    <row r="18" spans="1:26" s="149" customFormat="1" ht="15" customHeight="1" x14ac:dyDescent="0.3">
      <c r="A18" s="165">
        <f t="shared" si="1"/>
        <v>15</v>
      </c>
      <c r="B18" s="165" t="s">
        <v>19</v>
      </c>
      <c r="C18" s="107" t="s">
        <v>102</v>
      </c>
      <c r="D18" s="128" t="s">
        <v>103</v>
      </c>
      <c r="E18" s="111"/>
      <c r="F18" s="146">
        <v>46037</v>
      </c>
      <c r="G18" s="116">
        <f>F18+7</f>
        <v>46044</v>
      </c>
      <c r="H18" s="137">
        <v>0</v>
      </c>
      <c r="I18" s="170" t="s">
        <v>75</v>
      </c>
      <c r="J18" s="170" t="s">
        <v>45</v>
      </c>
      <c r="K18" s="139">
        <v>46057</v>
      </c>
      <c r="L18" s="131"/>
      <c r="M18" s="146">
        <v>46037</v>
      </c>
      <c r="N18" s="130">
        <v>46043</v>
      </c>
      <c r="O18" s="130">
        <v>46051</v>
      </c>
      <c r="P18" s="130">
        <v>46057</v>
      </c>
      <c r="Q18" s="148" t="s">
        <v>45</v>
      </c>
      <c r="R18" s="140"/>
      <c r="S18" s="140"/>
      <c r="T18" s="140"/>
      <c r="U18" s="140"/>
      <c r="W18" s="140"/>
      <c r="X18" s="140"/>
      <c r="Y18" s="140"/>
      <c r="Z18" s="140"/>
    </row>
    <row r="19" spans="1:26" s="149" customFormat="1" ht="15" customHeight="1" x14ac:dyDescent="0.3">
      <c r="A19" s="165">
        <f t="shared" si="1"/>
        <v>16</v>
      </c>
      <c r="B19" s="165" t="s">
        <v>19</v>
      </c>
      <c r="C19" s="107" t="s">
        <v>104</v>
      </c>
      <c r="D19" s="128" t="s">
        <v>105</v>
      </c>
      <c r="E19" s="111"/>
      <c r="F19" s="141">
        <v>46042</v>
      </c>
      <c r="G19" s="141">
        <f t="shared" ref="G19" si="11">F19+7</f>
        <v>46049</v>
      </c>
      <c r="H19" s="135">
        <v>0</v>
      </c>
      <c r="I19" s="158" t="s">
        <v>49</v>
      </c>
      <c r="J19" s="158" t="s">
        <v>71</v>
      </c>
      <c r="K19" s="139"/>
      <c r="L19" s="131"/>
      <c r="M19" s="146">
        <f t="shared" ref="M19" si="12">F19</f>
        <v>46042</v>
      </c>
      <c r="N19" s="130">
        <v>46058</v>
      </c>
      <c r="O19" s="130">
        <v>46059</v>
      </c>
      <c r="P19" s="130"/>
      <c r="Q19" s="148"/>
      <c r="R19" s="140"/>
      <c r="S19" s="140"/>
      <c r="T19" s="140"/>
      <c r="U19" s="140"/>
      <c r="W19" s="140"/>
      <c r="X19" s="140"/>
      <c r="Y19" s="140"/>
      <c r="Z19" s="140"/>
    </row>
    <row r="20" spans="1:26" s="149" customFormat="1" ht="15" customHeight="1" x14ac:dyDescent="0.3">
      <c r="A20" s="165">
        <f t="shared" si="1"/>
        <v>17</v>
      </c>
      <c r="B20" s="165" t="s">
        <v>19</v>
      </c>
      <c r="C20" s="107" t="s">
        <v>106</v>
      </c>
      <c r="D20" s="128" t="s">
        <v>107</v>
      </c>
      <c r="E20" s="111"/>
      <c r="F20" s="146">
        <v>46037</v>
      </c>
      <c r="G20" s="116">
        <f>F20+7</f>
        <v>46044</v>
      </c>
      <c r="H20" s="137">
        <v>0</v>
      </c>
      <c r="I20" s="170" t="s">
        <v>49</v>
      </c>
      <c r="J20" s="170" t="s">
        <v>71</v>
      </c>
      <c r="K20" s="139"/>
      <c r="L20" s="131"/>
      <c r="M20" s="146">
        <v>46037</v>
      </c>
      <c r="N20" s="130">
        <v>46052</v>
      </c>
      <c r="O20" s="141">
        <v>46058</v>
      </c>
      <c r="P20" s="142"/>
      <c r="Q20" s="148"/>
      <c r="R20" s="140"/>
      <c r="S20" s="140"/>
      <c r="T20" s="140"/>
      <c r="U20" s="140"/>
      <c r="W20" s="140"/>
      <c r="X20" s="140"/>
      <c r="Y20" s="140"/>
      <c r="Z20" s="140"/>
    </row>
    <row r="21" spans="1:26" s="149" customFormat="1" ht="34.5" customHeight="1" x14ac:dyDescent="0.25">
      <c r="A21" s="165">
        <f t="shared" si="1"/>
        <v>18</v>
      </c>
      <c r="B21" s="165" t="s">
        <v>19</v>
      </c>
      <c r="C21" s="107" t="s">
        <v>108</v>
      </c>
      <c r="D21" s="189" t="s">
        <v>109</v>
      </c>
      <c r="E21" s="111"/>
      <c r="F21" s="146">
        <v>46035</v>
      </c>
      <c r="G21" s="146">
        <v>46042</v>
      </c>
      <c r="H21" s="173">
        <v>0</v>
      </c>
      <c r="I21" s="158" t="s">
        <v>75</v>
      </c>
      <c r="J21" s="158" t="s">
        <v>45</v>
      </c>
      <c r="K21" s="164">
        <v>46058</v>
      </c>
      <c r="L21" s="150"/>
      <c r="M21" s="146">
        <v>46035</v>
      </c>
      <c r="N21" s="141">
        <v>46043</v>
      </c>
      <c r="O21" s="141">
        <v>46052</v>
      </c>
      <c r="P21" s="142">
        <v>46058</v>
      </c>
      <c r="Q21" s="148"/>
      <c r="R21" s="140"/>
      <c r="S21" s="140"/>
      <c r="T21" s="140"/>
      <c r="U21" s="140"/>
      <c r="W21" s="140"/>
      <c r="X21" s="140"/>
      <c r="Y21" s="140"/>
      <c r="Z21" s="140"/>
    </row>
    <row r="22" spans="1:26" s="144" customFormat="1" ht="15" customHeight="1" x14ac:dyDescent="0.3">
      <c r="A22" s="165">
        <f t="shared" si="1"/>
        <v>19</v>
      </c>
      <c r="B22" s="165" t="s">
        <v>19</v>
      </c>
      <c r="C22" s="107" t="s">
        <v>110</v>
      </c>
      <c r="D22" s="128" t="s">
        <v>111</v>
      </c>
      <c r="E22" s="111"/>
      <c r="F22" s="146">
        <v>46036</v>
      </c>
      <c r="G22" s="146">
        <f>F22+7</f>
        <v>46043</v>
      </c>
      <c r="H22" s="173">
        <v>0</v>
      </c>
      <c r="I22" s="170" t="s">
        <v>75</v>
      </c>
      <c r="J22" s="170" t="s">
        <v>45</v>
      </c>
      <c r="K22" s="139">
        <v>46058</v>
      </c>
      <c r="L22" s="150"/>
      <c r="M22" s="146">
        <v>46036</v>
      </c>
      <c r="N22" s="141">
        <v>46043</v>
      </c>
      <c r="O22" s="116">
        <v>46052</v>
      </c>
      <c r="P22" s="142">
        <v>46058</v>
      </c>
      <c r="Q22" s="133"/>
      <c r="R22" s="143"/>
      <c r="S22" s="143"/>
      <c r="T22" s="143"/>
      <c r="U22" s="143"/>
      <c r="W22" s="143"/>
      <c r="X22" s="143"/>
      <c r="Y22" s="143"/>
      <c r="Z22" s="143"/>
    </row>
    <row r="23" spans="1:26" s="144" customFormat="1" ht="15" customHeight="1" x14ac:dyDescent="0.3">
      <c r="A23" s="165">
        <f t="shared" si="1"/>
        <v>20</v>
      </c>
      <c r="B23" s="165" t="s">
        <v>19</v>
      </c>
      <c r="C23" s="107" t="s">
        <v>112</v>
      </c>
      <c r="D23" s="128" t="s">
        <v>113</v>
      </c>
      <c r="E23" s="111"/>
      <c r="F23" s="146">
        <v>46037</v>
      </c>
      <c r="G23" s="116">
        <f>F23+7</f>
        <v>46044</v>
      </c>
      <c r="H23" s="137">
        <v>0</v>
      </c>
      <c r="I23" s="170" t="s">
        <v>75</v>
      </c>
      <c r="J23" s="170" t="s">
        <v>45</v>
      </c>
      <c r="K23" s="139">
        <v>46058</v>
      </c>
      <c r="L23" s="131"/>
      <c r="M23" s="146">
        <v>46037</v>
      </c>
      <c r="N23" s="141">
        <v>46043</v>
      </c>
      <c r="O23" s="328">
        <v>46052</v>
      </c>
      <c r="P23" s="142">
        <v>46058</v>
      </c>
      <c r="Q23" s="133"/>
      <c r="R23" s="143"/>
      <c r="S23" s="143"/>
      <c r="T23" s="143"/>
      <c r="U23" s="143"/>
      <c r="W23" s="143"/>
      <c r="X23" s="143"/>
      <c r="Y23" s="143"/>
      <c r="Z23" s="143"/>
    </row>
    <row r="24" spans="1:26" s="144" customFormat="1" ht="15" customHeight="1" x14ac:dyDescent="0.3">
      <c r="A24" s="165">
        <f t="shared" si="1"/>
        <v>21</v>
      </c>
      <c r="B24" s="165" t="s">
        <v>19</v>
      </c>
      <c r="C24" s="107" t="s">
        <v>114</v>
      </c>
      <c r="D24" s="313"/>
      <c r="E24" s="111"/>
      <c r="F24" s="146"/>
      <c r="G24" s="116"/>
      <c r="H24" s="137"/>
      <c r="I24" s="170"/>
      <c r="J24" s="170"/>
      <c r="K24" s="139"/>
      <c r="L24" s="131"/>
      <c r="M24" s="146"/>
      <c r="N24" s="124"/>
      <c r="O24" s="124"/>
      <c r="P24" s="124"/>
      <c r="Q24" s="143"/>
      <c r="R24" s="143"/>
      <c r="S24" s="143"/>
      <c r="T24" s="143"/>
      <c r="U24" s="143"/>
      <c r="W24" s="143"/>
      <c r="X24" s="143"/>
      <c r="Y24" s="143"/>
      <c r="Z24" s="143"/>
    </row>
    <row r="25" spans="1:26" s="144" customFormat="1" ht="15" customHeight="1" x14ac:dyDescent="0.3">
      <c r="A25" s="165">
        <f t="shared" si="1"/>
        <v>22</v>
      </c>
      <c r="B25" s="165" t="s">
        <v>19</v>
      </c>
      <c r="C25" s="107" t="s">
        <v>115</v>
      </c>
      <c r="D25" s="128" t="s">
        <v>116</v>
      </c>
      <c r="E25" s="111"/>
      <c r="F25" s="116">
        <v>46039</v>
      </c>
      <c r="G25" s="116">
        <v>46046</v>
      </c>
      <c r="H25" s="137">
        <v>0</v>
      </c>
      <c r="I25" s="170" t="s">
        <v>75</v>
      </c>
      <c r="J25" s="170" t="s">
        <v>45</v>
      </c>
      <c r="K25" s="139">
        <v>46055</v>
      </c>
      <c r="L25" s="131"/>
      <c r="M25" s="146">
        <f>F25</f>
        <v>46039</v>
      </c>
      <c r="N25" s="124">
        <v>46044</v>
      </c>
      <c r="O25" s="329">
        <v>46048</v>
      </c>
      <c r="P25" s="124"/>
      <c r="Q25" s="143"/>
      <c r="R25" s="143"/>
      <c r="S25" s="143"/>
      <c r="T25" s="143"/>
      <c r="U25" s="143"/>
      <c r="W25" s="143"/>
      <c r="X25" s="143"/>
      <c r="Y25" s="143"/>
      <c r="Z25" s="143"/>
    </row>
    <row r="26" spans="1:26" s="144" customFormat="1" ht="15" customHeight="1" x14ac:dyDescent="0.3">
      <c r="A26" s="165">
        <f t="shared" si="1"/>
        <v>23</v>
      </c>
      <c r="B26" s="165" t="s">
        <v>19</v>
      </c>
      <c r="C26" s="107" t="s">
        <v>117</v>
      </c>
      <c r="D26" s="128" t="s">
        <v>118</v>
      </c>
      <c r="E26" s="111"/>
      <c r="F26" s="146">
        <v>46038</v>
      </c>
      <c r="G26" s="116">
        <f t="shared" ref="G26:G38" si="13">F26+7</f>
        <v>46045</v>
      </c>
      <c r="H26" s="137">
        <v>0</v>
      </c>
      <c r="I26" s="158" t="s">
        <v>75</v>
      </c>
      <c r="J26" s="170" t="s">
        <v>45</v>
      </c>
      <c r="K26" s="139">
        <v>46058</v>
      </c>
      <c r="L26" s="131"/>
      <c r="M26" s="146">
        <f>F26</f>
        <v>46038</v>
      </c>
      <c r="N26" s="141">
        <v>46043</v>
      </c>
      <c r="O26" s="329">
        <v>46052</v>
      </c>
      <c r="P26" s="130">
        <v>46058</v>
      </c>
      <c r="Q26" s="143"/>
      <c r="R26" s="143"/>
      <c r="S26" s="143"/>
      <c r="T26" s="143"/>
      <c r="U26" s="143"/>
      <c r="W26" s="143"/>
      <c r="X26" s="143"/>
      <c r="Y26" s="143"/>
      <c r="Z26" s="143"/>
    </row>
    <row r="27" spans="1:26" s="155" customFormat="1" ht="15" customHeight="1" x14ac:dyDescent="0.3">
      <c r="A27" s="165">
        <f t="shared" si="1"/>
        <v>24</v>
      </c>
      <c r="B27" s="165" t="s">
        <v>19</v>
      </c>
      <c r="C27" s="107" t="s">
        <v>119</v>
      </c>
      <c r="D27" s="315" t="s">
        <v>120</v>
      </c>
      <c r="E27" s="111"/>
      <c r="F27" s="146">
        <v>46041</v>
      </c>
      <c r="G27" s="116">
        <f t="shared" si="13"/>
        <v>46048</v>
      </c>
      <c r="H27" s="137">
        <v>0</v>
      </c>
      <c r="I27" s="158" t="s">
        <v>75</v>
      </c>
      <c r="J27" s="170" t="s">
        <v>45</v>
      </c>
      <c r="K27" s="139">
        <v>46058</v>
      </c>
      <c r="L27" s="131"/>
      <c r="M27" s="146">
        <f t="shared" ref="M27:M30" si="14">F27</f>
        <v>46041</v>
      </c>
      <c r="N27" s="141">
        <v>46043</v>
      </c>
      <c r="O27" s="330">
        <v>46052</v>
      </c>
      <c r="P27" s="142">
        <v>46058</v>
      </c>
      <c r="Q27" s="148"/>
      <c r="R27" s="154"/>
      <c r="S27" s="154"/>
      <c r="T27" s="154"/>
      <c r="U27" s="154"/>
      <c r="W27" s="154"/>
      <c r="X27" s="154"/>
      <c r="Y27" s="154"/>
      <c r="Z27" s="154"/>
    </row>
    <row r="28" spans="1:26" s="155" customFormat="1" ht="15" customHeight="1" x14ac:dyDescent="0.3">
      <c r="A28" s="165">
        <f t="shared" si="1"/>
        <v>25</v>
      </c>
      <c r="B28" s="165" t="s">
        <v>19</v>
      </c>
      <c r="C28" s="107" t="s">
        <v>121</v>
      </c>
      <c r="D28" s="315" t="s">
        <v>122</v>
      </c>
      <c r="E28" s="111"/>
      <c r="F28" s="146">
        <v>46041</v>
      </c>
      <c r="G28" s="116">
        <f t="shared" si="13"/>
        <v>46048</v>
      </c>
      <c r="H28" s="137">
        <v>0</v>
      </c>
      <c r="I28" s="158" t="s">
        <v>75</v>
      </c>
      <c r="J28" s="170" t="s">
        <v>45</v>
      </c>
      <c r="K28" s="139">
        <v>46058</v>
      </c>
      <c r="L28" s="131"/>
      <c r="M28" s="146">
        <f t="shared" si="14"/>
        <v>46041</v>
      </c>
      <c r="N28" s="141">
        <v>46043</v>
      </c>
      <c r="O28" s="330">
        <v>46052</v>
      </c>
      <c r="P28" s="142">
        <v>46058</v>
      </c>
      <c r="Q28" s="148"/>
      <c r="R28" s="154"/>
      <c r="S28" s="154"/>
      <c r="T28" s="154"/>
      <c r="U28" s="154"/>
      <c r="W28" s="154"/>
      <c r="X28" s="154"/>
      <c r="Y28" s="154"/>
      <c r="Z28" s="154"/>
    </row>
    <row r="29" spans="1:26" s="144" customFormat="1" ht="15" customHeight="1" x14ac:dyDescent="0.3">
      <c r="A29" s="165">
        <f t="shared" si="1"/>
        <v>26</v>
      </c>
      <c r="B29" s="165" t="s">
        <v>19</v>
      </c>
      <c r="C29" s="107" t="s">
        <v>123</v>
      </c>
      <c r="D29" s="128" t="s">
        <v>124</v>
      </c>
      <c r="E29" s="111"/>
      <c r="F29" s="146">
        <v>46041</v>
      </c>
      <c r="G29" s="116">
        <f t="shared" si="13"/>
        <v>46048</v>
      </c>
      <c r="H29" s="137">
        <v>0</v>
      </c>
      <c r="I29" s="158" t="s">
        <v>75</v>
      </c>
      <c r="J29" s="170" t="s">
        <v>45</v>
      </c>
      <c r="K29" s="139">
        <v>46058</v>
      </c>
      <c r="L29" s="131"/>
      <c r="M29" s="146">
        <f t="shared" si="14"/>
        <v>46041</v>
      </c>
      <c r="N29" s="141">
        <v>46043</v>
      </c>
      <c r="O29" s="328">
        <v>46052</v>
      </c>
      <c r="P29" s="142">
        <v>46058</v>
      </c>
      <c r="Q29" s="133"/>
      <c r="R29" s="143"/>
      <c r="S29" s="143"/>
      <c r="T29" s="143"/>
      <c r="U29" s="143"/>
      <c r="W29" s="143"/>
      <c r="X29" s="143"/>
      <c r="Y29" s="143"/>
      <c r="Z29" s="143"/>
    </row>
    <row r="30" spans="1:26" s="149" customFormat="1" ht="16.5" customHeight="1" x14ac:dyDescent="0.25">
      <c r="A30" s="165">
        <f t="shared" si="1"/>
        <v>27</v>
      </c>
      <c r="B30" s="165" t="s">
        <v>19</v>
      </c>
      <c r="C30" s="107" t="s">
        <v>125</v>
      </c>
      <c r="D30" s="189" t="s">
        <v>126</v>
      </c>
      <c r="E30" s="111"/>
      <c r="F30" s="146">
        <v>46041</v>
      </c>
      <c r="G30" s="141">
        <f t="shared" si="13"/>
        <v>46048</v>
      </c>
      <c r="H30" s="110">
        <v>0</v>
      </c>
      <c r="I30" s="158" t="s">
        <v>75</v>
      </c>
      <c r="J30" s="158" t="s">
        <v>44</v>
      </c>
      <c r="K30" s="164">
        <v>46059</v>
      </c>
      <c r="L30" s="147"/>
      <c r="M30" s="146">
        <f t="shared" si="14"/>
        <v>46041</v>
      </c>
      <c r="N30" s="141">
        <v>46049</v>
      </c>
      <c r="O30" s="141">
        <v>46055</v>
      </c>
      <c r="P30" s="142">
        <v>46059</v>
      </c>
      <c r="Q30" s="148" t="s">
        <v>44</v>
      </c>
      <c r="R30" s="140"/>
      <c r="S30" s="140"/>
      <c r="T30" s="140"/>
      <c r="U30" s="140"/>
      <c r="W30" s="140"/>
      <c r="X30" s="140"/>
      <c r="Y30" s="140"/>
      <c r="Z30" s="140"/>
    </row>
    <row r="31" spans="1:26" s="144" customFormat="1" ht="16.5" customHeight="1" x14ac:dyDescent="0.3">
      <c r="A31" s="165">
        <f t="shared" si="1"/>
        <v>28</v>
      </c>
      <c r="B31" s="165" t="s">
        <v>19</v>
      </c>
      <c r="C31" s="107" t="s">
        <v>127</v>
      </c>
      <c r="D31" s="128" t="s">
        <v>128</v>
      </c>
      <c r="E31" s="111"/>
      <c r="F31" s="146">
        <v>46042</v>
      </c>
      <c r="G31" s="141">
        <f t="shared" si="13"/>
        <v>46049</v>
      </c>
      <c r="H31" s="110">
        <v>0</v>
      </c>
      <c r="I31" s="158" t="s">
        <v>49</v>
      </c>
      <c r="J31" s="158" t="s">
        <v>71</v>
      </c>
      <c r="K31" s="164"/>
      <c r="L31" s="147"/>
      <c r="M31" s="146">
        <f t="shared" ref="M31" si="15">F31</f>
        <v>46042</v>
      </c>
      <c r="N31" s="116">
        <v>46044</v>
      </c>
      <c r="O31" s="116">
        <v>46055</v>
      </c>
      <c r="P31" s="116"/>
      <c r="Q31" s="133"/>
      <c r="R31" s="143"/>
      <c r="S31" s="143"/>
      <c r="T31" s="143"/>
      <c r="U31" s="143"/>
      <c r="W31" s="143"/>
      <c r="X31" s="143"/>
      <c r="Y31" s="143"/>
      <c r="Z31" s="143"/>
    </row>
    <row r="32" spans="1:26" s="144" customFormat="1" ht="15" customHeight="1" x14ac:dyDescent="0.3">
      <c r="A32" s="165">
        <f t="shared" si="1"/>
        <v>29</v>
      </c>
      <c r="B32" s="165" t="s">
        <v>19</v>
      </c>
      <c r="C32" s="107" t="s">
        <v>129</v>
      </c>
      <c r="D32" s="128" t="s">
        <v>130</v>
      </c>
      <c r="E32" s="111"/>
      <c r="F32" s="146">
        <v>46042</v>
      </c>
      <c r="G32" s="141">
        <f t="shared" si="13"/>
        <v>46049</v>
      </c>
      <c r="H32" s="110">
        <v>0</v>
      </c>
      <c r="I32" s="158" t="s">
        <v>75</v>
      </c>
      <c r="J32" s="170" t="s">
        <v>45</v>
      </c>
      <c r="K32" s="164">
        <v>46059</v>
      </c>
      <c r="L32" s="147"/>
      <c r="M32" s="146">
        <f t="shared" ref="M32" si="16">F32</f>
        <v>46042</v>
      </c>
      <c r="N32" s="116">
        <v>46052</v>
      </c>
      <c r="O32" s="116">
        <v>46057</v>
      </c>
      <c r="P32" s="116">
        <v>46059</v>
      </c>
      <c r="Q32" s="143" t="s">
        <v>45</v>
      </c>
      <c r="R32" s="143"/>
      <c r="S32" s="143"/>
      <c r="T32" s="143"/>
      <c r="U32" s="143"/>
      <c r="W32" s="143"/>
      <c r="X32" s="143"/>
      <c r="Y32" s="143"/>
      <c r="Z32" s="143"/>
    </row>
    <row r="33" spans="1:27" s="144" customFormat="1" ht="15" customHeight="1" x14ac:dyDescent="0.3">
      <c r="A33" s="165">
        <f t="shared" si="1"/>
        <v>30</v>
      </c>
      <c r="B33" s="165" t="s">
        <v>19</v>
      </c>
      <c r="C33" s="107" t="s">
        <v>131</v>
      </c>
      <c r="D33" s="128" t="s">
        <v>132</v>
      </c>
      <c r="E33" s="111"/>
      <c r="F33" s="146">
        <v>46042</v>
      </c>
      <c r="G33" s="141">
        <f t="shared" si="13"/>
        <v>46049</v>
      </c>
      <c r="H33" s="110">
        <v>0</v>
      </c>
      <c r="I33" s="158" t="s">
        <v>75</v>
      </c>
      <c r="J33" s="170" t="s">
        <v>45</v>
      </c>
      <c r="K33" s="164">
        <v>46059</v>
      </c>
      <c r="L33" s="147"/>
      <c r="M33" s="146">
        <f t="shared" ref="M33:M34" si="17">F33</f>
        <v>46042</v>
      </c>
      <c r="N33" s="116">
        <v>46052</v>
      </c>
      <c r="O33" s="116">
        <v>46057</v>
      </c>
      <c r="P33" s="116">
        <v>46059</v>
      </c>
      <c r="Q33" s="143" t="s">
        <v>45</v>
      </c>
      <c r="R33" s="143"/>
      <c r="S33" s="143"/>
      <c r="T33" s="143"/>
      <c r="U33" s="143"/>
      <c r="W33" s="143"/>
      <c r="X33" s="143"/>
      <c r="Y33" s="143"/>
      <c r="Z33" s="143"/>
    </row>
    <row r="34" spans="1:27" s="144" customFormat="1" ht="14.4" x14ac:dyDescent="0.3">
      <c r="A34" s="165">
        <f t="shared" si="1"/>
        <v>31</v>
      </c>
      <c r="B34" s="165" t="s">
        <v>19</v>
      </c>
      <c r="C34" s="107" t="s">
        <v>133</v>
      </c>
      <c r="D34" s="128" t="s">
        <v>134</v>
      </c>
      <c r="E34" s="111"/>
      <c r="F34" s="130">
        <v>46043</v>
      </c>
      <c r="G34" s="130">
        <f t="shared" si="13"/>
        <v>46050</v>
      </c>
      <c r="H34" s="110">
        <v>0</v>
      </c>
      <c r="I34" s="158" t="s">
        <v>49</v>
      </c>
      <c r="J34" s="158" t="s">
        <v>71</v>
      </c>
      <c r="K34" s="164"/>
      <c r="L34" s="147"/>
      <c r="M34" s="146">
        <f t="shared" si="17"/>
        <v>46043</v>
      </c>
      <c r="N34" s="116">
        <v>46058</v>
      </c>
      <c r="O34" s="116">
        <v>46059</v>
      </c>
      <c r="P34" s="116"/>
      <c r="Q34" s="143"/>
      <c r="R34" s="143"/>
      <c r="S34" s="143"/>
      <c r="T34" s="143"/>
      <c r="U34" s="143"/>
      <c r="W34" s="143"/>
      <c r="X34" s="143"/>
      <c r="Y34" s="143"/>
      <c r="Z34" s="143"/>
    </row>
    <row r="35" spans="1:27" s="144" customFormat="1" ht="14.4" x14ac:dyDescent="0.3">
      <c r="A35" s="165">
        <f t="shared" si="1"/>
        <v>32</v>
      </c>
      <c r="B35" s="165" t="s">
        <v>19</v>
      </c>
      <c r="C35" s="107" t="s">
        <v>135</v>
      </c>
      <c r="D35" s="128" t="s">
        <v>136</v>
      </c>
      <c r="E35" s="111"/>
      <c r="F35" s="130">
        <v>46043</v>
      </c>
      <c r="G35" s="130">
        <f t="shared" si="13"/>
        <v>46050</v>
      </c>
      <c r="H35" s="110">
        <v>0</v>
      </c>
      <c r="I35" s="158" t="s">
        <v>75</v>
      </c>
      <c r="J35" s="170" t="s">
        <v>45</v>
      </c>
      <c r="K35" s="164">
        <v>46059</v>
      </c>
      <c r="L35" s="147"/>
      <c r="M35" s="146">
        <f t="shared" ref="M35" si="18">F35</f>
        <v>46043</v>
      </c>
      <c r="N35" s="141">
        <v>46052</v>
      </c>
      <c r="O35" s="141">
        <v>46057</v>
      </c>
      <c r="P35" s="116">
        <v>46059</v>
      </c>
      <c r="Q35" s="143" t="s">
        <v>45</v>
      </c>
      <c r="R35" s="140"/>
      <c r="S35" s="140"/>
      <c r="T35" s="140"/>
      <c r="U35" s="140"/>
      <c r="V35" s="149"/>
      <c r="W35" s="140"/>
      <c r="X35" s="140"/>
      <c r="Y35" s="140"/>
      <c r="Z35" s="140"/>
      <c r="AA35" s="149"/>
    </row>
    <row r="36" spans="1:27" ht="14.4" x14ac:dyDescent="0.3">
      <c r="A36" s="165">
        <f t="shared" si="1"/>
        <v>33</v>
      </c>
      <c r="B36" s="165" t="s">
        <v>19</v>
      </c>
      <c r="C36" s="107" t="s">
        <v>137</v>
      </c>
      <c r="D36" s="128" t="s">
        <v>138</v>
      </c>
      <c r="E36" s="111"/>
      <c r="F36" s="130">
        <v>46043</v>
      </c>
      <c r="G36" s="130">
        <f t="shared" si="13"/>
        <v>46050</v>
      </c>
      <c r="H36" s="110">
        <v>0</v>
      </c>
      <c r="I36" s="158" t="s">
        <v>75</v>
      </c>
      <c r="J36" s="170" t="s">
        <v>45</v>
      </c>
      <c r="K36" s="164">
        <v>46059</v>
      </c>
      <c r="L36" s="147"/>
      <c r="M36" s="146">
        <f t="shared" ref="M36" si="19">F36</f>
        <v>46043</v>
      </c>
      <c r="N36" s="141">
        <v>46052</v>
      </c>
      <c r="O36" s="141">
        <v>46057</v>
      </c>
      <c r="P36" s="141">
        <v>46059</v>
      </c>
      <c r="Q36" s="140" t="s">
        <v>45</v>
      </c>
      <c r="R36" s="140"/>
      <c r="S36" s="140"/>
      <c r="T36" s="140"/>
      <c r="U36" s="140"/>
      <c r="V36" s="149"/>
      <c r="W36" s="140"/>
      <c r="X36" s="140"/>
      <c r="Y36" s="140"/>
      <c r="Z36" s="140"/>
      <c r="AA36" s="149"/>
    </row>
    <row r="37" spans="1:27" ht="14.4" x14ac:dyDescent="0.3">
      <c r="A37" s="165">
        <f t="shared" si="1"/>
        <v>34</v>
      </c>
      <c r="B37" s="165" t="s">
        <v>19</v>
      </c>
      <c r="C37" s="107" t="s">
        <v>139</v>
      </c>
      <c r="D37" s="128" t="s">
        <v>140</v>
      </c>
      <c r="E37" s="111"/>
      <c r="F37" s="130">
        <v>46043</v>
      </c>
      <c r="G37" s="130">
        <f t="shared" si="13"/>
        <v>46050</v>
      </c>
      <c r="H37" s="110">
        <v>0</v>
      </c>
      <c r="I37" s="158" t="s">
        <v>75</v>
      </c>
      <c r="J37" s="170" t="s">
        <v>45</v>
      </c>
      <c r="K37" s="164">
        <v>46059</v>
      </c>
      <c r="L37" s="147"/>
      <c r="M37" s="146">
        <f t="shared" ref="M37" si="20">F37</f>
        <v>46043</v>
      </c>
      <c r="N37" s="141">
        <v>46052</v>
      </c>
      <c r="O37" s="141">
        <v>46057</v>
      </c>
      <c r="P37" s="141">
        <v>46059</v>
      </c>
      <c r="Q37" s="140" t="s">
        <v>45</v>
      </c>
      <c r="R37" s="140"/>
      <c r="S37" s="140"/>
      <c r="T37" s="140"/>
      <c r="U37" s="140"/>
      <c r="V37" s="149"/>
      <c r="W37" s="140"/>
      <c r="X37" s="140"/>
      <c r="Y37" s="140"/>
      <c r="Z37" s="140"/>
      <c r="AA37" s="149"/>
    </row>
    <row r="38" spans="1:27" ht="14.4" x14ac:dyDescent="0.25">
      <c r="A38" s="165">
        <f t="shared" si="1"/>
        <v>35</v>
      </c>
      <c r="B38" s="165" t="s">
        <v>19</v>
      </c>
      <c r="C38" s="107" t="s">
        <v>141</v>
      </c>
      <c r="D38" s="136" t="s">
        <v>142</v>
      </c>
      <c r="E38" s="111"/>
      <c r="F38" s="130">
        <v>46043</v>
      </c>
      <c r="G38" s="130">
        <f t="shared" si="13"/>
        <v>46050</v>
      </c>
      <c r="H38" s="110">
        <v>0</v>
      </c>
      <c r="I38" s="158" t="s">
        <v>49</v>
      </c>
      <c r="J38" s="158" t="s">
        <v>71</v>
      </c>
      <c r="K38" s="164"/>
      <c r="L38" s="147"/>
      <c r="M38" s="146">
        <f t="shared" ref="M38" si="21">F38</f>
        <v>46043</v>
      </c>
      <c r="N38" s="141">
        <v>46052</v>
      </c>
      <c r="O38" s="141">
        <v>46057</v>
      </c>
      <c r="P38" s="141"/>
      <c r="Q38" s="140"/>
      <c r="R38" s="140"/>
      <c r="S38" s="140"/>
      <c r="T38" s="140"/>
      <c r="U38" s="140"/>
      <c r="V38" s="149"/>
      <c r="W38" s="140"/>
      <c r="X38" s="140"/>
      <c r="Y38" s="140"/>
      <c r="Z38" s="140"/>
      <c r="AA38" s="149"/>
    </row>
    <row r="39" spans="1:27" ht="14.4" x14ac:dyDescent="0.25">
      <c r="A39" s="165">
        <f t="shared" ref="A39:A45" si="22">A38+1</f>
        <v>36</v>
      </c>
      <c r="B39" s="165" t="s">
        <v>19</v>
      </c>
      <c r="C39" s="107" t="s">
        <v>143</v>
      </c>
      <c r="D39" s="136" t="s">
        <v>144</v>
      </c>
      <c r="E39" s="111"/>
      <c r="F39" s="130">
        <v>46045</v>
      </c>
      <c r="G39" s="130">
        <f t="shared" ref="G39" si="23">F39+7</f>
        <v>46052</v>
      </c>
      <c r="H39" s="110">
        <v>0</v>
      </c>
      <c r="I39" s="158" t="s">
        <v>49</v>
      </c>
      <c r="J39" s="158" t="s">
        <v>71</v>
      </c>
      <c r="K39" s="164"/>
      <c r="L39" s="147"/>
      <c r="M39" s="146">
        <f t="shared" ref="M39" si="24">F39</f>
        <v>46045</v>
      </c>
      <c r="N39" s="141">
        <v>46052</v>
      </c>
      <c r="O39" s="141">
        <v>46057</v>
      </c>
      <c r="P39" s="141"/>
      <c r="Q39" s="140"/>
      <c r="R39" s="140"/>
      <c r="S39" s="140"/>
      <c r="T39" s="140"/>
      <c r="U39" s="140"/>
      <c r="V39" s="149"/>
      <c r="W39" s="140"/>
      <c r="X39" s="140"/>
      <c r="Y39" s="140"/>
      <c r="Z39" s="140"/>
      <c r="AA39" s="149"/>
    </row>
    <row r="40" spans="1:27" ht="14.4" x14ac:dyDescent="0.3">
      <c r="A40" s="165">
        <f>A37+1</f>
        <v>35</v>
      </c>
      <c r="B40" s="165" t="s">
        <v>19</v>
      </c>
      <c r="C40" s="107" t="s">
        <v>145</v>
      </c>
      <c r="D40" s="136" t="s">
        <v>146</v>
      </c>
      <c r="E40" s="111"/>
      <c r="F40" s="130">
        <v>46045</v>
      </c>
      <c r="G40" s="130">
        <f t="shared" ref="G40:G45" si="25">F40+7</f>
        <v>46052</v>
      </c>
      <c r="H40" s="110">
        <v>0</v>
      </c>
      <c r="I40" s="158" t="s">
        <v>75</v>
      </c>
      <c r="J40" s="170" t="s">
        <v>45</v>
      </c>
      <c r="K40" s="164">
        <v>46059</v>
      </c>
      <c r="L40" s="147"/>
      <c r="M40" s="146">
        <f>F40</f>
        <v>46045</v>
      </c>
      <c r="N40" s="141">
        <v>46052</v>
      </c>
      <c r="O40" s="141">
        <v>46057</v>
      </c>
      <c r="P40" s="141">
        <v>46059</v>
      </c>
      <c r="Q40" s="140" t="s">
        <v>45</v>
      </c>
      <c r="R40" s="140"/>
      <c r="S40" s="140"/>
      <c r="T40" s="140"/>
      <c r="U40" s="140"/>
      <c r="V40" s="149"/>
      <c r="W40" s="140"/>
      <c r="X40" s="140"/>
      <c r="Y40" s="140"/>
      <c r="Z40" s="140"/>
      <c r="AA40" s="149"/>
    </row>
    <row r="41" spans="1:27" ht="14.4" x14ac:dyDescent="0.25">
      <c r="A41" s="165">
        <f t="shared" si="22"/>
        <v>36</v>
      </c>
      <c r="B41" s="165" t="s">
        <v>19</v>
      </c>
      <c r="C41" s="107" t="s">
        <v>147</v>
      </c>
      <c r="D41" s="136" t="s">
        <v>148</v>
      </c>
      <c r="E41" s="111"/>
      <c r="F41" s="130">
        <v>46064</v>
      </c>
      <c r="G41" s="130">
        <f t="shared" si="25"/>
        <v>46071</v>
      </c>
      <c r="H41" s="110">
        <v>1</v>
      </c>
      <c r="I41" s="158" t="s">
        <v>47</v>
      </c>
      <c r="J41" s="158" t="s">
        <v>71</v>
      </c>
      <c r="K41" s="164"/>
      <c r="L41" s="147"/>
      <c r="M41" s="146">
        <v>46056</v>
      </c>
      <c r="N41" s="141">
        <v>46058</v>
      </c>
      <c r="O41" s="141">
        <v>46059</v>
      </c>
      <c r="P41" s="141"/>
      <c r="Q41" s="140"/>
      <c r="R41" s="140">
        <v>46064</v>
      </c>
      <c r="S41" s="140"/>
      <c r="T41" s="140"/>
      <c r="U41" s="140"/>
      <c r="V41" s="149"/>
      <c r="W41" s="140"/>
      <c r="X41" s="140"/>
      <c r="Y41" s="140"/>
      <c r="Z41" s="140"/>
      <c r="AA41" s="149"/>
    </row>
    <row r="42" spans="1:27" ht="14.4" x14ac:dyDescent="0.25">
      <c r="A42" s="165">
        <f t="shared" si="22"/>
        <v>37</v>
      </c>
      <c r="B42" s="165" t="s">
        <v>19</v>
      </c>
      <c r="C42" s="107" t="s">
        <v>149</v>
      </c>
      <c r="D42" s="136" t="s">
        <v>150</v>
      </c>
      <c r="E42" s="111"/>
      <c r="F42" s="130">
        <v>46056</v>
      </c>
      <c r="G42" s="130">
        <f t="shared" si="25"/>
        <v>46063</v>
      </c>
      <c r="H42" s="110">
        <v>0</v>
      </c>
      <c r="I42" s="158" t="s">
        <v>49</v>
      </c>
      <c r="J42" s="158" t="s">
        <v>71</v>
      </c>
      <c r="K42" s="164"/>
      <c r="L42" s="147"/>
      <c r="M42" s="146">
        <f>F42</f>
        <v>46056</v>
      </c>
      <c r="N42" s="141">
        <v>46058</v>
      </c>
      <c r="O42" s="141">
        <v>46059</v>
      </c>
      <c r="P42" s="141"/>
      <c r="Q42" s="140"/>
      <c r="R42" s="140"/>
      <c r="S42" s="140"/>
      <c r="T42" s="140"/>
      <c r="U42" s="140"/>
      <c r="V42" s="149"/>
      <c r="W42" s="140"/>
      <c r="X42" s="140"/>
      <c r="Y42" s="140"/>
      <c r="Z42" s="140"/>
      <c r="AA42" s="149"/>
    </row>
    <row r="43" spans="1:27" ht="14.4" x14ac:dyDescent="0.25">
      <c r="A43" s="165">
        <f t="shared" ref="A43" si="26">A40+1</f>
        <v>36</v>
      </c>
      <c r="B43" s="165" t="s">
        <v>19</v>
      </c>
      <c r="C43" s="107" t="s">
        <v>151</v>
      </c>
      <c r="D43" s="136" t="s">
        <v>152</v>
      </c>
      <c r="E43" s="111"/>
      <c r="F43" s="130">
        <v>46057</v>
      </c>
      <c r="G43" s="130">
        <f t="shared" si="25"/>
        <v>46064</v>
      </c>
      <c r="H43" s="110">
        <v>0</v>
      </c>
      <c r="I43" s="158" t="s">
        <v>49</v>
      </c>
      <c r="J43" s="158" t="s">
        <v>71</v>
      </c>
      <c r="K43" s="164"/>
      <c r="L43" s="147"/>
      <c r="M43" s="146">
        <v>46057</v>
      </c>
      <c r="N43" s="141">
        <v>46060</v>
      </c>
      <c r="O43" s="141">
        <v>46062</v>
      </c>
      <c r="P43" s="141"/>
      <c r="Q43" s="140"/>
      <c r="R43" s="140"/>
      <c r="S43" s="140"/>
      <c r="T43" s="140"/>
      <c r="U43" s="140"/>
      <c r="V43" s="149"/>
      <c r="W43" s="140"/>
      <c r="X43" s="140"/>
      <c r="Y43" s="140"/>
      <c r="Z43" s="140"/>
      <c r="AA43" s="149"/>
    </row>
    <row r="44" spans="1:27" ht="14.4" x14ac:dyDescent="0.25">
      <c r="A44" s="165">
        <f t="shared" si="22"/>
        <v>37</v>
      </c>
      <c r="B44" s="165" t="s">
        <v>19</v>
      </c>
      <c r="C44" s="107" t="s">
        <v>153</v>
      </c>
      <c r="D44" s="136" t="s">
        <v>154</v>
      </c>
      <c r="E44" s="111"/>
      <c r="F44" s="130">
        <v>46059</v>
      </c>
      <c r="G44" s="130">
        <f t="shared" si="25"/>
        <v>46066</v>
      </c>
      <c r="H44" s="110">
        <v>0</v>
      </c>
      <c r="I44" s="158" t="s">
        <v>49</v>
      </c>
      <c r="J44" s="158" t="s">
        <v>71</v>
      </c>
      <c r="K44" s="164"/>
      <c r="L44" s="147"/>
      <c r="M44" s="146">
        <v>46059</v>
      </c>
      <c r="N44" s="141">
        <v>46062</v>
      </c>
      <c r="O44" s="141">
        <v>46063</v>
      </c>
      <c r="P44" s="141"/>
      <c r="Q44" s="140"/>
      <c r="R44" s="140"/>
      <c r="S44" s="140"/>
      <c r="T44" s="140"/>
      <c r="U44" s="140"/>
      <c r="V44" s="149"/>
      <c r="W44" s="140"/>
      <c r="X44" s="140"/>
      <c r="Y44" s="140"/>
      <c r="Z44" s="140"/>
      <c r="AA44" s="149"/>
    </row>
    <row r="45" spans="1:27" ht="14.4" x14ac:dyDescent="0.25">
      <c r="A45" s="165">
        <f t="shared" si="22"/>
        <v>38</v>
      </c>
      <c r="B45" s="165" t="s">
        <v>19</v>
      </c>
      <c r="C45" s="107" t="s">
        <v>155</v>
      </c>
      <c r="D45" s="136" t="s">
        <v>156</v>
      </c>
      <c r="E45" s="111"/>
      <c r="F45" s="130">
        <v>46059</v>
      </c>
      <c r="G45" s="130">
        <f t="shared" si="25"/>
        <v>46066</v>
      </c>
      <c r="H45" s="110">
        <v>0</v>
      </c>
      <c r="I45" s="158" t="s">
        <v>49</v>
      </c>
      <c r="J45" s="158" t="s">
        <v>71</v>
      </c>
      <c r="K45" s="164"/>
      <c r="L45" s="147"/>
      <c r="M45" s="146">
        <v>46059</v>
      </c>
      <c r="N45" s="141">
        <v>46062</v>
      </c>
      <c r="O45" s="141">
        <v>46063</v>
      </c>
      <c r="P45" s="141"/>
      <c r="Q45" s="140"/>
      <c r="R45" s="140"/>
      <c r="S45" s="140"/>
      <c r="T45" s="140"/>
      <c r="U45" s="140"/>
      <c r="V45" s="149"/>
      <c r="W45" s="140"/>
      <c r="X45" s="140"/>
      <c r="Y45" s="140"/>
      <c r="Z45" s="140"/>
      <c r="AA45" s="149"/>
    </row>
    <row r="46" spans="1:27" ht="14.4" x14ac:dyDescent="0.25">
      <c r="A46" s="165">
        <f t="shared" ref="A46" si="27">A43+1</f>
        <v>37</v>
      </c>
      <c r="B46" s="165" t="s">
        <v>19</v>
      </c>
      <c r="C46" s="107" t="s">
        <v>157</v>
      </c>
      <c r="D46" s="136"/>
      <c r="E46" s="111"/>
      <c r="F46" s="130"/>
      <c r="G46" s="130"/>
      <c r="H46" s="110"/>
      <c r="I46" s="158"/>
      <c r="J46" s="158"/>
      <c r="K46" s="164"/>
      <c r="L46" s="147"/>
      <c r="M46" s="146"/>
      <c r="N46" s="141"/>
      <c r="O46" s="141"/>
      <c r="P46" s="141"/>
      <c r="Q46" s="140"/>
      <c r="R46" s="140"/>
      <c r="S46" s="140"/>
      <c r="T46" s="140"/>
      <c r="U46" s="140"/>
      <c r="V46" s="149"/>
      <c r="W46" s="140"/>
      <c r="X46" s="140"/>
      <c r="Y46" s="140"/>
      <c r="Z46" s="140"/>
      <c r="AA46" s="149"/>
    </row>
    <row r="47" spans="1:27" ht="14.4" x14ac:dyDescent="0.25">
      <c r="A47" s="165"/>
      <c r="B47" s="165"/>
      <c r="C47" s="107"/>
      <c r="D47" s="136"/>
      <c r="E47" s="111"/>
      <c r="F47" s="130"/>
      <c r="G47" s="130"/>
      <c r="H47" s="110"/>
      <c r="I47" s="158"/>
      <c r="J47" s="158"/>
      <c r="K47" s="164"/>
      <c r="L47" s="147"/>
      <c r="M47" s="146"/>
      <c r="N47" s="141"/>
      <c r="O47" s="141"/>
      <c r="P47" s="141"/>
      <c r="Q47" s="140"/>
      <c r="R47" s="140"/>
      <c r="S47" s="140"/>
      <c r="T47" s="140"/>
      <c r="U47" s="140"/>
      <c r="V47" s="149"/>
      <c r="W47" s="140"/>
      <c r="X47" s="140"/>
      <c r="Y47" s="140"/>
      <c r="Z47" s="140"/>
      <c r="AA47" s="149"/>
    </row>
    <row r="48" spans="1:27" ht="14.4" x14ac:dyDescent="0.25">
      <c r="A48" s="165"/>
      <c r="B48" s="165"/>
      <c r="C48" s="107"/>
      <c r="D48" s="136"/>
      <c r="E48" s="111"/>
      <c r="F48" s="130"/>
      <c r="G48" s="130"/>
      <c r="H48" s="110"/>
      <c r="I48" s="158"/>
      <c r="J48" s="158"/>
      <c r="K48" s="164"/>
      <c r="L48" s="147"/>
      <c r="M48" s="146"/>
      <c r="N48" s="141"/>
      <c r="O48" s="141"/>
      <c r="P48" s="141"/>
      <c r="Q48" s="140"/>
      <c r="R48" s="140"/>
      <c r="S48" s="140"/>
      <c r="T48" s="140"/>
      <c r="U48" s="140"/>
      <c r="V48" s="149"/>
      <c r="W48" s="140"/>
      <c r="X48" s="140"/>
      <c r="Y48" s="140"/>
      <c r="Z48" s="140"/>
      <c r="AA48" s="149"/>
    </row>
    <row r="49" spans="1:27" ht="14.4" x14ac:dyDescent="0.25">
      <c r="A49" s="165"/>
      <c r="B49" s="165"/>
      <c r="C49" s="107"/>
      <c r="D49" s="136"/>
      <c r="E49" s="111"/>
      <c r="F49" s="130"/>
      <c r="G49" s="130"/>
      <c r="H49" s="110"/>
      <c r="I49" s="158"/>
      <c r="J49" s="158"/>
      <c r="K49" s="164"/>
      <c r="L49" s="147"/>
      <c r="M49" s="146"/>
      <c r="N49" s="141"/>
      <c r="O49" s="141"/>
      <c r="P49" s="141"/>
      <c r="Q49" s="140"/>
      <c r="R49" s="140"/>
      <c r="S49" s="140"/>
      <c r="T49" s="140"/>
      <c r="U49" s="140"/>
      <c r="V49" s="149"/>
      <c r="W49" s="140"/>
      <c r="X49" s="140"/>
      <c r="Y49" s="140"/>
      <c r="Z49" s="140"/>
      <c r="AA49" s="149"/>
    </row>
    <row r="61" spans="1:27" x14ac:dyDescent="0.25">
      <c r="I61" s="75" t="s">
        <v>74</v>
      </c>
      <c r="J61" s="75"/>
    </row>
    <row r="62" spans="1:27" x14ac:dyDescent="0.25">
      <c r="I62" s="36" t="s">
        <v>54</v>
      </c>
    </row>
    <row r="63" spans="1:27" x14ac:dyDescent="0.25">
      <c r="A63" s="3"/>
      <c r="I63" s="36" t="s">
        <v>47</v>
      </c>
      <c r="M63" s="57"/>
      <c r="N63" s="57"/>
      <c r="O63" s="57"/>
      <c r="P63" s="57"/>
    </row>
    <row r="64" spans="1:27" x14ac:dyDescent="0.25">
      <c r="A64" s="3"/>
      <c r="I64" s="36" t="s">
        <v>48</v>
      </c>
      <c r="M64" s="57"/>
      <c r="N64" s="57"/>
      <c r="O64" s="57"/>
      <c r="P64" s="57"/>
    </row>
    <row r="65" spans="1:16" x14ac:dyDescent="0.25">
      <c r="A65" s="3"/>
      <c r="I65" s="36" t="s">
        <v>49</v>
      </c>
      <c r="M65" s="57"/>
      <c r="N65" s="57"/>
      <c r="O65" s="57"/>
      <c r="P65" s="57"/>
    </row>
    <row r="66" spans="1:16" x14ac:dyDescent="0.25">
      <c r="A66" s="3"/>
      <c r="I66" s="36" t="s">
        <v>75</v>
      </c>
      <c r="M66" s="57"/>
      <c r="N66" s="57"/>
      <c r="O66" s="57"/>
      <c r="P66" s="57"/>
    </row>
  </sheetData>
  <autoFilter ref="A3:AA46" xr:uid="{00000000-0009-0000-0000-000000000000}">
    <filterColumn colId="14">
      <filters>
        <dateGroupItem year="2026" month="2" day="5" dateTimeGrouping="day"/>
      </filters>
    </filterColumn>
  </autoFilter>
  <sortState xmlns:xlrd2="http://schemas.microsoft.com/office/spreadsheetml/2017/richdata2" ref="C4:D27">
    <sortCondition ref="C4"/>
  </sortState>
  <mergeCells count="3">
    <mergeCell ref="R2:V2"/>
    <mergeCell ref="W2:AA2"/>
    <mergeCell ref="M2:Q2"/>
  </mergeCells>
  <phoneticPr fontId="7" type="noConversion"/>
  <conditionalFormatting sqref="A7:A38 A12:C12 A13:D13 A14:C16 A17:D30 B31:D35 B36:B38 C36:C39 C38:D38 A39:C49 A50:D489">
    <cfRule type="expression" dxfId="223" priority="50">
      <formula>$I7="CTA"</formula>
    </cfRule>
  </conditionalFormatting>
  <conditionalFormatting sqref="A6:C7 A7:A38 A8:D8 A9:C9 A10:D11 A12:C12 A13:D13 A14:C16 A17:D30 B31:D35 B36:B38 C36:C39 C38:D38 A39:C49 A50:D489 A4:D5">
    <cfRule type="expression" dxfId="222" priority="51">
      <formula>$I4="GAA"</formula>
    </cfRule>
  </conditionalFormatting>
  <conditionalFormatting sqref="A4:D11">
    <cfRule type="expression" dxfId="221" priority="41">
      <formula>$I4="CTA"</formula>
    </cfRule>
  </conditionalFormatting>
  <conditionalFormatting sqref="A4:XFD38 E39:XFD44 E45:AA49 A39:C49 I36:I39 N36:N39 O36:O40">
    <cfRule type="expression" dxfId="220" priority="71">
      <formula>$I4="AUR"</formula>
    </cfRule>
  </conditionalFormatting>
  <conditionalFormatting sqref="A4:XFD50">
    <cfRule type="expression" dxfId="219" priority="29">
      <formula>$I4="CTA"</formula>
    </cfRule>
  </conditionalFormatting>
  <conditionalFormatting sqref="D6:D7">
    <cfRule type="expression" dxfId="218" priority="45">
      <formula>$I6="GAA"</formula>
    </cfRule>
  </conditionalFormatting>
  <conditionalFormatting sqref="D9">
    <cfRule type="expression" dxfId="217" priority="42">
      <formula>$I9="GAA"</formula>
    </cfRule>
  </conditionalFormatting>
  <conditionalFormatting sqref="D12">
    <cfRule type="expression" dxfId="216" priority="39">
      <formula>$I12="GAA"</formula>
    </cfRule>
  </conditionalFormatting>
  <conditionalFormatting sqref="D16">
    <cfRule type="expression" dxfId="215" priority="31">
      <formula>$I16="AUR"</formula>
    </cfRule>
    <cfRule type="expression" dxfId="214" priority="32">
      <formula>$I16="CTA"</formula>
    </cfRule>
    <cfRule type="expression" dxfId="213" priority="33">
      <formula>$I16="GAA"</formula>
    </cfRule>
  </conditionalFormatting>
  <conditionalFormatting sqref="D36:D37">
    <cfRule type="expression" dxfId="212" priority="23">
      <formula>$I36="CTA"</formula>
    </cfRule>
    <cfRule type="expression" dxfId="211" priority="24">
      <formula>$I36="GAA"</formula>
    </cfRule>
  </conditionalFormatting>
  <conditionalFormatting sqref="D39:D45">
    <cfRule type="expression" dxfId="210" priority="8">
      <formula>$I39="CTA"</formula>
    </cfRule>
    <cfRule type="expression" dxfId="209" priority="9">
      <formula>$I39="GAA"</formula>
    </cfRule>
    <cfRule type="expression" dxfId="208" priority="10">
      <formula>$I39="AUR"</formula>
    </cfRule>
  </conditionalFormatting>
  <conditionalFormatting sqref="D46 D48:D49">
    <cfRule type="expression" dxfId="207" priority="1145">
      <formula>$I45="GAA"</formula>
    </cfRule>
    <cfRule type="expression" dxfId="206" priority="1152">
      <formula>$I45="AUR"</formula>
    </cfRule>
  </conditionalFormatting>
  <conditionalFormatting sqref="D47">
    <cfRule type="expression" dxfId="205" priority="1364">
      <formula>#REF!="AUR"</formula>
    </cfRule>
    <cfRule type="expression" dxfId="204" priority="1362">
      <formula>#REF!="CTA"</formula>
    </cfRule>
    <cfRule type="expression" dxfId="203" priority="1363">
      <formula>#REF!="GAA"</formula>
    </cfRule>
  </conditionalFormatting>
  <conditionalFormatting sqref="E4:AA43 D14:D15 F44:AA489 E44:E497">
    <cfRule type="expression" dxfId="202" priority="30">
      <formula>$I4="GAA"</formula>
    </cfRule>
  </conditionalFormatting>
  <conditionalFormatting sqref="J4:J38 J50:J497">
    <cfRule type="expression" dxfId="201" priority="55">
      <formula>SUMPRODUCT(($D4&lt;&gt;"")*($J4="")+($J4="C"))</formula>
    </cfRule>
  </conditionalFormatting>
  <conditionalFormatting sqref="J4:J489">
    <cfRule type="expression" dxfId="200" priority="56">
      <formula>$J4="Pending"</formula>
    </cfRule>
    <cfRule type="expression" dxfId="199" priority="57">
      <formula>SUMPRODUCT(($J4="A")+($J4="B"))</formula>
    </cfRule>
    <cfRule type="expression" dxfId="198" priority="12">
      <formula>$J4="Pending"</formula>
    </cfRule>
  </conditionalFormatting>
  <conditionalFormatting sqref="J32:J33">
    <cfRule type="expression" dxfId="197" priority="4">
      <formula>SUMPRODUCT(($D33&lt;&gt;"")*($J32="")+($J32="C"))</formula>
    </cfRule>
  </conditionalFormatting>
  <conditionalFormatting sqref="J35">
    <cfRule type="expression" dxfId="196" priority="3">
      <formula>SUMPRODUCT(($D36&lt;&gt;"")*($J35="")+($J35="C"))</formula>
    </cfRule>
  </conditionalFormatting>
  <conditionalFormatting sqref="J36:J37">
    <cfRule type="expression" dxfId="195" priority="1012">
      <formula>SUMPRODUCT(($D37&lt;&gt;"")*($J36="")+($J36="C"))</formula>
    </cfRule>
  </conditionalFormatting>
  <conditionalFormatting sqref="J37:J49">
    <cfRule type="expression" dxfId="194" priority="1013">
      <formula>SUMPRODUCT((#REF!&lt;&gt;"")*($J37="")+($J37="C"))</formula>
    </cfRule>
  </conditionalFormatting>
  <conditionalFormatting sqref="J40">
    <cfRule type="expression" dxfId="193" priority="2">
      <formula>SUMPRODUCT(($D41&lt;&gt;"")*($J40="")+($J40="C"))</formula>
    </cfRule>
    <cfRule type="expression" dxfId="192" priority="1">
      <formula>SUMPRODUCT(($D40&lt;&gt;"")*($J40="")+($J40="C"))</formula>
    </cfRule>
  </conditionalFormatting>
  <conditionalFormatting sqref="J42">
    <cfRule type="expression" dxfId="191" priority="11">
      <formula>SUMPRODUCT((#REF!&lt;&gt;"")*($J42="")+($J42="C"))</formula>
    </cfRule>
  </conditionalFormatting>
  <dataValidations count="2">
    <dataValidation type="list" allowBlank="1" showInputMessage="1" showErrorMessage="1" sqref="I62:J1048576 J3 J1 I1:I60" xr:uid="{BB5834C6-5D45-4375-800C-2EF70CDCBD53}">
      <formula1>$I$62:$I$66</formula1>
    </dataValidation>
    <dataValidation type="list" allowBlank="1" showInputMessage="1" showErrorMessage="1" sqref="J4 J6:J60" xr:uid="{C3B42B85-9C4A-427A-86B3-E357E1054B0B}">
      <formula1>"A,B,C,Pending,"</formula1>
    </dataValidation>
  </dataValidations>
  <pageMargins left="0.23622047244094499" right="0.23622047244094499" top="0.74803149606299202" bottom="0.74803149606299202" header="0.31496062992126" footer="0.31496062992126"/>
  <pageSetup paperSize="8" scale="47" fitToHeight="0" orientation="landscape" r:id="rId1"/>
  <headerFooter>
    <oddHeader>&amp;L&amp;G&amp;CProject Terra Phase 4 Material Approval Submission List</oddHeader>
    <oddFooter>&amp;L&amp;D&amp;RPage &amp;P of &amp;N</oddFooter>
  </headerFooter>
  <colBreaks count="1" manualBreakCount="1">
    <brk id="12" max="1048575" man="1"/>
  </col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CED9-E5FA-44F5-B652-998456F0541A}">
  <sheetPr codeName="Sheet5">
    <pageSetUpPr fitToPage="1"/>
  </sheetPr>
  <dimension ref="A1:AB69"/>
  <sheetViews>
    <sheetView view="pageBreakPreview" zoomScale="85" zoomScaleNormal="85" zoomScaleSheetLayoutView="85" workbookViewId="0">
      <pane ySplit="3" topLeftCell="A48" activePane="bottomLeft" state="frozen"/>
      <selection pane="bottomLeft" activeCell="D58" sqref="D58"/>
    </sheetView>
  </sheetViews>
  <sheetFormatPr defaultColWidth="9.296875" defaultRowHeight="13.8" x14ac:dyDescent="0.25"/>
  <cols>
    <col min="1" max="1" width="4.296875" style="3" customWidth="1"/>
    <col min="2" max="2" width="14.3984375" style="3" customWidth="1"/>
    <col min="3" max="3" width="29.59765625" style="3" customWidth="1"/>
    <col min="4" max="4" width="101" style="346" customWidth="1"/>
    <col min="5" max="5" width="14.296875" style="347" customWidth="1"/>
    <col min="6" max="7" width="14.296875" style="348" customWidth="1"/>
    <col min="8" max="8" width="4.296875" style="3" bestFit="1" customWidth="1"/>
    <col min="9" max="9" width="12.59765625" style="70" hidden="1" customWidth="1"/>
    <col min="10" max="10" width="6.69921875" style="3" customWidth="1"/>
    <col min="11" max="11" width="9.69921875" style="3" customWidth="1"/>
    <col min="12" max="12" width="10" style="206" customWidth="1"/>
    <col min="13" max="13" width="31.8984375" style="349" customWidth="1"/>
    <col min="14" max="15" width="10.3984375" style="57" customWidth="1"/>
    <col min="16" max="16" width="11.69921875" style="57" customWidth="1"/>
    <col min="17" max="17" width="10.3984375" style="57" customWidth="1"/>
    <col min="18" max="18" width="10.3984375" style="3" customWidth="1"/>
    <col min="19" max="22" width="10.3984375" style="57" customWidth="1"/>
    <col min="23" max="23" width="10.3984375" style="3" customWidth="1"/>
    <col min="24" max="25" width="10.3984375" style="57" customWidth="1"/>
    <col min="26" max="26" width="10.296875" style="57" customWidth="1"/>
    <col min="27" max="27" width="10.3984375" style="57" customWidth="1"/>
    <col min="28" max="28" width="10.3984375" style="3" customWidth="1"/>
    <col min="29" max="16384" width="9.296875" style="3"/>
  </cols>
  <sheetData>
    <row r="1" spans="1:28" x14ac:dyDescent="0.25">
      <c r="A1" s="37" t="s">
        <v>52</v>
      </c>
      <c r="B1" s="37"/>
      <c r="C1" s="37"/>
      <c r="D1" s="61"/>
      <c r="E1" s="246"/>
      <c r="F1" s="246"/>
      <c r="G1" s="246"/>
      <c r="H1" s="37"/>
      <c r="I1" s="37"/>
      <c r="J1" s="37"/>
      <c r="K1" s="37"/>
      <c r="L1" s="37"/>
      <c r="M1" s="62" t="s">
        <v>53</v>
      </c>
      <c r="N1" s="192" t="s">
        <v>54</v>
      </c>
      <c r="O1" s="193" t="s">
        <v>47</v>
      </c>
      <c r="P1" s="194" t="s">
        <v>48</v>
      </c>
      <c r="Q1" s="341"/>
      <c r="R1" s="342"/>
      <c r="S1" s="341"/>
      <c r="T1" s="341"/>
      <c r="U1" s="341"/>
      <c r="V1" s="341"/>
      <c r="W1" s="342"/>
      <c r="X1" s="341"/>
      <c r="Y1" s="341"/>
      <c r="Z1" s="341"/>
      <c r="AA1" s="341"/>
      <c r="AB1" s="342"/>
    </row>
    <row r="2" spans="1:28" ht="27.6" x14ac:dyDescent="0.25">
      <c r="A2" s="6" t="s">
        <v>55</v>
      </c>
      <c r="B2" s="7" t="s">
        <v>1</v>
      </c>
      <c r="C2" s="7" t="s">
        <v>56</v>
      </c>
      <c r="D2" s="7" t="s">
        <v>57</v>
      </c>
      <c r="E2" s="243" t="s">
        <v>58</v>
      </c>
      <c r="F2" s="243" t="s">
        <v>59</v>
      </c>
      <c r="G2" s="243" t="s">
        <v>60</v>
      </c>
      <c r="H2" s="7" t="s">
        <v>61</v>
      </c>
      <c r="I2" s="7" t="s">
        <v>158</v>
      </c>
      <c r="J2" s="7" t="s">
        <v>62</v>
      </c>
      <c r="K2" s="7" t="s">
        <v>42</v>
      </c>
      <c r="L2" s="8" t="s">
        <v>63</v>
      </c>
      <c r="M2" s="9" t="s">
        <v>64</v>
      </c>
      <c r="N2" s="392" t="s">
        <v>65</v>
      </c>
      <c r="O2" s="407"/>
      <c r="P2" s="408"/>
      <c r="Q2" s="409"/>
      <c r="R2" s="411"/>
      <c r="S2" s="401" t="s">
        <v>66</v>
      </c>
      <c r="T2" s="402"/>
      <c r="U2" s="403"/>
      <c r="V2" s="404"/>
      <c r="W2" s="405"/>
      <c r="X2" s="406" t="s">
        <v>67</v>
      </c>
      <c r="Y2" s="407"/>
      <c r="Z2" s="408"/>
      <c r="AA2" s="409"/>
      <c r="AB2" s="410"/>
    </row>
    <row r="3" spans="1:28" x14ac:dyDescent="0.25">
      <c r="A3" s="176"/>
      <c r="B3" s="90"/>
      <c r="C3" s="91"/>
      <c r="D3" s="221"/>
      <c r="E3" s="247"/>
      <c r="F3" s="247"/>
      <c r="G3" s="247"/>
      <c r="H3" s="90"/>
      <c r="I3" s="90"/>
      <c r="J3" s="90"/>
      <c r="K3" s="90"/>
      <c r="L3" s="177"/>
      <c r="M3" s="343"/>
      <c r="N3" s="96" t="s">
        <v>17</v>
      </c>
      <c r="O3" s="97" t="s">
        <v>47</v>
      </c>
      <c r="P3" s="98" t="s">
        <v>48</v>
      </c>
      <c r="Q3" s="99" t="s">
        <v>49</v>
      </c>
      <c r="R3" s="195" t="s">
        <v>42</v>
      </c>
      <c r="S3" s="331" t="s">
        <v>17</v>
      </c>
      <c r="T3" s="332" t="s">
        <v>47</v>
      </c>
      <c r="U3" s="333" t="s">
        <v>48</v>
      </c>
      <c r="V3" s="334" t="s">
        <v>49</v>
      </c>
      <c r="W3" s="335" t="s">
        <v>42</v>
      </c>
      <c r="X3" s="96" t="s">
        <v>17</v>
      </c>
      <c r="Y3" s="97" t="s">
        <v>47</v>
      </c>
      <c r="Z3" s="98" t="s">
        <v>48</v>
      </c>
      <c r="AA3" s="99" t="s">
        <v>49</v>
      </c>
      <c r="AB3" s="195" t="s">
        <v>42</v>
      </c>
    </row>
    <row r="4" spans="1:28" s="148" customFormat="1" ht="23.25" customHeight="1" x14ac:dyDescent="0.25">
      <c r="A4" s="179">
        <v>1</v>
      </c>
      <c r="B4" s="179" t="s">
        <v>50</v>
      </c>
      <c r="C4" s="180" t="s">
        <v>159</v>
      </c>
      <c r="D4" s="344" t="s">
        <v>160</v>
      </c>
      <c r="E4" s="345"/>
      <c r="F4" s="244">
        <v>46037</v>
      </c>
      <c r="G4" s="244">
        <f t="shared" ref="G4:G12" si="0">F4+7</f>
        <v>46044</v>
      </c>
      <c r="H4" s="127">
        <v>0</v>
      </c>
      <c r="I4" s="227"/>
      <c r="J4" s="127" t="s">
        <v>49</v>
      </c>
      <c r="K4" s="127" t="s">
        <v>71</v>
      </c>
      <c r="L4" s="228"/>
      <c r="M4" s="226"/>
      <c r="N4" s="130">
        <f t="shared" ref="N4:N12" si="1">F4</f>
        <v>46037</v>
      </c>
      <c r="O4" s="130">
        <v>46055</v>
      </c>
      <c r="P4" s="130">
        <v>46063</v>
      </c>
      <c r="Q4" s="130"/>
      <c r="R4" s="127"/>
      <c r="S4" s="132"/>
      <c r="T4" s="132"/>
      <c r="U4" s="132"/>
      <c r="V4" s="132"/>
      <c r="X4" s="132"/>
      <c r="Y4" s="132"/>
      <c r="Z4" s="132"/>
      <c r="AA4" s="132"/>
    </row>
    <row r="5" spans="1:28" s="148" customFormat="1" ht="23.25" customHeight="1" x14ac:dyDescent="0.25">
      <c r="A5" s="179">
        <f>A4+1</f>
        <v>2</v>
      </c>
      <c r="B5" s="179" t="s">
        <v>50</v>
      </c>
      <c r="C5" s="180" t="s">
        <v>161</v>
      </c>
      <c r="D5" s="250" t="s">
        <v>162</v>
      </c>
      <c r="E5" s="248"/>
      <c r="F5" s="244">
        <v>46037</v>
      </c>
      <c r="G5" s="244">
        <f t="shared" si="0"/>
        <v>46044</v>
      </c>
      <c r="H5" s="127">
        <v>0</v>
      </c>
      <c r="I5" s="227"/>
      <c r="J5" s="127" t="s">
        <v>49</v>
      </c>
      <c r="K5" s="127" t="s">
        <v>71</v>
      </c>
      <c r="L5" s="228"/>
      <c r="M5" s="226"/>
      <c r="N5" s="130">
        <f t="shared" si="1"/>
        <v>46037</v>
      </c>
      <c r="O5" s="130">
        <v>46055</v>
      </c>
      <c r="P5" s="130">
        <v>46062</v>
      </c>
      <c r="Q5" s="130"/>
      <c r="R5" s="127"/>
      <c r="S5" s="132"/>
      <c r="T5" s="132"/>
      <c r="U5" s="132"/>
      <c r="V5" s="132"/>
      <c r="X5" s="132"/>
      <c r="Y5" s="132"/>
      <c r="Z5" s="132"/>
      <c r="AA5" s="132"/>
    </row>
    <row r="6" spans="1:28" s="229" customFormat="1" ht="23.25" customHeight="1" x14ac:dyDescent="0.25">
      <c r="A6" s="179">
        <f>A5+1</f>
        <v>3</v>
      </c>
      <c r="B6" s="179" t="s">
        <v>50</v>
      </c>
      <c r="C6" s="180" t="s">
        <v>163</v>
      </c>
      <c r="D6" s="181" t="s">
        <v>164</v>
      </c>
      <c r="E6" s="248"/>
      <c r="F6" s="244">
        <v>46037</v>
      </c>
      <c r="G6" s="244">
        <f t="shared" si="0"/>
        <v>46044</v>
      </c>
      <c r="H6" s="127">
        <v>0</v>
      </c>
      <c r="I6" s="227"/>
      <c r="J6" s="127" t="s">
        <v>48</v>
      </c>
      <c r="K6" s="127" t="s">
        <v>71</v>
      </c>
      <c r="L6" s="228"/>
      <c r="M6" s="226"/>
      <c r="N6" s="130">
        <f t="shared" si="1"/>
        <v>46037</v>
      </c>
      <c r="O6" s="130">
        <v>46055</v>
      </c>
      <c r="P6" s="224"/>
      <c r="Q6" s="224"/>
      <c r="R6" s="225"/>
      <c r="S6" s="228"/>
      <c r="T6" s="228"/>
      <c r="U6" s="228"/>
      <c r="V6" s="228"/>
      <c r="X6" s="228"/>
      <c r="Y6" s="228"/>
      <c r="Z6" s="228"/>
      <c r="AA6" s="228"/>
    </row>
    <row r="7" spans="1:28" s="229" customFormat="1" ht="23.25" customHeight="1" x14ac:dyDescent="0.25">
      <c r="A7" s="179">
        <f>A6+1</f>
        <v>4</v>
      </c>
      <c r="B7" s="179" t="s">
        <v>50</v>
      </c>
      <c r="C7" s="180" t="s">
        <v>165</v>
      </c>
      <c r="D7" s="250" t="s">
        <v>166</v>
      </c>
      <c r="E7" s="248"/>
      <c r="F7" s="244">
        <v>46042</v>
      </c>
      <c r="G7" s="244">
        <f t="shared" si="0"/>
        <v>46049</v>
      </c>
      <c r="H7" s="127">
        <v>0</v>
      </c>
      <c r="I7" s="227"/>
      <c r="J7" s="127" t="s">
        <v>49</v>
      </c>
      <c r="K7" s="127" t="s">
        <v>71</v>
      </c>
      <c r="L7" s="228"/>
      <c r="M7" s="226"/>
      <c r="N7" s="130">
        <f t="shared" si="1"/>
        <v>46042</v>
      </c>
      <c r="O7" s="224">
        <v>46044</v>
      </c>
      <c r="P7" s="224">
        <v>46049</v>
      </c>
      <c r="Q7" s="224"/>
      <c r="R7" s="225"/>
      <c r="S7" s="228"/>
      <c r="T7" s="228"/>
      <c r="U7" s="228"/>
      <c r="V7" s="228"/>
      <c r="X7" s="228"/>
      <c r="Y7" s="228"/>
      <c r="Z7" s="228"/>
      <c r="AA7" s="228"/>
    </row>
    <row r="8" spans="1:28" s="229" customFormat="1" ht="23.25" customHeight="1" x14ac:dyDescent="0.25">
      <c r="A8" s="179">
        <f>A7+1</f>
        <v>5</v>
      </c>
      <c r="B8" s="179" t="s">
        <v>50</v>
      </c>
      <c r="C8" s="180" t="s">
        <v>167</v>
      </c>
      <c r="D8" s="250" t="s">
        <v>168</v>
      </c>
      <c r="E8" s="248"/>
      <c r="F8" s="244">
        <v>46037</v>
      </c>
      <c r="G8" s="244">
        <f t="shared" si="0"/>
        <v>46044</v>
      </c>
      <c r="H8" s="127">
        <v>0</v>
      </c>
      <c r="I8" s="227"/>
      <c r="J8" s="127" t="s">
        <v>49</v>
      </c>
      <c r="K8" s="127" t="s">
        <v>71</v>
      </c>
      <c r="L8" s="228"/>
      <c r="M8" s="226"/>
      <c r="N8" s="130">
        <f t="shared" si="1"/>
        <v>46037</v>
      </c>
      <c r="O8" s="224">
        <v>46055</v>
      </c>
      <c r="P8" s="224">
        <v>46056</v>
      </c>
      <c r="Q8" s="224"/>
      <c r="R8" s="225"/>
      <c r="S8" s="228"/>
      <c r="T8" s="228"/>
      <c r="U8" s="228"/>
      <c r="V8" s="228"/>
      <c r="X8" s="228"/>
      <c r="Y8" s="228"/>
      <c r="Z8" s="228"/>
      <c r="AA8" s="228"/>
    </row>
    <row r="9" spans="1:28" s="229" customFormat="1" ht="23.25" customHeight="1" x14ac:dyDescent="0.25">
      <c r="A9" s="179">
        <v>6</v>
      </c>
      <c r="B9" s="179" t="s">
        <v>50</v>
      </c>
      <c r="C9" s="180" t="s">
        <v>169</v>
      </c>
      <c r="D9" s="250" t="s">
        <v>170</v>
      </c>
      <c r="E9" s="248"/>
      <c r="F9" s="244">
        <v>46037</v>
      </c>
      <c r="G9" s="244">
        <f t="shared" si="0"/>
        <v>46044</v>
      </c>
      <c r="H9" s="127">
        <v>0</v>
      </c>
      <c r="I9" s="227"/>
      <c r="J9" s="127" t="s">
        <v>48</v>
      </c>
      <c r="K9" s="127" t="s">
        <v>71</v>
      </c>
      <c r="L9" s="228"/>
      <c r="M9" s="226"/>
      <c r="N9" s="130">
        <f t="shared" si="1"/>
        <v>46037</v>
      </c>
      <c r="O9" s="224">
        <v>46055</v>
      </c>
      <c r="P9" s="224"/>
      <c r="Q9" s="224"/>
      <c r="R9" s="225"/>
      <c r="S9" s="228"/>
      <c r="T9" s="228"/>
      <c r="U9" s="228"/>
      <c r="V9" s="228"/>
      <c r="X9" s="228"/>
      <c r="Y9" s="228"/>
      <c r="Z9" s="228"/>
      <c r="AA9" s="228"/>
    </row>
    <row r="10" spans="1:28" s="229" customFormat="1" ht="23.25" customHeight="1" x14ac:dyDescent="0.25">
      <c r="A10" s="179">
        <v>7</v>
      </c>
      <c r="B10" s="179" t="s">
        <v>50</v>
      </c>
      <c r="C10" s="180" t="s">
        <v>171</v>
      </c>
      <c r="D10" s="250" t="s">
        <v>172</v>
      </c>
      <c r="E10" s="248"/>
      <c r="F10" s="244">
        <v>46042</v>
      </c>
      <c r="G10" s="244">
        <f t="shared" si="0"/>
        <v>46049</v>
      </c>
      <c r="H10" s="127">
        <v>0</v>
      </c>
      <c r="I10" s="227"/>
      <c r="J10" s="127" t="s">
        <v>49</v>
      </c>
      <c r="K10" s="127" t="s">
        <v>71</v>
      </c>
      <c r="L10" s="228"/>
      <c r="M10" s="226"/>
      <c r="N10" s="130">
        <f t="shared" si="1"/>
        <v>46042</v>
      </c>
      <c r="O10" s="224">
        <v>46044</v>
      </c>
      <c r="P10" s="224">
        <v>46049</v>
      </c>
      <c r="Q10" s="224"/>
      <c r="R10" s="225"/>
      <c r="S10" s="228"/>
      <c r="T10" s="228"/>
      <c r="U10" s="228"/>
      <c r="V10" s="228"/>
      <c r="X10" s="228"/>
      <c r="Y10" s="228"/>
      <c r="Z10" s="228"/>
      <c r="AA10" s="228"/>
    </row>
    <row r="11" spans="1:28" s="229" customFormat="1" ht="23.25" customHeight="1" x14ac:dyDescent="0.25">
      <c r="A11" s="179">
        <v>8</v>
      </c>
      <c r="B11" s="179" t="s">
        <v>50</v>
      </c>
      <c r="C11" s="180" t="s">
        <v>173</v>
      </c>
      <c r="D11" s="250" t="s">
        <v>174</v>
      </c>
      <c r="E11" s="248"/>
      <c r="F11" s="244">
        <v>46042</v>
      </c>
      <c r="G11" s="244">
        <f t="shared" si="0"/>
        <v>46049</v>
      </c>
      <c r="H11" s="127">
        <v>0</v>
      </c>
      <c r="I11" s="227"/>
      <c r="J11" s="127" t="s">
        <v>49</v>
      </c>
      <c r="K11" s="127" t="s">
        <v>71</v>
      </c>
      <c r="L11" s="228"/>
      <c r="M11" s="226"/>
      <c r="N11" s="130">
        <f t="shared" si="1"/>
        <v>46042</v>
      </c>
      <c r="O11" s="224">
        <v>46055</v>
      </c>
      <c r="P11" s="224">
        <v>46062</v>
      </c>
      <c r="Q11" s="224"/>
      <c r="R11" s="225"/>
      <c r="S11" s="224"/>
      <c r="T11" s="224"/>
      <c r="U11" s="228"/>
      <c r="V11" s="228"/>
      <c r="X11" s="228"/>
      <c r="Y11" s="228"/>
      <c r="Z11" s="228"/>
      <c r="AA11" s="228"/>
    </row>
    <row r="12" spans="1:28" s="229" customFormat="1" ht="23.25" customHeight="1" x14ac:dyDescent="0.25">
      <c r="A12" s="179">
        <v>9</v>
      </c>
      <c r="B12" s="179" t="s">
        <v>50</v>
      </c>
      <c r="C12" s="180" t="s">
        <v>175</v>
      </c>
      <c r="D12" s="250" t="s">
        <v>176</v>
      </c>
      <c r="E12" s="248"/>
      <c r="F12" s="244">
        <v>46037</v>
      </c>
      <c r="G12" s="244">
        <f t="shared" si="0"/>
        <v>46044</v>
      </c>
      <c r="H12" s="127">
        <v>0</v>
      </c>
      <c r="I12" s="227"/>
      <c r="J12" s="127" t="s">
        <v>49</v>
      </c>
      <c r="K12" s="127" t="s">
        <v>71</v>
      </c>
      <c r="L12" s="228"/>
      <c r="M12" s="226"/>
      <c r="N12" s="130">
        <f t="shared" si="1"/>
        <v>46037</v>
      </c>
      <c r="O12" s="224">
        <v>46055</v>
      </c>
      <c r="P12" s="224">
        <v>46056</v>
      </c>
      <c r="Q12" s="224"/>
      <c r="R12" s="225"/>
      <c r="S12" s="228"/>
      <c r="T12" s="228"/>
      <c r="U12" s="228"/>
      <c r="V12" s="228"/>
      <c r="X12" s="228"/>
      <c r="Y12" s="228"/>
      <c r="Z12" s="228"/>
      <c r="AA12" s="228"/>
    </row>
    <row r="13" spans="1:28" s="229" customFormat="1" ht="23.25" customHeight="1" x14ac:dyDescent="0.25">
      <c r="A13" s="179">
        <v>10</v>
      </c>
      <c r="B13" s="179" t="s">
        <v>50</v>
      </c>
      <c r="C13" s="180" t="s">
        <v>177</v>
      </c>
      <c r="D13" s="181"/>
      <c r="E13" s="248"/>
      <c r="F13" s="245"/>
      <c r="G13" s="245"/>
      <c r="H13" s="231"/>
      <c r="I13" s="232"/>
      <c r="J13" s="225"/>
      <c r="K13" s="225"/>
      <c r="L13" s="228"/>
      <c r="M13" s="323"/>
      <c r="N13" s="224"/>
      <c r="O13" s="224"/>
      <c r="P13" s="224"/>
      <c r="Q13" s="228"/>
      <c r="R13" s="225"/>
      <c r="S13" s="228"/>
      <c r="T13" s="228"/>
      <c r="U13" s="228"/>
      <c r="V13" s="228"/>
      <c r="X13" s="228"/>
      <c r="Y13" s="228"/>
      <c r="Z13" s="228"/>
      <c r="AA13" s="228"/>
    </row>
    <row r="14" spans="1:28" s="229" customFormat="1" ht="23.25" customHeight="1" x14ac:dyDescent="0.25">
      <c r="A14" s="179">
        <v>11</v>
      </c>
      <c r="B14" s="179" t="s">
        <v>50</v>
      </c>
      <c r="C14" s="180" t="s">
        <v>178</v>
      </c>
      <c r="D14" s="250" t="s">
        <v>179</v>
      </c>
      <c r="E14" s="248"/>
      <c r="F14" s="244">
        <v>46037</v>
      </c>
      <c r="G14" s="244">
        <f t="shared" ref="G14:G24" si="2">F14+7</f>
        <v>46044</v>
      </c>
      <c r="H14" s="127">
        <v>0</v>
      </c>
      <c r="I14" s="227"/>
      <c r="J14" s="127" t="s">
        <v>49</v>
      </c>
      <c r="K14" s="127" t="s">
        <v>71</v>
      </c>
      <c r="L14" s="228"/>
      <c r="M14" s="226"/>
      <c r="N14" s="130">
        <f t="shared" ref="N14:N20" si="3">F14</f>
        <v>46037</v>
      </c>
      <c r="O14" s="224">
        <v>46055</v>
      </c>
      <c r="P14" s="224">
        <v>46062</v>
      </c>
      <c r="Q14" s="228"/>
      <c r="R14" s="225"/>
      <c r="S14" s="228"/>
      <c r="T14" s="228"/>
      <c r="U14" s="228"/>
      <c r="V14" s="228"/>
      <c r="X14" s="228"/>
      <c r="Y14" s="228"/>
      <c r="Z14" s="228"/>
      <c r="AA14" s="228"/>
    </row>
    <row r="15" spans="1:28" s="229" customFormat="1" ht="23.25" customHeight="1" x14ac:dyDescent="0.25">
      <c r="A15" s="179">
        <v>12</v>
      </c>
      <c r="B15" s="179" t="s">
        <v>50</v>
      </c>
      <c r="C15" s="180" t="s">
        <v>180</v>
      </c>
      <c r="D15" s="181" t="s">
        <v>181</v>
      </c>
      <c r="E15" s="248"/>
      <c r="F15" s="244">
        <v>46037</v>
      </c>
      <c r="G15" s="244">
        <f t="shared" si="2"/>
        <v>46044</v>
      </c>
      <c r="H15" s="127">
        <v>0</v>
      </c>
      <c r="I15" s="227"/>
      <c r="J15" s="127" t="s">
        <v>49</v>
      </c>
      <c r="K15" s="127" t="s">
        <v>71</v>
      </c>
      <c r="L15" s="228"/>
      <c r="M15" s="226"/>
      <c r="N15" s="130">
        <f t="shared" si="3"/>
        <v>46037</v>
      </c>
      <c r="O15" s="224">
        <v>46044</v>
      </c>
      <c r="P15" s="224">
        <v>46050</v>
      </c>
      <c r="Q15" s="228"/>
      <c r="R15" s="225"/>
      <c r="S15" s="228"/>
      <c r="T15" s="228"/>
      <c r="U15" s="228"/>
      <c r="V15" s="228"/>
      <c r="X15" s="228"/>
      <c r="Y15" s="228"/>
      <c r="Z15" s="228"/>
      <c r="AA15" s="228"/>
    </row>
    <row r="16" spans="1:28" s="229" customFormat="1" ht="23.25" customHeight="1" x14ac:dyDescent="0.25">
      <c r="A16" s="179">
        <v>13</v>
      </c>
      <c r="B16" s="179" t="s">
        <v>50</v>
      </c>
      <c r="C16" s="180" t="s">
        <v>182</v>
      </c>
      <c r="D16" s="250" t="s">
        <v>183</v>
      </c>
      <c r="E16" s="248"/>
      <c r="F16" s="244">
        <v>46037</v>
      </c>
      <c r="G16" s="244">
        <f t="shared" si="2"/>
        <v>46044</v>
      </c>
      <c r="H16" s="127">
        <v>0</v>
      </c>
      <c r="I16" s="227"/>
      <c r="J16" s="127" t="s">
        <v>48</v>
      </c>
      <c r="K16" s="127" t="s">
        <v>71</v>
      </c>
      <c r="L16" s="228"/>
      <c r="M16" s="226"/>
      <c r="N16" s="130">
        <f t="shared" si="3"/>
        <v>46037</v>
      </c>
      <c r="O16" s="224">
        <v>46055</v>
      </c>
      <c r="P16" s="224"/>
      <c r="Q16" s="224"/>
      <c r="R16" s="225"/>
      <c r="S16" s="228"/>
      <c r="T16" s="228"/>
      <c r="U16" s="228"/>
      <c r="V16" s="228"/>
      <c r="X16" s="228"/>
      <c r="Y16" s="228"/>
      <c r="Z16" s="228"/>
      <c r="AA16" s="228"/>
    </row>
    <row r="17" spans="1:28" s="229" customFormat="1" ht="23.25" customHeight="1" x14ac:dyDescent="0.25">
      <c r="A17" s="179">
        <v>14</v>
      </c>
      <c r="B17" s="179" t="s">
        <v>50</v>
      </c>
      <c r="C17" s="180" t="s">
        <v>184</v>
      </c>
      <c r="D17" s="250" t="s">
        <v>185</v>
      </c>
      <c r="E17" s="248"/>
      <c r="F17" s="244">
        <v>46037</v>
      </c>
      <c r="G17" s="244">
        <f t="shared" si="2"/>
        <v>46044</v>
      </c>
      <c r="H17" s="127">
        <v>0</v>
      </c>
      <c r="I17" s="227"/>
      <c r="J17" s="127" t="s">
        <v>48</v>
      </c>
      <c r="K17" s="127" t="s">
        <v>71</v>
      </c>
      <c r="L17" s="228"/>
      <c r="M17" s="226"/>
      <c r="N17" s="130">
        <f t="shared" si="3"/>
        <v>46037</v>
      </c>
      <c r="O17" s="224">
        <v>46055</v>
      </c>
      <c r="P17" s="224"/>
      <c r="Q17" s="224"/>
      <c r="R17" s="225"/>
      <c r="S17" s="228"/>
      <c r="T17" s="228"/>
      <c r="U17" s="228"/>
      <c r="V17" s="228"/>
      <c r="X17" s="228"/>
      <c r="Y17" s="228"/>
      <c r="Z17" s="228"/>
      <c r="AA17" s="228"/>
    </row>
    <row r="18" spans="1:28" s="229" customFormat="1" ht="23.25" customHeight="1" x14ac:dyDescent="0.25">
      <c r="A18" s="179">
        <v>15</v>
      </c>
      <c r="B18" s="179" t="s">
        <v>50</v>
      </c>
      <c r="C18" s="180" t="s">
        <v>186</v>
      </c>
      <c r="D18" s="250" t="s">
        <v>187</v>
      </c>
      <c r="E18" s="248"/>
      <c r="F18" s="244">
        <v>46037</v>
      </c>
      <c r="G18" s="244">
        <f t="shared" si="2"/>
        <v>46044</v>
      </c>
      <c r="H18" s="127">
        <v>0</v>
      </c>
      <c r="I18" s="227"/>
      <c r="J18" s="127" t="s">
        <v>49</v>
      </c>
      <c r="K18" s="127" t="s">
        <v>71</v>
      </c>
      <c r="L18" s="228"/>
      <c r="M18" s="226"/>
      <c r="N18" s="130">
        <f t="shared" si="3"/>
        <v>46037</v>
      </c>
      <c r="O18" s="224">
        <v>46055</v>
      </c>
      <c r="P18" s="224">
        <v>46062</v>
      </c>
      <c r="Q18" s="224"/>
      <c r="R18" s="225"/>
      <c r="S18" s="228"/>
      <c r="T18" s="228"/>
      <c r="U18" s="228"/>
      <c r="V18" s="228"/>
      <c r="X18" s="228"/>
      <c r="Y18" s="228"/>
      <c r="Z18" s="228"/>
      <c r="AA18" s="228"/>
    </row>
    <row r="19" spans="1:28" s="229" customFormat="1" ht="23.25" customHeight="1" x14ac:dyDescent="0.25">
      <c r="A19" s="179">
        <v>16</v>
      </c>
      <c r="B19" s="179" t="s">
        <v>50</v>
      </c>
      <c r="C19" s="180" t="s">
        <v>188</v>
      </c>
      <c r="D19" s="250" t="s">
        <v>189</v>
      </c>
      <c r="E19" s="248"/>
      <c r="F19" s="244">
        <v>46037</v>
      </c>
      <c r="G19" s="244">
        <f t="shared" si="2"/>
        <v>46044</v>
      </c>
      <c r="H19" s="127">
        <v>0</v>
      </c>
      <c r="I19" s="227"/>
      <c r="J19" s="127" t="s">
        <v>48</v>
      </c>
      <c r="K19" s="127" t="s">
        <v>71</v>
      </c>
      <c r="L19" s="228"/>
      <c r="M19" s="226"/>
      <c r="N19" s="130">
        <f t="shared" si="3"/>
        <v>46037</v>
      </c>
      <c r="O19" s="224">
        <v>46055</v>
      </c>
      <c r="P19" s="224"/>
      <c r="Q19" s="224"/>
      <c r="R19" s="225"/>
      <c r="S19" s="228"/>
      <c r="T19" s="228"/>
      <c r="U19" s="228"/>
      <c r="V19" s="228"/>
      <c r="X19" s="228"/>
      <c r="Y19" s="228"/>
      <c r="Z19" s="228"/>
      <c r="AA19" s="228"/>
    </row>
    <row r="20" spans="1:28" s="229" customFormat="1" ht="23.25" customHeight="1" x14ac:dyDescent="0.25">
      <c r="A20" s="179">
        <v>17</v>
      </c>
      <c r="B20" s="179" t="s">
        <v>50</v>
      </c>
      <c r="C20" s="180" t="s">
        <v>190</v>
      </c>
      <c r="D20" s="250" t="s">
        <v>191</v>
      </c>
      <c r="E20" s="248"/>
      <c r="F20" s="244">
        <v>46042</v>
      </c>
      <c r="G20" s="244">
        <f t="shared" si="2"/>
        <v>46049</v>
      </c>
      <c r="H20" s="127">
        <v>0</v>
      </c>
      <c r="I20" s="227"/>
      <c r="J20" s="127" t="s">
        <v>49</v>
      </c>
      <c r="K20" s="127" t="s">
        <v>71</v>
      </c>
      <c r="L20" s="228"/>
      <c r="M20" s="226"/>
      <c r="N20" s="130">
        <f t="shared" si="3"/>
        <v>46042</v>
      </c>
      <c r="O20" s="224">
        <v>46055</v>
      </c>
      <c r="P20" s="224">
        <v>46062</v>
      </c>
      <c r="Q20" s="224"/>
      <c r="R20" s="225"/>
      <c r="S20" s="228"/>
      <c r="T20" s="228"/>
      <c r="U20" s="228"/>
      <c r="V20" s="228"/>
      <c r="X20" s="228"/>
      <c r="Y20" s="228"/>
      <c r="Z20" s="228"/>
      <c r="AA20" s="228"/>
    </row>
    <row r="21" spans="1:28" s="229" customFormat="1" ht="23.25" customHeight="1" x14ac:dyDescent="0.25">
      <c r="A21" s="179">
        <v>18</v>
      </c>
      <c r="B21" s="179" t="s">
        <v>50</v>
      </c>
      <c r="C21" s="180" t="s">
        <v>192</v>
      </c>
      <c r="D21" s="250" t="s">
        <v>193</v>
      </c>
      <c r="E21" s="248"/>
      <c r="F21" s="244">
        <v>46036</v>
      </c>
      <c r="G21" s="244">
        <f t="shared" si="2"/>
        <v>46043</v>
      </c>
      <c r="H21" s="127">
        <v>0</v>
      </c>
      <c r="I21" s="227"/>
      <c r="J21" s="127" t="s">
        <v>49</v>
      </c>
      <c r="K21" s="127" t="s">
        <v>71</v>
      </c>
      <c r="L21" s="224"/>
      <c r="M21" s="323"/>
      <c r="N21" s="130">
        <v>46036</v>
      </c>
      <c r="O21" s="224">
        <v>46055</v>
      </c>
      <c r="P21" s="224">
        <v>46056</v>
      </c>
      <c r="Q21" s="224"/>
      <c r="R21" s="225"/>
      <c r="S21" s="228"/>
      <c r="T21" s="228"/>
      <c r="U21" s="228"/>
      <c r="V21" s="228"/>
      <c r="X21" s="228"/>
      <c r="Y21" s="228"/>
      <c r="Z21" s="228"/>
      <c r="AA21" s="228"/>
    </row>
    <row r="22" spans="1:28" s="229" customFormat="1" ht="23.25" customHeight="1" x14ac:dyDescent="0.25">
      <c r="A22" s="179">
        <v>19</v>
      </c>
      <c r="B22" s="179" t="s">
        <v>50</v>
      </c>
      <c r="C22" s="180" t="s">
        <v>194</v>
      </c>
      <c r="D22" s="250" t="s">
        <v>195</v>
      </c>
      <c r="E22" s="248"/>
      <c r="F22" s="244">
        <v>46036</v>
      </c>
      <c r="G22" s="244">
        <f t="shared" si="2"/>
        <v>46043</v>
      </c>
      <c r="H22" s="127">
        <v>0</v>
      </c>
      <c r="I22" s="227"/>
      <c r="J22" s="127" t="s">
        <v>49</v>
      </c>
      <c r="K22" s="127" t="s">
        <v>71</v>
      </c>
      <c r="L22" s="224"/>
      <c r="M22" s="323"/>
      <c r="N22" s="130">
        <v>46036</v>
      </c>
      <c r="O22" s="224">
        <v>46055</v>
      </c>
      <c r="P22" s="224">
        <v>46062</v>
      </c>
      <c r="Q22" s="230"/>
      <c r="R22" s="225"/>
      <c r="S22" s="228"/>
      <c r="T22" s="228"/>
      <c r="U22" s="228"/>
      <c r="V22" s="228"/>
      <c r="X22" s="228"/>
      <c r="Y22" s="228"/>
      <c r="Z22" s="228"/>
      <c r="AA22" s="228"/>
    </row>
    <row r="23" spans="1:28" s="324" customFormat="1" ht="23.25" customHeight="1" x14ac:dyDescent="0.25">
      <c r="A23" s="179">
        <v>20</v>
      </c>
      <c r="B23" s="179" t="s">
        <v>50</v>
      </c>
      <c r="C23" s="180" t="s">
        <v>196</v>
      </c>
      <c r="D23" s="250" t="s">
        <v>197</v>
      </c>
      <c r="E23" s="248"/>
      <c r="F23" s="244">
        <v>46042</v>
      </c>
      <c r="G23" s="244">
        <f t="shared" si="2"/>
        <v>46049</v>
      </c>
      <c r="H23" s="127">
        <v>0</v>
      </c>
      <c r="I23" s="227"/>
      <c r="J23" s="127" t="s">
        <v>48</v>
      </c>
      <c r="K23" s="127" t="s">
        <v>71</v>
      </c>
      <c r="L23" s="228"/>
      <c r="M23" s="226"/>
      <c r="N23" s="130">
        <f t="shared" ref="N23:N29" si="4">F23</f>
        <v>46042</v>
      </c>
      <c r="O23" s="224">
        <v>46055</v>
      </c>
      <c r="P23" s="224"/>
      <c r="Q23" s="230"/>
      <c r="R23" s="225"/>
      <c r="S23" s="228"/>
      <c r="T23" s="228"/>
      <c r="U23" s="228"/>
      <c r="V23" s="228"/>
      <c r="W23" s="229"/>
      <c r="X23" s="228"/>
      <c r="Y23" s="228"/>
      <c r="Z23" s="228"/>
      <c r="AA23" s="228"/>
      <c r="AB23" s="229"/>
    </row>
    <row r="24" spans="1:28" s="324" customFormat="1" ht="23.25" customHeight="1" x14ac:dyDescent="0.25">
      <c r="A24" s="179">
        <v>21</v>
      </c>
      <c r="B24" s="179" t="s">
        <v>50</v>
      </c>
      <c r="C24" s="180" t="s">
        <v>198</v>
      </c>
      <c r="D24" s="250" t="s">
        <v>199</v>
      </c>
      <c r="E24" s="248"/>
      <c r="F24" s="244">
        <v>46042</v>
      </c>
      <c r="G24" s="244">
        <f t="shared" si="2"/>
        <v>46049</v>
      </c>
      <c r="H24" s="127">
        <v>0</v>
      </c>
      <c r="I24" s="227"/>
      <c r="J24" s="127" t="s">
        <v>48</v>
      </c>
      <c r="K24" s="127" t="s">
        <v>71</v>
      </c>
      <c r="L24" s="224"/>
      <c r="M24" s="323"/>
      <c r="N24" s="130">
        <f t="shared" si="4"/>
        <v>46042</v>
      </c>
      <c r="O24" s="224">
        <v>46055</v>
      </c>
      <c r="P24" s="224"/>
      <c r="Q24" s="230"/>
      <c r="R24" s="225"/>
      <c r="S24" s="228"/>
      <c r="T24" s="228"/>
      <c r="U24" s="228"/>
      <c r="V24" s="228"/>
      <c r="W24" s="229"/>
      <c r="X24" s="228"/>
      <c r="Y24" s="228"/>
      <c r="Z24" s="228"/>
      <c r="AA24" s="228"/>
      <c r="AB24" s="229"/>
    </row>
    <row r="25" spans="1:28" s="324" customFormat="1" ht="23.25" customHeight="1" x14ac:dyDescent="0.25">
      <c r="A25" s="179">
        <v>22</v>
      </c>
      <c r="B25" s="179" t="s">
        <v>50</v>
      </c>
      <c r="C25" s="180" t="s">
        <v>200</v>
      </c>
      <c r="D25" s="250" t="s">
        <v>201</v>
      </c>
      <c r="E25" s="248"/>
      <c r="F25" s="244">
        <v>46042</v>
      </c>
      <c r="G25" s="244">
        <v>46049</v>
      </c>
      <c r="H25" s="127">
        <v>0</v>
      </c>
      <c r="I25" s="227"/>
      <c r="J25" s="127" t="s">
        <v>49</v>
      </c>
      <c r="K25" s="127" t="s">
        <v>71</v>
      </c>
      <c r="L25" s="224"/>
      <c r="M25" s="323"/>
      <c r="N25" s="130">
        <f t="shared" si="4"/>
        <v>46042</v>
      </c>
      <c r="O25" s="224">
        <v>46044</v>
      </c>
      <c r="P25" s="224">
        <v>46049</v>
      </c>
      <c r="Q25" s="230"/>
      <c r="R25" s="225"/>
      <c r="S25" s="228"/>
      <c r="T25" s="228"/>
      <c r="U25" s="228"/>
      <c r="V25" s="228"/>
      <c r="W25" s="229"/>
      <c r="X25" s="228"/>
      <c r="Y25" s="228"/>
      <c r="Z25" s="228"/>
      <c r="AA25" s="228"/>
      <c r="AB25" s="229"/>
    </row>
    <row r="26" spans="1:28" s="324" customFormat="1" ht="23.25" customHeight="1" x14ac:dyDescent="0.25">
      <c r="A26" s="179">
        <v>23</v>
      </c>
      <c r="B26" s="179" t="s">
        <v>50</v>
      </c>
      <c r="C26" s="180" t="s">
        <v>202</v>
      </c>
      <c r="D26" s="250" t="s">
        <v>203</v>
      </c>
      <c r="E26" s="248"/>
      <c r="F26" s="244">
        <v>46044</v>
      </c>
      <c r="G26" s="244">
        <f>F26+7</f>
        <v>46051</v>
      </c>
      <c r="H26" s="127">
        <v>0</v>
      </c>
      <c r="I26" s="227"/>
      <c r="J26" s="127" t="s">
        <v>49</v>
      </c>
      <c r="K26" s="127" t="s">
        <v>71</v>
      </c>
      <c r="L26" s="224"/>
      <c r="M26" s="323"/>
      <c r="N26" s="130">
        <f t="shared" si="4"/>
        <v>46044</v>
      </c>
      <c r="O26" s="224">
        <v>46055</v>
      </c>
      <c r="P26" s="224">
        <v>46062</v>
      </c>
      <c r="Q26" s="230"/>
      <c r="R26" s="225"/>
      <c r="S26" s="228"/>
      <c r="T26" s="228"/>
      <c r="U26" s="228"/>
      <c r="V26" s="228"/>
      <c r="W26" s="229"/>
      <c r="X26" s="228"/>
      <c r="Y26" s="228"/>
      <c r="Z26" s="228"/>
      <c r="AA26" s="228"/>
      <c r="AB26" s="229"/>
    </row>
    <row r="27" spans="1:28" s="324" customFormat="1" ht="23.25" customHeight="1" x14ac:dyDescent="0.25">
      <c r="A27" s="179">
        <v>24</v>
      </c>
      <c r="B27" s="179" t="s">
        <v>50</v>
      </c>
      <c r="C27" s="180" t="s">
        <v>204</v>
      </c>
      <c r="D27" s="250" t="s">
        <v>205</v>
      </c>
      <c r="E27" s="248"/>
      <c r="F27" s="244">
        <v>46042</v>
      </c>
      <c r="G27" s="244">
        <f>F27+7</f>
        <v>46049</v>
      </c>
      <c r="H27" s="127">
        <v>0</v>
      </c>
      <c r="I27" s="227"/>
      <c r="J27" s="127" t="s">
        <v>49</v>
      </c>
      <c r="K27" s="127" t="s">
        <v>71</v>
      </c>
      <c r="L27" s="224"/>
      <c r="M27" s="323"/>
      <c r="N27" s="130">
        <f t="shared" si="4"/>
        <v>46042</v>
      </c>
      <c r="O27" s="224">
        <v>46044</v>
      </c>
      <c r="P27" s="224">
        <v>46049</v>
      </c>
      <c r="Q27" s="230"/>
      <c r="R27" s="225"/>
      <c r="S27" s="228"/>
      <c r="T27" s="228"/>
      <c r="U27" s="228"/>
      <c r="V27" s="228"/>
      <c r="W27" s="229"/>
      <c r="X27" s="228"/>
      <c r="Y27" s="228"/>
      <c r="Z27" s="228"/>
      <c r="AA27" s="228"/>
      <c r="AB27" s="229"/>
    </row>
    <row r="28" spans="1:28" s="324" customFormat="1" ht="23.25" customHeight="1" x14ac:dyDescent="0.25">
      <c r="A28" s="179">
        <v>25</v>
      </c>
      <c r="B28" s="179" t="s">
        <v>50</v>
      </c>
      <c r="C28" s="180" t="s">
        <v>206</v>
      </c>
      <c r="D28" s="250" t="s">
        <v>207</v>
      </c>
      <c r="E28" s="248"/>
      <c r="F28" s="244">
        <v>46042</v>
      </c>
      <c r="G28" s="244">
        <f>F28+7</f>
        <v>46049</v>
      </c>
      <c r="H28" s="127">
        <v>0</v>
      </c>
      <c r="I28" s="227"/>
      <c r="J28" s="127" t="s">
        <v>48</v>
      </c>
      <c r="K28" s="127" t="s">
        <v>71</v>
      </c>
      <c r="L28" s="224"/>
      <c r="M28" s="323"/>
      <c r="N28" s="130">
        <f t="shared" si="4"/>
        <v>46042</v>
      </c>
      <c r="O28" s="224">
        <v>46056</v>
      </c>
      <c r="P28" s="224"/>
      <c r="Q28" s="230"/>
      <c r="R28" s="225"/>
      <c r="S28" s="228"/>
      <c r="T28" s="228"/>
      <c r="U28" s="228"/>
      <c r="V28" s="228"/>
      <c r="W28" s="229"/>
      <c r="X28" s="228"/>
      <c r="Y28" s="228"/>
      <c r="Z28" s="228"/>
      <c r="AA28" s="228"/>
      <c r="AB28" s="229"/>
    </row>
    <row r="29" spans="1:28" s="324" customFormat="1" ht="23.25" customHeight="1" x14ac:dyDescent="0.25">
      <c r="A29" s="179">
        <v>26</v>
      </c>
      <c r="B29" s="179" t="s">
        <v>50</v>
      </c>
      <c r="C29" s="180" t="s">
        <v>208</v>
      </c>
      <c r="D29" s="250" t="s">
        <v>209</v>
      </c>
      <c r="E29" s="248"/>
      <c r="F29" s="244">
        <v>46039</v>
      </c>
      <c r="G29" s="244">
        <f>F29+7</f>
        <v>46046</v>
      </c>
      <c r="H29" s="127">
        <v>0</v>
      </c>
      <c r="I29" s="227"/>
      <c r="J29" s="127" t="s">
        <v>48</v>
      </c>
      <c r="K29" s="127" t="s">
        <v>71</v>
      </c>
      <c r="L29" s="224"/>
      <c r="M29" s="323"/>
      <c r="N29" s="130">
        <f t="shared" si="4"/>
        <v>46039</v>
      </c>
      <c r="O29" s="224">
        <v>46056</v>
      </c>
      <c r="P29" s="224"/>
      <c r="Q29" s="230"/>
      <c r="R29" s="225"/>
      <c r="S29" s="228"/>
      <c r="T29" s="228"/>
      <c r="U29" s="228"/>
      <c r="V29" s="228"/>
      <c r="W29" s="229"/>
      <c r="X29" s="228"/>
      <c r="Y29" s="228"/>
      <c r="Z29" s="228"/>
      <c r="AA29" s="228"/>
      <c r="AB29" s="229"/>
    </row>
    <row r="30" spans="1:28" s="324" customFormat="1" ht="23.25" customHeight="1" x14ac:dyDescent="0.25">
      <c r="A30" s="179">
        <v>27</v>
      </c>
      <c r="B30" s="179" t="s">
        <v>50</v>
      </c>
      <c r="C30" s="180" t="s">
        <v>210</v>
      </c>
      <c r="D30" s="250" t="s">
        <v>211</v>
      </c>
      <c r="E30" s="248"/>
      <c r="F30" s="244">
        <v>46053</v>
      </c>
      <c r="G30" s="244">
        <f>F30+7</f>
        <v>46060</v>
      </c>
      <c r="H30" s="127">
        <v>0</v>
      </c>
      <c r="I30" s="227"/>
      <c r="J30" s="127" t="s">
        <v>48</v>
      </c>
      <c r="K30" s="127" t="s">
        <v>71</v>
      </c>
      <c r="L30" s="224"/>
      <c r="M30" s="323"/>
      <c r="N30" s="130">
        <f>F30</f>
        <v>46053</v>
      </c>
      <c r="O30" s="224">
        <v>46056</v>
      </c>
      <c r="P30" s="224"/>
      <c r="Q30" s="230"/>
      <c r="R30" s="225"/>
      <c r="S30" s="228"/>
      <c r="T30" s="228"/>
      <c r="U30" s="228"/>
      <c r="V30" s="228"/>
      <c r="W30" s="229"/>
      <c r="X30" s="228"/>
      <c r="Y30" s="228"/>
      <c r="Z30" s="228"/>
      <c r="AA30" s="228"/>
      <c r="AB30" s="229"/>
    </row>
    <row r="31" spans="1:28" s="324" customFormat="1" ht="23.25" customHeight="1" x14ac:dyDescent="0.25">
      <c r="A31" s="179">
        <v>28</v>
      </c>
      <c r="B31" s="179" t="s">
        <v>50</v>
      </c>
      <c r="C31" s="180" t="s">
        <v>212</v>
      </c>
      <c r="D31" s="250" t="s">
        <v>213</v>
      </c>
      <c r="E31" s="248"/>
      <c r="F31" s="244">
        <v>46039</v>
      </c>
      <c r="G31" s="244">
        <f t="shared" ref="G31:G38" si="5">F31+7</f>
        <v>46046</v>
      </c>
      <c r="H31" s="127">
        <v>0</v>
      </c>
      <c r="I31" s="227"/>
      <c r="J31" s="127" t="s">
        <v>48</v>
      </c>
      <c r="K31" s="127" t="s">
        <v>71</v>
      </c>
      <c r="L31" s="224"/>
      <c r="M31" s="323"/>
      <c r="N31" s="130">
        <f t="shared" ref="N31:N38" si="6">F31</f>
        <v>46039</v>
      </c>
      <c r="O31" s="224">
        <v>46056</v>
      </c>
      <c r="P31" s="224"/>
      <c r="Q31" s="230"/>
      <c r="R31" s="225"/>
      <c r="S31" s="228"/>
      <c r="T31" s="228"/>
      <c r="U31" s="228"/>
      <c r="V31" s="228"/>
      <c r="W31" s="229"/>
      <c r="X31" s="228"/>
      <c r="Y31" s="228"/>
      <c r="Z31" s="228"/>
      <c r="AA31" s="228"/>
      <c r="AB31" s="229"/>
    </row>
    <row r="32" spans="1:28" s="324" customFormat="1" ht="23.25" customHeight="1" x14ac:dyDescent="0.25">
      <c r="A32" s="179">
        <v>29</v>
      </c>
      <c r="B32" s="179" t="s">
        <v>50</v>
      </c>
      <c r="C32" s="180" t="s">
        <v>214</v>
      </c>
      <c r="D32" s="250" t="s">
        <v>215</v>
      </c>
      <c r="E32" s="248"/>
      <c r="F32" s="244">
        <v>46039</v>
      </c>
      <c r="G32" s="244">
        <f t="shared" si="5"/>
        <v>46046</v>
      </c>
      <c r="H32" s="127">
        <v>0</v>
      </c>
      <c r="I32" s="227"/>
      <c r="J32" s="127" t="s">
        <v>49</v>
      </c>
      <c r="K32" s="127" t="s">
        <v>71</v>
      </c>
      <c r="L32" s="224"/>
      <c r="M32" s="323"/>
      <c r="N32" s="130">
        <f t="shared" si="6"/>
        <v>46039</v>
      </c>
      <c r="O32" s="224">
        <v>46056</v>
      </c>
      <c r="P32" s="224">
        <v>46062</v>
      </c>
      <c r="Q32" s="230"/>
      <c r="R32" s="225"/>
      <c r="S32" s="228"/>
      <c r="T32" s="228"/>
      <c r="U32" s="228"/>
      <c r="V32" s="228"/>
      <c r="W32" s="229"/>
      <c r="X32" s="228"/>
      <c r="Y32" s="228"/>
      <c r="Z32" s="228"/>
      <c r="AA32" s="228"/>
      <c r="AB32" s="229"/>
    </row>
    <row r="33" spans="1:28" s="324" customFormat="1" ht="23.25" customHeight="1" x14ac:dyDescent="0.25">
      <c r="A33" s="179">
        <v>30</v>
      </c>
      <c r="B33" s="179" t="s">
        <v>50</v>
      </c>
      <c r="C33" s="180" t="s">
        <v>216</v>
      </c>
      <c r="D33" s="250" t="s">
        <v>217</v>
      </c>
      <c r="E33" s="248"/>
      <c r="F33" s="244">
        <v>46042</v>
      </c>
      <c r="G33" s="244">
        <f t="shared" si="5"/>
        <v>46049</v>
      </c>
      <c r="H33" s="127">
        <v>0</v>
      </c>
      <c r="I33" s="227"/>
      <c r="J33" s="127" t="s">
        <v>48</v>
      </c>
      <c r="K33" s="127" t="s">
        <v>71</v>
      </c>
      <c r="L33" s="224"/>
      <c r="M33" s="323"/>
      <c r="N33" s="130">
        <f t="shared" si="6"/>
        <v>46042</v>
      </c>
      <c r="O33" s="224">
        <v>46056</v>
      </c>
      <c r="P33" s="224"/>
      <c r="Q33" s="230"/>
      <c r="R33" s="225"/>
      <c r="S33" s="228"/>
      <c r="T33" s="228"/>
      <c r="U33" s="228"/>
      <c r="V33" s="228"/>
      <c r="W33" s="229"/>
      <c r="X33" s="228"/>
      <c r="Y33" s="228"/>
      <c r="Z33" s="228"/>
      <c r="AA33" s="228"/>
      <c r="AB33" s="229"/>
    </row>
    <row r="34" spans="1:28" s="324" customFormat="1" ht="23.25" customHeight="1" x14ac:dyDescent="0.25">
      <c r="A34" s="179">
        <v>31</v>
      </c>
      <c r="B34" s="179" t="s">
        <v>50</v>
      </c>
      <c r="C34" s="180" t="s">
        <v>218</v>
      </c>
      <c r="D34" s="250" t="s">
        <v>219</v>
      </c>
      <c r="E34" s="248"/>
      <c r="F34" s="244">
        <v>46042</v>
      </c>
      <c r="G34" s="244">
        <f t="shared" si="5"/>
        <v>46049</v>
      </c>
      <c r="H34" s="127">
        <v>0</v>
      </c>
      <c r="I34" s="227"/>
      <c r="J34" s="127" t="s">
        <v>48</v>
      </c>
      <c r="K34" s="127" t="s">
        <v>71</v>
      </c>
      <c r="L34" s="224"/>
      <c r="M34" s="323"/>
      <c r="N34" s="130">
        <f t="shared" si="6"/>
        <v>46042</v>
      </c>
      <c r="O34" s="224">
        <v>46056</v>
      </c>
      <c r="P34" s="224"/>
      <c r="Q34" s="230"/>
      <c r="R34" s="225"/>
      <c r="S34" s="228"/>
      <c r="T34" s="228"/>
      <c r="U34" s="228"/>
      <c r="V34" s="228"/>
      <c r="W34" s="229"/>
      <c r="X34" s="228"/>
      <c r="Y34" s="228"/>
      <c r="Z34" s="228"/>
      <c r="AA34" s="228"/>
      <c r="AB34" s="229"/>
    </row>
    <row r="35" spans="1:28" s="324" customFormat="1" ht="23.25" customHeight="1" x14ac:dyDescent="0.25">
      <c r="A35" s="179">
        <v>32</v>
      </c>
      <c r="B35" s="179" t="s">
        <v>50</v>
      </c>
      <c r="C35" s="180" t="s">
        <v>220</v>
      </c>
      <c r="D35" s="250" t="s">
        <v>221</v>
      </c>
      <c r="E35" s="248"/>
      <c r="F35" s="244">
        <v>46042</v>
      </c>
      <c r="G35" s="244">
        <f t="shared" si="5"/>
        <v>46049</v>
      </c>
      <c r="H35" s="127">
        <v>0</v>
      </c>
      <c r="I35" s="227"/>
      <c r="J35" s="127" t="s">
        <v>49</v>
      </c>
      <c r="K35" s="127" t="s">
        <v>71</v>
      </c>
      <c r="L35" s="224"/>
      <c r="M35" s="323"/>
      <c r="N35" s="130">
        <f t="shared" si="6"/>
        <v>46042</v>
      </c>
      <c r="O35" s="224">
        <v>46056</v>
      </c>
      <c r="P35" s="224">
        <v>46062</v>
      </c>
      <c r="Q35" s="230"/>
      <c r="R35" s="225"/>
      <c r="S35" s="228"/>
      <c r="T35" s="228"/>
      <c r="U35" s="228"/>
      <c r="V35" s="228"/>
      <c r="W35" s="229"/>
      <c r="X35" s="228"/>
      <c r="Y35" s="228"/>
      <c r="Z35" s="228"/>
      <c r="AA35" s="228"/>
      <c r="AB35" s="229"/>
    </row>
    <row r="36" spans="1:28" s="324" customFormat="1" ht="23.25" customHeight="1" x14ac:dyDescent="0.25">
      <c r="A36" s="179">
        <v>33</v>
      </c>
      <c r="B36" s="179" t="s">
        <v>50</v>
      </c>
      <c r="C36" s="180" t="s">
        <v>222</v>
      </c>
      <c r="D36" s="250" t="s">
        <v>223</v>
      </c>
      <c r="E36" s="248"/>
      <c r="F36" s="244">
        <v>46051</v>
      </c>
      <c r="G36" s="244">
        <f t="shared" si="5"/>
        <v>46058</v>
      </c>
      <c r="H36" s="127">
        <v>0</v>
      </c>
      <c r="I36" s="227"/>
      <c r="J36" s="127" t="s">
        <v>48</v>
      </c>
      <c r="K36" s="127" t="s">
        <v>71</v>
      </c>
      <c r="L36" s="224"/>
      <c r="M36" s="323"/>
      <c r="N36" s="130">
        <f t="shared" si="6"/>
        <v>46051</v>
      </c>
      <c r="O36" s="224">
        <v>46059</v>
      </c>
      <c r="P36" s="224"/>
      <c r="Q36" s="230"/>
      <c r="R36" s="225"/>
      <c r="S36" s="228"/>
      <c r="T36" s="228"/>
      <c r="U36" s="228"/>
      <c r="V36" s="228"/>
      <c r="W36" s="229"/>
      <c r="X36" s="228"/>
      <c r="Y36" s="228"/>
      <c r="Z36" s="228"/>
      <c r="AA36" s="228"/>
      <c r="AB36" s="229"/>
    </row>
    <row r="37" spans="1:28" s="324" customFormat="1" ht="23.25" customHeight="1" x14ac:dyDescent="0.25">
      <c r="A37" s="179">
        <v>34</v>
      </c>
      <c r="B37" s="179" t="s">
        <v>50</v>
      </c>
      <c r="C37" s="180" t="s">
        <v>224</v>
      </c>
      <c r="D37" s="250" t="s">
        <v>225</v>
      </c>
      <c r="E37" s="248"/>
      <c r="F37" s="244">
        <v>46051</v>
      </c>
      <c r="G37" s="244">
        <f t="shared" si="5"/>
        <v>46058</v>
      </c>
      <c r="H37" s="127">
        <v>0</v>
      </c>
      <c r="I37" s="227"/>
      <c r="J37" s="127" t="s">
        <v>48</v>
      </c>
      <c r="K37" s="127" t="s">
        <v>71</v>
      </c>
      <c r="L37" s="224"/>
      <c r="M37" s="323"/>
      <c r="N37" s="130">
        <f t="shared" si="6"/>
        <v>46051</v>
      </c>
      <c r="O37" s="224">
        <v>46064</v>
      </c>
      <c r="P37" s="224"/>
      <c r="Q37" s="230"/>
      <c r="R37" s="225"/>
      <c r="S37" s="228"/>
      <c r="T37" s="228"/>
      <c r="U37" s="228"/>
      <c r="V37" s="228"/>
      <c r="W37" s="229"/>
      <c r="X37" s="228"/>
      <c r="Y37" s="228"/>
      <c r="Z37" s="228"/>
      <c r="AA37" s="228"/>
      <c r="AB37" s="229"/>
    </row>
    <row r="38" spans="1:28" s="324" customFormat="1" ht="23.25" customHeight="1" x14ac:dyDescent="0.25">
      <c r="A38" s="179">
        <f>A37+1</f>
        <v>35</v>
      </c>
      <c r="B38" s="179" t="s">
        <v>50</v>
      </c>
      <c r="C38" s="180" t="s">
        <v>226</v>
      </c>
      <c r="D38" s="250" t="s">
        <v>227</v>
      </c>
      <c r="E38" s="248"/>
      <c r="F38" s="244">
        <v>46051</v>
      </c>
      <c r="G38" s="244">
        <f t="shared" si="5"/>
        <v>46058</v>
      </c>
      <c r="H38" s="127">
        <v>0</v>
      </c>
      <c r="I38" s="227"/>
      <c r="J38" s="127" t="s">
        <v>48</v>
      </c>
      <c r="K38" s="127" t="s">
        <v>71</v>
      </c>
      <c r="L38" s="224"/>
      <c r="M38" s="323"/>
      <c r="N38" s="130">
        <f t="shared" si="6"/>
        <v>46051</v>
      </c>
      <c r="O38" s="224">
        <v>46064</v>
      </c>
      <c r="P38" s="224"/>
      <c r="Q38" s="230"/>
      <c r="R38" s="225"/>
      <c r="S38" s="228"/>
      <c r="T38" s="228"/>
      <c r="U38" s="228"/>
      <c r="V38" s="228"/>
      <c r="W38" s="229"/>
      <c r="X38" s="228"/>
      <c r="Y38" s="228"/>
      <c r="Z38" s="228"/>
      <c r="AA38" s="228"/>
      <c r="AB38" s="229"/>
    </row>
    <row r="39" spans="1:28" s="324" customFormat="1" ht="23.25" customHeight="1" x14ac:dyDescent="0.25">
      <c r="A39" s="179">
        <f t="shared" ref="A39:A46" si="7">A38+1</f>
        <v>36</v>
      </c>
      <c r="B39" s="179" t="s">
        <v>50</v>
      </c>
      <c r="C39" s="180" t="s">
        <v>228</v>
      </c>
      <c r="D39" s="250"/>
      <c r="E39" s="248"/>
      <c r="F39" s="244"/>
      <c r="G39" s="244"/>
      <c r="H39" s="127"/>
      <c r="I39" s="227"/>
      <c r="J39" s="127"/>
      <c r="K39" s="127"/>
      <c r="L39" s="224"/>
      <c r="M39" s="323"/>
      <c r="N39" s="130"/>
      <c r="O39" s="224"/>
      <c r="P39" s="224"/>
      <c r="Q39" s="230"/>
      <c r="R39" s="225"/>
      <c r="S39" s="228"/>
      <c r="T39" s="228"/>
      <c r="U39" s="228"/>
      <c r="V39" s="228"/>
      <c r="W39" s="229"/>
      <c r="X39" s="228"/>
      <c r="Y39" s="228"/>
      <c r="Z39" s="228"/>
      <c r="AA39" s="228"/>
      <c r="AB39" s="229"/>
    </row>
    <row r="40" spans="1:28" s="324" customFormat="1" ht="23.25" customHeight="1" x14ac:dyDescent="0.25">
      <c r="A40" s="179">
        <f t="shared" si="7"/>
        <v>37</v>
      </c>
      <c r="B40" s="179" t="s">
        <v>50</v>
      </c>
      <c r="C40" s="180" t="s">
        <v>229</v>
      </c>
      <c r="D40" s="250" t="s">
        <v>230</v>
      </c>
      <c r="E40" s="248"/>
      <c r="F40" s="244">
        <v>46053</v>
      </c>
      <c r="G40" s="244">
        <f>F40+7</f>
        <v>46060</v>
      </c>
      <c r="H40" s="127">
        <v>0</v>
      </c>
      <c r="I40" s="227"/>
      <c r="J40" s="127" t="s">
        <v>48</v>
      </c>
      <c r="K40" s="127" t="s">
        <v>71</v>
      </c>
      <c r="L40" s="224"/>
      <c r="M40" s="323"/>
      <c r="N40" s="130">
        <v>46053</v>
      </c>
      <c r="O40" s="224">
        <v>46060</v>
      </c>
      <c r="P40" s="224"/>
      <c r="Q40" s="230"/>
      <c r="R40" s="225"/>
      <c r="S40" s="228"/>
      <c r="T40" s="228"/>
      <c r="U40" s="228"/>
      <c r="V40" s="228"/>
      <c r="W40" s="229"/>
      <c r="X40" s="228"/>
      <c r="Y40" s="228"/>
      <c r="Z40" s="228"/>
      <c r="AA40" s="228"/>
      <c r="AB40" s="229"/>
    </row>
    <row r="41" spans="1:28" s="324" customFormat="1" ht="23.25" customHeight="1" x14ac:dyDescent="0.25">
      <c r="A41" s="179">
        <f t="shared" si="7"/>
        <v>38</v>
      </c>
      <c r="B41" s="179" t="s">
        <v>50</v>
      </c>
      <c r="C41" s="180" t="s">
        <v>231</v>
      </c>
      <c r="D41" s="250" t="s">
        <v>232</v>
      </c>
      <c r="E41" s="248"/>
      <c r="F41" s="244">
        <v>46051</v>
      </c>
      <c r="G41" s="244">
        <f>F41+7</f>
        <v>46058</v>
      </c>
      <c r="H41" s="127">
        <v>0</v>
      </c>
      <c r="I41" s="227"/>
      <c r="J41" s="127" t="s">
        <v>48</v>
      </c>
      <c r="K41" s="127" t="s">
        <v>71</v>
      </c>
      <c r="L41" s="224"/>
      <c r="M41" s="323"/>
      <c r="N41" s="130">
        <f>F41</f>
        <v>46051</v>
      </c>
      <c r="O41" s="224">
        <v>46064</v>
      </c>
      <c r="P41" s="224"/>
      <c r="Q41" s="230"/>
      <c r="R41" s="225"/>
      <c r="S41" s="228"/>
      <c r="T41" s="228"/>
      <c r="U41" s="228"/>
      <c r="V41" s="228"/>
      <c r="W41" s="229"/>
      <c r="X41" s="228"/>
      <c r="Y41" s="228"/>
      <c r="Z41" s="228"/>
      <c r="AA41" s="228"/>
      <c r="AB41" s="229"/>
    </row>
    <row r="42" spans="1:28" s="324" customFormat="1" ht="23.25" customHeight="1" x14ac:dyDescent="0.25">
      <c r="A42" s="179">
        <f t="shared" si="7"/>
        <v>39</v>
      </c>
      <c r="B42" s="179" t="s">
        <v>50</v>
      </c>
      <c r="C42" s="180" t="s">
        <v>233</v>
      </c>
      <c r="D42" s="250"/>
      <c r="E42" s="248"/>
      <c r="F42" s="244"/>
      <c r="G42" s="244"/>
      <c r="H42" s="127"/>
      <c r="I42" s="227"/>
      <c r="J42" s="127"/>
      <c r="K42" s="127"/>
      <c r="L42" s="224"/>
      <c r="M42" s="323"/>
      <c r="N42" s="130"/>
      <c r="O42" s="224"/>
      <c r="P42" s="224"/>
      <c r="Q42" s="230"/>
      <c r="R42" s="225"/>
      <c r="S42" s="228"/>
      <c r="T42" s="228"/>
      <c r="U42" s="228"/>
      <c r="V42" s="228"/>
      <c r="W42" s="229"/>
      <c r="X42" s="228"/>
      <c r="Y42" s="228"/>
      <c r="Z42" s="228"/>
      <c r="AA42" s="228"/>
      <c r="AB42" s="229"/>
    </row>
    <row r="43" spans="1:28" s="324" customFormat="1" ht="23.25" customHeight="1" x14ac:dyDescent="0.25">
      <c r="A43" s="179">
        <f t="shared" si="7"/>
        <v>40</v>
      </c>
      <c r="B43" s="179" t="s">
        <v>50</v>
      </c>
      <c r="C43" s="180" t="s">
        <v>234</v>
      </c>
      <c r="D43" s="250"/>
      <c r="E43" s="248"/>
      <c r="F43" s="244"/>
      <c r="G43" s="244"/>
      <c r="H43" s="127"/>
      <c r="I43" s="227"/>
      <c r="J43" s="127"/>
      <c r="K43" s="127"/>
      <c r="L43" s="224"/>
      <c r="M43" s="323"/>
      <c r="N43" s="130"/>
      <c r="O43" s="224"/>
      <c r="P43" s="224"/>
      <c r="Q43" s="230"/>
      <c r="R43" s="225"/>
      <c r="S43" s="228"/>
      <c r="T43" s="228"/>
      <c r="U43" s="228"/>
      <c r="V43" s="228"/>
      <c r="W43" s="229"/>
      <c r="X43" s="228"/>
      <c r="Y43" s="228"/>
      <c r="Z43" s="228"/>
      <c r="AA43" s="228"/>
      <c r="AB43" s="229"/>
    </row>
    <row r="44" spans="1:28" s="324" customFormat="1" ht="23.25" customHeight="1" x14ac:dyDescent="0.25">
      <c r="A44" s="179">
        <f t="shared" si="7"/>
        <v>41</v>
      </c>
      <c r="B44" s="179" t="s">
        <v>50</v>
      </c>
      <c r="C44" s="180" t="s">
        <v>235</v>
      </c>
      <c r="D44" s="250" t="s">
        <v>236</v>
      </c>
      <c r="E44" s="248"/>
      <c r="F44" s="244">
        <v>46053</v>
      </c>
      <c r="G44" s="244">
        <f>F44+7</f>
        <v>46060</v>
      </c>
      <c r="H44" s="127">
        <v>0</v>
      </c>
      <c r="I44" s="227"/>
      <c r="J44" s="127" t="s">
        <v>48</v>
      </c>
      <c r="K44" s="127" t="s">
        <v>71</v>
      </c>
      <c r="L44" s="224"/>
      <c r="M44" s="323"/>
      <c r="N44" s="130">
        <f>F44</f>
        <v>46053</v>
      </c>
      <c r="O44" s="224">
        <v>46064</v>
      </c>
      <c r="P44" s="224"/>
      <c r="Q44" s="230"/>
      <c r="R44" s="225"/>
      <c r="S44" s="228"/>
      <c r="T44" s="228"/>
      <c r="U44" s="228"/>
      <c r="V44" s="228"/>
      <c r="W44" s="229"/>
      <c r="X44" s="228"/>
      <c r="Y44" s="228"/>
      <c r="Z44" s="228"/>
      <c r="AA44" s="228"/>
      <c r="AB44" s="229"/>
    </row>
    <row r="45" spans="1:28" s="324" customFormat="1" ht="23.25" customHeight="1" x14ac:dyDescent="0.25">
      <c r="A45" s="179">
        <f t="shared" si="7"/>
        <v>42</v>
      </c>
      <c r="B45" s="179" t="s">
        <v>50</v>
      </c>
      <c r="C45" s="180" t="s">
        <v>237</v>
      </c>
      <c r="D45" s="250"/>
      <c r="E45" s="248"/>
      <c r="F45" s="244"/>
      <c r="G45" s="244"/>
      <c r="H45" s="127"/>
      <c r="I45" s="227"/>
      <c r="J45" s="127"/>
      <c r="K45" s="127"/>
      <c r="L45" s="224"/>
      <c r="M45" s="323"/>
      <c r="N45" s="130"/>
      <c r="O45" s="224"/>
      <c r="P45" s="224"/>
      <c r="Q45" s="230"/>
      <c r="R45" s="225"/>
      <c r="S45" s="228"/>
      <c r="T45" s="228"/>
      <c r="U45" s="228"/>
      <c r="V45" s="228"/>
      <c r="W45" s="229"/>
      <c r="X45" s="228"/>
      <c r="Y45" s="228"/>
      <c r="Z45" s="228"/>
      <c r="AA45" s="228"/>
      <c r="AB45" s="229"/>
    </row>
    <row r="46" spans="1:28" s="324" customFormat="1" ht="23.25" customHeight="1" x14ac:dyDescent="0.25">
      <c r="A46" s="179">
        <f t="shared" si="7"/>
        <v>43</v>
      </c>
      <c r="B46" s="179" t="s">
        <v>50</v>
      </c>
      <c r="C46" s="180" t="s">
        <v>238</v>
      </c>
      <c r="D46" s="250" t="s">
        <v>239</v>
      </c>
      <c r="E46" s="248"/>
      <c r="F46" s="244">
        <v>46059</v>
      </c>
      <c r="G46" s="244">
        <f t="shared" ref="G46:G55" si="8">F46+7</f>
        <v>46066</v>
      </c>
      <c r="H46" s="127">
        <v>0</v>
      </c>
      <c r="I46" s="227"/>
      <c r="J46" s="127" t="s">
        <v>48</v>
      </c>
      <c r="K46" s="127" t="s">
        <v>71</v>
      </c>
      <c r="L46" s="224"/>
      <c r="M46" s="323"/>
      <c r="N46" s="130">
        <v>46059</v>
      </c>
      <c r="O46" s="224">
        <v>46060</v>
      </c>
      <c r="P46" s="224"/>
      <c r="Q46" s="230"/>
      <c r="R46" s="225"/>
      <c r="S46" s="228"/>
      <c r="T46" s="228"/>
      <c r="U46" s="228"/>
      <c r="V46" s="228"/>
      <c r="W46" s="229"/>
      <c r="X46" s="228"/>
      <c r="Y46" s="228"/>
      <c r="Z46" s="228"/>
      <c r="AA46" s="228"/>
      <c r="AB46" s="229"/>
    </row>
    <row r="47" spans="1:28" s="324" customFormat="1" ht="23.25" customHeight="1" x14ac:dyDescent="0.25">
      <c r="A47" s="179">
        <f>A45+1</f>
        <v>43</v>
      </c>
      <c r="B47" s="179" t="s">
        <v>50</v>
      </c>
      <c r="C47" s="180" t="s">
        <v>240</v>
      </c>
      <c r="D47" s="250" t="s">
        <v>241</v>
      </c>
      <c r="E47" s="248"/>
      <c r="F47" s="244">
        <v>46057</v>
      </c>
      <c r="G47" s="244">
        <f t="shared" si="8"/>
        <v>46064</v>
      </c>
      <c r="H47" s="127">
        <v>0</v>
      </c>
      <c r="I47" s="227"/>
      <c r="J47" s="127" t="s">
        <v>48</v>
      </c>
      <c r="K47" s="127" t="s">
        <v>71</v>
      </c>
      <c r="L47" s="224"/>
      <c r="M47" s="323"/>
      <c r="N47" s="130">
        <v>46057</v>
      </c>
      <c r="O47" s="224">
        <v>46064</v>
      </c>
      <c r="P47" s="224"/>
      <c r="Q47" s="230"/>
      <c r="R47" s="225"/>
      <c r="S47" s="228"/>
      <c r="T47" s="228"/>
      <c r="U47" s="228"/>
      <c r="V47" s="228"/>
      <c r="W47" s="229"/>
      <c r="X47" s="228"/>
      <c r="Y47" s="228"/>
      <c r="Z47" s="228"/>
      <c r="AA47" s="228"/>
      <c r="AB47" s="229"/>
    </row>
    <row r="48" spans="1:28" s="324" customFormat="1" ht="23.25" customHeight="1" x14ac:dyDescent="0.25">
      <c r="A48" s="179">
        <f>A44+1</f>
        <v>42</v>
      </c>
      <c r="B48" s="179" t="s">
        <v>50</v>
      </c>
      <c r="C48" s="180" t="s">
        <v>242</v>
      </c>
      <c r="D48" s="250" t="s">
        <v>243</v>
      </c>
      <c r="E48" s="248"/>
      <c r="F48" s="244">
        <v>46059</v>
      </c>
      <c r="G48" s="244">
        <f t="shared" si="8"/>
        <v>46066</v>
      </c>
      <c r="H48" s="127">
        <v>0</v>
      </c>
      <c r="I48" s="227"/>
      <c r="J48" s="127" t="s">
        <v>48</v>
      </c>
      <c r="K48" s="127" t="s">
        <v>71</v>
      </c>
      <c r="L48" s="224"/>
      <c r="M48" s="323"/>
      <c r="N48" s="130">
        <v>46059</v>
      </c>
      <c r="O48" s="224">
        <v>46060</v>
      </c>
      <c r="P48" s="224"/>
      <c r="Q48" s="230"/>
      <c r="R48" s="225"/>
      <c r="S48" s="228"/>
      <c r="T48" s="228"/>
      <c r="U48" s="228"/>
      <c r="V48" s="228"/>
      <c r="W48" s="229"/>
      <c r="X48" s="228"/>
      <c r="Y48" s="228"/>
      <c r="Z48" s="228"/>
      <c r="AA48" s="228"/>
      <c r="AB48" s="229"/>
    </row>
    <row r="49" spans="1:28" s="324" customFormat="1" ht="23.25" customHeight="1" x14ac:dyDescent="0.25">
      <c r="A49" s="179">
        <f t="shared" ref="A49" si="9">A47+1</f>
        <v>44</v>
      </c>
      <c r="B49" s="179" t="s">
        <v>50</v>
      </c>
      <c r="C49" s="180" t="s">
        <v>244</v>
      </c>
      <c r="D49" s="250" t="s">
        <v>245</v>
      </c>
      <c r="E49" s="248"/>
      <c r="F49" s="244">
        <v>46063</v>
      </c>
      <c r="G49" s="244">
        <f t="shared" si="8"/>
        <v>46070</v>
      </c>
      <c r="H49" s="127">
        <v>0</v>
      </c>
      <c r="I49" s="227"/>
      <c r="J49" s="127" t="s">
        <v>48</v>
      </c>
      <c r="K49" s="127" t="s">
        <v>71</v>
      </c>
      <c r="L49" s="224"/>
      <c r="M49" s="323"/>
      <c r="N49" s="130">
        <v>46063</v>
      </c>
      <c r="O49" s="224">
        <v>46064</v>
      </c>
      <c r="P49" s="224"/>
      <c r="Q49" s="230"/>
      <c r="R49" s="225"/>
      <c r="S49" s="228"/>
      <c r="T49" s="228"/>
      <c r="U49" s="228"/>
      <c r="V49" s="228"/>
      <c r="W49" s="229"/>
      <c r="X49" s="228"/>
      <c r="Y49" s="228"/>
      <c r="Z49" s="228"/>
      <c r="AA49" s="228"/>
      <c r="AB49" s="229"/>
    </row>
    <row r="50" spans="1:28" s="324" customFormat="1" ht="23.25" customHeight="1" x14ac:dyDescent="0.25">
      <c r="A50" s="179">
        <f t="shared" ref="A50" si="10">A46+1</f>
        <v>44</v>
      </c>
      <c r="B50" s="179" t="s">
        <v>50</v>
      </c>
      <c r="C50" s="180" t="s">
        <v>246</v>
      </c>
      <c r="D50" s="250" t="s">
        <v>247</v>
      </c>
      <c r="E50" s="248"/>
      <c r="F50" s="244">
        <v>46063</v>
      </c>
      <c r="G50" s="244">
        <f t="shared" si="8"/>
        <v>46070</v>
      </c>
      <c r="H50" s="127">
        <v>0</v>
      </c>
      <c r="I50" s="227"/>
      <c r="J50" s="127" t="s">
        <v>48</v>
      </c>
      <c r="K50" s="127" t="s">
        <v>71</v>
      </c>
      <c r="L50" s="224"/>
      <c r="M50" s="323"/>
      <c r="N50" s="130">
        <v>46063</v>
      </c>
      <c r="O50" s="224">
        <v>46064</v>
      </c>
      <c r="P50" s="224"/>
      <c r="Q50" s="230"/>
      <c r="R50" s="225"/>
      <c r="S50" s="228"/>
      <c r="T50" s="228"/>
      <c r="U50" s="228"/>
      <c r="V50" s="228"/>
      <c r="W50" s="229"/>
      <c r="X50" s="228"/>
      <c r="Y50" s="228"/>
      <c r="Z50" s="228"/>
      <c r="AA50" s="228"/>
      <c r="AB50" s="229"/>
    </row>
    <row r="51" spans="1:28" s="324" customFormat="1" ht="23.25" customHeight="1" x14ac:dyDescent="0.25">
      <c r="A51" s="179">
        <f t="shared" ref="A51" si="11">A49+1</f>
        <v>45</v>
      </c>
      <c r="B51" s="179" t="s">
        <v>50</v>
      </c>
      <c r="C51" s="180" t="s">
        <v>248</v>
      </c>
      <c r="D51" s="250" t="s">
        <v>249</v>
      </c>
      <c r="E51" s="248"/>
      <c r="F51" s="244">
        <v>46064</v>
      </c>
      <c r="G51" s="244">
        <f t="shared" si="8"/>
        <v>46071</v>
      </c>
      <c r="H51" s="127">
        <v>0</v>
      </c>
      <c r="I51" s="227"/>
      <c r="J51" s="127" t="s">
        <v>47</v>
      </c>
      <c r="K51" s="127" t="s">
        <v>71</v>
      </c>
      <c r="L51" s="224"/>
      <c r="M51" s="323"/>
      <c r="N51" s="130">
        <v>46064</v>
      </c>
      <c r="O51" s="224"/>
      <c r="P51" s="224"/>
      <c r="Q51" s="230"/>
      <c r="R51" s="225"/>
      <c r="S51" s="228"/>
      <c r="T51" s="228"/>
      <c r="U51" s="228"/>
      <c r="V51" s="228"/>
      <c r="W51" s="229"/>
      <c r="X51" s="228"/>
      <c r="Y51" s="228"/>
      <c r="Z51" s="228"/>
      <c r="AA51" s="228"/>
      <c r="AB51" s="229"/>
    </row>
    <row r="52" spans="1:28" s="324" customFormat="1" ht="23.25" customHeight="1" x14ac:dyDescent="0.25">
      <c r="A52" s="179">
        <f t="shared" ref="A52:A56" si="12">A48+1</f>
        <v>43</v>
      </c>
      <c r="B52" s="179" t="s">
        <v>50</v>
      </c>
      <c r="C52" s="180" t="s">
        <v>250</v>
      </c>
      <c r="D52" s="250" t="s">
        <v>251</v>
      </c>
      <c r="E52" s="248"/>
      <c r="F52" s="244">
        <v>46064</v>
      </c>
      <c r="G52" s="244">
        <f t="shared" si="8"/>
        <v>46071</v>
      </c>
      <c r="H52" s="127">
        <v>0</v>
      </c>
      <c r="I52" s="227"/>
      <c r="J52" s="127" t="s">
        <v>47</v>
      </c>
      <c r="K52" s="127" t="s">
        <v>71</v>
      </c>
      <c r="L52" s="224"/>
      <c r="M52" s="323"/>
      <c r="N52" s="130">
        <v>46064</v>
      </c>
      <c r="O52" s="224"/>
      <c r="P52" s="224"/>
      <c r="Q52" s="230"/>
      <c r="R52" s="225"/>
      <c r="S52" s="228"/>
      <c r="T52" s="228"/>
      <c r="U52" s="228"/>
      <c r="V52" s="228"/>
      <c r="W52" s="229"/>
      <c r="X52" s="228"/>
      <c r="Y52" s="228"/>
      <c r="Z52" s="228"/>
      <c r="AA52" s="228"/>
      <c r="AB52" s="229"/>
    </row>
    <row r="53" spans="1:28" s="324" customFormat="1" ht="23.25" customHeight="1" x14ac:dyDescent="0.25">
      <c r="A53" s="179">
        <f t="shared" ref="A53:A57" si="13">A51+1</f>
        <v>46</v>
      </c>
      <c r="B53" s="179" t="s">
        <v>50</v>
      </c>
      <c r="C53" s="180" t="s">
        <v>252</v>
      </c>
      <c r="D53" s="250" t="s">
        <v>253</v>
      </c>
      <c r="E53" s="248"/>
      <c r="F53" s="244">
        <v>46064</v>
      </c>
      <c r="G53" s="244">
        <f t="shared" si="8"/>
        <v>46071</v>
      </c>
      <c r="H53" s="127">
        <v>0</v>
      </c>
      <c r="I53" s="227"/>
      <c r="J53" s="127" t="s">
        <v>47</v>
      </c>
      <c r="K53" s="127" t="s">
        <v>71</v>
      </c>
      <c r="L53" s="224"/>
      <c r="M53" s="323"/>
      <c r="N53" s="130">
        <v>46064</v>
      </c>
      <c r="O53" s="224"/>
      <c r="P53" s="224"/>
      <c r="Q53" s="230"/>
      <c r="R53" s="225"/>
      <c r="S53" s="228"/>
      <c r="T53" s="228"/>
      <c r="U53" s="228"/>
      <c r="V53" s="228"/>
      <c r="W53" s="229"/>
      <c r="X53" s="228"/>
      <c r="Y53" s="228"/>
      <c r="Z53" s="228"/>
      <c r="AA53" s="228"/>
      <c r="AB53" s="229"/>
    </row>
    <row r="54" spans="1:28" s="324" customFormat="1" ht="23.25" customHeight="1" x14ac:dyDescent="0.25">
      <c r="A54" s="179">
        <f t="shared" si="12"/>
        <v>45</v>
      </c>
      <c r="B54" s="179" t="s">
        <v>50</v>
      </c>
      <c r="C54" s="180" t="s">
        <v>254</v>
      </c>
      <c r="D54" s="250" t="s">
        <v>255</v>
      </c>
      <c r="E54" s="248"/>
      <c r="F54" s="244">
        <v>46064</v>
      </c>
      <c r="G54" s="244">
        <f t="shared" si="8"/>
        <v>46071</v>
      </c>
      <c r="H54" s="127">
        <v>0</v>
      </c>
      <c r="I54" s="227"/>
      <c r="J54" s="127" t="s">
        <v>47</v>
      </c>
      <c r="K54" s="127" t="s">
        <v>71</v>
      </c>
      <c r="L54" s="224"/>
      <c r="M54" s="323"/>
      <c r="N54" s="130">
        <v>46064</v>
      </c>
      <c r="O54" s="224"/>
      <c r="P54" s="224"/>
      <c r="Q54" s="230"/>
      <c r="R54" s="225"/>
      <c r="S54" s="228"/>
      <c r="T54" s="228"/>
      <c r="U54" s="228"/>
      <c r="V54" s="228"/>
      <c r="W54" s="229"/>
      <c r="X54" s="228"/>
      <c r="Y54" s="228"/>
      <c r="Z54" s="228"/>
      <c r="AA54" s="228"/>
      <c r="AB54" s="229"/>
    </row>
    <row r="55" spans="1:28" s="324" customFormat="1" ht="23.25" customHeight="1" x14ac:dyDescent="0.25">
      <c r="A55" s="179">
        <f t="shared" si="13"/>
        <v>47</v>
      </c>
      <c r="B55" s="179" t="s">
        <v>50</v>
      </c>
      <c r="C55" s="180" t="s">
        <v>256</v>
      </c>
      <c r="D55" s="250" t="s">
        <v>257</v>
      </c>
      <c r="E55" s="248"/>
      <c r="F55" s="244">
        <v>46064</v>
      </c>
      <c r="G55" s="244">
        <f t="shared" si="8"/>
        <v>46071</v>
      </c>
      <c r="H55" s="127">
        <v>0</v>
      </c>
      <c r="I55" s="227"/>
      <c r="J55" s="127" t="s">
        <v>47</v>
      </c>
      <c r="K55" s="127" t="s">
        <v>71</v>
      </c>
      <c r="L55" s="224"/>
      <c r="M55" s="323"/>
      <c r="N55" s="130">
        <v>46064</v>
      </c>
      <c r="O55" s="224"/>
      <c r="P55" s="224"/>
      <c r="Q55" s="230"/>
      <c r="R55" s="225"/>
      <c r="S55" s="228"/>
      <c r="T55" s="228"/>
      <c r="U55" s="228"/>
      <c r="V55" s="228"/>
      <c r="W55" s="229"/>
      <c r="X55" s="228"/>
      <c r="Y55" s="228"/>
      <c r="Z55" s="228"/>
      <c r="AA55" s="228"/>
      <c r="AB55" s="229"/>
    </row>
    <row r="56" spans="1:28" s="324" customFormat="1" ht="23.25" customHeight="1" x14ac:dyDescent="0.25">
      <c r="A56" s="179">
        <f t="shared" si="12"/>
        <v>44</v>
      </c>
      <c r="B56" s="179" t="s">
        <v>50</v>
      </c>
      <c r="C56" s="180" t="s">
        <v>258</v>
      </c>
      <c r="D56" s="250"/>
      <c r="E56" s="248"/>
      <c r="F56" s="244"/>
      <c r="G56" s="244"/>
      <c r="H56" s="127"/>
      <c r="I56" s="227"/>
      <c r="J56" s="127"/>
      <c r="K56" s="127"/>
      <c r="L56" s="224"/>
      <c r="M56" s="323"/>
      <c r="N56" s="130"/>
      <c r="O56" s="224"/>
      <c r="P56" s="224"/>
      <c r="Q56" s="230"/>
      <c r="R56" s="225"/>
      <c r="S56" s="228"/>
      <c r="T56" s="228"/>
      <c r="U56" s="228"/>
      <c r="V56" s="228"/>
      <c r="W56" s="229"/>
      <c r="X56" s="228"/>
      <c r="Y56" s="228"/>
      <c r="Z56" s="228"/>
      <c r="AA56" s="228"/>
      <c r="AB56" s="229"/>
    </row>
    <row r="57" spans="1:28" s="324" customFormat="1" ht="23.25" customHeight="1" x14ac:dyDescent="0.25">
      <c r="A57" s="179">
        <f t="shared" si="13"/>
        <v>48</v>
      </c>
      <c r="B57" s="179" t="s">
        <v>50</v>
      </c>
      <c r="C57" s="180" t="s">
        <v>259</v>
      </c>
      <c r="D57" s="250"/>
      <c r="E57" s="248"/>
      <c r="F57" s="244"/>
      <c r="G57" s="244"/>
      <c r="H57" s="127"/>
      <c r="I57" s="227"/>
      <c r="J57" s="127"/>
      <c r="K57" s="127"/>
      <c r="L57" s="224"/>
      <c r="M57" s="323"/>
      <c r="N57" s="130"/>
      <c r="O57" s="224"/>
      <c r="P57" s="224"/>
      <c r="Q57" s="230"/>
      <c r="R57" s="225"/>
      <c r="S57" s="228"/>
      <c r="T57" s="228"/>
      <c r="U57" s="228"/>
      <c r="V57" s="228"/>
      <c r="W57" s="229"/>
      <c r="X57" s="228"/>
      <c r="Y57" s="228"/>
      <c r="Z57" s="228"/>
      <c r="AA57" s="228"/>
      <c r="AB57" s="229"/>
    </row>
    <row r="58" spans="1:28" s="324" customFormat="1" ht="23.25" customHeight="1" x14ac:dyDescent="0.25">
      <c r="A58" s="179"/>
      <c r="B58" s="179"/>
      <c r="C58" s="180"/>
      <c r="D58" s="250"/>
      <c r="E58" s="248"/>
      <c r="F58" s="244"/>
      <c r="G58" s="244"/>
      <c r="H58" s="127"/>
      <c r="I58" s="227"/>
      <c r="J58" s="127"/>
      <c r="K58" s="127"/>
      <c r="L58" s="224"/>
      <c r="M58" s="323"/>
      <c r="N58" s="130"/>
      <c r="O58" s="224"/>
      <c r="P58" s="224"/>
      <c r="Q58" s="230"/>
      <c r="R58" s="225"/>
      <c r="S58" s="228"/>
      <c r="T58" s="228"/>
      <c r="U58" s="228"/>
      <c r="V58" s="228"/>
      <c r="W58" s="229"/>
      <c r="X58" s="228"/>
      <c r="Y58" s="228"/>
      <c r="Z58" s="228"/>
      <c r="AA58" s="228"/>
      <c r="AB58" s="229"/>
    </row>
    <row r="60" spans="1:28" x14ac:dyDescent="0.25">
      <c r="J60" s="209" t="s">
        <v>74</v>
      </c>
      <c r="K60" s="209"/>
    </row>
    <row r="61" spans="1:28" x14ac:dyDescent="0.25">
      <c r="J61" s="3" t="s">
        <v>54</v>
      </c>
    </row>
    <row r="62" spans="1:28" x14ac:dyDescent="0.25">
      <c r="I62" s="3"/>
      <c r="J62" s="207" t="s">
        <v>47</v>
      </c>
      <c r="K62" s="207"/>
      <c r="L62" s="207"/>
      <c r="M62" s="350"/>
      <c r="Q62" s="3"/>
      <c r="R62" s="57"/>
      <c r="V62" s="3"/>
      <c r="W62" s="57"/>
      <c r="AA62" s="3"/>
    </row>
    <row r="63" spans="1:28" x14ac:dyDescent="0.25">
      <c r="I63" s="3"/>
      <c r="J63" s="207" t="s">
        <v>48</v>
      </c>
      <c r="K63" s="207"/>
      <c r="L63" s="207"/>
      <c r="M63" s="350"/>
      <c r="Q63" s="3"/>
      <c r="R63" s="57"/>
      <c r="V63" s="3"/>
      <c r="W63" s="57"/>
      <c r="AA63" s="3"/>
    </row>
    <row r="64" spans="1:28" x14ac:dyDescent="0.25">
      <c r="I64" s="3"/>
      <c r="J64" s="207" t="s">
        <v>49</v>
      </c>
      <c r="K64" s="207"/>
      <c r="L64" s="207"/>
      <c r="M64" s="350"/>
      <c r="Q64" s="3"/>
      <c r="R64" s="57"/>
      <c r="V64" s="3"/>
      <c r="W64" s="57"/>
      <c r="AA64" s="3"/>
    </row>
    <row r="65" spans="8:27" x14ac:dyDescent="0.25">
      <c r="I65" s="3"/>
      <c r="J65" s="207" t="s">
        <v>75</v>
      </c>
      <c r="K65" s="207"/>
      <c r="L65" s="207"/>
      <c r="M65" s="350"/>
      <c r="Q65" s="3"/>
      <c r="R65" s="57"/>
      <c r="V65" s="3"/>
      <c r="W65" s="57"/>
      <c r="AA65" s="3"/>
    </row>
    <row r="69" spans="8:27" x14ac:dyDescent="0.25">
      <c r="H69" s="3" t="s">
        <v>260</v>
      </c>
    </row>
  </sheetData>
  <autoFilter ref="A3:AB22" xr:uid="{1E6BCED9-E5FA-44F5-B652-998456F0541A}"/>
  <mergeCells count="3">
    <mergeCell ref="N2:R2"/>
    <mergeCell ref="S2:W2"/>
    <mergeCell ref="X2:AB2"/>
  </mergeCells>
  <phoneticPr fontId="7" type="noConversion"/>
  <conditionalFormatting sqref="A5:C21 O22:AB58 A59:AB476">
    <cfRule type="expression" dxfId="190" priority="65">
      <formula>$J5="GAA"</formula>
    </cfRule>
  </conditionalFormatting>
  <conditionalFormatting sqref="A23:E23 K24:K58">
    <cfRule type="expression" dxfId="189" priority="22">
      <formula>$J23="CTA"</formula>
    </cfRule>
    <cfRule type="expression" dxfId="188" priority="23">
      <formula>$J23="GAA"</formula>
    </cfRule>
  </conditionalFormatting>
  <conditionalFormatting sqref="A22:N22 A24:N58">
    <cfRule type="expression" dxfId="187" priority="38">
      <formula>$J22="CTA"</formula>
    </cfRule>
    <cfRule type="expression" dxfId="186" priority="39">
      <formula>$J22="GAA"</formula>
    </cfRule>
  </conditionalFormatting>
  <conditionalFormatting sqref="A4:AB4 F5:AB7 D8:AB10 E11:AB11 J11:J12 O11:O12 D12:AB19 J16:J24 O16:O24 E20:AB20 D21:AB21 K22 F23:N23">
    <cfRule type="expression" dxfId="185" priority="301">
      <formula>$J4="CTA"</formula>
    </cfRule>
    <cfRule type="expression" dxfId="184" priority="302">
      <formula>$J4="GAA"</formula>
    </cfRule>
  </conditionalFormatting>
  <conditionalFormatting sqref="A59:AB476 A5:C21 O22:AB58">
    <cfRule type="expression" dxfId="183" priority="64">
      <formula>$J5="CTA"</formula>
    </cfRule>
  </conditionalFormatting>
  <conditionalFormatting sqref="A4:XFD59">
    <cfRule type="expression" dxfId="182" priority="300">
      <formula>$J4="AUR"</formula>
    </cfRule>
  </conditionalFormatting>
  <conditionalFormatting sqref="D11">
    <cfRule type="expression" dxfId="181" priority="24">
      <formula>$J11="AUR"</formula>
    </cfRule>
    <cfRule type="expression" dxfId="180" priority="25">
      <formula>$J11="CTA"</formula>
    </cfRule>
    <cfRule type="expression" dxfId="179" priority="26">
      <formula>$J11="GAA"</formula>
    </cfRule>
  </conditionalFormatting>
  <conditionalFormatting sqref="D20">
    <cfRule type="expression" dxfId="178" priority="27">
      <formula>$J20="AUR"</formula>
    </cfRule>
    <cfRule type="expression" dxfId="177" priority="28">
      <formula>$J20="CTA"</formula>
    </cfRule>
    <cfRule type="expression" dxfId="176" priority="29">
      <formula>$J20="GAA"</formula>
    </cfRule>
  </conditionalFormatting>
  <conditionalFormatting sqref="D23">
    <cfRule type="expression" dxfId="175" priority="21">
      <formula>$J23="AUR"</formula>
    </cfRule>
  </conditionalFormatting>
  <conditionalFormatting sqref="D5:E7">
    <cfRule type="expression" dxfId="174" priority="34">
      <formula>$J5="CTA"</formula>
    </cfRule>
    <cfRule type="expression" dxfId="173" priority="35">
      <formula>$J5="GAA"</formula>
    </cfRule>
  </conditionalFormatting>
  <conditionalFormatting sqref="K4:K60">
    <cfRule type="expression" dxfId="172" priority="1">
      <formula>$K4="Pending"</formula>
    </cfRule>
    <cfRule type="expression" dxfId="171" priority="36">
      <formula>$K4="Pending"</formula>
    </cfRule>
  </conditionalFormatting>
  <conditionalFormatting sqref="K4:K476">
    <cfRule type="expression" dxfId="170" priority="41">
      <formula>$K4="Pending"</formula>
    </cfRule>
    <cfRule type="expression" dxfId="169" priority="81">
      <formula>SUMPRODUCT(($K4="A")+($K4="B"))</formula>
    </cfRule>
    <cfRule type="expression" dxfId="168" priority="82">
      <formula>SUMPRODUCT(($D4&lt;&gt;"")*($K4="")+($K4="C"))</formula>
    </cfRule>
    <cfRule type="expression" dxfId="167" priority="83">
      <formula>$K4="Pending"</formula>
    </cfRule>
  </conditionalFormatting>
  <dataValidations count="2">
    <dataValidation type="list" allowBlank="1" showInputMessage="1" showErrorMessage="1" sqref="K60:K1048576 K3 K1 J1:J1048576" xr:uid="{88740437-77D4-4472-B16D-13E0C22166F7}">
      <formula1>$J$61:$J$65</formula1>
    </dataValidation>
    <dataValidation type="list" allowBlank="1" showInputMessage="1" showErrorMessage="1" sqref="K4:K59" xr:uid="{E1196C8D-649F-477B-B759-4CA2E48449DF}">
      <formula1>"A,B,C,Pending,"</formula1>
    </dataValidation>
  </dataValidations>
  <pageMargins left="0.23622047244094499" right="0.23622047244094499" top="0.74803149606299202" bottom="0.74803149606299202" header="0.31496062992126" footer="0.31496062992126"/>
  <pageSetup paperSize="8" scale="46" fitToHeight="0" orientation="landscape" r:id="rId1"/>
  <headerFooter>
    <oddHeader>&amp;L&amp;G&amp;CProject Terra Phase 4 Material Approval Submission List</oddHeader>
    <oddFooter>&amp;L&amp;D&amp;RPage &amp;P of &amp;N</oddFooter>
  </headerFooter>
  <colBreaks count="1" manualBreakCount="1">
    <brk id="13" max="1048575" man="1"/>
  </col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2C49-EA08-4901-A2AE-78EC0C35F6C6}">
  <sheetPr codeName="Sheet7">
    <pageSetUpPr fitToPage="1"/>
  </sheetPr>
  <dimension ref="A1:AB46"/>
  <sheetViews>
    <sheetView view="pageBreakPreview" zoomScale="70" zoomScaleNormal="100" zoomScaleSheetLayoutView="70" workbookViewId="0">
      <pane ySplit="3" topLeftCell="A4" activePane="bottomLeft" state="frozen"/>
      <selection pane="bottomLeft" activeCell="E24" sqref="E24"/>
    </sheetView>
  </sheetViews>
  <sheetFormatPr defaultColWidth="9.296875" defaultRowHeight="13.8" x14ac:dyDescent="0.25"/>
  <cols>
    <col min="1" max="1" width="4.296875" style="3" customWidth="1"/>
    <col min="2" max="2" width="16.59765625" style="1" customWidth="1"/>
    <col min="3" max="3" width="30.3984375" style="1" customWidth="1"/>
    <col min="4" max="4" width="98.296875" style="10" bestFit="1" customWidth="1"/>
    <col min="5" max="5" width="16.296875" style="10" customWidth="1"/>
    <col min="6" max="6" width="10.69921875" style="11" customWidth="1"/>
    <col min="7" max="7" width="12.3984375" style="11" customWidth="1"/>
    <col min="8" max="8" width="4.296875" style="1" customWidth="1"/>
    <col min="9" max="9" width="8.69921875" style="1" hidden="1" customWidth="1"/>
    <col min="10" max="10" width="10.296875" style="1" customWidth="1"/>
    <col min="11" max="11" width="9.69921875" style="1" customWidth="1"/>
    <col min="12" max="12" width="10.3984375" style="11" bestFit="1" customWidth="1"/>
    <col min="13" max="13" width="52.69921875" style="1" customWidth="1"/>
    <col min="14" max="15" width="10.69921875" style="2" customWidth="1"/>
    <col min="16" max="16" width="12.3984375" style="2" customWidth="1"/>
    <col min="17" max="17" width="10.3984375" style="2" bestFit="1" customWidth="1"/>
    <col min="18" max="18" width="10.69921875" style="1" customWidth="1"/>
    <col min="19" max="19" width="10.3984375" style="2" bestFit="1" customWidth="1"/>
    <col min="20" max="20" width="10.296875" style="2" customWidth="1"/>
    <col min="21" max="22" width="9.69921875" style="2" bestFit="1" customWidth="1"/>
    <col min="23" max="23" width="8.3984375" style="1" customWidth="1"/>
    <col min="24" max="24" width="9.296875" style="2" bestFit="1" customWidth="1"/>
    <col min="25" max="25" width="9.296875" style="2" customWidth="1"/>
    <col min="26" max="27" width="9.296875" style="2" bestFit="1" customWidth="1"/>
    <col min="28" max="28" width="8.3984375" style="1" customWidth="1"/>
    <col min="29" max="16384" width="9.296875" style="1"/>
  </cols>
  <sheetData>
    <row r="1" spans="1:28" x14ac:dyDescent="0.25">
      <c r="A1" s="37" t="s">
        <v>52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62" t="s">
        <v>53</v>
      </c>
      <c r="N1" s="65" t="s">
        <v>54</v>
      </c>
      <c r="O1" s="63" t="s">
        <v>47</v>
      </c>
      <c r="P1" s="64" t="s">
        <v>48</v>
      </c>
      <c r="Q1" s="4"/>
      <c r="R1" s="5"/>
      <c r="S1" s="4"/>
      <c r="T1" s="4"/>
      <c r="U1" s="4"/>
      <c r="V1" s="4"/>
      <c r="W1" s="5"/>
      <c r="X1" s="4"/>
      <c r="Y1" s="4"/>
      <c r="Z1" s="4"/>
      <c r="AA1" s="4"/>
      <c r="AB1" s="5"/>
    </row>
    <row r="2" spans="1:28" s="3" customFormat="1" ht="41.4" x14ac:dyDescent="0.25">
      <c r="A2" s="6" t="s">
        <v>55</v>
      </c>
      <c r="B2" s="7" t="s">
        <v>1</v>
      </c>
      <c r="C2" s="7" t="s">
        <v>56</v>
      </c>
      <c r="D2" s="7" t="s">
        <v>57</v>
      </c>
      <c r="E2" s="7" t="s">
        <v>58</v>
      </c>
      <c r="F2" s="8" t="s">
        <v>59</v>
      </c>
      <c r="G2" s="8" t="s">
        <v>60</v>
      </c>
      <c r="H2" s="7" t="s">
        <v>61</v>
      </c>
      <c r="I2" s="7" t="s">
        <v>158</v>
      </c>
      <c r="J2" s="7" t="s">
        <v>62</v>
      </c>
      <c r="K2" s="7" t="s">
        <v>42</v>
      </c>
      <c r="L2" s="8" t="s">
        <v>63</v>
      </c>
      <c r="M2" s="9" t="s">
        <v>64</v>
      </c>
      <c r="N2" s="392" t="s">
        <v>65</v>
      </c>
      <c r="O2" s="407"/>
      <c r="P2" s="408"/>
      <c r="Q2" s="409"/>
      <c r="R2" s="411"/>
      <c r="S2" s="401" t="s">
        <v>66</v>
      </c>
      <c r="T2" s="402"/>
      <c r="U2" s="403"/>
      <c r="V2" s="404"/>
      <c r="W2" s="405"/>
      <c r="X2" s="406" t="s">
        <v>67</v>
      </c>
      <c r="Y2" s="407"/>
      <c r="Z2" s="408"/>
      <c r="AA2" s="409"/>
      <c r="AB2" s="410"/>
    </row>
    <row r="3" spans="1:28" x14ac:dyDescent="0.25">
      <c r="A3" s="176"/>
      <c r="B3" s="90"/>
      <c r="C3" s="91"/>
      <c r="D3" s="90"/>
      <c r="E3" s="90"/>
      <c r="F3" s="177"/>
      <c r="G3" s="177"/>
      <c r="H3" s="90"/>
      <c r="I3" s="90"/>
      <c r="J3" s="90"/>
      <c r="K3" s="90"/>
      <c r="L3" s="177"/>
      <c r="M3" s="79"/>
      <c r="N3" s="101" t="s">
        <v>17</v>
      </c>
      <c r="O3" s="102" t="s">
        <v>47</v>
      </c>
      <c r="P3" s="103" t="s">
        <v>48</v>
      </c>
      <c r="Q3" s="104" t="s">
        <v>49</v>
      </c>
      <c r="R3" s="100" t="s">
        <v>42</v>
      </c>
      <c r="S3" s="336" t="s">
        <v>17</v>
      </c>
      <c r="T3" s="337" t="s">
        <v>47</v>
      </c>
      <c r="U3" s="338" t="s">
        <v>48</v>
      </c>
      <c r="V3" s="339" t="s">
        <v>49</v>
      </c>
      <c r="W3" s="340" t="s">
        <v>42</v>
      </c>
      <c r="X3" s="101" t="s">
        <v>17</v>
      </c>
      <c r="Y3" s="102" t="s">
        <v>47</v>
      </c>
      <c r="Z3" s="103" t="s">
        <v>48</v>
      </c>
      <c r="AA3" s="104" t="s">
        <v>49</v>
      </c>
      <c r="AB3" s="100" t="s">
        <v>42</v>
      </c>
    </row>
    <row r="4" spans="1:28" s="215" customFormat="1" ht="18" customHeight="1" x14ac:dyDescent="0.25">
      <c r="A4" s="179">
        <v>1</v>
      </c>
      <c r="B4" s="179" t="s">
        <v>21</v>
      </c>
      <c r="C4" s="180" t="s">
        <v>261</v>
      </c>
      <c r="D4" s="214" t="s">
        <v>262</v>
      </c>
      <c r="E4" s="251"/>
      <c r="F4" s="130">
        <v>46044</v>
      </c>
      <c r="G4" s="130">
        <f t="shared" ref="G4:G16" si="0">F4+7</f>
        <v>46051</v>
      </c>
      <c r="H4" s="127">
        <v>0</v>
      </c>
      <c r="I4" s="182"/>
      <c r="J4" s="127" t="s">
        <v>48</v>
      </c>
      <c r="K4" s="127" t="s">
        <v>71</v>
      </c>
      <c r="L4" s="130"/>
      <c r="M4" s="167"/>
      <c r="N4" s="130">
        <f>F4</f>
        <v>46044</v>
      </c>
      <c r="O4" s="130">
        <v>46059</v>
      </c>
      <c r="P4" s="130"/>
      <c r="Q4" s="130"/>
      <c r="R4" s="127"/>
      <c r="S4" s="134"/>
      <c r="T4" s="134"/>
      <c r="U4" s="134"/>
      <c r="V4" s="134"/>
      <c r="W4" s="129"/>
      <c r="X4" s="134"/>
      <c r="Y4" s="134"/>
      <c r="Z4" s="134"/>
      <c r="AA4" s="134"/>
      <c r="AB4" s="129"/>
    </row>
    <row r="5" spans="1:28" s="215" customFormat="1" ht="18" customHeight="1" x14ac:dyDescent="0.25">
      <c r="A5" s="179">
        <f>A4+1</f>
        <v>2</v>
      </c>
      <c r="B5" s="179" t="s">
        <v>21</v>
      </c>
      <c r="C5" s="180" t="s">
        <v>263</v>
      </c>
      <c r="D5" s="181" t="s">
        <v>264</v>
      </c>
      <c r="E5" s="181"/>
      <c r="F5" s="130">
        <v>46036</v>
      </c>
      <c r="G5" s="130">
        <f t="shared" si="0"/>
        <v>46043</v>
      </c>
      <c r="H5" s="127">
        <v>0</v>
      </c>
      <c r="I5" s="182"/>
      <c r="J5" s="127" t="s">
        <v>48</v>
      </c>
      <c r="K5" s="127" t="s">
        <v>71</v>
      </c>
      <c r="L5" s="130"/>
      <c r="M5" s="167"/>
      <c r="N5" s="130">
        <v>46036</v>
      </c>
      <c r="O5" s="130">
        <v>46059</v>
      </c>
      <c r="P5" s="130"/>
      <c r="Q5" s="130"/>
      <c r="R5" s="127"/>
      <c r="S5" s="134"/>
      <c r="T5" s="134"/>
      <c r="U5" s="134"/>
      <c r="V5" s="134"/>
      <c r="W5" s="129"/>
      <c r="X5" s="134"/>
      <c r="Y5" s="134"/>
      <c r="Z5" s="134"/>
      <c r="AA5" s="134"/>
      <c r="AB5" s="129"/>
    </row>
    <row r="6" spans="1:28" s="56" customFormat="1" ht="14.4" x14ac:dyDescent="0.25">
      <c r="A6" s="179">
        <v>2</v>
      </c>
      <c r="B6" s="179" t="s">
        <v>21</v>
      </c>
      <c r="C6" s="180" t="s">
        <v>265</v>
      </c>
      <c r="D6" s="189" t="s">
        <v>266</v>
      </c>
      <c r="E6" s="189"/>
      <c r="F6" s="130">
        <v>46036</v>
      </c>
      <c r="G6" s="130">
        <f t="shared" si="0"/>
        <v>46043</v>
      </c>
      <c r="H6" s="127">
        <v>0</v>
      </c>
      <c r="I6" s="182"/>
      <c r="J6" s="127" t="s">
        <v>48</v>
      </c>
      <c r="K6" s="127" t="s">
        <v>71</v>
      </c>
      <c r="L6" s="130"/>
      <c r="M6" s="167"/>
      <c r="N6" s="130">
        <v>46036</v>
      </c>
      <c r="O6" s="130">
        <v>46059</v>
      </c>
      <c r="P6" s="130"/>
      <c r="Q6" s="130"/>
      <c r="R6" s="127"/>
      <c r="S6" s="132"/>
      <c r="T6" s="132"/>
      <c r="U6" s="132"/>
      <c r="V6" s="132"/>
      <c r="W6" s="148"/>
      <c r="X6" s="132"/>
      <c r="Y6" s="132"/>
      <c r="Z6" s="132"/>
      <c r="AA6" s="132"/>
      <c r="AB6" s="148"/>
    </row>
    <row r="7" spans="1:28" s="56" customFormat="1" ht="18" customHeight="1" x14ac:dyDescent="0.25">
      <c r="A7" s="179">
        <f>A6+1</f>
        <v>3</v>
      </c>
      <c r="B7" s="179" t="s">
        <v>21</v>
      </c>
      <c r="C7" s="180" t="s">
        <v>267</v>
      </c>
      <c r="D7" s="317" t="s">
        <v>268</v>
      </c>
      <c r="E7" s="189"/>
      <c r="F7" s="130">
        <v>46044</v>
      </c>
      <c r="G7" s="130">
        <f t="shared" si="0"/>
        <v>46051</v>
      </c>
      <c r="H7" s="127">
        <v>0</v>
      </c>
      <c r="I7" s="182"/>
      <c r="J7" s="127" t="s">
        <v>48</v>
      </c>
      <c r="K7" s="127" t="s">
        <v>71</v>
      </c>
      <c r="L7" s="130"/>
      <c r="M7" s="167"/>
      <c r="N7" s="130">
        <v>46044</v>
      </c>
      <c r="O7" s="130">
        <v>46062</v>
      </c>
      <c r="P7" s="130"/>
      <c r="Q7" s="130"/>
      <c r="R7" s="127"/>
      <c r="S7" s="132"/>
      <c r="T7" s="132"/>
      <c r="U7" s="132"/>
      <c r="V7" s="132"/>
      <c r="W7" s="148"/>
      <c r="X7" s="132"/>
      <c r="Y7" s="132"/>
      <c r="Z7" s="132"/>
      <c r="AA7" s="132"/>
      <c r="AB7" s="148"/>
    </row>
    <row r="8" spans="1:28" s="56" customFormat="1" ht="14.4" x14ac:dyDescent="0.25">
      <c r="A8" s="179">
        <v>3</v>
      </c>
      <c r="B8" s="179" t="s">
        <v>21</v>
      </c>
      <c r="C8" s="180" t="s">
        <v>269</v>
      </c>
      <c r="D8" s="189" t="s">
        <v>270</v>
      </c>
      <c r="E8" s="189"/>
      <c r="F8" s="130">
        <v>46036</v>
      </c>
      <c r="G8" s="130">
        <f t="shared" si="0"/>
        <v>46043</v>
      </c>
      <c r="H8" s="127">
        <v>0</v>
      </c>
      <c r="I8" s="182"/>
      <c r="J8" s="127" t="s">
        <v>48</v>
      </c>
      <c r="K8" s="127" t="s">
        <v>71</v>
      </c>
      <c r="L8" s="130"/>
      <c r="M8" s="167"/>
      <c r="N8" s="130">
        <v>46036</v>
      </c>
      <c r="O8" s="130">
        <v>46059</v>
      </c>
      <c r="P8" s="130"/>
      <c r="Q8" s="183"/>
      <c r="R8" s="127"/>
      <c r="S8" s="132"/>
      <c r="T8" s="132"/>
      <c r="U8" s="132"/>
      <c r="V8" s="132"/>
      <c r="W8" s="148"/>
      <c r="X8" s="132"/>
      <c r="Y8" s="132"/>
      <c r="Z8" s="132"/>
      <c r="AA8" s="132"/>
      <c r="AB8" s="148"/>
    </row>
    <row r="9" spans="1:28" s="56" customFormat="1" ht="15" customHeight="1" x14ac:dyDescent="0.25">
      <c r="A9" s="179">
        <f>A8+1</f>
        <v>4</v>
      </c>
      <c r="B9" s="179" t="s">
        <v>21</v>
      </c>
      <c r="C9" s="180" t="s">
        <v>271</v>
      </c>
      <c r="D9" s="189" t="s">
        <v>272</v>
      </c>
      <c r="E9" s="189"/>
      <c r="F9" s="130">
        <v>46036</v>
      </c>
      <c r="G9" s="130">
        <f t="shared" si="0"/>
        <v>46043</v>
      </c>
      <c r="H9" s="127">
        <v>0</v>
      </c>
      <c r="I9" s="182"/>
      <c r="J9" s="127" t="s">
        <v>48</v>
      </c>
      <c r="K9" s="127" t="s">
        <v>71</v>
      </c>
      <c r="L9" s="130"/>
      <c r="M9" s="167"/>
      <c r="N9" s="130">
        <v>46036</v>
      </c>
      <c r="O9" s="130">
        <v>46059</v>
      </c>
      <c r="P9" s="130"/>
      <c r="Q9" s="130"/>
      <c r="R9" s="127"/>
      <c r="S9" s="132"/>
      <c r="T9" s="132"/>
      <c r="U9" s="132"/>
      <c r="V9" s="132"/>
      <c r="W9" s="148"/>
      <c r="X9" s="132"/>
      <c r="Y9" s="132"/>
      <c r="Z9" s="132"/>
      <c r="AA9" s="132"/>
      <c r="AB9" s="148"/>
    </row>
    <row r="10" spans="1:28" s="56" customFormat="1" ht="15" customHeight="1" x14ac:dyDescent="0.25">
      <c r="A10" s="179">
        <v>4</v>
      </c>
      <c r="B10" s="179" t="s">
        <v>21</v>
      </c>
      <c r="C10" s="180" t="s">
        <v>273</v>
      </c>
      <c r="D10" s="189" t="s">
        <v>274</v>
      </c>
      <c r="E10" s="189"/>
      <c r="F10" s="130">
        <v>46044</v>
      </c>
      <c r="G10" s="130">
        <f t="shared" si="0"/>
        <v>46051</v>
      </c>
      <c r="H10" s="127">
        <v>0</v>
      </c>
      <c r="I10" s="182"/>
      <c r="J10" s="127" t="s">
        <v>48</v>
      </c>
      <c r="K10" s="127" t="s">
        <v>71</v>
      </c>
      <c r="L10" s="130"/>
      <c r="M10" s="167"/>
      <c r="N10" s="130">
        <f t="shared" ref="N10:N16" si="1">F10</f>
        <v>46044</v>
      </c>
      <c r="O10" s="130">
        <v>46044</v>
      </c>
      <c r="P10" s="130"/>
      <c r="Q10" s="130"/>
      <c r="R10" s="127"/>
      <c r="S10" s="132"/>
      <c r="T10" s="132"/>
      <c r="U10" s="132"/>
      <c r="V10" s="132"/>
      <c r="W10" s="148"/>
      <c r="X10" s="132"/>
      <c r="Y10" s="132"/>
      <c r="Z10" s="132"/>
      <c r="AA10" s="132"/>
      <c r="AB10" s="148"/>
    </row>
    <row r="11" spans="1:28" s="216" customFormat="1" ht="15" customHeight="1" x14ac:dyDescent="0.25">
      <c r="A11" s="179">
        <f>A10+1</f>
        <v>5</v>
      </c>
      <c r="B11" s="179" t="s">
        <v>21</v>
      </c>
      <c r="C11" s="180" t="s">
        <v>275</v>
      </c>
      <c r="D11" s="189" t="s">
        <v>276</v>
      </c>
      <c r="E11" s="189"/>
      <c r="F11" s="130">
        <v>46042</v>
      </c>
      <c r="G11" s="130">
        <f t="shared" si="0"/>
        <v>46049</v>
      </c>
      <c r="H11" s="127">
        <v>0</v>
      </c>
      <c r="I11" s="182"/>
      <c r="J11" s="127" t="s">
        <v>48</v>
      </c>
      <c r="K11" s="127" t="s">
        <v>71</v>
      </c>
      <c r="L11" s="130"/>
      <c r="M11" s="167"/>
      <c r="N11" s="130">
        <f t="shared" si="1"/>
        <v>46042</v>
      </c>
      <c r="O11" s="130">
        <v>46059</v>
      </c>
      <c r="P11" s="130"/>
      <c r="Q11" s="130"/>
      <c r="R11" s="127"/>
      <c r="S11" s="132"/>
      <c r="T11" s="132"/>
      <c r="U11" s="132"/>
      <c r="V11" s="132"/>
      <c r="W11" s="148"/>
      <c r="X11" s="132"/>
      <c r="Y11" s="132"/>
      <c r="Z11" s="132"/>
      <c r="AA11" s="132"/>
      <c r="AB11" s="148"/>
    </row>
    <row r="12" spans="1:28" s="56" customFormat="1" ht="15" customHeight="1" x14ac:dyDescent="0.25">
      <c r="A12" s="179">
        <v>5</v>
      </c>
      <c r="B12" s="179" t="s">
        <v>21</v>
      </c>
      <c r="C12" s="180" t="s">
        <v>277</v>
      </c>
      <c r="D12" s="189" t="s">
        <v>278</v>
      </c>
      <c r="E12" s="189"/>
      <c r="F12" s="130">
        <v>46044</v>
      </c>
      <c r="G12" s="130">
        <f t="shared" si="0"/>
        <v>46051</v>
      </c>
      <c r="H12" s="127">
        <v>0</v>
      </c>
      <c r="I12" s="182"/>
      <c r="J12" s="127" t="s">
        <v>48</v>
      </c>
      <c r="K12" s="127" t="s">
        <v>71</v>
      </c>
      <c r="L12" s="130"/>
      <c r="M12" s="167"/>
      <c r="N12" s="130">
        <f t="shared" si="1"/>
        <v>46044</v>
      </c>
      <c r="O12" s="130">
        <v>46059</v>
      </c>
      <c r="P12" s="130"/>
      <c r="Q12" s="130"/>
      <c r="R12" s="127"/>
      <c r="S12" s="132"/>
      <c r="T12" s="132"/>
      <c r="U12" s="132"/>
      <c r="V12" s="132"/>
      <c r="W12" s="148"/>
      <c r="X12" s="132"/>
      <c r="Y12" s="132"/>
      <c r="Z12" s="132"/>
      <c r="AA12" s="132"/>
      <c r="AB12" s="148"/>
    </row>
    <row r="13" spans="1:28" s="56" customFormat="1" ht="15" customHeight="1" x14ac:dyDescent="0.25">
      <c r="A13" s="179">
        <f>A12+1</f>
        <v>6</v>
      </c>
      <c r="B13" s="179" t="s">
        <v>21</v>
      </c>
      <c r="C13" s="180" t="s">
        <v>279</v>
      </c>
      <c r="D13" s="189" t="s">
        <v>280</v>
      </c>
      <c r="E13" s="189"/>
      <c r="F13" s="130">
        <v>46044</v>
      </c>
      <c r="G13" s="130">
        <f t="shared" si="0"/>
        <v>46051</v>
      </c>
      <c r="H13" s="127">
        <v>0</v>
      </c>
      <c r="I13" s="182"/>
      <c r="J13" s="127" t="s">
        <v>48</v>
      </c>
      <c r="K13" s="127" t="s">
        <v>71</v>
      </c>
      <c r="L13" s="130"/>
      <c r="M13" s="167"/>
      <c r="N13" s="130">
        <f t="shared" si="1"/>
        <v>46044</v>
      </c>
      <c r="O13" s="130">
        <v>46062</v>
      </c>
      <c r="P13" s="130"/>
      <c r="Q13" s="130"/>
      <c r="R13" s="127"/>
      <c r="S13" s="132"/>
      <c r="T13" s="132"/>
      <c r="U13" s="132"/>
      <c r="V13" s="132"/>
      <c r="W13" s="148"/>
      <c r="X13" s="132"/>
      <c r="Y13" s="132"/>
      <c r="Z13" s="132"/>
      <c r="AA13" s="132"/>
      <c r="AB13" s="148"/>
    </row>
    <row r="14" spans="1:28" ht="14.4" x14ac:dyDescent="0.25">
      <c r="A14" s="179">
        <v>6</v>
      </c>
      <c r="B14" s="179" t="s">
        <v>21</v>
      </c>
      <c r="C14" s="180" t="s">
        <v>281</v>
      </c>
      <c r="D14" s="189" t="s">
        <v>282</v>
      </c>
      <c r="E14" s="189"/>
      <c r="F14" s="130">
        <v>46042</v>
      </c>
      <c r="G14" s="130">
        <f t="shared" si="0"/>
        <v>46049</v>
      </c>
      <c r="H14" s="127">
        <v>0</v>
      </c>
      <c r="I14" s="182"/>
      <c r="J14" s="127" t="s">
        <v>48</v>
      </c>
      <c r="K14" s="127" t="s">
        <v>71</v>
      </c>
      <c r="L14" s="130"/>
      <c r="M14" s="167"/>
      <c r="N14" s="130">
        <f t="shared" si="1"/>
        <v>46042</v>
      </c>
      <c r="O14" s="130">
        <v>46062</v>
      </c>
      <c r="P14" s="130"/>
      <c r="Q14" s="130"/>
      <c r="R14" s="127"/>
      <c r="S14" s="132"/>
      <c r="T14" s="132"/>
      <c r="U14" s="132"/>
      <c r="V14" s="132"/>
      <c r="W14" s="148"/>
      <c r="X14" s="132"/>
      <c r="Y14" s="132"/>
      <c r="Z14" s="132"/>
      <c r="AA14" s="132"/>
      <c r="AB14" s="148"/>
    </row>
    <row r="15" spans="1:28" ht="14.4" x14ac:dyDescent="0.25">
      <c r="A15" s="179">
        <f>A14+1</f>
        <v>7</v>
      </c>
      <c r="B15" s="179" t="s">
        <v>21</v>
      </c>
      <c r="C15" s="180" t="s">
        <v>283</v>
      </c>
      <c r="D15" s="189" t="s">
        <v>284</v>
      </c>
      <c r="E15" s="189"/>
      <c r="F15" s="130">
        <v>46042</v>
      </c>
      <c r="G15" s="130">
        <f t="shared" si="0"/>
        <v>46049</v>
      </c>
      <c r="H15" s="127">
        <v>0</v>
      </c>
      <c r="I15" s="182"/>
      <c r="J15" s="127" t="s">
        <v>48</v>
      </c>
      <c r="K15" s="127" t="s">
        <v>71</v>
      </c>
      <c r="L15" s="130"/>
      <c r="M15" s="167"/>
      <c r="N15" s="130">
        <f t="shared" si="1"/>
        <v>46042</v>
      </c>
      <c r="O15" s="130">
        <v>46062</v>
      </c>
      <c r="P15" s="130"/>
      <c r="Q15" s="130"/>
      <c r="R15" s="127"/>
      <c r="S15" s="132"/>
      <c r="T15" s="132"/>
      <c r="U15" s="132"/>
      <c r="V15" s="132"/>
      <c r="W15" s="148"/>
      <c r="X15" s="132"/>
      <c r="Y15" s="132"/>
      <c r="Z15" s="132"/>
      <c r="AA15" s="132"/>
      <c r="AB15" s="148"/>
    </row>
    <row r="16" spans="1:28" ht="14.4" x14ac:dyDescent="0.25">
      <c r="A16" s="179">
        <v>7</v>
      </c>
      <c r="B16" s="179" t="s">
        <v>21</v>
      </c>
      <c r="C16" s="180" t="s">
        <v>285</v>
      </c>
      <c r="D16" s="189" t="s">
        <v>286</v>
      </c>
      <c r="E16" s="189"/>
      <c r="F16" s="130">
        <v>46042</v>
      </c>
      <c r="G16" s="130">
        <f t="shared" si="0"/>
        <v>46049</v>
      </c>
      <c r="H16" s="127">
        <v>0</v>
      </c>
      <c r="I16" s="182"/>
      <c r="J16" s="127" t="s">
        <v>48</v>
      </c>
      <c r="K16" s="127" t="s">
        <v>71</v>
      </c>
      <c r="L16" s="130"/>
      <c r="M16" s="167"/>
      <c r="N16" s="130">
        <f t="shared" si="1"/>
        <v>46042</v>
      </c>
      <c r="O16" s="130">
        <v>46062</v>
      </c>
      <c r="P16" s="130"/>
      <c r="Q16" s="130"/>
      <c r="R16" s="127"/>
      <c r="S16" s="132"/>
      <c r="T16" s="132"/>
      <c r="U16" s="132"/>
      <c r="V16" s="132"/>
      <c r="W16" s="148"/>
      <c r="X16" s="132"/>
      <c r="Y16" s="132"/>
      <c r="Z16" s="132"/>
      <c r="AA16" s="132"/>
      <c r="AB16" s="148"/>
    </row>
    <row r="17" spans="1:28" ht="14.4" x14ac:dyDescent="0.25">
      <c r="A17" s="179">
        <f t="shared" ref="A17" si="2">A16+1</f>
        <v>8</v>
      </c>
      <c r="B17" s="179" t="s">
        <v>21</v>
      </c>
      <c r="C17" s="180" t="s">
        <v>287</v>
      </c>
      <c r="D17" s="189" t="s">
        <v>288</v>
      </c>
      <c r="E17" s="189"/>
      <c r="F17" s="130">
        <v>46051</v>
      </c>
      <c r="G17" s="130">
        <f>F17+7</f>
        <v>46058</v>
      </c>
      <c r="H17" s="166">
        <v>0</v>
      </c>
      <c r="I17" s="191"/>
      <c r="J17" s="127" t="s">
        <v>48</v>
      </c>
      <c r="K17" s="127" t="s">
        <v>71</v>
      </c>
      <c r="L17" s="130"/>
      <c r="M17" s="190"/>
      <c r="N17" s="130">
        <f>F17</f>
        <v>46051</v>
      </c>
      <c r="O17" s="130">
        <v>46062</v>
      </c>
      <c r="P17" s="130"/>
      <c r="Q17" s="130"/>
      <c r="R17" s="127"/>
      <c r="S17" s="132"/>
      <c r="T17" s="132"/>
      <c r="U17" s="132"/>
      <c r="V17" s="132"/>
      <c r="W17" s="148"/>
      <c r="X17" s="132"/>
      <c r="Y17" s="132"/>
      <c r="Z17" s="132"/>
      <c r="AA17" s="132"/>
      <c r="AB17" s="148"/>
    </row>
    <row r="18" spans="1:28" ht="14.4" x14ac:dyDescent="0.25">
      <c r="A18" s="179">
        <v>8</v>
      </c>
      <c r="B18" s="179" t="s">
        <v>21</v>
      </c>
      <c r="C18" s="180" t="s">
        <v>289</v>
      </c>
      <c r="D18" s="189"/>
      <c r="E18" s="189"/>
      <c r="F18" s="130"/>
      <c r="G18" s="130"/>
      <c r="H18" s="166"/>
      <c r="I18" s="191"/>
      <c r="J18" s="127"/>
      <c r="K18" s="127"/>
      <c r="L18" s="130"/>
      <c r="M18" s="190"/>
      <c r="N18" s="130"/>
      <c r="O18" s="130"/>
      <c r="P18" s="130"/>
      <c r="Q18" s="130"/>
      <c r="R18" s="127"/>
      <c r="S18" s="132"/>
      <c r="T18" s="132"/>
      <c r="U18" s="132"/>
      <c r="V18" s="132"/>
      <c r="W18" s="148"/>
      <c r="X18" s="132"/>
      <c r="Y18" s="132"/>
      <c r="Z18" s="132"/>
      <c r="AA18" s="132"/>
      <c r="AB18" s="148"/>
    </row>
    <row r="19" spans="1:28" ht="14.4" x14ac:dyDescent="0.25">
      <c r="A19" s="179">
        <f t="shared" ref="A19" si="3">A18+1</f>
        <v>9</v>
      </c>
      <c r="B19" s="179" t="s">
        <v>21</v>
      </c>
      <c r="C19" s="180" t="s">
        <v>290</v>
      </c>
      <c r="D19" s="189"/>
      <c r="E19" s="189"/>
      <c r="F19" s="130"/>
      <c r="G19" s="130"/>
      <c r="H19" s="166"/>
      <c r="I19" s="191"/>
      <c r="J19" s="127"/>
      <c r="K19" s="127"/>
      <c r="L19" s="130"/>
      <c r="M19" s="190"/>
      <c r="N19" s="130"/>
      <c r="O19" s="130"/>
      <c r="P19" s="130"/>
      <c r="Q19" s="130"/>
      <c r="R19" s="127"/>
      <c r="S19" s="132"/>
      <c r="T19" s="132"/>
      <c r="U19" s="132"/>
      <c r="V19" s="132"/>
      <c r="W19" s="148"/>
      <c r="X19" s="132"/>
      <c r="Y19" s="132"/>
      <c r="Z19" s="132"/>
      <c r="AA19" s="132"/>
      <c r="AB19" s="148"/>
    </row>
    <row r="20" spans="1:28" ht="14.4" x14ac:dyDescent="0.25">
      <c r="A20" s="179">
        <v>9</v>
      </c>
      <c r="B20" s="179" t="s">
        <v>21</v>
      </c>
      <c r="C20" s="180" t="s">
        <v>291</v>
      </c>
      <c r="D20" s="189"/>
      <c r="E20" s="189"/>
      <c r="F20" s="130"/>
      <c r="G20" s="130"/>
      <c r="H20" s="166"/>
      <c r="I20" s="191"/>
      <c r="J20" s="127"/>
      <c r="K20" s="127"/>
      <c r="L20" s="130"/>
      <c r="M20" s="190"/>
      <c r="N20" s="130"/>
      <c r="O20" s="130"/>
      <c r="P20" s="130"/>
      <c r="Q20" s="130"/>
      <c r="R20" s="127"/>
      <c r="S20" s="132"/>
      <c r="T20" s="132"/>
      <c r="U20" s="132"/>
      <c r="V20" s="132"/>
      <c r="W20" s="148"/>
      <c r="X20" s="132"/>
      <c r="Y20" s="132"/>
      <c r="Z20" s="132"/>
      <c r="AA20" s="132"/>
      <c r="AB20" s="148"/>
    </row>
    <row r="21" spans="1:28" ht="14.4" x14ac:dyDescent="0.25">
      <c r="A21" s="179"/>
      <c r="B21" s="179"/>
      <c r="C21" s="180"/>
      <c r="D21" s="189"/>
      <c r="E21" s="189"/>
      <c r="F21" s="130"/>
      <c r="G21" s="130"/>
      <c r="H21" s="166"/>
      <c r="I21" s="191"/>
      <c r="J21" s="127"/>
      <c r="K21" s="127"/>
      <c r="L21" s="130"/>
      <c r="M21" s="190"/>
      <c r="N21" s="130"/>
      <c r="O21" s="130"/>
      <c r="P21" s="130"/>
      <c r="Q21" s="130"/>
      <c r="R21" s="127"/>
      <c r="S21" s="132"/>
      <c r="T21" s="132"/>
      <c r="U21" s="132"/>
      <c r="V21" s="132"/>
      <c r="W21" s="148"/>
      <c r="X21" s="132"/>
      <c r="Y21" s="132"/>
      <c r="Z21" s="132"/>
      <c r="AA21" s="132"/>
      <c r="AB21" s="148"/>
    </row>
    <row r="22" spans="1:28" ht="14.4" x14ac:dyDescent="0.25">
      <c r="A22" s="179"/>
      <c r="B22" s="179"/>
      <c r="C22" s="180"/>
      <c r="D22" s="189"/>
      <c r="E22" s="189"/>
      <c r="F22" s="130"/>
      <c r="G22" s="130"/>
      <c r="H22" s="166"/>
      <c r="I22" s="191"/>
      <c r="J22" s="127"/>
      <c r="K22" s="127"/>
      <c r="L22" s="130"/>
      <c r="M22" s="190"/>
      <c r="N22" s="130"/>
      <c r="O22" s="130"/>
      <c r="P22" s="130"/>
      <c r="Q22" s="130"/>
      <c r="R22" s="127"/>
      <c r="S22" s="132"/>
      <c r="T22" s="132"/>
      <c r="U22" s="132"/>
      <c r="V22" s="132"/>
      <c r="W22" s="148"/>
      <c r="X22" s="132"/>
      <c r="Y22" s="132"/>
      <c r="Z22" s="132"/>
      <c r="AA22" s="132"/>
      <c r="AB22" s="148"/>
    </row>
    <row r="23" spans="1:28" ht="14.4" x14ac:dyDescent="0.25">
      <c r="A23" s="179"/>
      <c r="B23" s="179"/>
      <c r="C23" s="180"/>
      <c r="D23" s="189"/>
      <c r="E23" s="189"/>
      <c r="F23" s="130"/>
      <c r="G23" s="130"/>
      <c r="H23" s="166"/>
      <c r="I23" s="191"/>
      <c r="J23" s="127"/>
      <c r="K23" s="127"/>
      <c r="L23" s="130"/>
      <c r="M23" s="190"/>
      <c r="N23" s="130"/>
      <c r="O23" s="130"/>
      <c r="P23" s="130"/>
      <c r="Q23" s="130"/>
      <c r="R23" s="127"/>
      <c r="S23" s="132"/>
      <c r="T23" s="132"/>
      <c r="U23" s="132"/>
      <c r="V23" s="132"/>
      <c r="W23" s="148"/>
      <c r="X23" s="132"/>
      <c r="Y23" s="132"/>
      <c r="Z23" s="132"/>
      <c r="AA23" s="132"/>
      <c r="AB23" s="148"/>
    </row>
    <row r="24" spans="1:28" ht="14.4" x14ac:dyDescent="0.25">
      <c r="A24" s="179"/>
      <c r="B24" s="179"/>
      <c r="C24" s="180"/>
      <c r="D24" s="189"/>
      <c r="E24" s="189"/>
      <c r="F24" s="130"/>
      <c r="G24" s="130"/>
      <c r="H24" s="166"/>
      <c r="I24" s="191"/>
      <c r="J24" s="127"/>
      <c r="K24" s="127"/>
      <c r="L24" s="130"/>
      <c r="M24" s="190"/>
      <c r="N24" s="130"/>
      <c r="O24" s="130"/>
      <c r="P24" s="130"/>
      <c r="Q24" s="130"/>
      <c r="R24" s="127"/>
      <c r="S24" s="132"/>
      <c r="T24" s="132"/>
      <c r="U24" s="132"/>
      <c r="V24" s="132"/>
      <c r="W24" s="148"/>
      <c r="X24" s="132"/>
      <c r="Y24" s="132"/>
      <c r="Z24" s="132"/>
      <c r="AA24" s="132"/>
      <c r="AB24" s="148"/>
    </row>
    <row r="41" spans="9:27" x14ac:dyDescent="0.25">
      <c r="I41" s="60"/>
      <c r="J41" s="75" t="s">
        <v>74</v>
      </c>
      <c r="K41" s="75"/>
    </row>
    <row r="42" spans="9:27" x14ac:dyDescent="0.25">
      <c r="I42" s="60"/>
      <c r="J42" s="1" t="s">
        <v>54</v>
      </c>
    </row>
    <row r="43" spans="9:27" x14ac:dyDescent="0.25">
      <c r="J43" s="36" t="s">
        <v>47</v>
      </c>
      <c r="K43" s="36"/>
      <c r="L43" s="36"/>
      <c r="M43" s="57"/>
      <c r="N43" s="57"/>
      <c r="O43" s="57"/>
      <c r="P43" s="57"/>
      <c r="Q43" s="1"/>
      <c r="R43" s="2"/>
      <c r="V43" s="1"/>
      <c r="W43" s="2"/>
      <c r="AA43" s="1"/>
    </row>
    <row r="44" spans="9:27" x14ac:dyDescent="0.25">
      <c r="J44" s="36" t="s">
        <v>48</v>
      </c>
      <c r="K44" s="36"/>
      <c r="L44" s="36"/>
      <c r="M44" s="57"/>
      <c r="N44" s="57"/>
      <c r="O44" s="57"/>
      <c r="P44" s="57"/>
      <c r="Q44" s="1"/>
      <c r="R44" s="2"/>
      <c r="V44" s="1"/>
      <c r="W44" s="2"/>
      <c r="AA44" s="1"/>
    </row>
    <row r="45" spans="9:27" x14ac:dyDescent="0.25">
      <c r="J45" s="36" t="s">
        <v>49</v>
      </c>
      <c r="K45" s="36"/>
      <c r="L45" s="36"/>
      <c r="M45" s="57"/>
      <c r="N45" s="57"/>
      <c r="O45" s="57"/>
      <c r="P45" s="57"/>
      <c r="Q45" s="1"/>
      <c r="R45" s="2"/>
      <c r="V45" s="1"/>
      <c r="W45" s="2"/>
      <c r="AA45" s="1"/>
    </row>
    <row r="46" spans="9:27" x14ac:dyDescent="0.25">
      <c r="J46" s="36" t="s">
        <v>75</v>
      </c>
      <c r="K46" s="36"/>
      <c r="L46" s="36"/>
      <c r="M46" s="57"/>
      <c r="N46" s="57"/>
      <c r="O46" s="57"/>
      <c r="P46" s="57"/>
      <c r="Q46" s="1"/>
      <c r="R46" s="2"/>
      <c r="V46" s="1"/>
      <c r="W46" s="2"/>
      <c r="AA46" s="1"/>
    </row>
  </sheetData>
  <autoFilter ref="A3:AB13" xr:uid="{00000000-0009-0000-0000-000000000000}"/>
  <mergeCells count="3">
    <mergeCell ref="N2:R2"/>
    <mergeCell ref="S2:W2"/>
    <mergeCell ref="X2:AB2"/>
  </mergeCells>
  <phoneticPr fontId="7" type="noConversion"/>
  <conditionalFormatting sqref="A4:J17">
    <cfRule type="expression" dxfId="166" priority="1">
      <formula>$J4="AUR"</formula>
    </cfRule>
    <cfRule type="expression" dxfId="165" priority="2">
      <formula>$J4="CTA"</formula>
    </cfRule>
    <cfRule type="expression" dxfId="164" priority="3">
      <formula>$J4="GAA"</formula>
    </cfRule>
  </conditionalFormatting>
  <conditionalFormatting sqref="D11">
    <cfRule type="expression" dxfId="163" priority="66">
      <formula>$J11="AUR"</formula>
    </cfRule>
    <cfRule type="expression" dxfId="162" priority="67">
      <formula>$J11="CTA"</formula>
    </cfRule>
    <cfRule type="expression" dxfId="161" priority="68">
      <formula>$J11="GAA"</formula>
    </cfRule>
  </conditionalFormatting>
  <conditionalFormatting sqref="K4:K24">
    <cfRule type="expression" dxfId="160" priority="7">
      <formula>$K4="Pending"</formula>
    </cfRule>
  </conditionalFormatting>
  <conditionalFormatting sqref="K4:XFD17 A18:XFD25">
    <cfRule type="expression" dxfId="159" priority="16">
      <formula>$J4="GAA"</formula>
    </cfRule>
  </conditionalFormatting>
  <conditionalFormatting sqref="K4:XFD17 A18:XFD26">
    <cfRule type="expression" dxfId="158" priority="14">
      <formula>$J4="AUR"</formula>
    </cfRule>
    <cfRule type="expression" dxfId="157" priority="15">
      <formula>$J4="CTA"</formula>
    </cfRule>
  </conditionalFormatting>
  <dataValidations count="3">
    <dataValidation type="list" allowBlank="1" showInputMessage="1" showErrorMessage="1" sqref="K1 K41:K1048576 J1:J3 J18:J1048576" xr:uid="{B3A0BF1B-B80E-4DBF-9BF7-1E479F38F07F}">
      <formula1>$J$42:$J$46</formula1>
    </dataValidation>
    <dataValidation type="list" allowBlank="1" showInputMessage="1" showErrorMessage="1" sqref="K3:K40" xr:uid="{7A4869B1-8C8F-4A9D-9F8D-9810489CF7F8}">
      <formula1>"A,B,C,Pending,"</formula1>
    </dataValidation>
    <dataValidation type="list" allowBlank="1" showInputMessage="1" showErrorMessage="1" sqref="J4:J17" xr:uid="{CAFE7C89-606B-45BC-935D-8A0B5C8F65C4}">
      <formula1>$J$41:$J$45</formula1>
    </dataValidation>
  </dataValidations>
  <pageMargins left="0.23622047244094499" right="0.23622047244094499" top="0.74803149606299202" bottom="0.74803149606299202" header="0.31496062992126" footer="0.31496062992126"/>
  <pageSetup paperSize="8" scale="45" fitToHeight="0" orientation="landscape" r:id="rId1"/>
  <headerFooter>
    <oddHeader>&amp;L&amp;G&amp;CProject Terra Phase 4 Material Approval Submission List</oddHeader>
    <oddFooter>&amp;L&amp;D&amp;RPage &amp;P of &amp;N</oddFooter>
  </headerFooter>
  <colBreaks count="1" manualBreakCount="1">
    <brk id="13" max="1048575" man="1"/>
  </col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5F2E-6097-48A8-9CF4-616A7F05C5E2}">
  <sheetPr codeName="Sheet6">
    <pageSetUpPr fitToPage="1"/>
  </sheetPr>
  <dimension ref="A1:AB123"/>
  <sheetViews>
    <sheetView view="pageBreakPreview" zoomScaleNormal="55" zoomScaleSheetLayoutView="100" workbookViewId="0">
      <pane ySplit="3" topLeftCell="A10" activePane="bottomLeft" state="frozen"/>
      <selection pane="bottomLeft" activeCell="D17" sqref="D17"/>
    </sheetView>
  </sheetViews>
  <sheetFormatPr defaultColWidth="9.296875" defaultRowHeight="13.8" x14ac:dyDescent="0.25"/>
  <cols>
    <col min="1" max="1" width="4.296875" style="1" customWidth="1"/>
    <col min="2" max="2" width="14.3984375" style="1" customWidth="1"/>
    <col min="3" max="3" width="29.09765625" style="1" customWidth="1"/>
    <col min="4" max="4" width="112.3984375" style="10" bestFit="1" customWidth="1"/>
    <col min="5" max="5" width="19.69921875" style="10" customWidth="1"/>
    <col min="6" max="6" width="10.69921875" style="11" customWidth="1"/>
    <col min="7" max="7" width="12.3984375" style="11" customWidth="1"/>
    <col min="8" max="8" width="6.09765625" style="1" customWidth="1"/>
    <col min="9" max="9" width="8.8984375" style="59" hidden="1" customWidth="1"/>
    <col min="10" max="11" width="8" style="1" customWidth="1"/>
    <col min="12" max="12" width="10" style="11" customWidth="1"/>
    <col min="13" max="13" width="36.69921875" style="59" customWidth="1"/>
    <col min="14" max="15" width="10.69921875" style="2" customWidth="1"/>
    <col min="16" max="16" width="12.3984375" style="2" customWidth="1"/>
    <col min="17" max="17" width="10.3984375" style="83" bestFit="1" customWidth="1"/>
    <col min="18" max="18" width="10.69921875" style="1" customWidth="1"/>
    <col min="19" max="19" width="10.3984375" style="2" bestFit="1" customWidth="1"/>
    <col min="20" max="20" width="10.296875" style="2" customWidth="1"/>
    <col min="21" max="22" width="10.3984375" style="2" bestFit="1" customWidth="1"/>
    <col min="23" max="23" width="8.3984375" style="1" customWidth="1"/>
    <col min="24" max="24" width="9.69921875" style="2" bestFit="1" customWidth="1"/>
    <col min="25" max="25" width="9.296875" style="2" customWidth="1"/>
    <col min="26" max="27" width="9.69921875" style="2" bestFit="1" customWidth="1"/>
    <col min="28" max="28" width="8.3984375" style="1" customWidth="1"/>
    <col min="29" max="16384" width="9.296875" style="1"/>
  </cols>
  <sheetData>
    <row r="1" spans="1:28" ht="14.4" thickBot="1" x14ac:dyDescent="0.3">
      <c r="A1" s="66" t="s">
        <v>52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77" t="s">
        <v>53</v>
      </c>
      <c r="N1" s="65" t="s">
        <v>54</v>
      </c>
      <c r="O1" s="63" t="s">
        <v>47</v>
      </c>
      <c r="P1" s="64" t="s">
        <v>48</v>
      </c>
      <c r="Q1" s="81"/>
      <c r="R1" s="5"/>
      <c r="S1" s="4"/>
      <c r="T1" s="4"/>
      <c r="U1" s="4"/>
      <c r="V1" s="4"/>
      <c r="W1" s="5"/>
      <c r="X1" s="4"/>
      <c r="Y1" s="4"/>
      <c r="Z1" s="4"/>
      <c r="AA1" s="4"/>
      <c r="AB1" s="5"/>
    </row>
    <row r="2" spans="1:28" s="3" customFormat="1" ht="41.4" x14ac:dyDescent="0.25">
      <c r="A2" s="6" t="s">
        <v>55</v>
      </c>
      <c r="B2" s="7" t="s">
        <v>1</v>
      </c>
      <c r="C2" s="7" t="s">
        <v>56</v>
      </c>
      <c r="D2" s="7" t="s">
        <v>57</v>
      </c>
      <c r="E2" s="7" t="s">
        <v>58</v>
      </c>
      <c r="F2" s="8" t="s">
        <v>59</v>
      </c>
      <c r="G2" s="8" t="s">
        <v>60</v>
      </c>
      <c r="H2" s="7" t="s">
        <v>61</v>
      </c>
      <c r="I2" s="58" t="s">
        <v>158</v>
      </c>
      <c r="J2" s="7" t="s">
        <v>62</v>
      </c>
      <c r="K2" s="7" t="s">
        <v>42</v>
      </c>
      <c r="L2" s="8" t="s">
        <v>63</v>
      </c>
      <c r="M2" s="9" t="s">
        <v>64</v>
      </c>
      <c r="N2" s="392" t="s">
        <v>65</v>
      </c>
      <c r="O2" s="392"/>
      <c r="P2" s="392"/>
      <c r="Q2" s="392"/>
      <c r="R2" s="392"/>
      <c r="S2" s="396" t="s">
        <v>66</v>
      </c>
      <c r="T2" s="396"/>
      <c r="U2" s="396"/>
      <c r="V2" s="396"/>
      <c r="W2" s="396"/>
      <c r="X2" s="391" t="s">
        <v>67</v>
      </c>
      <c r="Y2" s="391"/>
      <c r="Z2" s="391"/>
      <c r="AA2" s="391"/>
      <c r="AB2" s="391"/>
    </row>
    <row r="3" spans="1:28" x14ac:dyDescent="0.25">
      <c r="A3" s="176"/>
      <c r="B3" s="90"/>
      <c r="C3" s="91"/>
      <c r="D3" s="90"/>
      <c r="E3" s="90"/>
      <c r="F3" s="177"/>
      <c r="G3" s="177"/>
      <c r="H3" s="90"/>
      <c r="I3" s="184"/>
      <c r="J3" s="90"/>
      <c r="K3" s="90"/>
      <c r="L3" s="177"/>
      <c r="M3" s="178"/>
      <c r="N3" s="101" t="s">
        <v>17</v>
      </c>
      <c r="O3" s="102" t="s">
        <v>47</v>
      </c>
      <c r="P3" s="103" t="s">
        <v>48</v>
      </c>
      <c r="Q3" s="185" t="s">
        <v>49</v>
      </c>
      <c r="R3" s="100" t="s">
        <v>42</v>
      </c>
      <c r="S3" s="336" t="s">
        <v>17</v>
      </c>
      <c r="T3" s="337" t="s">
        <v>47</v>
      </c>
      <c r="U3" s="338" t="s">
        <v>48</v>
      </c>
      <c r="V3" s="339" t="s">
        <v>49</v>
      </c>
      <c r="W3" s="340" t="s">
        <v>42</v>
      </c>
      <c r="X3" s="101" t="s">
        <v>17</v>
      </c>
      <c r="Y3" s="102" t="s">
        <v>47</v>
      </c>
      <c r="Z3" s="103" t="s">
        <v>48</v>
      </c>
      <c r="AA3" s="104" t="s">
        <v>49</v>
      </c>
      <c r="AB3" s="100" t="s">
        <v>42</v>
      </c>
    </row>
    <row r="4" spans="1:28" s="56" customFormat="1" ht="27.75" customHeight="1" x14ac:dyDescent="0.25">
      <c r="A4" s="165">
        <v>1</v>
      </c>
      <c r="B4" s="165" t="s">
        <v>20</v>
      </c>
      <c r="C4" s="186" t="s">
        <v>292</v>
      </c>
      <c r="D4" s="219" t="s">
        <v>293</v>
      </c>
      <c r="E4" s="219"/>
      <c r="F4" s="130">
        <v>46038</v>
      </c>
      <c r="G4" s="130">
        <f>F4+7</f>
        <v>46045</v>
      </c>
      <c r="H4" s="166">
        <v>0</v>
      </c>
      <c r="I4" s="182"/>
      <c r="J4" s="158" t="s">
        <v>49</v>
      </c>
      <c r="K4" s="158" t="s">
        <v>71</v>
      </c>
      <c r="L4" s="130"/>
      <c r="M4" s="167"/>
      <c r="N4" s="130">
        <v>46034</v>
      </c>
      <c r="O4" s="130">
        <v>46044</v>
      </c>
      <c r="P4" s="130">
        <v>46063</v>
      </c>
      <c r="Q4" s="168"/>
      <c r="R4" s="127"/>
      <c r="S4" s="130"/>
      <c r="T4" s="132"/>
      <c r="U4" s="132"/>
      <c r="V4" s="132"/>
      <c r="W4" s="148"/>
      <c r="X4" s="132"/>
      <c r="Y4" s="132"/>
      <c r="Z4" s="132"/>
      <c r="AA4" s="132"/>
      <c r="AB4" s="148"/>
    </row>
    <row r="5" spans="1:28" s="56" customFormat="1" ht="27.75" customHeight="1" x14ac:dyDescent="0.25">
      <c r="A5" s="165">
        <f>A4+1</f>
        <v>2</v>
      </c>
      <c r="B5" s="165" t="s">
        <v>20</v>
      </c>
      <c r="C5" s="186" t="s">
        <v>294</v>
      </c>
      <c r="D5" s="187" t="s">
        <v>295</v>
      </c>
      <c r="E5" s="219"/>
      <c r="F5" s="130">
        <v>46042</v>
      </c>
      <c r="G5" s="130">
        <f>F5+7</f>
        <v>46049</v>
      </c>
      <c r="H5" s="166">
        <v>0</v>
      </c>
      <c r="I5" s="182"/>
      <c r="J5" s="158" t="s">
        <v>47</v>
      </c>
      <c r="K5" s="355" t="s">
        <v>296</v>
      </c>
      <c r="L5" s="130"/>
      <c r="M5" s="167"/>
      <c r="N5" s="130">
        <f>F5</f>
        <v>46042</v>
      </c>
      <c r="O5" s="130"/>
      <c r="P5" s="130"/>
      <c r="Q5" s="168"/>
      <c r="R5" s="127"/>
      <c r="S5" s="130"/>
      <c r="T5" s="132"/>
      <c r="U5" s="132"/>
      <c r="V5" s="132"/>
      <c r="W5" s="148"/>
      <c r="X5" s="132"/>
      <c r="Y5" s="132"/>
      <c r="Z5" s="132"/>
      <c r="AA5" s="132"/>
      <c r="AB5" s="148"/>
    </row>
    <row r="6" spans="1:28" s="56" customFormat="1" ht="27.75" customHeight="1" x14ac:dyDescent="0.25">
      <c r="A6" s="165">
        <v>3</v>
      </c>
      <c r="B6" s="165" t="s">
        <v>20</v>
      </c>
      <c r="C6" s="186" t="s">
        <v>297</v>
      </c>
      <c r="D6" s="187" t="s">
        <v>298</v>
      </c>
      <c r="E6" s="219"/>
      <c r="F6" s="130">
        <v>46038</v>
      </c>
      <c r="G6" s="130">
        <f>F6+7</f>
        <v>46045</v>
      </c>
      <c r="H6" s="166">
        <v>0</v>
      </c>
      <c r="I6" s="182"/>
      <c r="J6" s="158" t="s">
        <v>49</v>
      </c>
      <c r="K6" s="158" t="s">
        <v>71</v>
      </c>
      <c r="L6" s="130"/>
      <c r="M6" s="167"/>
      <c r="N6" s="130">
        <v>46034</v>
      </c>
      <c r="O6" s="130">
        <v>46044</v>
      </c>
      <c r="P6" s="130">
        <v>46063</v>
      </c>
      <c r="Q6" s="168"/>
      <c r="R6" s="127"/>
      <c r="S6" s="130"/>
      <c r="T6" s="132"/>
      <c r="U6" s="132"/>
      <c r="V6" s="132"/>
      <c r="W6" s="148"/>
      <c r="X6" s="132"/>
      <c r="Y6" s="132"/>
      <c r="Z6" s="132"/>
      <c r="AA6" s="132"/>
      <c r="AB6" s="148"/>
    </row>
    <row r="7" spans="1:28" s="56" customFormat="1" ht="27.75" customHeight="1" x14ac:dyDescent="0.25">
      <c r="A7" s="165">
        <v>4</v>
      </c>
      <c r="B7" s="165" t="s">
        <v>20</v>
      </c>
      <c r="C7" s="186" t="s">
        <v>299</v>
      </c>
      <c r="D7" s="187" t="s">
        <v>300</v>
      </c>
      <c r="E7" s="219"/>
      <c r="F7" s="130">
        <v>46038</v>
      </c>
      <c r="G7" s="130">
        <f>F7+7</f>
        <v>46045</v>
      </c>
      <c r="H7" s="166">
        <v>0</v>
      </c>
      <c r="I7" s="182"/>
      <c r="J7" s="158" t="s">
        <v>75</v>
      </c>
      <c r="K7" s="158" t="s">
        <v>45</v>
      </c>
      <c r="L7" s="130">
        <v>46049</v>
      </c>
      <c r="M7" s="167"/>
      <c r="N7" s="130">
        <v>46034</v>
      </c>
      <c r="O7" s="130">
        <v>46043</v>
      </c>
      <c r="P7" s="130">
        <v>46049</v>
      </c>
      <c r="Q7" s="130">
        <v>46049</v>
      </c>
      <c r="R7" s="127" t="s">
        <v>45</v>
      </c>
      <c r="S7" s="130"/>
      <c r="T7" s="132"/>
      <c r="U7" s="132"/>
      <c r="V7" s="132"/>
      <c r="W7" s="148"/>
      <c r="X7" s="132"/>
      <c r="Y7" s="132"/>
      <c r="Z7" s="132"/>
      <c r="AA7" s="132"/>
      <c r="AB7" s="148"/>
    </row>
    <row r="8" spans="1:28" s="56" customFormat="1" ht="27.75" customHeight="1" x14ac:dyDescent="0.25">
      <c r="A8" s="165">
        <v>5</v>
      </c>
      <c r="B8" s="165" t="s">
        <v>20</v>
      </c>
      <c r="C8" s="186" t="s">
        <v>301</v>
      </c>
      <c r="D8" s="187" t="s">
        <v>302</v>
      </c>
      <c r="E8" s="219"/>
      <c r="F8" s="130">
        <v>46043</v>
      </c>
      <c r="G8" s="130">
        <f>F8+7</f>
        <v>46050</v>
      </c>
      <c r="H8" s="166">
        <v>0</v>
      </c>
      <c r="I8" s="182"/>
      <c r="J8" s="158" t="s">
        <v>75</v>
      </c>
      <c r="K8" s="158" t="s">
        <v>45</v>
      </c>
      <c r="L8" s="130">
        <v>46051</v>
      </c>
      <c r="M8" s="167"/>
      <c r="N8" s="130">
        <f>F8</f>
        <v>46043</v>
      </c>
      <c r="O8" s="130">
        <v>46048</v>
      </c>
      <c r="P8" s="130">
        <v>46050</v>
      </c>
      <c r="Q8" s="168">
        <v>46051</v>
      </c>
      <c r="R8" s="127" t="s">
        <v>45</v>
      </c>
      <c r="S8" s="130"/>
      <c r="T8" s="132"/>
      <c r="U8" s="132"/>
      <c r="V8" s="132"/>
      <c r="W8" s="148"/>
      <c r="X8" s="132"/>
      <c r="Y8" s="132"/>
      <c r="Z8" s="132"/>
      <c r="AA8" s="132"/>
      <c r="AB8" s="148"/>
    </row>
    <row r="9" spans="1:28" s="56" customFormat="1" ht="27.75" customHeight="1" x14ac:dyDescent="0.25">
      <c r="A9" s="165">
        <v>6</v>
      </c>
      <c r="B9" s="165" t="s">
        <v>20</v>
      </c>
      <c r="C9" s="186" t="s">
        <v>303</v>
      </c>
      <c r="D9" s="187" t="s">
        <v>304</v>
      </c>
      <c r="E9" s="219"/>
      <c r="F9" s="130">
        <v>46034</v>
      </c>
      <c r="G9" s="130">
        <f t="shared" ref="G9:G16" si="0">F9+7</f>
        <v>46041</v>
      </c>
      <c r="H9" s="166">
        <v>0</v>
      </c>
      <c r="I9" s="182"/>
      <c r="J9" s="158" t="s">
        <v>49</v>
      </c>
      <c r="K9" s="158" t="s">
        <v>71</v>
      </c>
      <c r="L9" s="130"/>
      <c r="M9" s="167"/>
      <c r="N9" s="130">
        <v>46034</v>
      </c>
      <c r="O9" s="130">
        <v>46062</v>
      </c>
      <c r="P9" s="130">
        <v>46063</v>
      </c>
      <c r="Q9" s="168"/>
      <c r="R9" s="127"/>
      <c r="S9" s="130"/>
      <c r="T9" s="132"/>
      <c r="U9" s="132"/>
      <c r="V9" s="132"/>
      <c r="W9" s="148"/>
      <c r="X9" s="132"/>
      <c r="Y9" s="132"/>
      <c r="Z9" s="132"/>
      <c r="AA9" s="132"/>
      <c r="AB9" s="148"/>
    </row>
    <row r="10" spans="1:28" s="56" customFormat="1" ht="27.75" customHeight="1" x14ac:dyDescent="0.25">
      <c r="A10" s="165">
        <v>7</v>
      </c>
      <c r="B10" s="165" t="s">
        <v>20</v>
      </c>
      <c r="C10" s="186" t="s">
        <v>305</v>
      </c>
      <c r="D10" s="187" t="s">
        <v>306</v>
      </c>
      <c r="E10" s="219"/>
      <c r="F10" s="130">
        <v>46034</v>
      </c>
      <c r="G10" s="130">
        <f t="shared" si="0"/>
        <v>46041</v>
      </c>
      <c r="H10" s="166">
        <v>0</v>
      </c>
      <c r="I10" s="182"/>
      <c r="J10" s="158" t="s">
        <v>49</v>
      </c>
      <c r="K10" s="158" t="s">
        <v>71</v>
      </c>
      <c r="L10" s="130"/>
      <c r="M10" s="167"/>
      <c r="N10" s="130">
        <v>46034</v>
      </c>
      <c r="O10" s="130">
        <v>46044</v>
      </c>
      <c r="P10" s="130">
        <v>46063</v>
      </c>
      <c r="Q10" s="168"/>
      <c r="R10" s="127"/>
      <c r="S10" s="130"/>
      <c r="T10" s="132"/>
      <c r="U10" s="132"/>
      <c r="V10" s="132"/>
      <c r="W10" s="148"/>
      <c r="X10" s="132"/>
      <c r="Y10" s="132"/>
      <c r="Z10" s="132"/>
      <c r="AA10" s="132"/>
      <c r="AB10" s="148"/>
    </row>
    <row r="11" spans="1:28" s="56" customFormat="1" ht="27.75" customHeight="1" x14ac:dyDescent="0.25">
      <c r="A11" s="165">
        <v>8</v>
      </c>
      <c r="B11" s="165" t="s">
        <v>20</v>
      </c>
      <c r="C11" s="186" t="s">
        <v>307</v>
      </c>
      <c r="D11" s="187" t="s">
        <v>308</v>
      </c>
      <c r="E11" s="219"/>
      <c r="F11" s="130">
        <v>46034</v>
      </c>
      <c r="G11" s="130">
        <f t="shared" si="0"/>
        <v>46041</v>
      </c>
      <c r="H11" s="166">
        <v>0</v>
      </c>
      <c r="I11" s="188"/>
      <c r="J11" s="158" t="s">
        <v>49</v>
      </c>
      <c r="K11" s="355" t="s">
        <v>296</v>
      </c>
      <c r="L11" s="183"/>
      <c r="M11" s="167"/>
      <c r="N11" s="130">
        <v>46034</v>
      </c>
      <c r="O11" s="130">
        <v>46044</v>
      </c>
      <c r="P11" s="130">
        <v>46063</v>
      </c>
      <c r="Q11" s="168"/>
      <c r="R11" s="127"/>
      <c r="S11" s="130"/>
      <c r="T11" s="132"/>
      <c r="U11" s="132"/>
      <c r="V11" s="132"/>
      <c r="W11" s="148"/>
      <c r="X11" s="132"/>
      <c r="Y11" s="132"/>
      <c r="Z11" s="132"/>
      <c r="AA11" s="132"/>
      <c r="AB11" s="148"/>
    </row>
    <row r="12" spans="1:28" s="56" customFormat="1" ht="27.75" customHeight="1" x14ac:dyDescent="0.25">
      <c r="A12" s="165">
        <v>9</v>
      </c>
      <c r="B12" s="165" t="s">
        <v>20</v>
      </c>
      <c r="C12" s="186" t="s">
        <v>309</v>
      </c>
      <c r="D12" s="187" t="s">
        <v>310</v>
      </c>
      <c r="E12" s="219"/>
      <c r="F12" s="130">
        <v>46044</v>
      </c>
      <c r="G12" s="130">
        <f>F12+7</f>
        <v>46051</v>
      </c>
      <c r="H12" s="166">
        <v>0</v>
      </c>
      <c r="I12" s="188"/>
      <c r="J12" s="158" t="s">
        <v>49</v>
      </c>
      <c r="K12" s="355" t="s">
        <v>296</v>
      </c>
      <c r="L12" s="183"/>
      <c r="M12" s="167"/>
      <c r="N12" s="130">
        <f>F12</f>
        <v>46044</v>
      </c>
      <c r="O12" s="130"/>
      <c r="P12" s="130">
        <v>46063</v>
      </c>
      <c r="Q12" s="168"/>
      <c r="R12" s="127"/>
      <c r="S12" s="130"/>
      <c r="T12" s="132"/>
      <c r="U12" s="132"/>
      <c r="V12" s="132"/>
      <c r="W12" s="148"/>
      <c r="X12" s="132"/>
      <c r="Y12" s="132"/>
      <c r="Z12" s="132"/>
      <c r="AA12" s="132"/>
      <c r="AB12" s="148"/>
    </row>
    <row r="13" spans="1:28" s="56" customFormat="1" ht="27.75" customHeight="1" x14ac:dyDescent="0.25">
      <c r="A13" s="165">
        <v>10</v>
      </c>
      <c r="B13" s="165" t="s">
        <v>20</v>
      </c>
      <c r="C13" s="186" t="s">
        <v>311</v>
      </c>
      <c r="D13" s="187" t="s">
        <v>312</v>
      </c>
      <c r="E13" s="219"/>
      <c r="F13" s="130">
        <v>46044</v>
      </c>
      <c r="G13" s="130">
        <f>F13+7</f>
        <v>46051</v>
      </c>
      <c r="H13" s="166">
        <v>0</v>
      </c>
      <c r="I13" s="188"/>
      <c r="J13" s="158" t="s">
        <v>49</v>
      </c>
      <c r="K13" s="158" t="s">
        <v>71</v>
      </c>
      <c r="L13" s="183"/>
      <c r="M13" s="167"/>
      <c r="N13" s="130">
        <f>F13</f>
        <v>46044</v>
      </c>
      <c r="O13" s="130">
        <v>46062</v>
      </c>
      <c r="P13" s="130">
        <v>46063</v>
      </c>
      <c r="Q13" s="168"/>
      <c r="R13" s="127"/>
      <c r="S13" s="130"/>
      <c r="T13" s="132"/>
      <c r="U13" s="132"/>
      <c r="V13" s="132"/>
      <c r="W13" s="148"/>
      <c r="X13" s="132"/>
      <c r="Y13" s="132"/>
      <c r="Z13" s="132"/>
      <c r="AA13" s="132"/>
      <c r="AB13" s="148"/>
    </row>
    <row r="14" spans="1:28" s="56" customFormat="1" ht="27.75" customHeight="1" x14ac:dyDescent="0.25">
      <c r="A14" s="165">
        <v>11</v>
      </c>
      <c r="B14" s="165" t="s">
        <v>20</v>
      </c>
      <c r="C14" s="186" t="s">
        <v>313</v>
      </c>
      <c r="D14" s="187" t="s">
        <v>314</v>
      </c>
      <c r="E14" s="219"/>
      <c r="F14" s="130">
        <v>46034</v>
      </c>
      <c r="G14" s="130">
        <f t="shared" si="0"/>
        <v>46041</v>
      </c>
      <c r="H14" s="166">
        <v>0</v>
      </c>
      <c r="I14" s="188"/>
      <c r="J14" s="158" t="s">
        <v>49</v>
      </c>
      <c r="K14" s="158" t="s">
        <v>71</v>
      </c>
      <c r="L14" s="183"/>
      <c r="M14" s="167"/>
      <c r="N14" s="130">
        <v>46034</v>
      </c>
      <c r="O14" s="130">
        <v>46062</v>
      </c>
      <c r="P14" s="130">
        <v>46063</v>
      </c>
      <c r="Q14" s="168"/>
      <c r="R14" s="127"/>
      <c r="S14" s="130"/>
      <c r="T14" s="132"/>
      <c r="U14" s="132"/>
      <c r="V14" s="132"/>
      <c r="W14" s="148"/>
      <c r="X14" s="132"/>
      <c r="Y14" s="132"/>
      <c r="Z14" s="132"/>
      <c r="AA14" s="132"/>
      <c r="AB14" s="148"/>
    </row>
    <row r="15" spans="1:28" s="56" customFormat="1" ht="27.75" customHeight="1" x14ac:dyDescent="0.25">
      <c r="A15" s="165">
        <v>12</v>
      </c>
      <c r="B15" s="165" t="s">
        <v>20</v>
      </c>
      <c r="C15" s="186" t="s">
        <v>315</v>
      </c>
      <c r="D15" s="187" t="s">
        <v>316</v>
      </c>
      <c r="E15" s="219"/>
      <c r="F15" s="130">
        <v>46044</v>
      </c>
      <c r="G15" s="130">
        <f>F15+7</f>
        <v>46051</v>
      </c>
      <c r="H15" s="166">
        <v>0</v>
      </c>
      <c r="I15" s="188"/>
      <c r="J15" s="158" t="s">
        <v>49</v>
      </c>
      <c r="K15" s="158" t="s">
        <v>71</v>
      </c>
      <c r="L15" s="183"/>
      <c r="M15" s="167"/>
      <c r="N15" s="130">
        <f>F15</f>
        <v>46044</v>
      </c>
      <c r="O15" s="130">
        <v>46062</v>
      </c>
      <c r="P15" s="130">
        <v>46063</v>
      </c>
      <c r="Q15" s="168"/>
      <c r="R15" s="127"/>
      <c r="S15" s="130"/>
      <c r="T15" s="132"/>
      <c r="U15" s="132"/>
      <c r="V15" s="132"/>
      <c r="W15" s="148"/>
      <c r="X15" s="132"/>
      <c r="Y15" s="132"/>
      <c r="Z15" s="132"/>
      <c r="AA15" s="132"/>
      <c r="AB15" s="148"/>
    </row>
    <row r="16" spans="1:28" s="56" customFormat="1" ht="27.75" customHeight="1" x14ac:dyDescent="0.25">
      <c r="A16" s="165">
        <v>13</v>
      </c>
      <c r="B16" s="165" t="s">
        <v>20</v>
      </c>
      <c r="C16" s="186" t="s">
        <v>317</v>
      </c>
      <c r="D16" s="220" t="s">
        <v>318</v>
      </c>
      <c r="E16" s="220"/>
      <c r="F16" s="130">
        <v>46034</v>
      </c>
      <c r="G16" s="130">
        <f t="shared" si="0"/>
        <v>46041</v>
      </c>
      <c r="H16" s="166">
        <v>0</v>
      </c>
      <c r="I16" s="188"/>
      <c r="J16" s="158" t="s">
        <v>49</v>
      </c>
      <c r="K16" s="158" t="s">
        <v>71</v>
      </c>
      <c r="L16" s="183"/>
      <c r="M16" s="167"/>
      <c r="N16" s="130">
        <v>46034</v>
      </c>
      <c r="O16" s="130">
        <v>46062</v>
      </c>
      <c r="P16" s="130">
        <v>46063</v>
      </c>
      <c r="Q16" s="168"/>
      <c r="R16" s="127"/>
      <c r="S16" s="130"/>
      <c r="T16" s="132"/>
      <c r="U16" s="132"/>
      <c r="V16" s="132"/>
      <c r="W16" s="148"/>
      <c r="X16" s="132"/>
      <c r="Y16" s="132"/>
      <c r="Z16" s="132"/>
      <c r="AA16" s="132"/>
      <c r="AB16" s="148"/>
    </row>
    <row r="17" spans="1:28" s="56" customFormat="1" ht="27.75" customHeight="1" x14ac:dyDescent="0.25">
      <c r="A17" s="165">
        <v>14</v>
      </c>
      <c r="B17" s="165" t="s">
        <v>20</v>
      </c>
      <c r="C17" s="186" t="s">
        <v>319</v>
      </c>
      <c r="D17" s="219" t="s">
        <v>320</v>
      </c>
      <c r="E17" s="219"/>
      <c r="F17" s="130">
        <v>46042</v>
      </c>
      <c r="G17" s="130">
        <f t="shared" ref="G17:G22" si="1">F17+7</f>
        <v>46049</v>
      </c>
      <c r="H17" s="166">
        <v>0</v>
      </c>
      <c r="I17" s="182"/>
      <c r="J17" s="158" t="s">
        <v>48</v>
      </c>
      <c r="K17" s="158" t="s">
        <v>71</v>
      </c>
      <c r="L17" s="130"/>
      <c r="M17" s="167"/>
      <c r="N17" s="130">
        <f>F17</f>
        <v>46042</v>
      </c>
      <c r="O17" s="130">
        <v>46064</v>
      </c>
      <c r="P17" s="130"/>
      <c r="Q17" s="168"/>
      <c r="R17" s="127"/>
      <c r="S17" s="130"/>
      <c r="T17" s="132"/>
      <c r="U17" s="132"/>
      <c r="V17" s="132"/>
      <c r="W17" s="148"/>
      <c r="X17" s="132"/>
      <c r="Y17" s="132"/>
      <c r="Z17" s="132"/>
      <c r="AA17" s="132"/>
      <c r="AB17" s="148"/>
    </row>
    <row r="18" spans="1:28" s="56" customFormat="1" ht="27.75" customHeight="1" x14ac:dyDescent="0.25">
      <c r="A18" s="165">
        <f>A17+1</f>
        <v>15</v>
      </c>
      <c r="B18" s="165" t="s">
        <v>20</v>
      </c>
      <c r="C18" s="186" t="s">
        <v>321</v>
      </c>
      <c r="D18" s="219" t="s">
        <v>322</v>
      </c>
      <c r="E18" s="219"/>
      <c r="F18" s="130">
        <v>46049</v>
      </c>
      <c r="G18" s="130">
        <f t="shared" si="1"/>
        <v>46056</v>
      </c>
      <c r="H18" s="127">
        <v>0</v>
      </c>
      <c r="I18" s="182"/>
      <c r="J18" s="158" t="s">
        <v>48</v>
      </c>
      <c r="K18" s="158" t="s">
        <v>71</v>
      </c>
      <c r="L18" s="130"/>
      <c r="M18" s="167"/>
      <c r="N18" s="130">
        <f>F18</f>
        <v>46049</v>
      </c>
      <c r="O18" s="130">
        <v>46062</v>
      </c>
      <c r="P18" s="130"/>
      <c r="Q18" s="168"/>
      <c r="R18" s="127"/>
      <c r="S18" s="130"/>
      <c r="T18" s="132"/>
      <c r="U18" s="132"/>
      <c r="V18" s="132"/>
      <c r="W18" s="148"/>
      <c r="X18" s="132"/>
      <c r="Y18" s="132"/>
      <c r="Z18" s="132"/>
      <c r="AA18" s="132"/>
      <c r="AB18" s="148"/>
    </row>
    <row r="19" spans="1:28" s="56" customFormat="1" ht="27.75" customHeight="1" x14ac:dyDescent="0.25">
      <c r="A19" s="165">
        <f>A18+1</f>
        <v>16</v>
      </c>
      <c r="B19" s="165" t="s">
        <v>20</v>
      </c>
      <c r="C19" s="186" t="s">
        <v>323</v>
      </c>
      <c r="D19" s="219" t="s">
        <v>324</v>
      </c>
      <c r="E19" s="219"/>
      <c r="F19" s="130">
        <v>46045</v>
      </c>
      <c r="G19" s="130">
        <f t="shared" si="1"/>
        <v>46052</v>
      </c>
      <c r="H19" s="166">
        <v>0</v>
      </c>
      <c r="I19" s="188"/>
      <c r="J19" s="158" t="s">
        <v>48</v>
      </c>
      <c r="K19" s="158" t="s">
        <v>71</v>
      </c>
      <c r="L19" s="183"/>
      <c r="M19" s="167"/>
      <c r="N19" s="130">
        <f>F19</f>
        <v>46045</v>
      </c>
      <c r="O19" s="130">
        <v>46062</v>
      </c>
      <c r="P19" s="130"/>
      <c r="Q19" s="168"/>
      <c r="R19" s="127"/>
      <c r="S19" s="130"/>
      <c r="T19" s="132"/>
      <c r="U19" s="132"/>
      <c r="V19" s="132"/>
      <c r="W19" s="148"/>
      <c r="X19" s="132"/>
      <c r="Y19" s="132"/>
      <c r="Z19" s="132"/>
      <c r="AA19" s="132"/>
      <c r="AB19" s="148"/>
    </row>
    <row r="20" spans="1:28" s="56" customFormat="1" ht="27.75" customHeight="1" x14ac:dyDescent="0.25">
      <c r="A20" s="165">
        <f t="shared" ref="A20:A27" si="2">A19+1</f>
        <v>17</v>
      </c>
      <c r="B20" s="165" t="s">
        <v>20</v>
      </c>
      <c r="C20" s="186" t="s">
        <v>325</v>
      </c>
      <c r="D20" s="220" t="s">
        <v>326</v>
      </c>
      <c r="E20" s="220"/>
      <c r="F20" s="130">
        <v>46053</v>
      </c>
      <c r="G20" s="130">
        <f t="shared" si="1"/>
        <v>46060</v>
      </c>
      <c r="H20" s="166">
        <v>0</v>
      </c>
      <c r="I20" s="188"/>
      <c r="J20" s="158" t="s">
        <v>48</v>
      </c>
      <c r="K20" s="158" t="s">
        <v>71</v>
      </c>
      <c r="L20" s="183"/>
      <c r="M20" s="167"/>
      <c r="N20" s="130">
        <v>46053</v>
      </c>
      <c r="O20" s="130">
        <v>46062</v>
      </c>
      <c r="P20" s="130"/>
      <c r="Q20" s="168"/>
      <c r="R20" s="127"/>
      <c r="S20" s="130"/>
      <c r="T20" s="132"/>
      <c r="U20" s="132"/>
      <c r="V20" s="132"/>
      <c r="W20" s="148"/>
      <c r="X20" s="132"/>
      <c r="Y20" s="132"/>
      <c r="Z20" s="132"/>
      <c r="AA20" s="132"/>
      <c r="AB20" s="148"/>
    </row>
    <row r="21" spans="1:28" s="56" customFormat="1" ht="27.75" customHeight="1" x14ac:dyDescent="0.25">
      <c r="A21" s="165">
        <f t="shared" si="2"/>
        <v>18</v>
      </c>
      <c r="B21" s="165" t="s">
        <v>20</v>
      </c>
      <c r="C21" s="186" t="s">
        <v>327</v>
      </c>
      <c r="D21" s="219" t="s">
        <v>328</v>
      </c>
      <c r="E21" s="219"/>
      <c r="F21" s="130">
        <v>46053</v>
      </c>
      <c r="G21" s="130">
        <f t="shared" si="1"/>
        <v>46060</v>
      </c>
      <c r="H21" s="166">
        <v>0</v>
      </c>
      <c r="I21" s="188"/>
      <c r="J21" s="158" t="s">
        <v>48</v>
      </c>
      <c r="K21" s="158" t="s">
        <v>71</v>
      </c>
      <c r="L21" s="183"/>
      <c r="M21" s="167"/>
      <c r="N21" s="130">
        <v>46053</v>
      </c>
      <c r="O21" s="130">
        <v>46064</v>
      </c>
      <c r="P21" s="130"/>
      <c r="Q21" s="168"/>
      <c r="R21" s="127"/>
      <c r="S21" s="130"/>
      <c r="T21" s="132"/>
      <c r="U21" s="132"/>
      <c r="V21" s="132"/>
      <c r="W21" s="148"/>
      <c r="X21" s="132"/>
      <c r="Y21" s="132"/>
      <c r="Z21" s="132"/>
      <c r="AA21" s="132"/>
      <c r="AB21" s="148"/>
    </row>
    <row r="22" spans="1:28" s="56" customFormat="1" ht="27.75" customHeight="1" x14ac:dyDescent="0.25">
      <c r="A22" s="165">
        <f t="shared" si="2"/>
        <v>19</v>
      </c>
      <c r="B22" s="165" t="s">
        <v>20</v>
      </c>
      <c r="C22" s="186" t="s">
        <v>329</v>
      </c>
      <c r="D22" s="187" t="s">
        <v>330</v>
      </c>
      <c r="E22" s="187"/>
      <c r="F22" s="130">
        <v>46053</v>
      </c>
      <c r="G22" s="130">
        <f t="shared" si="1"/>
        <v>46060</v>
      </c>
      <c r="H22" s="166">
        <v>0</v>
      </c>
      <c r="I22" s="188"/>
      <c r="J22" s="158" t="s">
        <v>48</v>
      </c>
      <c r="K22" s="158" t="s">
        <v>71</v>
      </c>
      <c r="L22" s="183"/>
      <c r="M22" s="167"/>
      <c r="N22" s="130">
        <v>46053</v>
      </c>
      <c r="O22" s="130">
        <v>46064</v>
      </c>
      <c r="P22" s="130"/>
      <c r="Q22" s="168"/>
      <c r="R22" s="127"/>
      <c r="S22" s="130"/>
      <c r="T22" s="132"/>
      <c r="U22" s="132"/>
      <c r="V22" s="132"/>
      <c r="W22" s="148"/>
      <c r="X22" s="132"/>
      <c r="Y22" s="132"/>
      <c r="Z22" s="132"/>
      <c r="AA22" s="132"/>
      <c r="AB22" s="148"/>
    </row>
    <row r="23" spans="1:28" s="56" customFormat="1" ht="27.75" customHeight="1" x14ac:dyDescent="0.25">
      <c r="A23" s="165">
        <f t="shared" si="2"/>
        <v>20</v>
      </c>
      <c r="B23" s="165" t="s">
        <v>20</v>
      </c>
      <c r="C23" s="186" t="s">
        <v>331</v>
      </c>
      <c r="D23" s="187" t="s">
        <v>332</v>
      </c>
      <c r="E23" s="187"/>
      <c r="F23" s="130">
        <v>46059</v>
      </c>
      <c r="G23" s="130">
        <f>F23+7</f>
        <v>46066</v>
      </c>
      <c r="H23" s="166">
        <v>0</v>
      </c>
      <c r="I23" s="188"/>
      <c r="J23" s="158" t="s">
        <v>48</v>
      </c>
      <c r="K23" s="158" t="s">
        <v>71</v>
      </c>
      <c r="L23" s="183"/>
      <c r="M23" s="167"/>
      <c r="N23" s="130">
        <v>46059</v>
      </c>
      <c r="O23" s="130">
        <v>46064</v>
      </c>
      <c r="P23" s="130"/>
      <c r="Q23" s="168"/>
      <c r="R23" s="127"/>
      <c r="S23" s="130"/>
      <c r="T23" s="132"/>
      <c r="U23" s="132"/>
      <c r="V23" s="132"/>
      <c r="W23" s="148"/>
      <c r="X23" s="132"/>
      <c r="Y23" s="132"/>
      <c r="Z23" s="132"/>
      <c r="AA23" s="132"/>
      <c r="AB23" s="148"/>
    </row>
    <row r="24" spans="1:28" ht="27.75" customHeight="1" x14ac:dyDescent="0.25">
      <c r="A24" s="165">
        <f t="shared" si="2"/>
        <v>21</v>
      </c>
      <c r="B24" s="165" t="s">
        <v>20</v>
      </c>
      <c r="C24" s="186" t="s">
        <v>333</v>
      </c>
      <c r="D24" s="187" t="s">
        <v>334</v>
      </c>
      <c r="E24" s="187"/>
      <c r="F24" s="130">
        <v>46059</v>
      </c>
      <c r="G24" s="130">
        <f>F24+7</f>
        <v>46066</v>
      </c>
      <c r="H24" s="166">
        <v>0</v>
      </c>
      <c r="I24" s="188"/>
      <c r="J24" s="158" t="s">
        <v>48</v>
      </c>
      <c r="K24" s="158" t="s">
        <v>71</v>
      </c>
      <c r="L24" s="183"/>
      <c r="M24" s="167"/>
      <c r="N24" s="130">
        <v>46059</v>
      </c>
      <c r="O24" s="130">
        <v>46064</v>
      </c>
      <c r="P24" s="130"/>
      <c r="Q24" s="168"/>
      <c r="R24" s="127"/>
      <c r="S24" s="130"/>
      <c r="T24" s="132"/>
      <c r="U24" s="132"/>
      <c r="V24" s="132"/>
      <c r="W24" s="148"/>
      <c r="X24" s="132"/>
      <c r="Y24" s="132"/>
      <c r="Z24" s="132"/>
      <c r="AA24" s="132"/>
      <c r="AB24" s="148"/>
    </row>
    <row r="25" spans="1:28" ht="27.75" customHeight="1" x14ac:dyDescent="0.25">
      <c r="A25" s="165">
        <f t="shared" si="2"/>
        <v>22</v>
      </c>
      <c r="B25" s="165" t="s">
        <v>20</v>
      </c>
      <c r="C25" s="186" t="s">
        <v>335</v>
      </c>
      <c r="D25" s="187" t="s">
        <v>336</v>
      </c>
      <c r="E25" s="187"/>
      <c r="F25" s="130">
        <v>46059</v>
      </c>
      <c r="G25" s="130">
        <f>F25+7</f>
        <v>46066</v>
      </c>
      <c r="H25" s="166">
        <v>0</v>
      </c>
      <c r="I25" s="188"/>
      <c r="J25" s="158" t="s">
        <v>48</v>
      </c>
      <c r="K25" s="158" t="s">
        <v>71</v>
      </c>
      <c r="L25" s="183"/>
      <c r="M25" s="167"/>
      <c r="N25" s="130">
        <v>46059</v>
      </c>
      <c r="O25" s="130">
        <v>46064</v>
      </c>
      <c r="P25" s="130"/>
      <c r="Q25" s="168"/>
      <c r="R25" s="127"/>
      <c r="S25" s="130"/>
      <c r="T25" s="132"/>
      <c r="U25" s="132"/>
      <c r="V25" s="132"/>
      <c r="W25" s="148"/>
      <c r="X25" s="132"/>
      <c r="Y25" s="132"/>
      <c r="Z25" s="132"/>
      <c r="AA25" s="132"/>
      <c r="AB25" s="148"/>
    </row>
    <row r="26" spans="1:28" ht="27.75" customHeight="1" x14ac:dyDescent="0.25">
      <c r="A26" s="165">
        <f t="shared" si="2"/>
        <v>23</v>
      </c>
      <c r="B26" s="165" t="s">
        <v>20</v>
      </c>
      <c r="C26" s="186" t="s">
        <v>337</v>
      </c>
      <c r="D26" s="187" t="s">
        <v>338</v>
      </c>
      <c r="E26" s="187"/>
      <c r="F26" s="130">
        <v>46063</v>
      </c>
      <c r="G26" s="130">
        <f>F26+7</f>
        <v>46070</v>
      </c>
      <c r="H26" s="166">
        <v>0</v>
      </c>
      <c r="I26" s="188"/>
      <c r="J26" s="158" t="s">
        <v>48</v>
      </c>
      <c r="K26" s="158" t="s">
        <v>71</v>
      </c>
      <c r="L26" s="183"/>
      <c r="M26" s="167"/>
      <c r="N26" s="130">
        <v>46063</v>
      </c>
      <c r="O26" s="130">
        <v>46064</v>
      </c>
      <c r="P26" s="130"/>
      <c r="Q26" s="168"/>
      <c r="R26" s="127"/>
      <c r="S26" s="130"/>
      <c r="T26" s="132"/>
      <c r="U26" s="132"/>
      <c r="V26" s="132"/>
      <c r="W26" s="148"/>
      <c r="X26" s="132"/>
      <c r="Y26" s="132"/>
      <c r="Z26" s="132"/>
      <c r="AA26" s="132"/>
      <c r="AB26" s="148"/>
    </row>
    <row r="27" spans="1:28" ht="27.75" customHeight="1" x14ac:dyDescent="0.25">
      <c r="A27" s="165">
        <f t="shared" si="2"/>
        <v>24</v>
      </c>
      <c r="B27" s="165" t="s">
        <v>20</v>
      </c>
      <c r="C27" s="186" t="s">
        <v>339</v>
      </c>
      <c r="D27" s="187" t="s">
        <v>340</v>
      </c>
      <c r="E27" s="187"/>
      <c r="F27" s="130">
        <v>46063</v>
      </c>
      <c r="G27" s="130">
        <f>F27+7</f>
        <v>46070</v>
      </c>
      <c r="H27" s="166">
        <v>0</v>
      </c>
      <c r="I27" s="188"/>
      <c r="J27" s="158" t="s">
        <v>47</v>
      </c>
      <c r="K27" s="158" t="s">
        <v>71</v>
      </c>
      <c r="L27" s="183"/>
      <c r="M27" s="167"/>
      <c r="N27" s="130">
        <v>46063</v>
      </c>
      <c r="O27" s="130"/>
      <c r="P27" s="130"/>
      <c r="Q27" s="168"/>
      <c r="R27" s="127"/>
      <c r="S27" s="130"/>
      <c r="T27" s="132"/>
      <c r="U27" s="132"/>
      <c r="V27" s="132"/>
      <c r="W27" s="148"/>
      <c r="X27" s="132"/>
      <c r="Y27" s="132"/>
      <c r="Z27" s="132"/>
      <c r="AA27" s="132"/>
      <c r="AB27" s="148"/>
    </row>
    <row r="28" spans="1:28" ht="27.75" customHeight="1" x14ac:dyDescent="0.25">
      <c r="A28" s="165"/>
      <c r="B28" s="165"/>
      <c r="C28" s="186"/>
      <c r="D28" s="187"/>
      <c r="E28" s="187"/>
      <c r="F28" s="130"/>
      <c r="G28" s="130"/>
      <c r="H28" s="166"/>
      <c r="I28" s="188"/>
      <c r="J28" s="158"/>
      <c r="K28" s="158"/>
      <c r="L28" s="183"/>
      <c r="M28" s="167"/>
      <c r="N28" s="130"/>
      <c r="O28" s="130"/>
      <c r="P28" s="130"/>
      <c r="Q28" s="168"/>
      <c r="R28" s="127"/>
      <c r="S28" s="130"/>
      <c r="T28" s="132"/>
      <c r="U28" s="132"/>
      <c r="V28" s="132"/>
      <c r="W28" s="148"/>
      <c r="X28" s="132"/>
      <c r="Y28" s="132"/>
      <c r="Z28" s="132"/>
      <c r="AA28" s="132"/>
      <c r="AB28" s="148"/>
    </row>
    <row r="29" spans="1:28" ht="27.75" customHeight="1" x14ac:dyDescent="0.25">
      <c r="A29" s="165"/>
      <c r="B29" s="165"/>
      <c r="C29" s="186"/>
      <c r="D29" s="187"/>
      <c r="E29" s="187"/>
      <c r="F29" s="130"/>
      <c r="G29" s="130"/>
      <c r="H29" s="166"/>
      <c r="I29" s="188"/>
      <c r="J29" s="158"/>
      <c r="K29" s="158"/>
      <c r="L29" s="183"/>
      <c r="M29" s="167"/>
      <c r="N29" s="130"/>
      <c r="O29" s="130"/>
      <c r="P29" s="130"/>
      <c r="Q29" s="168"/>
      <c r="R29" s="127"/>
      <c r="S29" s="130"/>
      <c r="T29" s="132"/>
      <c r="U29" s="132"/>
      <c r="V29" s="132"/>
      <c r="W29" s="148"/>
      <c r="X29" s="132"/>
      <c r="Y29" s="132"/>
      <c r="Z29" s="132"/>
      <c r="AA29" s="132"/>
      <c r="AB29" s="148"/>
    </row>
    <row r="30" spans="1:28" ht="27.75" customHeight="1" x14ac:dyDescent="0.25">
      <c r="A30" s="165"/>
      <c r="B30" s="165"/>
      <c r="C30" s="186"/>
      <c r="D30" s="187"/>
      <c r="E30" s="187"/>
      <c r="F30" s="130"/>
      <c r="G30" s="130"/>
      <c r="H30" s="166"/>
      <c r="I30" s="188"/>
      <c r="J30" s="158"/>
      <c r="K30" s="158"/>
      <c r="L30" s="183"/>
      <c r="M30" s="167"/>
      <c r="N30" s="130"/>
      <c r="O30" s="130"/>
      <c r="P30" s="130"/>
      <c r="Q30" s="168"/>
      <c r="R30" s="127"/>
      <c r="S30" s="130"/>
      <c r="T30" s="132"/>
      <c r="U30" s="132"/>
      <c r="V30" s="132"/>
      <c r="W30" s="148"/>
      <c r="X30" s="132"/>
      <c r="Y30" s="132"/>
      <c r="Z30" s="132"/>
      <c r="AA30" s="132"/>
      <c r="AB30" s="148"/>
    </row>
    <row r="31" spans="1:28" ht="27.75" customHeight="1" x14ac:dyDescent="0.25">
      <c r="A31" s="165"/>
      <c r="B31" s="165"/>
      <c r="C31" s="186"/>
      <c r="D31" s="187"/>
      <c r="E31" s="187"/>
      <c r="F31" s="130"/>
      <c r="G31" s="130"/>
      <c r="H31" s="166"/>
      <c r="I31" s="188"/>
      <c r="J31" s="158"/>
      <c r="K31" s="158"/>
      <c r="L31" s="183"/>
      <c r="M31" s="167"/>
      <c r="N31" s="130"/>
      <c r="O31" s="130"/>
      <c r="P31" s="130"/>
      <c r="Q31" s="168"/>
      <c r="R31" s="127"/>
      <c r="S31" s="130"/>
      <c r="T31" s="132"/>
      <c r="U31" s="132"/>
      <c r="V31" s="132"/>
      <c r="W31" s="148"/>
      <c r="X31" s="132"/>
      <c r="Y31" s="132"/>
      <c r="Z31" s="132"/>
      <c r="AA31" s="132"/>
      <c r="AB31" s="148"/>
    </row>
    <row r="32" spans="1:28" ht="27.75" customHeight="1" x14ac:dyDescent="0.25">
      <c r="A32" s="165"/>
      <c r="B32" s="165"/>
      <c r="C32" s="186"/>
      <c r="D32" s="187"/>
      <c r="E32" s="187"/>
      <c r="F32" s="130"/>
      <c r="G32" s="130"/>
      <c r="H32" s="166"/>
      <c r="I32" s="188"/>
      <c r="J32" s="158"/>
      <c r="K32" s="158"/>
      <c r="L32" s="183"/>
      <c r="M32" s="167"/>
      <c r="N32" s="130"/>
      <c r="O32" s="130"/>
      <c r="P32" s="130"/>
      <c r="Q32" s="168"/>
      <c r="R32" s="127"/>
      <c r="S32" s="130"/>
      <c r="T32" s="132"/>
      <c r="U32" s="132"/>
      <c r="V32" s="132"/>
      <c r="W32" s="148"/>
      <c r="X32" s="132"/>
      <c r="Y32" s="132"/>
      <c r="Z32" s="132"/>
      <c r="AA32" s="132"/>
      <c r="AB32" s="148"/>
    </row>
    <row r="33" spans="1:28" ht="27.75" customHeight="1" x14ac:dyDescent="0.25">
      <c r="A33" s="165"/>
      <c r="B33" s="165"/>
      <c r="C33" s="186"/>
      <c r="D33" s="187"/>
      <c r="E33" s="187"/>
      <c r="F33" s="130"/>
      <c r="G33" s="130"/>
      <c r="H33" s="166"/>
      <c r="I33" s="188"/>
      <c r="J33" s="158"/>
      <c r="K33" s="158"/>
      <c r="L33" s="183"/>
      <c r="M33" s="167"/>
      <c r="N33" s="130"/>
      <c r="O33" s="130"/>
      <c r="P33" s="130"/>
      <c r="Q33" s="168"/>
      <c r="R33" s="127"/>
      <c r="S33" s="130"/>
      <c r="T33" s="132"/>
      <c r="U33" s="132"/>
      <c r="V33" s="132"/>
      <c r="W33" s="148"/>
      <c r="X33" s="132"/>
      <c r="Y33" s="132"/>
      <c r="Z33" s="132"/>
      <c r="AA33" s="132"/>
      <c r="AB33" s="148"/>
    </row>
    <row r="34" spans="1:28" ht="27.75" customHeight="1" x14ac:dyDescent="0.25">
      <c r="A34" s="165"/>
      <c r="B34" s="165"/>
      <c r="C34" s="186"/>
      <c r="D34" s="187"/>
      <c r="E34" s="187"/>
      <c r="F34" s="130"/>
      <c r="G34" s="130"/>
      <c r="H34" s="166"/>
      <c r="I34" s="188"/>
      <c r="J34" s="158"/>
      <c r="K34" s="158"/>
      <c r="L34" s="183"/>
      <c r="M34" s="167"/>
      <c r="N34" s="130"/>
      <c r="O34" s="130"/>
      <c r="P34" s="130"/>
      <c r="Q34" s="168"/>
      <c r="R34" s="127"/>
      <c r="S34" s="130"/>
      <c r="T34" s="132"/>
      <c r="U34" s="132"/>
      <c r="V34" s="132"/>
      <c r="W34" s="148"/>
      <c r="X34" s="132"/>
      <c r="Y34" s="132"/>
      <c r="Z34" s="132"/>
      <c r="AA34" s="132"/>
      <c r="AB34" s="148"/>
    </row>
    <row r="35" spans="1:28" ht="27.75" customHeight="1" x14ac:dyDescent="0.25">
      <c r="A35" s="165"/>
      <c r="B35" s="165"/>
      <c r="C35" s="186"/>
      <c r="D35" s="187"/>
      <c r="E35" s="187"/>
      <c r="F35" s="130"/>
      <c r="G35" s="130"/>
      <c r="H35" s="166"/>
      <c r="I35" s="188"/>
      <c r="J35" s="158"/>
      <c r="K35" s="158"/>
      <c r="L35" s="183"/>
      <c r="M35" s="167"/>
      <c r="N35" s="130"/>
      <c r="O35" s="130"/>
      <c r="P35" s="130"/>
      <c r="Q35" s="168"/>
      <c r="R35" s="127"/>
      <c r="S35" s="130"/>
      <c r="T35" s="132"/>
      <c r="U35" s="132"/>
      <c r="V35" s="132"/>
      <c r="W35" s="148"/>
      <c r="X35" s="132"/>
      <c r="Y35" s="132"/>
      <c r="Z35" s="132"/>
      <c r="AA35" s="132"/>
      <c r="AB35" s="148"/>
    </row>
    <row r="36" spans="1:28" ht="27.75" customHeight="1" x14ac:dyDescent="0.25">
      <c r="A36" s="165"/>
      <c r="B36" s="165"/>
      <c r="C36" s="186"/>
      <c r="D36" s="187"/>
      <c r="E36" s="187"/>
      <c r="F36" s="130"/>
      <c r="G36" s="130"/>
      <c r="H36" s="166"/>
      <c r="I36" s="188"/>
      <c r="J36" s="158"/>
      <c r="K36" s="158"/>
      <c r="L36" s="183"/>
      <c r="M36" s="167"/>
      <c r="N36" s="130"/>
      <c r="O36" s="130"/>
      <c r="P36" s="130"/>
      <c r="Q36" s="168"/>
      <c r="R36" s="127"/>
      <c r="S36" s="130"/>
      <c r="T36" s="132"/>
      <c r="U36" s="132"/>
      <c r="V36" s="132"/>
      <c r="W36" s="148"/>
      <c r="X36" s="132"/>
      <c r="Y36" s="132"/>
      <c r="Z36" s="132"/>
      <c r="AA36" s="132"/>
      <c r="AB36" s="148"/>
    </row>
    <row r="37" spans="1:28" ht="14.4" x14ac:dyDescent="0.25">
      <c r="A37" s="165"/>
      <c r="B37" s="165"/>
      <c r="C37" s="186"/>
      <c r="D37" s="187"/>
      <c r="E37" s="187"/>
      <c r="F37" s="130"/>
      <c r="G37" s="130"/>
      <c r="H37" s="166"/>
      <c r="I37" s="188"/>
      <c r="J37" s="158"/>
      <c r="K37" s="158"/>
      <c r="L37" s="183"/>
      <c r="M37" s="167"/>
      <c r="N37" s="130"/>
      <c r="O37" s="130"/>
      <c r="P37" s="130"/>
      <c r="Q37" s="168"/>
      <c r="R37" s="127"/>
      <c r="S37" s="130"/>
      <c r="T37" s="132"/>
      <c r="U37" s="132"/>
      <c r="V37" s="132"/>
      <c r="W37" s="148"/>
      <c r="X37" s="132"/>
      <c r="Y37" s="132"/>
      <c r="Z37" s="132"/>
      <c r="AA37" s="132"/>
      <c r="AB37" s="148"/>
    </row>
    <row r="38" spans="1:28" ht="14.4" x14ac:dyDescent="0.25">
      <c r="A38" s="165"/>
      <c r="B38" s="165"/>
      <c r="C38" s="186"/>
      <c r="D38" s="187"/>
      <c r="E38" s="187"/>
      <c r="F38" s="130"/>
      <c r="G38" s="130"/>
      <c r="H38" s="166"/>
      <c r="I38" s="188"/>
      <c r="J38" s="158"/>
      <c r="K38" s="158"/>
      <c r="L38" s="183"/>
      <c r="M38" s="167"/>
      <c r="N38" s="130"/>
      <c r="O38" s="130"/>
      <c r="P38" s="130"/>
      <c r="Q38" s="168"/>
      <c r="R38" s="127"/>
      <c r="S38" s="130"/>
      <c r="T38" s="132"/>
      <c r="U38" s="132"/>
      <c r="V38" s="132"/>
      <c r="W38" s="148"/>
      <c r="X38" s="132"/>
      <c r="Y38" s="132"/>
      <c r="Z38" s="132"/>
      <c r="AA38" s="132"/>
      <c r="AB38" s="148"/>
    </row>
    <row r="39" spans="1:28" ht="14.4" x14ac:dyDescent="0.25">
      <c r="A39" s="165"/>
      <c r="B39" s="165"/>
      <c r="C39" s="186"/>
      <c r="D39" s="187"/>
      <c r="E39" s="187"/>
      <c r="F39" s="130"/>
      <c r="G39" s="130"/>
      <c r="H39" s="166"/>
      <c r="I39" s="188"/>
      <c r="J39" s="158"/>
      <c r="K39" s="158"/>
      <c r="L39" s="183"/>
      <c r="M39" s="167"/>
      <c r="N39" s="130"/>
      <c r="O39" s="130"/>
      <c r="P39" s="130"/>
      <c r="Q39" s="168"/>
      <c r="R39" s="127"/>
      <c r="S39" s="130"/>
      <c r="T39" s="132"/>
      <c r="U39" s="132"/>
      <c r="V39" s="132"/>
      <c r="W39" s="148"/>
      <c r="X39" s="132"/>
      <c r="Y39" s="132"/>
      <c r="Z39" s="132"/>
      <c r="AA39" s="132"/>
      <c r="AB39" s="148"/>
    </row>
    <row r="40" spans="1:28" ht="14.4" x14ac:dyDescent="0.25">
      <c r="A40" s="165"/>
      <c r="B40" s="165"/>
      <c r="C40" s="186"/>
      <c r="D40" s="187"/>
      <c r="E40" s="187"/>
      <c r="F40" s="130"/>
      <c r="G40" s="130"/>
      <c r="H40" s="127"/>
      <c r="I40" s="182"/>
      <c r="J40" s="127"/>
      <c r="K40" s="127"/>
      <c r="L40" s="130"/>
      <c r="M40" s="167"/>
      <c r="N40" s="130"/>
      <c r="O40" s="130"/>
      <c r="P40" s="130"/>
      <c r="Q40" s="168"/>
      <c r="R40" s="127"/>
      <c r="S40" s="130"/>
      <c r="T40" s="132"/>
      <c r="U40" s="132"/>
      <c r="V40" s="132"/>
      <c r="W40" s="148"/>
      <c r="X40" s="132"/>
      <c r="Y40" s="132"/>
      <c r="Z40" s="132"/>
      <c r="AA40" s="132"/>
      <c r="AB40" s="148"/>
    </row>
    <row r="41" spans="1:28" ht="14.4" x14ac:dyDescent="0.25">
      <c r="A41" s="165"/>
      <c r="B41" s="165"/>
      <c r="C41" s="186"/>
      <c r="D41" s="187"/>
      <c r="E41" s="187"/>
      <c r="F41" s="130"/>
      <c r="G41" s="130"/>
      <c r="H41" s="127"/>
      <c r="I41" s="182"/>
      <c r="J41" s="127"/>
      <c r="K41" s="127"/>
      <c r="L41" s="130"/>
      <c r="M41" s="167"/>
      <c r="N41" s="130"/>
      <c r="O41" s="130"/>
      <c r="P41" s="130"/>
      <c r="Q41" s="168"/>
      <c r="R41" s="127"/>
      <c r="S41" s="130"/>
      <c r="T41" s="132"/>
      <c r="U41" s="132"/>
      <c r="V41" s="132"/>
      <c r="W41" s="148"/>
      <c r="X41" s="132"/>
      <c r="Y41" s="132"/>
      <c r="Z41" s="132"/>
      <c r="AA41" s="132"/>
      <c r="AB41" s="148"/>
    </row>
    <row r="42" spans="1:28" ht="14.4" x14ac:dyDescent="0.25">
      <c r="A42" s="165"/>
      <c r="B42" s="165"/>
      <c r="C42" s="186"/>
      <c r="D42" s="187"/>
      <c r="E42" s="187"/>
      <c r="F42" s="130"/>
      <c r="G42" s="130"/>
      <c r="H42" s="166"/>
      <c r="I42" s="188"/>
      <c r="J42" s="158"/>
      <c r="K42" s="158"/>
      <c r="L42" s="183"/>
      <c r="M42" s="167"/>
      <c r="N42" s="130"/>
      <c r="O42" s="130"/>
      <c r="P42" s="130"/>
      <c r="Q42" s="168"/>
      <c r="R42" s="127"/>
      <c r="S42" s="130"/>
      <c r="T42" s="132"/>
      <c r="U42" s="132"/>
      <c r="V42" s="132"/>
      <c r="W42" s="148"/>
      <c r="X42" s="132"/>
      <c r="Y42" s="132"/>
      <c r="Z42" s="132"/>
      <c r="AA42" s="132"/>
      <c r="AB42" s="148"/>
    </row>
    <row r="43" spans="1:28" ht="14.4" x14ac:dyDescent="0.25">
      <c r="A43" s="165"/>
      <c r="B43" s="165"/>
      <c r="C43" s="186"/>
      <c r="D43" s="187"/>
      <c r="E43" s="187"/>
      <c r="F43" s="130"/>
      <c r="G43" s="130"/>
      <c r="H43" s="166"/>
      <c r="I43" s="188"/>
      <c r="J43" s="158"/>
      <c r="K43" s="158"/>
      <c r="L43" s="183"/>
      <c r="M43" s="167"/>
      <c r="N43" s="130"/>
      <c r="O43" s="130"/>
      <c r="P43" s="130"/>
      <c r="Q43" s="168"/>
      <c r="R43" s="127"/>
      <c r="S43" s="130"/>
      <c r="T43" s="132"/>
      <c r="U43" s="132"/>
      <c r="V43" s="132"/>
      <c r="W43" s="148"/>
      <c r="X43" s="132"/>
      <c r="Y43" s="132"/>
      <c r="Z43" s="132"/>
      <c r="AA43" s="132"/>
      <c r="AB43" s="148"/>
    </row>
    <row r="44" spans="1:28" ht="14.4" x14ac:dyDescent="0.25">
      <c r="A44" s="165"/>
      <c r="B44" s="165"/>
      <c r="C44" s="186"/>
      <c r="D44" s="187"/>
      <c r="E44" s="187"/>
      <c r="F44" s="130"/>
      <c r="G44" s="130"/>
      <c r="H44" s="166"/>
      <c r="I44" s="188"/>
      <c r="J44" s="158"/>
      <c r="K44" s="158"/>
      <c r="L44" s="183"/>
      <c r="M44" s="167"/>
      <c r="N44" s="130"/>
      <c r="O44" s="130"/>
      <c r="P44" s="130"/>
      <c r="Q44" s="168"/>
      <c r="R44" s="127"/>
      <c r="S44" s="130"/>
      <c r="T44" s="132"/>
      <c r="U44" s="132"/>
      <c r="V44" s="132"/>
      <c r="W44" s="148"/>
      <c r="X44" s="132"/>
      <c r="Y44" s="132"/>
      <c r="Z44" s="132"/>
      <c r="AA44" s="132"/>
      <c r="AB44" s="148"/>
    </row>
    <row r="45" spans="1:28" ht="14.4" x14ac:dyDescent="0.25">
      <c r="A45" s="165"/>
      <c r="B45" s="165"/>
      <c r="C45" s="186"/>
      <c r="D45" s="187"/>
      <c r="E45" s="187"/>
      <c r="F45" s="130"/>
      <c r="G45" s="130"/>
      <c r="H45" s="166"/>
      <c r="I45" s="188"/>
      <c r="J45" s="158"/>
      <c r="K45" s="158"/>
      <c r="L45" s="183"/>
      <c r="M45" s="167"/>
      <c r="N45" s="130"/>
      <c r="O45" s="130"/>
      <c r="P45" s="130"/>
      <c r="Q45" s="168"/>
      <c r="R45" s="127"/>
      <c r="S45" s="130"/>
      <c r="T45" s="132"/>
      <c r="U45" s="132"/>
      <c r="V45" s="132"/>
      <c r="W45" s="148"/>
      <c r="X45" s="132"/>
      <c r="Y45" s="132"/>
      <c r="Z45" s="132"/>
      <c r="AA45" s="132"/>
      <c r="AB45" s="148"/>
    </row>
    <row r="46" spans="1:28" ht="14.4" x14ac:dyDescent="0.25">
      <c r="A46" s="165"/>
      <c r="B46" s="165"/>
      <c r="C46" s="186"/>
      <c r="D46" s="187"/>
      <c r="E46" s="187"/>
      <c r="F46" s="130"/>
      <c r="G46" s="130"/>
      <c r="H46" s="166"/>
      <c r="I46" s="188"/>
      <c r="J46" s="158"/>
      <c r="K46" s="158"/>
      <c r="L46" s="183"/>
      <c r="M46" s="167"/>
      <c r="N46" s="130"/>
      <c r="O46" s="130"/>
      <c r="P46" s="130"/>
      <c r="Q46" s="168"/>
      <c r="R46" s="127"/>
      <c r="S46" s="130"/>
      <c r="T46" s="132"/>
      <c r="U46" s="132"/>
      <c r="V46" s="132"/>
      <c r="W46" s="148"/>
      <c r="X46" s="132"/>
      <c r="Y46" s="132"/>
      <c r="Z46" s="132"/>
      <c r="AA46" s="132"/>
      <c r="AB46" s="148"/>
    </row>
    <row r="47" spans="1:28" ht="14.4" x14ac:dyDescent="0.25">
      <c r="A47" s="165"/>
      <c r="B47" s="165"/>
      <c r="C47" s="186"/>
      <c r="D47" s="187"/>
      <c r="E47" s="187"/>
      <c r="F47" s="130"/>
      <c r="G47" s="130"/>
      <c r="H47" s="166"/>
      <c r="I47" s="188"/>
      <c r="J47" s="158"/>
      <c r="K47" s="158"/>
      <c r="L47" s="183"/>
      <c r="M47" s="167"/>
      <c r="N47" s="130"/>
      <c r="O47" s="130"/>
      <c r="P47" s="130"/>
      <c r="Q47" s="168"/>
      <c r="R47" s="127"/>
      <c r="S47" s="130"/>
      <c r="T47" s="132"/>
      <c r="U47" s="132"/>
      <c r="V47" s="132"/>
      <c r="W47" s="148"/>
      <c r="X47" s="132"/>
      <c r="Y47" s="132"/>
      <c r="Z47" s="132"/>
      <c r="AA47" s="132"/>
      <c r="AB47" s="148"/>
    </row>
    <row r="48" spans="1:28" ht="14.4" x14ac:dyDescent="0.25">
      <c r="A48" s="165"/>
      <c r="B48" s="165"/>
      <c r="C48" s="186"/>
      <c r="D48" s="187"/>
      <c r="E48" s="187"/>
      <c r="F48" s="130"/>
      <c r="G48" s="130"/>
      <c r="H48" s="166"/>
      <c r="I48" s="188"/>
      <c r="J48" s="158"/>
      <c r="K48" s="158"/>
      <c r="L48" s="183"/>
      <c r="M48" s="167"/>
      <c r="N48" s="130"/>
      <c r="O48" s="130"/>
      <c r="P48" s="130"/>
      <c r="Q48" s="168"/>
      <c r="R48" s="127"/>
      <c r="S48" s="130"/>
      <c r="T48" s="132"/>
      <c r="U48" s="132"/>
      <c r="V48" s="132"/>
      <c r="W48" s="148"/>
      <c r="X48" s="132"/>
      <c r="Y48" s="132"/>
      <c r="Z48" s="132"/>
      <c r="AA48" s="132"/>
      <c r="AB48" s="148"/>
    </row>
    <row r="49" spans="1:28" ht="14.4" x14ac:dyDescent="0.25">
      <c r="A49" s="165"/>
      <c r="B49" s="165"/>
      <c r="C49" s="186"/>
      <c r="D49" s="187"/>
      <c r="E49" s="187"/>
      <c r="F49" s="130"/>
      <c r="G49" s="130"/>
      <c r="H49" s="166"/>
      <c r="I49" s="188"/>
      <c r="J49" s="158"/>
      <c r="K49" s="158"/>
      <c r="L49" s="183"/>
      <c r="M49" s="167"/>
      <c r="N49" s="130"/>
      <c r="O49" s="130"/>
      <c r="P49" s="130"/>
      <c r="Q49" s="168"/>
      <c r="R49" s="127"/>
      <c r="S49" s="130"/>
      <c r="T49" s="132"/>
      <c r="U49" s="132"/>
      <c r="V49" s="132"/>
      <c r="W49" s="148"/>
      <c r="X49" s="132"/>
      <c r="Y49" s="132"/>
      <c r="Z49" s="132"/>
      <c r="AA49" s="132"/>
      <c r="AB49" s="148"/>
    </row>
    <row r="50" spans="1:28" ht="14.4" x14ac:dyDescent="0.25">
      <c r="A50" s="165"/>
      <c r="B50" s="165"/>
      <c r="C50" s="186"/>
      <c r="D50" s="187"/>
      <c r="E50" s="187"/>
      <c r="F50" s="130"/>
      <c r="G50" s="130"/>
      <c r="H50" s="166"/>
      <c r="I50" s="188"/>
      <c r="J50" s="158"/>
      <c r="K50" s="158"/>
      <c r="L50" s="183"/>
      <c r="M50" s="167"/>
      <c r="N50" s="130"/>
      <c r="O50" s="130"/>
      <c r="P50" s="130"/>
      <c r="Q50" s="168"/>
      <c r="R50" s="127"/>
      <c r="S50" s="130"/>
      <c r="T50" s="132"/>
      <c r="U50" s="132"/>
      <c r="V50" s="132"/>
      <c r="W50" s="148"/>
      <c r="X50" s="132"/>
      <c r="Y50" s="132"/>
      <c r="Z50" s="132"/>
      <c r="AA50" s="132"/>
      <c r="AB50" s="148"/>
    </row>
    <row r="51" spans="1:28" ht="14.4" x14ac:dyDescent="0.25">
      <c r="A51" s="165"/>
      <c r="B51" s="165"/>
      <c r="C51" s="186"/>
      <c r="D51" s="187"/>
      <c r="E51" s="187"/>
      <c r="F51" s="130"/>
      <c r="G51" s="130"/>
      <c r="H51" s="166"/>
      <c r="I51" s="188"/>
      <c r="J51" s="158"/>
      <c r="K51" s="158"/>
      <c r="L51" s="183"/>
      <c r="M51" s="167"/>
      <c r="N51" s="130"/>
      <c r="O51" s="130"/>
      <c r="P51" s="130"/>
      <c r="Q51" s="168"/>
      <c r="R51" s="127"/>
      <c r="S51" s="130"/>
      <c r="T51" s="132"/>
      <c r="U51" s="132"/>
      <c r="V51" s="132"/>
      <c r="W51" s="148"/>
      <c r="X51" s="132"/>
      <c r="Y51" s="132"/>
      <c r="Z51" s="132"/>
      <c r="AA51" s="132"/>
      <c r="AB51" s="148"/>
    </row>
    <row r="52" spans="1:28" ht="14.4" x14ac:dyDescent="0.25">
      <c r="A52" s="165"/>
      <c r="B52" s="165"/>
      <c r="C52" s="186"/>
      <c r="D52" s="187"/>
      <c r="E52" s="187"/>
      <c r="F52" s="130"/>
      <c r="G52" s="130"/>
      <c r="H52" s="166"/>
      <c r="I52" s="188"/>
      <c r="J52" s="158"/>
      <c r="K52" s="158"/>
      <c r="L52" s="183"/>
      <c r="M52" s="167"/>
      <c r="N52" s="130"/>
      <c r="O52" s="130"/>
      <c r="P52" s="130"/>
      <c r="Q52" s="168"/>
      <c r="R52" s="127"/>
      <c r="S52" s="130"/>
      <c r="T52" s="132"/>
      <c r="U52" s="132"/>
      <c r="V52" s="132"/>
      <c r="W52" s="148"/>
      <c r="X52" s="132"/>
      <c r="Y52" s="132"/>
      <c r="Z52" s="132"/>
      <c r="AA52" s="132"/>
      <c r="AB52" s="148"/>
    </row>
    <row r="53" spans="1:28" ht="14.4" x14ac:dyDescent="0.25">
      <c r="A53" s="165"/>
      <c r="B53" s="165"/>
      <c r="C53" s="186"/>
      <c r="D53" s="187"/>
      <c r="E53" s="187"/>
      <c r="F53" s="130"/>
      <c r="G53" s="130"/>
      <c r="H53" s="166"/>
      <c r="I53" s="188"/>
      <c r="J53" s="158"/>
      <c r="K53" s="158"/>
      <c r="L53" s="183"/>
      <c r="M53" s="167"/>
      <c r="N53" s="130"/>
      <c r="O53" s="130"/>
      <c r="P53" s="130"/>
      <c r="Q53" s="168"/>
      <c r="R53" s="127"/>
      <c r="S53" s="130"/>
      <c r="T53" s="132"/>
      <c r="U53" s="132"/>
      <c r="V53" s="132"/>
      <c r="W53" s="148"/>
      <c r="X53" s="132"/>
      <c r="Y53" s="132"/>
      <c r="Z53" s="132"/>
      <c r="AA53" s="132"/>
      <c r="AB53" s="148"/>
    </row>
    <row r="54" spans="1:28" ht="14.4" x14ac:dyDescent="0.25">
      <c r="A54" s="165"/>
      <c r="B54" s="165"/>
      <c r="C54" s="186"/>
      <c r="D54" s="187"/>
      <c r="E54" s="187"/>
      <c r="F54" s="130"/>
      <c r="G54" s="130"/>
      <c r="H54" s="166"/>
      <c r="I54" s="188"/>
      <c r="J54" s="158"/>
      <c r="K54" s="158"/>
      <c r="L54" s="183"/>
      <c r="M54" s="167"/>
      <c r="N54" s="130"/>
      <c r="O54" s="130"/>
      <c r="P54" s="130"/>
      <c r="Q54" s="168"/>
      <c r="R54" s="127"/>
      <c r="S54" s="130"/>
      <c r="T54" s="132"/>
      <c r="U54" s="132"/>
      <c r="V54" s="132"/>
      <c r="W54" s="148"/>
      <c r="X54" s="132"/>
      <c r="Y54" s="132"/>
      <c r="Z54" s="132"/>
      <c r="AA54" s="132"/>
      <c r="AB54" s="148"/>
    </row>
    <row r="55" spans="1:28" ht="14.4" x14ac:dyDescent="0.25">
      <c r="A55" s="165"/>
      <c r="B55" s="165"/>
      <c r="C55" s="186"/>
      <c r="D55" s="187"/>
      <c r="E55" s="187"/>
      <c r="F55" s="130"/>
      <c r="G55" s="130"/>
      <c r="H55" s="166"/>
      <c r="I55" s="188"/>
      <c r="J55" s="158"/>
      <c r="K55" s="158"/>
      <c r="L55" s="183"/>
      <c r="M55" s="167"/>
      <c r="N55" s="130"/>
      <c r="O55" s="130"/>
      <c r="P55" s="130"/>
      <c r="Q55" s="168"/>
      <c r="R55" s="127"/>
      <c r="S55" s="130"/>
      <c r="T55" s="132"/>
      <c r="U55" s="132"/>
      <c r="V55" s="132"/>
      <c r="W55" s="148"/>
      <c r="X55" s="132"/>
      <c r="Y55" s="132"/>
      <c r="Z55" s="132"/>
      <c r="AA55" s="132"/>
      <c r="AB55" s="148"/>
    </row>
    <row r="56" spans="1:28" ht="14.4" x14ac:dyDescent="0.25">
      <c r="A56" s="165"/>
      <c r="B56" s="165"/>
      <c r="C56" s="186"/>
      <c r="D56" s="187"/>
      <c r="E56" s="187"/>
      <c r="F56" s="130"/>
      <c r="G56" s="130"/>
      <c r="H56" s="166"/>
      <c r="I56" s="188"/>
      <c r="J56" s="158"/>
      <c r="K56" s="158"/>
      <c r="L56" s="183"/>
      <c r="M56" s="167"/>
      <c r="N56" s="130"/>
      <c r="O56" s="130"/>
      <c r="P56" s="130"/>
      <c r="Q56" s="168"/>
      <c r="R56" s="127"/>
      <c r="S56" s="130"/>
      <c r="T56" s="132"/>
      <c r="U56" s="132"/>
      <c r="V56" s="132"/>
      <c r="W56" s="148"/>
      <c r="X56" s="132"/>
      <c r="Y56" s="132"/>
      <c r="Z56" s="132"/>
      <c r="AA56" s="132"/>
      <c r="AB56" s="148"/>
    </row>
    <row r="57" spans="1:28" ht="14.4" x14ac:dyDescent="0.25">
      <c r="A57" s="165"/>
      <c r="B57" s="165"/>
      <c r="C57" s="186"/>
      <c r="D57" s="187"/>
      <c r="E57" s="187"/>
      <c r="F57" s="130"/>
      <c r="G57" s="130"/>
      <c r="H57" s="166"/>
      <c r="I57" s="188"/>
      <c r="J57" s="158"/>
      <c r="K57" s="158"/>
      <c r="L57" s="183"/>
      <c r="M57" s="167"/>
      <c r="N57" s="130"/>
      <c r="O57" s="130"/>
      <c r="P57" s="130"/>
      <c r="Q57" s="168"/>
      <c r="R57" s="127"/>
      <c r="S57" s="130"/>
      <c r="T57" s="132"/>
      <c r="U57" s="132"/>
      <c r="V57" s="132"/>
      <c r="W57" s="148"/>
      <c r="X57" s="132"/>
      <c r="Y57" s="132"/>
      <c r="Z57" s="132"/>
      <c r="AA57" s="132"/>
      <c r="AB57" s="148"/>
    </row>
    <row r="58" spans="1:28" ht="14.4" x14ac:dyDescent="0.25">
      <c r="A58" s="165"/>
      <c r="B58" s="165"/>
      <c r="C58" s="186"/>
      <c r="D58" s="187"/>
      <c r="E58" s="187"/>
      <c r="F58" s="130"/>
      <c r="G58" s="130"/>
      <c r="H58" s="166"/>
      <c r="I58" s="188"/>
      <c r="J58" s="158"/>
      <c r="K58" s="158"/>
      <c r="L58" s="183"/>
      <c r="M58" s="167"/>
      <c r="N58" s="130"/>
      <c r="O58" s="130"/>
      <c r="P58" s="130"/>
      <c r="Q58" s="168"/>
      <c r="R58" s="127"/>
      <c r="S58" s="130"/>
      <c r="T58" s="132"/>
      <c r="U58" s="132"/>
      <c r="V58" s="132"/>
      <c r="W58" s="148"/>
      <c r="X58" s="132"/>
      <c r="Y58" s="132"/>
      <c r="Z58" s="132"/>
      <c r="AA58" s="132"/>
      <c r="AB58" s="148"/>
    </row>
    <row r="59" spans="1:28" ht="14.4" x14ac:dyDescent="0.25">
      <c r="A59" s="165"/>
      <c r="B59" s="165"/>
      <c r="C59" s="186"/>
      <c r="D59" s="187"/>
      <c r="E59" s="187"/>
      <c r="F59" s="130"/>
      <c r="G59" s="130"/>
      <c r="H59" s="166"/>
      <c r="I59" s="188"/>
      <c r="J59" s="158"/>
      <c r="K59" s="158"/>
      <c r="L59" s="183"/>
      <c r="M59" s="167"/>
      <c r="N59" s="130"/>
      <c r="O59" s="130"/>
      <c r="P59" s="130"/>
      <c r="Q59" s="168"/>
      <c r="R59" s="127"/>
      <c r="S59" s="130"/>
      <c r="T59" s="132"/>
      <c r="U59" s="132"/>
      <c r="V59" s="132"/>
      <c r="W59" s="148"/>
      <c r="X59" s="132"/>
      <c r="Y59" s="132"/>
      <c r="Z59" s="132"/>
      <c r="AA59" s="132"/>
      <c r="AB59" s="148"/>
    </row>
    <row r="60" spans="1:28" ht="14.4" x14ac:dyDescent="0.25">
      <c r="A60" s="165"/>
      <c r="B60" s="165"/>
      <c r="C60" s="186"/>
      <c r="D60" s="187"/>
      <c r="E60" s="187"/>
      <c r="F60" s="130"/>
      <c r="G60" s="130"/>
      <c r="H60" s="166"/>
      <c r="I60" s="188"/>
      <c r="J60" s="158"/>
      <c r="K60" s="158"/>
      <c r="L60" s="183"/>
      <c r="M60" s="167"/>
      <c r="N60" s="130"/>
      <c r="O60" s="130"/>
      <c r="P60" s="130"/>
      <c r="Q60" s="168"/>
      <c r="R60" s="127"/>
      <c r="S60" s="130"/>
      <c r="T60" s="132"/>
      <c r="U60" s="132"/>
      <c r="V60" s="132"/>
      <c r="W60" s="148"/>
      <c r="X60" s="132"/>
      <c r="Y60" s="132"/>
      <c r="Z60" s="132"/>
      <c r="AA60" s="132"/>
      <c r="AB60" s="148"/>
    </row>
    <row r="61" spans="1:28" ht="14.4" x14ac:dyDescent="0.3">
      <c r="F61" s="71"/>
      <c r="G61" s="71"/>
      <c r="H61" s="72"/>
      <c r="I61" s="73"/>
      <c r="J61" s="72"/>
      <c r="K61" s="72"/>
      <c r="L61" s="74"/>
      <c r="M61" s="73"/>
      <c r="N61" s="74"/>
      <c r="O61" s="74"/>
      <c r="P61" s="74"/>
      <c r="Q61" s="82"/>
      <c r="R61" s="72"/>
    </row>
    <row r="62" spans="1:28" ht="14.4" x14ac:dyDescent="0.3">
      <c r="F62" s="71"/>
      <c r="G62" s="71"/>
      <c r="H62" s="72"/>
      <c r="I62" s="73"/>
      <c r="J62" s="72"/>
      <c r="K62" s="72"/>
      <c r="L62" s="74"/>
      <c r="M62" s="73"/>
      <c r="N62" s="74"/>
      <c r="O62" s="74"/>
      <c r="P62" s="74"/>
      <c r="Q62" s="82"/>
      <c r="R62" s="72"/>
    </row>
    <row r="63" spans="1:28" ht="14.4" x14ac:dyDescent="0.3">
      <c r="F63" s="71"/>
      <c r="G63" s="71"/>
      <c r="H63" s="72"/>
      <c r="I63" s="73"/>
      <c r="J63" s="72"/>
      <c r="K63" s="72"/>
      <c r="L63" s="74"/>
      <c r="M63" s="73"/>
      <c r="N63" s="74"/>
      <c r="O63" s="74"/>
      <c r="P63" s="74"/>
      <c r="Q63" s="82"/>
      <c r="R63" s="72"/>
    </row>
    <row r="64" spans="1:28" ht="14.4" x14ac:dyDescent="0.3">
      <c r="F64" s="71"/>
      <c r="G64" s="71"/>
      <c r="H64" s="72"/>
      <c r="I64" s="73"/>
      <c r="J64" s="72"/>
      <c r="K64" s="72"/>
      <c r="L64" s="74"/>
      <c r="M64" s="73"/>
      <c r="N64" s="74"/>
      <c r="O64" s="74"/>
      <c r="P64" s="74"/>
      <c r="Q64" s="82"/>
      <c r="R64" s="72"/>
    </row>
    <row r="65" spans="6:18" ht="14.4" x14ac:dyDescent="0.3">
      <c r="F65" s="71"/>
      <c r="G65" s="71"/>
      <c r="H65" s="72"/>
      <c r="I65" s="73"/>
      <c r="J65" s="72"/>
      <c r="K65" s="72"/>
      <c r="L65" s="74"/>
      <c r="M65" s="73"/>
      <c r="N65" s="74"/>
      <c r="O65" s="74"/>
      <c r="P65" s="74"/>
      <c r="Q65" s="82"/>
      <c r="R65" s="72"/>
    </row>
    <row r="66" spans="6:18" ht="14.4" x14ac:dyDescent="0.3">
      <c r="F66" s="71"/>
      <c r="G66" s="71"/>
      <c r="H66" s="72"/>
      <c r="I66" s="73"/>
      <c r="J66" s="72"/>
      <c r="K66" s="72"/>
      <c r="L66" s="74"/>
      <c r="M66" s="73"/>
      <c r="N66" s="74"/>
      <c r="O66" s="74"/>
      <c r="P66" s="74"/>
      <c r="Q66" s="82"/>
      <c r="R66" s="72"/>
    </row>
    <row r="67" spans="6:18" ht="14.4" x14ac:dyDescent="0.3">
      <c r="F67" s="71"/>
      <c r="G67" s="71"/>
      <c r="H67" s="72"/>
      <c r="I67" s="73"/>
      <c r="J67" s="72"/>
      <c r="K67" s="72"/>
      <c r="L67" s="74"/>
      <c r="M67" s="73"/>
      <c r="N67" s="74"/>
      <c r="O67" s="74"/>
      <c r="P67" s="74"/>
      <c r="Q67" s="82"/>
      <c r="R67" s="72"/>
    </row>
    <row r="68" spans="6:18" ht="14.4" x14ac:dyDescent="0.3">
      <c r="F68" s="71"/>
      <c r="G68" s="71"/>
      <c r="H68" s="72"/>
      <c r="I68" s="73"/>
      <c r="J68" s="72"/>
      <c r="K68" s="72"/>
      <c r="L68" s="74"/>
      <c r="M68" s="73"/>
      <c r="N68" s="74"/>
      <c r="O68" s="74"/>
      <c r="P68" s="74"/>
      <c r="Q68" s="82"/>
      <c r="R68" s="72"/>
    </row>
    <row r="69" spans="6:18" ht="14.4" x14ac:dyDescent="0.3">
      <c r="F69" s="71"/>
      <c r="G69" s="71"/>
      <c r="H69" s="72"/>
      <c r="I69" s="73"/>
      <c r="J69" s="72"/>
      <c r="K69" s="72"/>
      <c r="L69" s="74"/>
      <c r="M69" s="73"/>
      <c r="N69" s="74"/>
      <c r="O69" s="74"/>
      <c r="P69" s="74"/>
      <c r="Q69" s="82"/>
      <c r="R69" s="72"/>
    </row>
    <row r="70" spans="6:18" ht="14.4" x14ac:dyDescent="0.3">
      <c r="F70" s="71"/>
      <c r="G70" s="71"/>
      <c r="H70" s="72"/>
      <c r="I70" s="73"/>
      <c r="J70" s="72"/>
      <c r="K70" s="72"/>
      <c r="L70" s="74"/>
      <c r="M70" s="73"/>
      <c r="N70" s="74"/>
      <c r="O70" s="74"/>
      <c r="P70" s="74"/>
      <c r="Q70" s="82"/>
      <c r="R70" s="72"/>
    </row>
    <row r="88" spans="4:5" x14ac:dyDescent="0.25">
      <c r="D88" s="211"/>
      <c r="E88" s="211"/>
    </row>
    <row r="89" spans="4:5" x14ac:dyDescent="0.25">
      <c r="D89" s="210"/>
      <c r="E89" s="210"/>
    </row>
    <row r="90" spans="4:5" x14ac:dyDescent="0.25">
      <c r="D90" s="212"/>
      <c r="E90" s="212"/>
    </row>
    <row r="118" spans="1:27" x14ac:dyDescent="0.25">
      <c r="J118" s="75" t="s">
        <v>74</v>
      </c>
      <c r="K118" s="75"/>
    </row>
    <row r="119" spans="1:27" x14ac:dyDescent="0.25">
      <c r="J119" s="1" t="s">
        <v>54</v>
      </c>
    </row>
    <row r="120" spans="1:27" x14ac:dyDescent="0.25">
      <c r="A120" s="3"/>
      <c r="I120" s="1"/>
      <c r="J120" s="36" t="s">
        <v>47</v>
      </c>
      <c r="K120" s="36"/>
      <c r="L120" s="36"/>
      <c r="M120" s="76"/>
      <c r="N120" s="57"/>
      <c r="O120" s="57"/>
      <c r="P120" s="57"/>
      <c r="R120" s="2"/>
      <c r="V120" s="1"/>
      <c r="W120" s="2"/>
      <c r="AA120" s="1"/>
    </row>
    <row r="121" spans="1:27" x14ac:dyDescent="0.25">
      <c r="A121" s="3"/>
      <c r="I121" s="1"/>
      <c r="J121" s="36" t="s">
        <v>48</v>
      </c>
      <c r="K121" s="36"/>
      <c r="L121" s="36"/>
      <c r="M121" s="76"/>
      <c r="N121" s="57"/>
      <c r="O121" s="57"/>
      <c r="P121" s="57"/>
      <c r="R121" s="2"/>
      <c r="V121" s="1"/>
      <c r="W121" s="2"/>
      <c r="AA121" s="1"/>
    </row>
    <row r="122" spans="1:27" x14ac:dyDescent="0.25">
      <c r="A122" s="3"/>
      <c r="I122" s="1"/>
      <c r="J122" s="36" t="s">
        <v>49</v>
      </c>
      <c r="K122" s="36"/>
      <c r="L122" s="36"/>
      <c r="M122" s="76"/>
      <c r="N122" s="57"/>
      <c r="O122" s="57"/>
      <c r="P122" s="57"/>
      <c r="R122" s="2"/>
      <c r="V122" s="1"/>
      <c r="W122" s="2"/>
      <c r="AA122" s="1"/>
    </row>
    <row r="123" spans="1:27" x14ac:dyDescent="0.25">
      <c r="A123" s="3"/>
      <c r="I123" s="1"/>
      <c r="J123" s="36" t="s">
        <v>75</v>
      </c>
      <c r="K123" s="36"/>
      <c r="L123" s="36"/>
      <c r="M123" s="76"/>
      <c r="N123" s="57"/>
      <c r="O123" s="57"/>
      <c r="P123" s="57"/>
      <c r="R123" s="2"/>
      <c r="V123" s="1"/>
      <c r="W123" s="2"/>
      <c r="AA123" s="1"/>
    </row>
  </sheetData>
  <autoFilter ref="A3:AB23" xr:uid="{00000000-0009-0000-0000-000000000000}"/>
  <mergeCells count="3">
    <mergeCell ref="N2:R2"/>
    <mergeCell ref="S2:W2"/>
    <mergeCell ref="X2:AB2"/>
  </mergeCells>
  <phoneticPr fontId="7" type="noConversion"/>
  <conditionalFormatting sqref="A4:C7 E4:AB7 A8:AB500">
    <cfRule type="expression" dxfId="156" priority="70">
      <formula>$J4="CTA"</formula>
    </cfRule>
    <cfRule type="expression" dxfId="155" priority="71">
      <formula>$J4="GAA"</formula>
    </cfRule>
  </conditionalFormatting>
  <conditionalFormatting sqref="A20:C27">
    <cfRule type="expression" dxfId="154" priority="1">
      <formula>$J20="AUR"</formula>
    </cfRule>
  </conditionalFormatting>
  <conditionalFormatting sqref="A4:XFD33">
    <cfRule type="expression" dxfId="153" priority="69">
      <formula>$J4="AUR"</formula>
    </cfRule>
  </conditionalFormatting>
  <conditionalFormatting sqref="D4:D7">
    <cfRule type="expression" dxfId="152" priority="13">
      <formula>$J4="CTA"</formula>
    </cfRule>
    <cfRule type="expression" dxfId="151" priority="14">
      <formula>$J4="GAA"</formula>
    </cfRule>
  </conditionalFormatting>
  <conditionalFormatting sqref="K4:K500">
    <cfRule type="expression" dxfId="150" priority="34">
      <formula>SUMPRODUCT(($D4&lt;&gt;"")*($K4="")+($K4="C"))</formula>
    </cfRule>
    <cfRule type="expression" dxfId="149" priority="67">
      <formula>SUMPRODUCT(($K4="A")+($K4="B"))</formula>
    </cfRule>
    <cfRule type="expression" dxfId="148" priority="68">
      <formula>$K4="Pending"</formula>
    </cfRule>
  </conditionalFormatting>
  <conditionalFormatting sqref="K5">
    <cfRule type="expression" dxfId="147" priority="4">
      <formula>$K4="CANCEL"</formula>
    </cfRule>
  </conditionalFormatting>
  <dataValidations count="4">
    <dataValidation type="list" allowBlank="1" showInputMessage="1" showErrorMessage="1" sqref="J119:K1048576 J42:J117 K3 K1 J1:J39" xr:uid="{0AB19F6B-B322-4744-AA30-4B71D28DE907}">
      <formula1>$J$119:$J$123</formula1>
    </dataValidation>
    <dataValidation type="list" allowBlank="1" showInputMessage="1" showErrorMessage="1" sqref="K4 K6:K10 K13:K117" xr:uid="{4311FD40-29C0-4E2E-BD33-7EA52D467F35}">
      <formula1>"A,B,C,Pending,"</formula1>
    </dataValidation>
    <dataValidation type="list" allowBlank="1" showInputMessage="1" showErrorMessage="1" sqref="J40:J41" xr:uid="{F8410E15-9B13-44E8-8DFB-459FA1B2F1F8}">
      <formula1>$J$85:$J$89</formula1>
    </dataValidation>
    <dataValidation type="list" allowBlank="1" showInputMessage="1" showErrorMessage="1" sqref="K11:K12 K5" xr:uid="{B2E09129-2CC3-4C77-B5FB-9A527B23865C}">
      <formula1>"A,B,C,Pending,CANCEL"</formula1>
    </dataValidation>
  </dataValidations>
  <pageMargins left="0.23622047244094499" right="0.23622047244094499" top="0.74803149606299202" bottom="0.74803149606299202" header="0.31496062992126" footer="0.31496062992126"/>
  <pageSetup paperSize="8" scale="45" fitToHeight="0" orientation="landscape" r:id="rId1"/>
  <headerFooter>
    <oddHeader>&amp;L&amp;G&amp;CProject Terra Phase 4 Material Approval Submission List</oddHeader>
    <oddFooter>&amp;L&amp;D&amp;RPage &amp;P of &amp;N</oddFooter>
  </headerFooter>
  <colBreaks count="1" manualBreakCount="1">
    <brk id="13" max="1048575" man="1"/>
  </colBreaks>
  <legacy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3505-0394-45DA-92ED-7F91E4994B7C}">
  <sheetPr codeName="Sheet8">
    <pageSetUpPr fitToPage="1"/>
  </sheetPr>
  <dimension ref="A1:AB71"/>
  <sheetViews>
    <sheetView view="pageBreakPreview" topLeftCell="C1" zoomScale="70" zoomScaleNormal="40" zoomScaleSheetLayoutView="70" workbookViewId="0">
      <selection activeCell="E26" sqref="E26"/>
    </sheetView>
  </sheetViews>
  <sheetFormatPr defaultColWidth="9.296875" defaultRowHeight="13.8" x14ac:dyDescent="0.25"/>
  <cols>
    <col min="1" max="1" width="4.296875" style="1" customWidth="1"/>
    <col min="2" max="2" width="14.3984375" style="1" customWidth="1"/>
    <col min="3" max="3" width="29.69921875" style="1" customWidth="1"/>
    <col min="4" max="4" width="102" style="10" bestFit="1" customWidth="1"/>
    <col min="5" max="5" width="13.69921875" style="10" customWidth="1"/>
    <col min="6" max="6" width="10.69921875" style="11" customWidth="1"/>
    <col min="7" max="7" width="12.3984375" style="11" customWidth="1"/>
    <col min="8" max="8" width="4.296875" style="1" customWidth="1"/>
    <col min="9" max="9" width="12.59765625" style="3" hidden="1" customWidth="1"/>
    <col min="10" max="11" width="8.296875" style="1" customWidth="1"/>
    <col min="12" max="12" width="11.3984375" style="11" customWidth="1"/>
    <col min="13" max="13" width="36.69921875" style="1" customWidth="1"/>
    <col min="14" max="15" width="10.69921875" style="2" customWidth="1"/>
    <col min="16" max="16" width="12.3984375" style="2" customWidth="1"/>
    <col min="17" max="17" width="10.3984375" style="2" bestFit="1" customWidth="1"/>
    <col min="18" max="18" width="10.69921875" style="1" customWidth="1"/>
    <col min="19" max="19" width="10.296875" style="2" bestFit="1" customWidth="1"/>
    <col min="20" max="20" width="10.296875" style="2" customWidth="1"/>
    <col min="21" max="22" width="9.296875" style="2" bestFit="1" customWidth="1"/>
    <col min="23" max="23" width="8.3984375" style="1" customWidth="1"/>
    <col min="24" max="24" width="9.296875" style="2" bestFit="1" customWidth="1"/>
    <col min="25" max="25" width="9.296875" style="2" customWidth="1"/>
    <col min="26" max="27" width="9.296875" style="2" bestFit="1" customWidth="1"/>
    <col min="28" max="28" width="8.3984375" style="1" customWidth="1"/>
    <col min="29" max="16384" width="9.296875" style="1"/>
  </cols>
  <sheetData>
    <row r="1" spans="1:28" ht="14.4" thickBot="1" x14ac:dyDescent="0.3">
      <c r="A1" s="37" t="s">
        <v>52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62" t="s">
        <v>53</v>
      </c>
      <c r="N1" s="65" t="s">
        <v>54</v>
      </c>
      <c r="O1" s="63" t="s">
        <v>47</v>
      </c>
      <c r="P1" s="64" t="s">
        <v>48</v>
      </c>
      <c r="Q1" s="4"/>
      <c r="R1" s="5"/>
      <c r="S1" s="4"/>
      <c r="T1" s="4"/>
      <c r="U1" s="4"/>
      <c r="V1" s="4"/>
      <c r="W1" s="5"/>
      <c r="X1" s="4"/>
      <c r="Y1" s="4"/>
      <c r="Z1" s="4"/>
      <c r="AA1" s="4"/>
      <c r="AB1" s="5"/>
    </row>
    <row r="2" spans="1:28" s="3" customFormat="1" ht="41.4" x14ac:dyDescent="0.25">
      <c r="A2" s="6" t="s">
        <v>55</v>
      </c>
      <c r="B2" s="7" t="s">
        <v>1</v>
      </c>
      <c r="C2" s="7" t="s">
        <v>56</v>
      </c>
      <c r="D2" s="7" t="s">
        <v>57</v>
      </c>
      <c r="E2" s="7" t="s">
        <v>58</v>
      </c>
      <c r="F2" s="8" t="s">
        <v>59</v>
      </c>
      <c r="G2" s="8" t="s">
        <v>60</v>
      </c>
      <c r="H2" s="7" t="s">
        <v>61</v>
      </c>
      <c r="I2" s="7" t="s">
        <v>158</v>
      </c>
      <c r="J2" s="7" t="s">
        <v>62</v>
      </c>
      <c r="K2" s="7" t="s">
        <v>42</v>
      </c>
      <c r="L2" s="8" t="s">
        <v>63</v>
      </c>
      <c r="M2" s="9" t="s">
        <v>64</v>
      </c>
      <c r="N2" s="392" t="s">
        <v>65</v>
      </c>
      <c r="O2" s="407"/>
      <c r="P2" s="408"/>
      <c r="Q2" s="409"/>
      <c r="R2" s="411"/>
      <c r="S2" s="401" t="s">
        <v>66</v>
      </c>
      <c r="T2" s="402"/>
      <c r="U2" s="403"/>
      <c r="V2" s="404"/>
      <c r="W2" s="405"/>
      <c r="X2" s="406" t="s">
        <v>67</v>
      </c>
      <c r="Y2" s="407"/>
      <c r="Z2" s="408"/>
      <c r="AA2" s="409"/>
      <c r="AB2" s="410"/>
    </row>
    <row r="3" spans="1:28" x14ac:dyDescent="0.25">
      <c r="A3" s="176"/>
      <c r="B3" s="90"/>
      <c r="C3" s="91"/>
      <c r="D3" s="90"/>
      <c r="E3" s="90"/>
      <c r="F3" s="177"/>
      <c r="G3" s="177"/>
      <c r="H3" s="90"/>
      <c r="I3" s="90"/>
      <c r="J3" s="90"/>
      <c r="K3" s="90"/>
      <c r="L3" s="177"/>
      <c r="M3" s="79"/>
      <c r="N3" s="101" t="s">
        <v>17</v>
      </c>
      <c r="O3" s="102" t="s">
        <v>47</v>
      </c>
      <c r="P3" s="103" t="s">
        <v>48</v>
      </c>
      <c r="Q3" s="104" t="s">
        <v>49</v>
      </c>
      <c r="R3" s="100" t="s">
        <v>42</v>
      </c>
      <c r="S3" s="336" t="s">
        <v>17</v>
      </c>
      <c r="T3" s="337" t="s">
        <v>47</v>
      </c>
      <c r="U3" s="338" t="s">
        <v>48</v>
      </c>
      <c r="V3" s="339" t="s">
        <v>49</v>
      </c>
      <c r="W3" s="340" t="s">
        <v>42</v>
      </c>
      <c r="X3" s="101" t="s">
        <v>17</v>
      </c>
      <c r="Y3" s="102" t="s">
        <v>47</v>
      </c>
      <c r="Z3" s="103" t="s">
        <v>48</v>
      </c>
      <c r="AA3" s="104" t="s">
        <v>49</v>
      </c>
      <c r="AB3" s="100" t="s">
        <v>42</v>
      </c>
    </row>
    <row r="4" spans="1:28" s="148" customFormat="1" ht="15" customHeight="1" x14ac:dyDescent="0.25">
      <c r="A4" s="179">
        <v>1</v>
      </c>
      <c r="B4" s="179" t="s">
        <v>22</v>
      </c>
      <c r="C4" s="180" t="s">
        <v>341</v>
      </c>
      <c r="D4" s="214" t="s">
        <v>342</v>
      </c>
      <c r="E4" s="214"/>
      <c r="F4" s="130">
        <v>46042</v>
      </c>
      <c r="G4" s="130">
        <f>F4+7</f>
        <v>46049</v>
      </c>
      <c r="H4" s="127">
        <v>0</v>
      </c>
      <c r="I4" s="182"/>
      <c r="J4" s="127" t="s">
        <v>48</v>
      </c>
      <c r="K4" s="127" t="s">
        <v>71</v>
      </c>
      <c r="L4" s="130"/>
      <c r="M4" s="167"/>
      <c r="N4" s="130">
        <v>46042</v>
      </c>
      <c r="O4" s="130">
        <v>46062</v>
      </c>
      <c r="P4" s="130"/>
      <c r="Q4" s="130"/>
      <c r="R4" s="127"/>
      <c r="S4" s="134"/>
      <c r="T4" s="134"/>
      <c r="U4" s="134"/>
      <c r="V4" s="134"/>
      <c r="W4" s="129"/>
      <c r="X4" s="134"/>
      <c r="Y4" s="134"/>
      <c r="Z4" s="134"/>
      <c r="AA4" s="134"/>
      <c r="AB4" s="129"/>
    </row>
    <row r="5" spans="1:28" s="148" customFormat="1" ht="15" customHeight="1" x14ac:dyDescent="0.25">
      <c r="A5" s="179">
        <f>A4+1</f>
        <v>2</v>
      </c>
      <c r="B5" s="179" t="s">
        <v>22</v>
      </c>
      <c r="C5" s="180" t="s">
        <v>343</v>
      </c>
      <c r="D5" s="214" t="s">
        <v>344</v>
      </c>
      <c r="E5" s="214"/>
      <c r="F5" s="130">
        <v>46042</v>
      </c>
      <c r="G5" s="130">
        <f>F5+7</f>
        <v>46049</v>
      </c>
      <c r="H5" s="127">
        <v>0</v>
      </c>
      <c r="I5" s="182"/>
      <c r="J5" s="127" t="s">
        <v>48</v>
      </c>
      <c r="K5" s="127" t="s">
        <v>71</v>
      </c>
      <c r="L5" s="130"/>
      <c r="M5" s="167"/>
      <c r="N5" s="130">
        <v>46042</v>
      </c>
      <c r="O5" s="130">
        <v>46062</v>
      </c>
      <c r="P5" s="130"/>
      <c r="Q5" s="130"/>
      <c r="R5" s="127"/>
      <c r="S5" s="134"/>
      <c r="T5" s="134"/>
      <c r="U5" s="134"/>
      <c r="V5" s="134"/>
      <c r="W5" s="129"/>
      <c r="X5" s="134"/>
      <c r="Y5" s="134"/>
      <c r="Z5" s="134"/>
      <c r="AA5" s="134"/>
      <c r="AB5" s="129"/>
    </row>
    <row r="6" spans="1:28" s="148" customFormat="1" ht="15" customHeight="1" x14ac:dyDescent="0.25">
      <c r="A6" s="179">
        <v>2</v>
      </c>
      <c r="B6" s="179" t="s">
        <v>22</v>
      </c>
      <c r="C6" s="180" t="s">
        <v>345</v>
      </c>
      <c r="D6" s="189" t="s">
        <v>346</v>
      </c>
      <c r="E6" s="189"/>
      <c r="F6" s="130">
        <v>46042</v>
      </c>
      <c r="G6" s="130">
        <f>F6+7</f>
        <v>46049</v>
      </c>
      <c r="H6" s="127">
        <v>0</v>
      </c>
      <c r="I6" s="182"/>
      <c r="J6" s="127" t="s">
        <v>48</v>
      </c>
      <c r="K6" s="127" t="s">
        <v>71</v>
      </c>
      <c r="L6" s="130"/>
      <c r="M6" s="167"/>
      <c r="N6" s="130">
        <v>46042</v>
      </c>
      <c r="O6" s="130">
        <v>46062</v>
      </c>
      <c r="P6" s="130"/>
      <c r="Q6" s="130"/>
      <c r="R6" s="127"/>
      <c r="S6" s="132"/>
      <c r="T6" s="132"/>
      <c r="U6" s="132"/>
      <c r="V6" s="132"/>
      <c r="X6" s="132"/>
      <c r="Y6" s="132"/>
      <c r="Z6" s="132"/>
      <c r="AA6" s="132"/>
    </row>
    <row r="7" spans="1:28" s="148" customFormat="1" ht="15" customHeight="1" x14ac:dyDescent="0.25">
      <c r="A7" s="179">
        <f t="shared" ref="A7" si="0">A6+1</f>
        <v>3</v>
      </c>
      <c r="B7" s="179" t="s">
        <v>22</v>
      </c>
      <c r="C7" s="180" t="s">
        <v>347</v>
      </c>
      <c r="D7" s="189" t="s">
        <v>348</v>
      </c>
      <c r="E7" s="189"/>
      <c r="F7" s="130">
        <v>46042</v>
      </c>
      <c r="G7" s="130">
        <f t="shared" ref="G7:G9" si="1">F7+7</f>
        <v>46049</v>
      </c>
      <c r="H7" s="127">
        <v>0</v>
      </c>
      <c r="I7" s="182"/>
      <c r="J7" s="127" t="s">
        <v>48</v>
      </c>
      <c r="K7" s="127" t="s">
        <v>71</v>
      </c>
      <c r="L7" s="130"/>
      <c r="M7" s="167"/>
      <c r="N7" s="130">
        <v>46042</v>
      </c>
      <c r="O7" s="130">
        <v>46044</v>
      </c>
      <c r="P7" s="130"/>
      <c r="Q7" s="130"/>
      <c r="R7" s="127"/>
      <c r="S7" s="132"/>
      <c r="T7" s="132"/>
      <c r="U7" s="132"/>
      <c r="V7" s="132"/>
      <c r="X7" s="132"/>
      <c r="Y7" s="132"/>
      <c r="Z7" s="132"/>
      <c r="AA7" s="132"/>
    </row>
    <row r="8" spans="1:28" s="129" customFormat="1" ht="17.25" customHeight="1" x14ac:dyDescent="0.25">
      <c r="A8" s="179">
        <v>3</v>
      </c>
      <c r="B8" s="179" t="s">
        <v>22</v>
      </c>
      <c r="C8" s="180" t="s">
        <v>349</v>
      </c>
      <c r="D8" s="189" t="s">
        <v>350</v>
      </c>
      <c r="E8" s="189"/>
      <c r="F8" s="130">
        <v>46042</v>
      </c>
      <c r="G8" s="130">
        <f t="shared" si="1"/>
        <v>46049</v>
      </c>
      <c r="H8" s="127">
        <v>0</v>
      </c>
      <c r="I8" s="182"/>
      <c r="J8" s="127" t="s">
        <v>48</v>
      </c>
      <c r="K8" s="127" t="s">
        <v>71</v>
      </c>
      <c r="L8" s="130"/>
      <c r="M8" s="167"/>
      <c r="N8" s="130">
        <v>46042</v>
      </c>
      <c r="O8" s="130">
        <v>46062</v>
      </c>
      <c r="P8" s="130"/>
      <c r="Q8" s="183"/>
      <c r="R8" s="127"/>
      <c r="S8" s="132"/>
      <c r="T8" s="132"/>
      <c r="U8" s="132"/>
      <c r="V8" s="132"/>
      <c r="W8" s="148"/>
      <c r="X8" s="132"/>
      <c r="Y8" s="132"/>
      <c r="Z8" s="132"/>
      <c r="AA8" s="132"/>
      <c r="AB8" s="148"/>
    </row>
    <row r="9" spans="1:28" ht="14.4" x14ac:dyDescent="0.25">
      <c r="A9" s="179">
        <f t="shared" ref="A9" si="2">A8+1</f>
        <v>4</v>
      </c>
      <c r="B9" s="179" t="s">
        <v>22</v>
      </c>
      <c r="C9" s="180" t="s">
        <v>351</v>
      </c>
      <c r="D9" s="189" t="s">
        <v>352</v>
      </c>
      <c r="E9" s="189"/>
      <c r="F9" s="130">
        <v>46042</v>
      </c>
      <c r="G9" s="130">
        <f t="shared" si="1"/>
        <v>46049</v>
      </c>
      <c r="H9" s="127">
        <v>0</v>
      </c>
      <c r="I9" s="182"/>
      <c r="J9" s="127" t="s">
        <v>48</v>
      </c>
      <c r="K9" s="127" t="s">
        <v>71</v>
      </c>
      <c r="L9" s="130"/>
      <c r="M9" s="167"/>
      <c r="N9" s="130">
        <v>46042</v>
      </c>
      <c r="O9" s="130">
        <v>46062</v>
      </c>
      <c r="P9" s="130"/>
      <c r="Q9" s="130"/>
      <c r="R9" s="127"/>
      <c r="S9" s="132"/>
      <c r="T9" s="132"/>
      <c r="U9" s="132"/>
      <c r="V9" s="132"/>
      <c r="W9" s="148"/>
      <c r="X9" s="132"/>
      <c r="Y9" s="132"/>
      <c r="Z9" s="132"/>
      <c r="AA9" s="132"/>
      <c r="AB9" s="148"/>
    </row>
    <row r="10" spans="1:28" ht="14.4" x14ac:dyDescent="0.25">
      <c r="A10" s="179">
        <v>4</v>
      </c>
      <c r="B10" s="179" t="s">
        <v>22</v>
      </c>
      <c r="C10" s="180" t="s">
        <v>353</v>
      </c>
      <c r="D10" s="189" t="s">
        <v>354</v>
      </c>
      <c r="E10" s="189"/>
      <c r="F10" s="130">
        <v>46036</v>
      </c>
      <c r="G10" s="130">
        <f>F10+7</f>
        <v>46043</v>
      </c>
      <c r="H10" s="127">
        <v>0</v>
      </c>
      <c r="I10" s="182"/>
      <c r="J10" s="127" t="s">
        <v>48</v>
      </c>
      <c r="K10" s="127" t="s">
        <v>71</v>
      </c>
      <c r="L10" s="130"/>
      <c r="M10" s="167"/>
      <c r="N10" s="130">
        <v>46036</v>
      </c>
      <c r="O10" s="130">
        <v>46044</v>
      </c>
      <c r="P10" s="130"/>
      <c r="Q10" s="130"/>
      <c r="R10" s="127"/>
      <c r="S10" s="132"/>
      <c r="T10" s="132"/>
      <c r="U10" s="132"/>
      <c r="V10" s="132"/>
      <c r="W10" s="148"/>
      <c r="X10" s="132"/>
      <c r="Y10" s="132"/>
      <c r="Z10" s="132"/>
      <c r="AA10" s="132"/>
      <c r="AB10" s="148"/>
    </row>
    <row r="11" spans="1:28" ht="14.4" x14ac:dyDescent="0.25">
      <c r="A11" s="179">
        <f t="shared" ref="A11" si="3">A10+1</f>
        <v>5</v>
      </c>
      <c r="B11" s="179" t="s">
        <v>22</v>
      </c>
      <c r="C11" s="180" t="s">
        <v>355</v>
      </c>
      <c r="D11" s="189" t="s">
        <v>356</v>
      </c>
      <c r="E11" s="189"/>
      <c r="F11" s="130">
        <v>46036</v>
      </c>
      <c r="G11" s="130">
        <f>F11+7</f>
        <v>46043</v>
      </c>
      <c r="H11" s="127">
        <v>0</v>
      </c>
      <c r="I11" s="182"/>
      <c r="J11" s="127" t="s">
        <v>48</v>
      </c>
      <c r="K11" s="127" t="s">
        <v>71</v>
      </c>
      <c r="L11" s="130"/>
      <c r="M11" s="167"/>
      <c r="N11" s="130">
        <v>46036</v>
      </c>
      <c r="O11" s="130">
        <v>46062</v>
      </c>
      <c r="P11" s="130"/>
      <c r="Q11" s="130"/>
      <c r="R11" s="127"/>
      <c r="S11" s="132"/>
      <c r="T11" s="132"/>
      <c r="U11" s="132"/>
      <c r="V11" s="132"/>
      <c r="W11" s="148"/>
      <c r="X11" s="132"/>
      <c r="Y11" s="132"/>
      <c r="Z11" s="132"/>
      <c r="AA11" s="132"/>
      <c r="AB11" s="148"/>
    </row>
    <row r="12" spans="1:28" ht="14.4" x14ac:dyDescent="0.25">
      <c r="A12" s="179">
        <v>5</v>
      </c>
      <c r="B12" s="179" t="s">
        <v>22</v>
      </c>
      <c r="C12" s="180" t="s">
        <v>357</v>
      </c>
      <c r="D12" s="189" t="s">
        <v>358</v>
      </c>
      <c r="E12" s="189"/>
      <c r="F12" s="130">
        <v>46063</v>
      </c>
      <c r="G12" s="130">
        <f>F12+7</f>
        <v>46070</v>
      </c>
      <c r="H12" s="127">
        <v>0</v>
      </c>
      <c r="I12" s="182"/>
      <c r="J12" s="127" t="s">
        <v>48</v>
      </c>
      <c r="K12" s="127" t="s">
        <v>71</v>
      </c>
      <c r="L12" s="130"/>
      <c r="M12" s="167"/>
      <c r="N12" s="130">
        <v>46063</v>
      </c>
      <c r="O12" s="130">
        <v>46064</v>
      </c>
      <c r="P12" s="130"/>
      <c r="Q12" s="130"/>
      <c r="R12" s="127"/>
      <c r="S12" s="132"/>
      <c r="T12" s="132"/>
      <c r="U12" s="132"/>
      <c r="V12" s="132"/>
      <c r="W12" s="148"/>
      <c r="X12" s="132"/>
      <c r="Y12" s="132"/>
      <c r="Z12" s="132"/>
      <c r="AA12" s="132"/>
      <c r="AB12" s="148"/>
    </row>
    <row r="13" spans="1:28" ht="14.4" x14ac:dyDescent="0.25">
      <c r="A13" s="179">
        <f t="shared" ref="A13" si="4">A12+1</f>
        <v>6</v>
      </c>
      <c r="B13" s="179" t="s">
        <v>22</v>
      </c>
      <c r="C13" s="180" t="s">
        <v>359</v>
      </c>
      <c r="D13" s="189" t="s">
        <v>360</v>
      </c>
      <c r="E13" s="189"/>
      <c r="F13" s="130">
        <v>46041</v>
      </c>
      <c r="G13" s="130">
        <f>F13+7</f>
        <v>46048</v>
      </c>
      <c r="H13" s="127">
        <v>0</v>
      </c>
      <c r="I13" s="182"/>
      <c r="J13" s="127" t="s">
        <v>48</v>
      </c>
      <c r="K13" s="127" t="s">
        <v>71</v>
      </c>
      <c r="L13" s="130"/>
      <c r="M13" s="167"/>
      <c r="N13" s="130">
        <f>F13</f>
        <v>46041</v>
      </c>
      <c r="O13" s="130">
        <v>46062</v>
      </c>
      <c r="P13" s="130"/>
      <c r="Q13" s="130"/>
      <c r="R13" s="127"/>
      <c r="S13" s="132"/>
      <c r="T13" s="132"/>
      <c r="U13" s="132"/>
      <c r="V13" s="132"/>
      <c r="W13" s="148"/>
      <c r="X13" s="132"/>
      <c r="Y13" s="132"/>
      <c r="Z13" s="132"/>
      <c r="AA13" s="132"/>
      <c r="AB13" s="148"/>
    </row>
    <row r="14" spans="1:28" ht="14.4" x14ac:dyDescent="0.25">
      <c r="A14" s="179">
        <f>A13+1</f>
        <v>7</v>
      </c>
      <c r="B14" s="179" t="s">
        <v>22</v>
      </c>
      <c r="C14" s="180" t="s">
        <v>361</v>
      </c>
      <c r="D14" s="189" t="s">
        <v>362</v>
      </c>
      <c r="E14" s="189"/>
      <c r="F14" s="130">
        <v>46049</v>
      </c>
      <c r="G14" s="130">
        <f>F14+7</f>
        <v>46056</v>
      </c>
      <c r="H14" s="127">
        <v>0</v>
      </c>
      <c r="I14" s="182"/>
      <c r="J14" s="127" t="s">
        <v>48</v>
      </c>
      <c r="K14" s="127" t="s">
        <v>71</v>
      </c>
      <c r="L14" s="130"/>
      <c r="M14" s="167"/>
      <c r="N14" s="130">
        <f>F14</f>
        <v>46049</v>
      </c>
      <c r="O14" s="130">
        <v>46062</v>
      </c>
      <c r="P14" s="130"/>
      <c r="Q14" s="130"/>
      <c r="R14" s="127"/>
      <c r="S14" s="132"/>
      <c r="T14" s="132"/>
      <c r="U14" s="132"/>
      <c r="V14" s="132"/>
      <c r="W14" s="148"/>
      <c r="X14" s="132"/>
      <c r="Y14" s="132"/>
      <c r="Z14" s="132"/>
      <c r="AA14" s="132"/>
      <c r="AB14" s="148"/>
    </row>
    <row r="15" spans="1:28" ht="14.4" x14ac:dyDescent="0.25">
      <c r="A15" s="179"/>
      <c r="B15" s="179"/>
      <c r="C15" s="180"/>
      <c r="D15" s="189"/>
      <c r="E15" s="189"/>
      <c r="F15" s="130"/>
      <c r="G15" s="130"/>
      <c r="H15" s="166"/>
      <c r="I15" s="191"/>
      <c r="J15" s="127"/>
      <c r="K15" s="127"/>
      <c r="L15" s="130"/>
      <c r="M15" s="190"/>
      <c r="N15" s="130"/>
      <c r="O15" s="130"/>
      <c r="P15" s="130"/>
      <c r="Q15" s="130"/>
      <c r="R15" s="127"/>
      <c r="S15" s="132"/>
      <c r="T15" s="132"/>
      <c r="U15" s="132"/>
      <c r="V15" s="132"/>
      <c r="W15" s="148"/>
      <c r="X15" s="132"/>
      <c r="Y15" s="132"/>
      <c r="Z15" s="132"/>
      <c r="AA15" s="132"/>
      <c r="AB15" s="148"/>
    </row>
    <row r="16" spans="1:28" ht="14.4" x14ac:dyDescent="0.25">
      <c r="A16" s="179"/>
      <c r="B16" s="179"/>
      <c r="C16" s="180"/>
      <c r="D16" s="189"/>
      <c r="E16" s="189"/>
      <c r="F16" s="130"/>
      <c r="G16" s="130"/>
      <c r="H16" s="166"/>
      <c r="I16" s="191"/>
      <c r="J16" s="127"/>
      <c r="K16" s="127"/>
      <c r="L16" s="130"/>
      <c r="M16" s="190"/>
      <c r="N16" s="130"/>
      <c r="O16" s="130"/>
      <c r="P16" s="130"/>
      <c r="Q16" s="130"/>
      <c r="R16" s="127"/>
      <c r="S16" s="132"/>
      <c r="T16" s="132"/>
      <c r="U16" s="132"/>
      <c r="V16" s="132"/>
      <c r="W16" s="148"/>
      <c r="X16" s="132"/>
      <c r="Y16" s="132"/>
      <c r="Z16" s="132"/>
      <c r="AA16" s="132"/>
      <c r="AB16" s="148"/>
    </row>
    <row r="17" spans="1:28" ht="14.4" x14ac:dyDescent="0.25">
      <c r="A17" s="179"/>
      <c r="B17" s="179"/>
      <c r="C17" s="180"/>
      <c r="D17" s="189"/>
      <c r="E17" s="189"/>
      <c r="F17" s="130"/>
      <c r="G17" s="130"/>
      <c r="H17" s="166"/>
      <c r="I17" s="191"/>
      <c r="J17" s="127"/>
      <c r="K17" s="127"/>
      <c r="L17" s="130"/>
      <c r="M17" s="190"/>
      <c r="N17" s="130"/>
      <c r="O17" s="130"/>
      <c r="P17" s="130"/>
      <c r="Q17" s="130"/>
      <c r="R17" s="127"/>
      <c r="S17" s="132"/>
      <c r="T17" s="132"/>
      <c r="U17" s="132"/>
      <c r="V17" s="132"/>
      <c r="W17" s="148"/>
      <c r="X17" s="132"/>
      <c r="Y17" s="132"/>
      <c r="Z17" s="132"/>
      <c r="AA17" s="132"/>
      <c r="AB17" s="148"/>
    </row>
    <row r="18" spans="1:28" ht="14.4" x14ac:dyDescent="0.25">
      <c r="A18" s="179"/>
      <c r="B18" s="179"/>
      <c r="C18" s="180"/>
      <c r="D18" s="189"/>
      <c r="E18" s="189"/>
      <c r="F18" s="130"/>
      <c r="G18" s="130"/>
      <c r="H18" s="166"/>
      <c r="I18" s="191"/>
      <c r="J18" s="127"/>
      <c r="K18" s="127"/>
      <c r="L18" s="130"/>
      <c r="M18" s="190"/>
      <c r="N18" s="130"/>
      <c r="O18" s="130"/>
      <c r="P18" s="130"/>
      <c r="Q18" s="130"/>
      <c r="R18" s="127"/>
      <c r="S18" s="132"/>
      <c r="T18" s="132"/>
      <c r="U18" s="132"/>
      <c r="V18" s="132"/>
      <c r="W18" s="148"/>
      <c r="X18" s="132"/>
      <c r="Y18" s="132"/>
      <c r="Z18" s="132"/>
      <c r="AA18" s="132"/>
      <c r="AB18" s="148"/>
    </row>
    <row r="19" spans="1:28" ht="14.4" x14ac:dyDescent="0.25">
      <c r="A19" s="179"/>
      <c r="B19" s="179"/>
      <c r="C19" s="180"/>
      <c r="D19" s="189"/>
      <c r="E19" s="189"/>
      <c r="F19" s="130"/>
      <c r="G19" s="130"/>
      <c r="H19" s="166"/>
      <c r="I19" s="191"/>
      <c r="J19" s="127"/>
      <c r="K19" s="127"/>
      <c r="L19" s="130"/>
      <c r="M19" s="190"/>
      <c r="N19" s="130"/>
      <c r="O19" s="130"/>
      <c r="P19" s="130"/>
      <c r="Q19" s="130"/>
      <c r="R19" s="127"/>
      <c r="S19" s="132"/>
      <c r="T19" s="132"/>
      <c r="U19" s="132"/>
      <c r="V19" s="132"/>
      <c r="W19" s="148"/>
      <c r="X19" s="132"/>
      <c r="Y19" s="132"/>
      <c r="Z19" s="132"/>
      <c r="AA19" s="132"/>
      <c r="AB19" s="148"/>
    </row>
    <row r="20" spans="1:28" ht="14.4" x14ac:dyDescent="0.25">
      <c r="A20" s="179"/>
      <c r="B20" s="179"/>
      <c r="C20" s="180"/>
      <c r="D20" s="189"/>
      <c r="E20" s="189"/>
      <c r="F20" s="130"/>
      <c r="G20" s="130"/>
      <c r="H20" s="166"/>
      <c r="I20" s="191"/>
      <c r="J20" s="127"/>
      <c r="K20" s="127"/>
      <c r="L20" s="130"/>
      <c r="M20" s="190"/>
      <c r="N20" s="130"/>
      <c r="O20" s="130"/>
      <c r="P20" s="130"/>
      <c r="Q20" s="130"/>
      <c r="R20" s="127"/>
      <c r="S20" s="132"/>
      <c r="T20" s="132"/>
      <c r="U20" s="132"/>
      <c r="V20" s="132"/>
      <c r="W20" s="148"/>
      <c r="X20" s="132"/>
      <c r="Y20" s="132"/>
      <c r="Z20" s="132"/>
      <c r="AA20" s="132"/>
      <c r="AB20" s="148"/>
    </row>
    <row r="21" spans="1:28" ht="14.4" x14ac:dyDescent="0.25">
      <c r="A21" s="179"/>
      <c r="B21" s="179"/>
      <c r="C21" s="180"/>
      <c r="D21" s="189"/>
      <c r="E21" s="189"/>
      <c r="F21" s="130"/>
      <c r="G21" s="130"/>
      <c r="H21" s="166"/>
      <c r="I21" s="191"/>
      <c r="J21" s="127"/>
      <c r="K21" s="127"/>
      <c r="L21" s="130"/>
      <c r="M21" s="190"/>
      <c r="N21" s="130"/>
      <c r="O21" s="130"/>
      <c r="P21" s="130"/>
      <c r="Q21" s="130"/>
      <c r="R21" s="127"/>
      <c r="S21" s="132"/>
      <c r="T21" s="132"/>
      <c r="U21" s="132"/>
      <c r="V21" s="132"/>
      <c r="W21" s="148"/>
      <c r="X21" s="132"/>
      <c r="Y21" s="132"/>
      <c r="Z21" s="132"/>
      <c r="AA21" s="132"/>
      <c r="AB21" s="148"/>
    </row>
    <row r="41" spans="10:10" x14ac:dyDescent="0.25">
      <c r="J41" s="75" t="s">
        <v>74</v>
      </c>
    </row>
    <row r="42" spans="10:10" x14ac:dyDescent="0.25">
      <c r="J42" s="1" t="s">
        <v>54</v>
      </c>
    </row>
    <row r="43" spans="10:10" x14ac:dyDescent="0.25">
      <c r="J43" s="36" t="s">
        <v>47</v>
      </c>
    </row>
    <row r="44" spans="10:10" x14ac:dyDescent="0.25">
      <c r="J44" s="36" t="s">
        <v>48</v>
      </c>
    </row>
    <row r="45" spans="10:10" x14ac:dyDescent="0.25">
      <c r="J45" s="36" t="s">
        <v>49</v>
      </c>
    </row>
    <row r="46" spans="10:10" x14ac:dyDescent="0.25">
      <c r="J46" s="36" t="s">
        <v>75</v>
      </c>
    </row>
    <row r="66" spans="1:27" x14ac:dyDescent="0.25">
      <c r="I66" s="60"/>
      <c r="J66" s="75"/>
      <c r="K66" s="75"/>
    </row>
    <row r="67" spans="1:27" x14ac:dyDescent="0.25">
      <c r="I67" s="60"/>
    </row>
    <row r="68" spans="1:27" x14ac:dyDescent="0.25">
      <c r="A68" s="3"/>
      <c r="I68" s="1"/>
      <c r="J68" s="36"/>
      <c r="K68" s="36"/>
      <c r="L68" s="36"/>
      <c r="M68" s="57"/>
      <c r="N68" s="57"/>
      <c r="O68" s="57"/>
      <c r="P68" s="57"/>
      <c r="Q68" s="1"/>
      <c r="R68" s="2"/>
      <c r="V68" s="1"/>
      <c r="W68" s="2"/>
      <c r="AA68" s="1"/>
    </row>
    <row r="69" spans="1:27" x14ac:dyDescent="0.25">
      <c r="A69" s="3"/>
      <c r="I69" s="1"/>
      <c r="J69" s="36"/>
      <c r="K69" s="36"/>
      <c r="L69" s="36"/>
      <c r="M69" s="57"/>
      <c r="N69" s="57"/>
      <c r="O69" s="57"/>
      <c r="P69" s="57"/>
      <c r="Q69" s="1"/>
      <c r="R69" s="2"/>
      <c r="V69" s="1"/>
      <c r="W69" s="2"/>
      <c r="AA69" s="1"/>
    </row>
    <row r="70" spans="1:27" x14ac:dyDescent="0.25">
      <c r="A70" s="3"/>
      <c r="I70" s="1"/>
      <c r="J70" s="36"/>
      <c r="K70" s="36"/>
      <c r="L70" s="36"/>
      <c r="M70" s="57"/>
      <c r="N70" s="57"/>
      <c r="O70" s="57"/>
      <c r="P70" s="57"/>
      <c r="Q70" s="1"/>
      <c r="R70" s="2"/>
      <c r="V70" s="1"/>
      <c r="W70" s="2"/>
      <c r="AA70" s="1"/>
    </row>
    <row r="71" spans="1:27" x14ac:dyDescent="0.25">
      <c r="A71" s="3"/>
      <c r="I71" s="1"/>
      <c r="J71" s="36"/>
      <c r="K71" s="36"/>
      <c r="L71" s="36"/>
      <c r="M71" s="57"/>
      <c r="N71" s="57"/>
      <c r="O71" s="57"/>
      <c r="P71" s="57"/>
      <c r="Q71" s="1"/>
      <c r="R71" s="2"/>
      <c r="V71" s="1"/>
      <c r="W71" s="2"/>
      <c r="AA71" s="1"/>
    </row>
  </sheetData>
  <autoFilter ref="A3:AB8" xr:uid="{00000000-0009-0000-0000-000000000000}"/>
  <mergeCells count="3">
    <mergeCell ref="N2:R2"/>
    <mergeCell ref="S2:W2"/>
    <mergeCell ref="X2:AB2"/>
  </mergeCells>
  <phoneticPr fontId="7" type="noConversion"/>
  <conditionalFormatting sqref="A4:C14">
    <cfRule type="expression" dxfId="146" priority="57">
      <formula>$J4="CTA"</formula>
    </cfRule>
    <cfRule type="expression" dxfId="145" priority="58">
      <formula>$J4="GAA"</formula>
    </cfRule>
  </conditionalFormatting>
  <conditionalFormatting sqref="A41:F46 H41:I46 K41:AB46">
    <cfRule type="expression" dxfId="144" priority="1120">
      <formula>#REF!="GAA"</formula>
    </cfRule>
  </conditionalFormatting>
  <conditionalFormatting sqref="A4:XFD16">
    <cfRule type="expression" dxfId="143" priority="134">
      <formula>$J4="AUR"</formula>
    </cfRule>
  </conditionalFormatting>
  <conditionalFormatting sqref="D4:D5">
    <cfRule type="expression" dxfId="142" priority="449">
      <formula>$J5="CTA"</formula>
    </cfRule>
    <cfRule type="expression" dxfId="141" priority="450">
      <formula>$J5="GAA"</formula>
    </cfRule>
  </conditionalFormatting>
  <conditionalFormatting sqref="D12">
    <cfRule type="expression" dxfId="140" priority="5">
      <formula>$J12="CTA"</formula>
    </cfRule>
    <cfRule type="expression" dxfId="139" priority="6">
      <formula>$J12="GAA"</formula>
    </cfRule>
  </conditionalFormatting>
  <conditionalFormatting sqref="D6:E9 O6:AB9 D10:I11 K10:AB11 E12 O12:AB12 D13:I14 K13:AB14 B14 A15:AB40 A47:AB500">
    <cfRule type="expression" dxfId="138" priority="135">
      <formula>$J6="CTA"</formula>
    </cfRule>
    <cfRule type="expression" dxfId="137" priority="136">
      <formula>$J6="GAA"</formula>
    </cfRule>
  </conditionalFormatting>
  <conditionalFormatting sqref="E4:G5 O4:AB5">
    <cfRule type="expression" dxfId="136" priority="60">
      <formula>$J4="CTA"</formula>
    </cfRule>
    <cfRule type="expression" dxfId="135" priority="61">
      <formula>$J4="GAA"</formula>
    </cfRule>
  </conditionalFormatting>
  <conditionalFormatting sqref="F6:G9">
    <cfRule type="expression" dxfId="134" priority="27">
      <formula>$J6="CTA"</formula>
    </cfRule>
    <cfRule type="expression" dxfId="133" priority="28">
      <formula>$J6="GAA"</formula>
    </cfRule>
  </conditionalFormatting>
  <conditionalFormatting sqref="F12:I12 K12:N12">
    <cfRule type="expression" dxfId="132" priority="10">
      <formula>$J12="GAA"</formula>
    </cfRule>
  </conditionalFormatting>
  <conditionalFormatting sqref="H4:I9 K5:N9">
    <cfRule type="expression" dxfId="131" priority="25">
      <formula>$J4="GAA"</formula>
    </cfRule>
  </conditionalFormatting>
  <conditionalFormatting sqref="J4:J14">
    <cfRule type="expression" dxfId="130" priority="1">
      <formula>$J4="AUR"</formula>
    </cfRule>
    <cfRule type="expression" dxfId="129" priority="2">
      <formula>$J4="CTA"</formula>
    </cfRule>
    <cfRule type="expression" dxfId="128" priority="3">
      <formula>$J4="GAA"</formula>
    </cfRule>
  </conditionalFormatting>
  <conditionalFormatting sqref="K4:K11">
    <cfRule type="expression" dxfId="127" priority="44">
      <formula>SUMPRODUCT(($K4="A")+($K4="B"))</formula>
    </cfRule>
    <cfRule type="expression" dxfId="126" priority="45">
      <formula>SUMPRODUCT(($D4&lt;&gt;"")*($K4="")+($K4="C"))</formula>
    </cfRule>
    <cfRule type="expression" dxfId="125" priority="46">
      <formula>$K4="Pending"</formula>
    </cfRule>
  </conditionalFormatting>
  <conditionalFormatting sqref="K4:K21">
    <cfRule type="expression" dxfId="124" priority="7">
      <formula>$K4="Pending"</formula>
    </cfRule>
  </conditionalFormatting>
  <conditionalFormatting sqref="K12:K500">
    <cfRule type="expression" dxfId="123" priority="20">
      <formula>SUMPRODUCT(($K12="A")+($K12="B"))</formula>
    </cfRule>
    <cfRule type="expression" dxfId="122" priority="21">
      <formula>SUMPRODUCT(($D12&lt;&gt;"")*($K12="")+($K12="C"))</formula>
    </cfRule>
    <cfRule type="expression" dxfId="121" priority="22">
      <formula>$K12="Pending"</formula>
    </cfRule>
  </conditionalFormatting>
  <conditionalFormatting sqref="K4:N4">
    <cfRule type="expression" dxfId="120" priority="48">
      <formula>$J4="CTA"</formula>
    </cfRule>
    <cfRule type="expression" dxfId="119" priority="49">
      <formula>$J4="GAA"</formula>
    </cfRule>
  </conditionalFormatting>
  <conditionalFormatting sqref="K5:N9 H4:I9">
    <cfRule type="expression" dxfId="118" priority="24">
      <formula>$J4="CTA"</formula>
    </cfRule>
  </conditionalFormatting>
  <conditionalFormatting sqref="K12:N12 F12:I12">
    <cfRule type="expression" dxfId="117" priority="9">
      <formula>$J12="CTA"</formula>
    </cfRule>
  </conditionalFormatting>
  <conditionalFormatting sqref="K41:AB46 A41:F46 H41:I46">
    <cfRule type="expression" dxfId="116" priority="1119">
      <formula>#REF!="CTA"</formula>
    </cfRule>
  </conditionalFormatting>
  <dataValidations count="4">
    <dataValidation type="list" allowBlank="1" showInputMessage="1" showErrorMessage="1" sqref="K1 J15 J1:J3 J22:J1048576 K3 K66:K1048576" xr:uid="{DEDAAB60-D788-4C67-8FCD-BA0783167455}">
      <formula1>$J$67:$J$71</formula1>
    </dataValidation>
    <dataValidation type="list" allowBlank="1" showInputMessage="1" showErrorMessage="1" sqref="K4:K65" xr:uid="{B7702D6C-F684-4B29-ABBF-71555EDCC60D}">
      <formula1>"A,B,C,Pending,"</formula1>
    </dataValidation>
    <dataValidation type="list" allowBlank="1" showInputMessage="1" showErrorMessage="1" sqref="J41:J46 J16:J21" xr:uid="{DE876348-7369-41CC-B45A-5795D4501B9E}">
      <formula1>#REF!</formula1>
    </dataValidation>
    <dataValidation type="list" allowBlank="1" showInputMessage="1" showErrorMessage="1" sqref="J5:J14 J4" xr:uid="{FFC2B2DB-B271-4054-AAF2-AAA419C988DB}">
      <formula1>$J$42:$J$46</formula1>
    </dataValidation>
  </dataValidations>
  <pageMargins left="0.23622047244094499" right="0.23622047244094499" top="0.74803149606299202" bottom="0.74803149606299202" header="0.31496062992126" footer="0.31496062992126"/>
  <pageSetup paperSize="8" scale="47" fitToHeight="0" orientation="landscape" r:id="rId1"/>
  <headerFooter>
    <oddHeader>&amp;L&amp;G&amp;CProject Terra Phase 4 Material Approval Submission List</oddHeader>
    <oddFooter>&amp;L&amp;D&amp;RPage &amp;P of &amp;N</oddFooter>
  </headerFooter>
  <colBreaks count="1" manualBreakCount="1">
    <brk id="13" max="1048575" man="1"/>
  </col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8B69-0ED2-4585-BFEA-5D04E2DA21ED}">
  <sheetPr codeName="Sheet9" filterMode="1">
    <tabColor rgb="FF00B0F0"/>
    <pageSetUpPr fitToPage="1"/>
  </sheetPr>
  <dimension ref="A1:W814"/>
  <sheetViews>
    <sheetView tabSelected="1" view="pageBreakPreview" zoomScale="70" zoomScaleNormal="85" zoomScaleSheetLayoutView="70" workbookViewId="0">
      <pane ySplit="4" topLeftCell="A97" activePane="bottomLeft" state="frozen"/>
      <selection activeCell="M5" sqref="M5:M171"/>
      <selection pane="bottomLeft" activeCell="D63" sqref="D63"/>
    </sheetView>
  </sheetViews>
  <sheetFormatPr defaultColWidth="8.69921875" defaultRowHeight="15" customHeight="1" x14ac:dyDescent="0.25"/>
  <cols>
    <col min="1" max="1" width="5.69921875" style="256" customWidth="1"/>
    <col min="2" max="2" width="14.3984375" style="257" customWidth="1"/>
    <col min="3" max="3" width="28.296875" style="256" customWidth="1"/>
    <col min="4" max="4" width="56.3984375" style="258" customWidth="1"/>
    <col min="5" max="5" width="9.296875" style="256" bestFit="1" customWidth="1"/>
    <col min="6" max="11" width="12.69921875" style="256" customWidth="1"/>
    <col min="12" max="12" width="12.69921875" style="259" customWidth="1"/>
    <col min="13" max="13" width="10" style="309" customWidth="1"/>
    <col min="14" max="15" width="8.69921875" style="256" customWidth="1"/>
    <col min="16" max="16" width="56" style="257" bestFit="1" customWidth="1"/>
    <col min="17" max="17" width="44.3984375" style="260" bestFit="1" customWidth="1"/>
    <col min="18" max="18" width="41.59765625" style="260" bestFit="1" customWidth="1"/>
    <col min="19" max="19" width="65.09765625" style="260" bestFit="1" customWidth="1"/>
    <col min="20" max="20" width="50.59765625" style="260" bestFit="1" customWidth="1"/>
    <col min="21" max="21" width="27.296875" style="260" bestFit="1" customWidth="1"/>
    <col min="22" max="22" width="36.59765625" style="260" bestFit="1" customWidth="1"/>
    <col min="23" max="23" width="35.8984375" style="260" bestFit="1" customWidth="1"/>
    <col min="24" max="16384" width="8.69921875" style="260"/>
  </cols>
  <sheetData>
    <row r="1" spans="1:23" ht="20.100000000000001" customHeight="1" x14ac:dyDescent="0.25">
      <c r="I1" s="256" t="str">
        <f>IF(WEEKDAY(G6=0,2),"",IF(WEEKDAY(G6,2)=7,G6+4,IF(WEEKDAY(G6,2)&lt;=3,G6+3,G6+5)))</f>
        <v/>
      </c>
    </row>
    <row r="2" spans="1:23" ht="39.6" x14ac:dyDescent="0.25">
      <c r="A2" s="261"/>
      <c r="B2" s="261" t="s">
        <v>1</v>
      </c>
      <c r="C2" s="261" t="s">
        <v>56</v>
      </c>
      <c r="D2" s="261" t="s">
        <v>57</v>
      </c>
      <c r="E2" s="261" t="s">
        <v>61</v>
      </c>
      <c r="F2" s="261" t="s">
        <v>363</v>
      </c>
      <c r="G2" s="262" t="s">
        <v>364</v>
      </c>
      <c r="H2" s="358" t="s">
        <v>63</v>
      </c>
      <c r="I2" s="359"/>
      <c r="J2" s="360"/>
      <c r="K2" s="319" t="s">
        <v>365</v>
      </c>
      <c r="L2" s="318" t="s">
        <v>366</v>
      </c>
      <c r="M2" s="261" t="s">
        <v>367</v>
      </c>
      <c r="N2" s="261" t="s">
        <v>368</v>
      </c>
      <c r="O2" s="261" t="s">
        <v>369</v>
      </c>
      <c r="P2" s="263"/>
    </row>
    <row r="3" spans="1:23" ht="13.2" x14ac:dyDescent="0.25">
      <c r="A3" s="264"/>
      <c r="B3" s="322"/>
      <c r="C3" s="264"/>
      <c r="D3" s="264"/>
      <c r="E3" s="264"/>
      <c r="F3" s="264"/>
      <c r="G3" s="314"/>
      <c r="H3" s="265" t="s">
        <v>47</v>
      </c>
      <c r="I3" s="266" t="s">
        <v>48</v>
      </c>
      <c r="J3" s="267" t="s">
        <v>49</v>
      </c>
      <c r="K3" s="320"/>
      <c r="L3" s="320"/>
      <c r="M3" s="320"/>
      <c r="N3" s="268"/>
      <c r="O3" s="268"/>
    </row>
    <row r="4" spans="1:23" ht="13.2" x14ac:dyDescent="0.25">
      <c r="A4" s="285"/>
      <c r="B4" s="286"/>
      <c r="C4" s="287"/>
      <c r="D4" s="288"/>
      <c r="E4" s="287"/>
      <c r="F4" s="287" t="s">
        <v>370</v>
      </c>
      <c r="G4" s="289" t="s">
        <v>371</v>
      </c>
      <c r="H4" s="287"/>
      <c r="I4" s="287"/>
      <c r="J4" s="287"/>
      <c r="K4" s="289"/>
      <c r="L4" s="289"/>
      <c r="M4" s="289"/>
      <c r="N4" s="287"/>
      <c r="O4" s="287"/>
      <c r="Q4" s="290"/>
      <c r="R4" s="290"/>
      <c r="S4" s="290"/>
      <c r="T4" s="290"/>
      <c r="U4" s="290"/>
      <c r="V4" s="290"/>
      <c r="W4" s="290"/>
    </row>
    <row r="5" spans="1:23" ht="32.25" customHeight="1" x14ac:dyDescent="0.25">
      <c r="A5" s="269">
        <v>1</v>
      </c>
      <c r="B5" s="283" t="s">
        <v>19</v>
      </c>
      <c r="C5" s="291" t="s">
        <v>77</v>
      </c>
      <c r="D5" s="281" t="str">
        <f>VLOOKUP(C5,AR!$C$4:$J$52,2,0)</f>
        <v>Clarification on Mortar Specification</v>
      </c>
      <c r="E5" s="269">
        <f>IF(VLOOKUP(C5,AR!$C$4:$J$46,6,0)="","",VLOOKUP(C5,AR!$C$4:$J$46,6,0))</f>
        <v>0</v>
      </c>
      <c r="F5" s="292"/>
      <c r="G5" s="272">
        <f>IF(VLOOKUP(C5,AR!$C$4:$J$46,4,0)="","",VLOOKUP(C5,AR!$C$4:$J$46,4,0))</f>
        <v>46034</v>
      </c>
      <c r="H5" s="273" t="str">
        <f>IF(VLOOKUP(C5,AR!$C$4:$AA$46,12,0)="","",IF(E5=0,VLOOKUP(C5,AR!$C$4:$AA$46,12,0),IF(E5=1,VLOOKUP(C5,AR!$C$4:$AA$46,18,0),IF(E5=2,VLOOKUP(C5,AR!$C$4:$AA$46,23,0),""))))</f>
        <v/>
      </c>
      <c r="I5" s="273" t="str">
        <f>IF(VLOOKUP(C5,AR!$C$4:$AA$46,13,0)="","",IF(E5=0,VLOOKUP(C5,AR!$C$4:$AA$46,13,0),IF(E5=1,VLOOKUP(C5,AR!$C$4:$AA$46,18,0),IF(E5=2,VLOOKUP(C5,AR!$C$4:$AA$46,23,0),""))))</f>
        <v/>
      </c>
      <c r="J5" s="273" t="str">
        <f>IF(VLOOKUP(C5,AR!$C$4:$AA$46,15,0)="","",IF(E5=0,VLOOKUP(C5,AR!$C$4:$AA$46,15,0),IF(E5=1,VLOOKUP(C5,AR!$C$4:$AA$46,20,0),IF(E5=2,VLOOKUP(C5,AR!$C$4:$AA$46,25,0),""))))</f>
        <v/>
      </c>
      <c r="K5" s="276" t="str">
        <f>VLOOKUP(C5,AR!$C$4:$K$996,7,0)</f>
        <v>CTA</v>
      </c>
      <c r="L5" s="275" cm="1">
        <f t="array" aca="1" ref="L5" ca="1">_xlfn.IFS(AND($E5&lt;&gt;"",$M5="Pending",$K5="CTA"),TODAY()-$G5,AND($E5&lt;&gt;"",$M5="Pending",$K5="AUR"),TODAY()-$H5,AND($E5&lt;&gt;"",$M5="Pending",$K5="STT"),TODAY()-$I5,OR(K5="Closed",K5=""),"")</f>
        <v>30</v>
      </c>
      <c r="M5" s="276" t="str">
        <f>VLOOKUP(C5,AR!$C$4:$J$34,8,0)</f>
        <v>Pending</v>
      </c>
      <c r="N5" s="269" t="str">
        <f t="shared" ref="N5:N34" ca="1" si="0">IF(AND(E5&lt;&gt;"",M5="Pending"),IF(L5&gt;=5,"Overdue",IF(L5&gt;=3,"High","")),"")</f>
        <v>Overdue</v>
      </c>
      <c r="O5" s="316" t="s">
        <v>372</v>
      </c>
    </row>
    <row r="6" spans="1:23" ht="32.25" hidden="1" customHeight="1" x14ac:dyDescent="0.25">
      <c r="A6" s="269">
        <f>A5+1</f>
        <v>2</v>
      </c>
      <c r="B6" s="283" t="s">
        <v>19</v>
      </c>
      <c r="C6" s="291" t="s">
        <v>79</v>
      </c>
      <c r="D6" s="281">
        <f>VLOOKUP(C6,AR!$C$4:$J$52,2,0)</f>
        <v>0</v>
      </c>
      <c r="E6" s="269" t="str">
        <f>IF(VLOOKUP(C6,AR!$C$4:$J$46,6,0)="","",VLOOKUP(C6,AR!$C$4:$J$46,6,0))</f>
        <v/>
      </c>
      <c r="F6" s="292"/>
      <c r="G6" s="272" t="str">
        <f>IF(VLOOKUP(C6,AR!$C$4:$J$46,4,0)="","",VLOOKUP(C6,AR!$C$4:$J$46,4,0))</f>
        <v/>
      </c>
      <c r="H6" s="273" t="str">
        <f>IF(VLOOKUP(C6,AR!$C$4:$AA$46,12,0)="","",IF(E6=0,VLOOKUP(C6,AR!$C$4:$AA$46,12,0),IF(E6=1,VLOOKUP(C6,AR!$C$4:$AA$46,18,0),IF(E6=2,VLOOKUP(C6,AR!$C$4:$AA$46,23,0),""))))</f>
        <v/>
      </c>
      <c r="I6" s="273" t="str">
        <f>IF(VLOOKUP(C6,AR!$C$4:$AA$46,13,0)="","",IF(E6=0,VLOOKUP(C6,AR!$C$4:$AA$46,13,0),IF(E6=1,VLOOKUP(C6,AR!$C$4:$AA$46,18,0),IF(E6=2,VLOOKUP(C6,AR!$C$4:$AA$46,23,0),""))))</f>
        <v/>
      </c>
      <c r="J6" s="273" t="str">
        <f>IF(VLOOKUP(C6,AR!$C$4:$AA$46,15,0)="","",IF(E6=0,VLOOKUP(C6,AR!$C$4:$AA$46,15,0),IF(E6=1,VLOOKUP(C6,AR!$C$4:$AA$46,20,0),IF(E6=2,VLOOKUP(C6,AR!$C$4:$AA$46,25,0),""))))</f>
        <v/>
      </c>
      <c r="K6" s="276">
        <f>VLOOKUP(C6,AR!$C$4:$K$996,7,0)</f>
        <v>0</v>
      </c>
      <c r="L6" s="275" t="e" cm="1">
        <f t="array" aca="1" ref="L6" ca="1">_xlfn.IFS(AND($E6&lt;&gt;"",$M6="Pending",$K6="CTA"),TODAY()-$G6,AND($E6&lt;&gt;"",$M6="Pending",$K6="AUR"),TODAY()-$H6,AND($E6&lt;&gt;"",$M6="Pending",$K6="STT"),TODAY()-$I6,OR(K6="Closed",K6=""),"")</f>
        <v>#N/A</v>
      </c>
      <c r="M6" s="276">
        <f>VLOOKUP(C6,AR!$C$4:$J$34,8,0)</f>
        <v>0</v>
      </c>
      <c r="N6" s="269" t="str">
        <f t="shared" si="0"/>
        <v/>
      </c>
      <c r="O6" s="277"/>
    </row>
    <row r="7" spans="1:23" ht="32.25" hidden="1" customHeight="1" x14ac:dyDescent="0.25">
      <c r="A7" s="269">
        <f t="shared" ref="A7:A48" si="1">A6+1</f>
        <v>3</v>
      </c>
      <c r="B7" s="283" t="s">
        <v>19</v>
      </c>
      <c r="C7" s="291" t="s">
        <v>80</v>
      </c>
      <c r="D7" s="281" t="str">
        <f>VLOOKUP(C7,AR!$C$4:$J$52,2,0)</f>
        <v xml:space="preserve">Partition wall or Block Wall  HV3 and HV 4 Shaft 2nd Floor </v>
      </c>
      <c r="E7" s="269">
        <f>IF(VLOOKUP(C7,AR!$C$4:$J$46,6,0)="","",VLOOKUP(C7,AR!$C$4:$J$46,6,0))</f>
        <v>0</v>
      </c>
      <c r="F7" s="292"/>
      <c r="G7" s="272">
        <f>IF(VLOOKUP(C7,AR!$C$4:$J$46,4,0)="","",VLOOKUP(C7,AR!$C$4:$J$46,4,0))</f>
        <v>46042</v>
      </c>
      <c r="H7" s="273">
        <f>IF(VLOOKUP(C7,AR!$C$4:$AA$46,12,0)="","",IF(E7=0,VLOOKUP(C7,AR!$C$4:$AA$46,12,0),IF(E7=1,VLOOKUP(C7,AR!$C$4:$AA$46,18,0),IF(E7=2,VLOOKUP(C7,AR!$C$4:$AA$46,23,0),""))))</f>
        <v>46043</v>
      </c>
      <c r="I7" s="273">
        <f>IF(VLOOKUP(C7,AR!$C$4:$AA$46,13,0)="","",IF(E7=0,VLOOKUP(C7,AR!$C$4:$AA$46,13,0),IF(E7=1,VLOOKUP(C7,AR!$C$4:$AA$46,18,0),IF(E7=2,VLOOKUP(C7,AR!$C$4:$AA$46,23,0),""))))</f>
        <v>46051</v>
      </c>
      <c r="J7" s="273" t="str">
        <f>IF(VLOOKUP(C7,AR!$C$4:$AA$46,15,0)="","",IF(E7=0,VLOOKUP(C7,AR!$C$4:$AA$46,15,0),IF(E7=1,VLOOKUP(C7,AR!$C$4:$AA$46,20,0),IF(E7=2,VLOOKUP(C7,AR!$C$4:$AA$46,25,0),""))))</f>
        <v>B</v>
      </c>
      <c r="K7" s="276" t="str">
        <f>VLOOKUP(C7,AR!$C$4:$K$996,7,0)</f>
        <v>Closed</v>
      </c>
      <c r="L7" s="275" t="str" cm="1">
        <f t="array" aca="1" ref="L7" ca="1">_xlfn.IFS(AND($E7&lt;&gt;"",$M7="Pending",$K7="CTA"),TODAY()-$G7,AND($E7&lt;&gt;"",$M7="Pending",$K7="AUR"),TODAY()-$H7,AND($E7&lt;&gt;"",$M7="Pending",$K7="STT"),TODAY()-$I7,OR(K7="Closed",K7=""),"")</f>
        <v/>
      </c>
      <c r="M7" s="276" t="str">
        <f>VLOOKUP(C7,AR!$C$4:$J$34,8,0)</f>
        <v>B</v>
      </c>
      <c r="N7" s="269" t="str">
        <f t="shared" si="0"/>
        <v/>
      </c>
      <c r="O7" s="293"/>
    </row>
    <row r="8" spans="1:23" ht="32.25" hidden="1" customHeight="1" x14ac:dyDescent="0.25">
      <c r="A8" s="269">
        <f t="shared" si="1"/>
        <v>4</v>
      </c>
      <c r="B8" s="283" t="s">
        <v>19</v>
      </c>
      <c r="C8" s="291" t="s">
        <v>82</v>
      </c>
      <c r="D8" s="281" t="str">
        <f>VLOOKUP(C8,AR!$C$4:$J$52,2,0)</f>
        <v>Confirmation for Store Room or EE Riser</v>
      </c>
      <c r="E8" s="269">
        <f>IF(VLOOKUP(C8,AR!$C$4:$J$46,6,0)="","",VLOOKUP(C8,AR!$C$4:$J$46,6,0))</f>
        <v>0</v>
      </c>
      <c r="F8" s="292"/>
      <c r="G8" s="272">
        <f>IF(VLOOKUP(C8,AR!$C$4:$J$46,4,0)="","",VLOOKUP(C8,AR!$C$4:$J$46,4,0))</f>
        <v>46042</v>
      </c>
      <c r="H8" s="273">
        <f>IF(VLOOKUP(C8,AR!$C$4:$AA$46,12,0)="","",IF(E8=0,VLOOKUP(C8,AR!$C$4:$AA$46,12,0),IF(E8=1,VLOOKUP(C8,AR!$C$4:$AA$46,18,0),IF(E8=2,VLOOKUP(C8,AR!$C$4:$AA$46,23,0),""))))</f>
        <v>46043</v>
      </c>
      <c r="I8" s="273">
        <f>IF(VLOOKUP(C8,AR!$C$4:$AA$46,13,0)="","",IF(E8=0,VLOOKUP(C8,AR!$C$4:$AA$46,13,0),IF(E8=1,VLOOKUP(C8,AR!$C$4:$AA$46,18,0),IF(E8=2,VLOOKUP(C8,AR!$C$4:$AA$46,23,0),""))))</f>
        <v>46052</v>
      </c>
      <c r="J8" s="273" t="str">
        <f>IF(VLOOKUP(C8,AR!$C$4:$AA$46,15,0)="","",IF(E8=0,VLOOKUP(C8,AR!$C$4:$AA$46,15,0),IF(E8=1,VLOOKUP(C8,AR!$C$4:$AA$46,20,0),IF(E8=2,VLOOKUP(C8,AR!$C$4:$AA$46,25,0),""))))</f>
        <v/>
      </c>
      <c r="K8" s="276" t="str">
        <f>VLOOKUP(C8,AR!$C$4:$K$996,7,0)</f>
        <v>Closed</v>
      </c>
      <c r="L8" s="275" t="str" cm="1">
        <f t="array" aca="1" ref="L8" ca="1">_xlfn.IFS(AND($E8&lt;&gt;"",$M8="Pending",$K8="CTA"),TODAY()-$G8,AND($E8&lt;&gt;"",$M8="Pending",$K8="AUR"),TODAY()-$H8,AND($E8&lt;&gt;"",$M8="Pending",$K8="STT"),TODAY()-$I8,OR(K8="Closed",K8=""),"")</f>
        <v/>
      </c>
      <c r="M8" s="276" t="str">
        <f>VLOOKUP(C8,AR!$C$4:$J$34,8,0)</f>
        <v>B</v>
      </c>
      <c r="N8" s="269" t="str">
        <f t="shared" si="0"/>
        <v/>
      </c>
      <c r="O8" s="293"/>
    </row>
    <row r="9" spans="1:23" ht="32.25" hidden="1" customHeight="1" x14ac:dyDescent="0.25">
      <c r="A9" s="269">
        <f t="shared" si="1"/>
        <v>5</v>
      </c>
      <c r="B9" s="283" t="s">
        <v>19</v>
      </c>
      <c r="C9" s="291" t="s">
        <v>84</v>
      </c>
      <c r="D9" s="281" t="str">
        <f>VLOOKUP(C9,AR!$C$4:$J$52,2,0)</f>
        <v>Partition wall or Block wall Chiller 2nd 3rd 4th and 5th FL</v>
      </c>
      <c r="E9" s="269">
        <f>IF(VLOOKUP(C9,AR!$C$4:$J$46,6,0)="","",VLOOKUP(C9,AR!$C$4:$J$46,6,0))</f>
        <v>0</v>
      </c>
      <c r="F9" s="292"/>
      <c r="G9" s="272">
        <f>IF(VLOOKUP(C9,AR!$C$4:$J$46,4,0)="","",VLOOKUP(C9,AR!$C$4:$J$46,4,0))</f>
        <v>46042</v>
      </c>
      <c r="H9" s="273">
        <f>IF(VLOOKUP(C9,AR!$C$4:$AA$46,12,0)="","",IF(E9=0,VLOOKUP(C9,AR!$C$4:$AA$46,12,0),IF(E9=1,VLOOKUP(C9,AR!$C$4:$AA$46,18,0),IF(E9=2,VLOOKUP(C9,AR!$C$4:$AA$46,23,0),""))))</f>
        <v>46043</v>
      </c>
      <c r="I9" s="273">
        <f>IF(VLOOKUP(C9,AR!$C$4:$AA$46,13,0)="","",IF(E9=0,VLOOKUP(C9,AR!$C$4:$AA$46,13,0),IF(E9=1,VLOOKUP(C9,AR!$C$4:$AA$46,18,0),IF(E9=2,VLOOKUP(C9,AR!$C$4:$AA$46,23,0),""))))</f>
        <v>46051</v>
      </c>
      <c r="J9" s="273" t="str">
        <f>IF(VLOOKUP(C9,AR!$C$4:$AA$46,15,0)="","",IF(E9=0,VLOOKUP(C9,AR!$C$4:$AA$46,15,0),IF(E9=1,VLOOKUP(C9,AR!$C$4:$AA$46,20,0),IF(E9=2,VLOOKUP(C9,AR!$C$4:$AA$46,25,0),""))))</f>
        <v>B</v>
      </c>
      <c r="K9" s="276" t="str">
        <f>VLOOKUP(C9,AR!$C$4:$K$996,7,0)</f>
        <v>Closed</v>
      </c>
      <c r="L9" s="275" t="str" cm="1">
        <f t="array" aca="1" ref="L9" ca="1">_xlfn.IFS(AND($E9&lt;&gt;"",$M9="Pending",$K9="CTA"),TODAY()-$G9,AND($E9&lt;&gt;"",$M9="Pending",$K9="AUR"),TODAY()-$H9,AND($E9&lt;&gt;"",$M9="Pending",$K9="STT"),TODAY()-$I9,OR(K9="Closed",K9=""),"")</f>
        <v/>
      </c>
      <c r="M9" s="276" t="str">
        <f>VLOOKUP(C9,AR!$C$4:$J$34,8,0)</f>
        <v>B</v>
      </c>
      <c r="N9" s="269" t="str">
        <f t="shared" si="0"/>
        <v/>
      </c>
      <c r="O9" s="293"/>
    </row>
    <row r="10" spans="1:23" ht="32.25" customHeight="1" x14ac:dyDescent="0.25">
      <c r="A10" s="269">
        <f t="shared" si="1"/>
        <v>6</v>
      </c>
      <c r="B10" s="283" t="s">
        <v>19</v>
      </c>
      <c r="C10" s="291" t="s">
        <v>86</v>
      </c>
      <c r="D10" s="281" t="str">
        <f>VLOOKUP(C10,AR!$C$4:$J$52,2,0)</f>
        <v xml:space="preserve">Confirmation for Whether the Door Handle is to be Installed on the Right-Hand Side or Left-Hand Side. 2nd Floor </v>
      </c>
      <c r="E10" s="269">
        <f>IF(VLOOKUP(C10,AR!$C$4:$J$46,6,0)="","",VLOOKUP(C10,AR!$C$4:$J$46,6,0))</f>
        <v>0</v>
      </c>
      <c r="F10" s="292"/>
      <c r="G10" s="272">
        <f>IF(VLOOKUP(C10,AR!$C$4:$J$46,4,0)="","",VLOOKUP(C10,AR!$C$4:$J$46,4,0))</f>
        <v>46042</v>
      </c>
      <c r="H10" s="273">
        <f>IF(VLOOKUP(C10,AR!$C$4:$AA$46,12,0)="","",IF(E10=0,VLOOKUP(C10,AR!$C$4:$AA$46,12,0),IF(E10=1,VLOOKUP(C10,AR!$C$4:$AA$46,18,0),IF(E10=2,VLOOKUP(C10,AR!$C$4:$AA$46,23,0),""))))</f>
        <v>46052</v>
      </c>
      <c r="I10" s="273">
        <f>IF(VLOOKUP(C10,AR!$C$4:$AA$46,13,0)="","",IF(E10=0,VLOOKUP(C10,AR!$C$4:$AA$46,13,0),IF(E10=1,VLOOKUP(C10,AR!$C$4:$AA$46,18,0),IF(E10=2,VLOOKUP(C10,AR!$C$4:$AA$46,23,0),""))))</f>
        <v>46058</v>
      </c>
      <c r="J10" s="273" t="str">
        <f>IF(VLOOKUP(C10,AR!$C$4:$AA$46,15,0)="","",IF(E10=0,VLOOKUP(C10,AR!$C$4:$AA$46,15,0),IF(E10=1,VLOOKUP(C10,AR!$C$4:$AA$46,20,0),IF(E10=2,VLOOKUP(C10,AR!$C$4:$AA$46,25,0),""))))</f>
        <v/>
      </c>
      <c r="K10" s="276" t="str">
        <f>VLOOKUP(C10,AR!$C$4:$K$996,7,0)</f>
        <v>STT</v>
      </c>
      <c r="L10" s="275" cm="1">
        <f t="array" aca="1" ref="L10" ca="1">_xlfn.IFS(AND($E10&lt;&gt;"",$M10="Pending",$K10="CTA"),TODAY()-$G10,AND($E10&lt;&gt;"",$M10="Pending",$K10="AUR"),TODAY()-$H10,AND($E10&lt;&gt;"",$M10="Pending",$K10="STT"),TODAY()-$I10,OR(K10="Closed",K10=""),"")</f>
        <v>6</v>
      </c>
      <c r="M10" s="276" t="str">
        <f>VLOOKUP(C10,AR!$C$4:$J$34,8,0)</f>
        <v>Pending</v>
      </c>
      <c r="N10" s="269" t="str">
        <f t="shared" ca="1" si="0"/>
        <v>Overdue</v>
      </c>
      <c r="O10" s="293"/>
    </row>
    <row r="11" spans="1:23" ht="32.25" hidden="1" customHeight="1" x14ac:dyDescent="0.25">
      <c r="A11" s="269">
        <f t="shared" si="1"/>
        <v>7</v>
      </c>
      <c r="B11" s="283" t="s">
        <v>19</v>
      </c>
      <c r="C11" s="291" t="s">
        <v>88</v>
      </c>
      <c r="D11" s="281">
        <f>VLOOKUP(C11,AR!$C$4:$J$52,2,0)</f>
        <v>0</v>
      </c>
      <c r="E11" s="269" t="str">
        <f>IF(VLOOKUP(C11,AR!$C$4:$J$46,6,0)="","",VLOOKUP(C11,AR!$C$4:$J$46,6,0))</f>
        <v/>
      </c>
      <c r="F11" s="292"/>
      <c r="G11" s="272" t="str">
        <f>IF(VLOOKUP(C11,AR!$C$4:$J$46,4,0)="","",VLOOKUP(C11,AR!$C$4:$J$46,4,0))</f>
        <v/>
      </c>
      <c r="H11" s="273" t="str">
        <f>IF(VLOOKUP(C11,AR!$C$4:$AA$46,12,0)="","",IF(E11=0,VLOOKUP(C11,AR!$C$4:$AA$46,12,0),IF(E11=1,VLOOKUP(C11,AR!$C$4:$AA$46,18,0),IF(E11=2,VLOOKUP(C11,AR!$C$4:$AA$46,23,0),""))))</f>
        <v/>
      </c>
      <c r="I11" s="273" t="str">
        <f>IF(VLOOKUP(C11,AR!$C$4:$AA$46,13,0)="","",IF(E11=0,VLOOKUP(C11,AR!$C$4:$AA$46,13,0),IF(E11=1,VLOOKUP(C11,AR!$C$4:$AA$46,18,0),IF(E11=2,VLOOKUP(C11,AR!$C$4:$AA$46,23,0),""))))</f>
        <v/>
      </c>
      <c r="J11" s="273" t="str">
        <f>IF(VLOOKUP(C11,AR!$C$4:$AA$46,15,0)="","",IF(E11=0,VLOOKUP(C11,AR!$C$4:$AA$46,15,0),IF(E11=1,VLOOKUP(C11,AR!$C$4:$AA$46,20,0),IF(E11=2,VLOOKUP(C11,AR!$C$4:$AA$46,25,0),""))))</f>
        <v/>
      </c>
      <c r="K11" s="276">
        <f>VLOOKUP(C11,AR!$C$4:$K$996,7,0)</f>
        <v>0</v>
      </c>
      <c r="L11" s="275" t="e" cm="1">
        <f t="array" aca="1" ref="L11" ca="1">_xlfn.IFS(AND($E11&lt;&gt;"",$M11="Pending",$K11="CTA"),TODAY()-$G11,AND($E11&lt;&gt;"",$M11="Pending",$K11="AUR"),TODAY()-$H11,AND($E11&lt;&gt;"",$M11="Pending",$K11="STT"),TODAY()-$I11,OR(K11="Closed",K11=""),"")</f>
        <v>#N/A</v>
      </c>
      <c r="M11" s="276">
        <f>VLOOKUP(C11,AR!$C$4:$J$34,8,0)</f>
        <v>0</v>
      </c>
      <c r="N11" s="269" t="str">
        <f t="shared" si="0"/>
        <v/>
      </c>
      <c r="O11" s="277"/>
    </row>
    <row r="12" spans="1:23" ht="32.25" hidden="1" customHeight="1" x14ac:dyDescent="0.25">
      <c r="A12" s="269">
        <f t="shared" si="1"/>
        <v>8</v>
      </c>
      <c r="B12" s="283" t="s">
        <v>19</v>
      </c>
      <c r="C12" s="291" t="s">
        <v>89</v>
      </c>
      <c r="D12" s="281">
        <f>VLOOKUP(C12,AR!$C$4:$J$52,2,0)</f>
        <v>0</v>
      </c>
      <c r="E12" s="269" t="str">
        <f>IF(VLOOKUP(C12,AR!$C$4:$J$46,6,0)="","",VLOOKUP(C12,AR!$C$4:$J$46,6,0))</f>
        <v/>
      </c>
      <c r="F12" s="292"/>
      <c r="G12" s="272" t="str">
        <f>IF(VLOOKUP(C12,AR!$C$4:$J$46,4,0)="","",VLOOKUP(C12,AR!$C$4:$J$46,4,0))</f>
        <v/>
      </c>
      <c r="H12" s="273" t="str">
        <f>IF(VLOOKUP(C12,AR!$C$4:$AA$46,12,0)="","",IF(E12=0,VLOOKUP(C12,AR!$C$4:$AA$46,12,0),IF(E12=1,VLOOKUP(C12,AR!$C$4:$AA$46,18,0),IF(E12=2,VLOOKUP(C12,AR!$C$4:$AA$46,23,0),""))))</f>
        <v/>
      </c>
      <c r="I12" s="273" t="str">
        <f>IF(VLOOKUP(C12,AR!$C$4:$AA$46,13,0)="","",IF(E12=0,VLOOKUP(C12,AR!$C$4:$AA$46,13,0),IF(E12=1,VLOOKUP(C12,AR!$C$4:$AA$46,18,0),IF(E12=2,VLOOKUP(C12,AR!$C$4:$AA$46,23,0),""))))</f>
        <v/>
      </c>
      <c r="J12" s="273" t="str">
        <f>IF(VLOOKUP(C12,AR!$C$4:$AA$46,15,0)="","",IF(E12=0,VLOOKUP(C12,AR!$C$4:$AA$46,15,0),IF(E12=1,VLOOKUP(C12,AR!$C$4:$AA$46,20,0),IF(E12=2,VLOOKUP(C12,AR!$C$4:$AA$46,25,0),""))))</f>
        <v/>
      </c>
      <c r="K12" s="276">
        <f>VLOOKUP(C12,AR!$C$4:$K$996,7,0)</f>
        <v>0</v>
      </c>
      <c r="L12" s="275" t="e" cm="1">
        <f t="array" aca="1" ref="L12" ca="1">_xlfn.IFS(AND($E12&lt;&gt;"",$M12="Pending",$K12="CTA"),TODAY()-$G12,AND($E12&lt;&gt;"",$M12="Pending",$K12="AUR"),TODAY()-$H12,AND($E12&lt;&gt;"",$M12="Pending",$K12="STT"),TODAY()-$I12,OR(K12="Closed",K12=""),"")</f>
        <v>#N/A</v>
      </c>
      <c r="M12" s="276">
        <f>VLOOKUP(C12,AR!$C$4:$J$34,8,0)</f>
        <v>0</v>
      </c>
      <c r="N12" s="269" t="str">
        <f t="shared" si="0"/>
        <v/>
      </c>
      <c r="O12" s="277"/>
    </row>
    <row r="13" spans="1:23" ht="32.25" hidden="1" customHeight="1" x14ac:dyDescent="0.25">
      <c r="A13" s="269">
        <f t="shared" si="1"/>
        <v>9</v>
      </c>
      <c r="B13" s="283" t="s">
        <v>19</v>
      </c>
      <c r="C13" s="291" t="s">
        <v>90</v>
      </c>
      <c r="D13" s="281" t="str">
        <f>VLOOKUP(C13,AR!$C$4:$J$52,2,0)</f>
        <v>Indicate Wall Structure and Wall Finishes Type for Store and ELV. B Room</v>
      </c>
      <c r="E13" s="269">
        <f>IF(VLOOKUP(C13,AR!$C$4:$J$46,6,0)="","",VLOOKUP(C13,AR!$C$4:$J$46,6,0))</f>
        <v>0</v>
      </c>
      <c r="F13" s="292"/>
      <c r="G13" s="272">
        <f>IF(VLOOKUP(C13,AR!$C$4:$J$46,4,0)="","",VLOOKUP(C13,AR!$C$4:$J$46,4,0))</f>
        <v>46042</v>
      </c>
      <c r="H13" s="273">
        <f>IF(VLOOKUP(C13,AR!$C$4:$AA$46,12,0)="","",IF(E13=0,VLOOKUP(C13,AR!$C$4:$AA$46,12,0),IF(E13=1,VLOOKUP(C13,AR!$C$4:$AA$46,18,0),IF(E13=2,VLOOKUP(C13,AR!$C$4:$AA$46,23,0),""))))</f>
        <v>46043</v>
      </c>
      <c r="I13" s="273">
        <f>IF(VLOOKUP(C13,AR!$C$4:$AA$46,13,0)="","",IF(E13=0,VLOOKUP(C13,AR!$C$4:$AA$46,13,0),IF(E13=1,VLOOKUP(C13,AR!$C$4:$AA$46,18,0),IF(E13=2,VLOOKUP(C13,AR!$C$4:$AA$46,23,0),""))))</f>
        <v>46051</v>
      </c>
      <c r="J13" s="273" t="str">
        <f>IF(VLOOKUP(C13,AR!$C$4:$AA$46,15,0)="","",IF(E13=0,VLOOKUP(C13,AR!$C$4:$AA$46,15,0),IF(E13=1,VLOOKUP(C13,AR!$C$4:$AA$46,20,0),IF(E13=2,VLOOKUP(C13,AR!$C$4:$AA$46,25,0),""))))</f>
        <v>B</v>
      </c>
      <c r="K13" s="276" t="str">
        <f>VLOOKUP(C13,AR!$C$4:$K$996,7,0)</f>
        <v>Closed</v>
      </c>
      <c r="L13" s="275" t="str" cm="1">
        <f t="array" aca="1" ref="L13" ca="1">_xlfn.IFS(AND($E13&lt;&gt;"",$M13="Pending",$K13="CTA"),TODAY()-$G13,AND($E13&lt;&gt;"",$M13="Pending",$K13="AUR"),TODAY()-$H13,AND($E13&lt;&gt;"",$M13="Pending",$K13="STT"),TODAY()-$I13,OR(K13="Closed",K13=""),"")</f>
        <v/>
      </c>
      <c r="M13" s="276" t="str">
        <f>VLOOKUP(C13,AR!$C$4:$J$34,8,0)</f>
        <v>B</v>
      </c>
      <c r="N13" s="269" t="str">
        <f t="shared" si="0"/>
        <v/>
      </c>
      <c r="O13" s="293"/>
    </row>
    <row r="14" spans="1:23" ht="32.25" hidden="1" customHeight="1" x14ac:dyDescent="0.25">
      <c r="A14" s="269">
        <f t="shared" si="1"/>
        <v>10</v>
      </c>
      <c r="B14" s="283" t="s">
        <v>19</v>
      </c>
      <c r="C14" s="291" t="s">
        <v>92</v>
      </c>
      <c r="D14" s="281" t="str">
        <f>VLOOKUP(C14,AR!$C$4:$J$52,2,0)</f>
        <v xml:space="preserve">Indicate Wall Structure and Wall Finishes Type for Batt S2, S3 and EE Room 6th Floor </v>
      </c>
      <c r="E14" s="269">
        <f>IF(VLOOKUP(C14,AR!$C$4:$J$46,6,0)="","",VLOOKUP(C14,AR!$C$4:$J$46,6,0))</f>
        <v>0</v>
      </c>
      <c r="F14" s="292"/>
      <c r="G14" s="272">
        <f>IF(VLOOKUP(C14,AR!$C$4:$J$46,4,0)="","",VLOOKUP(C14,AR!$C$4:$J$46,4,0))</f>
        <v>46042</v>
      </c>
      <c r="H14" s="273">
        <f>IF(VLOOKUP(C14,AR!$C$4:$AA$46,12,0)="","",IF(E14=0,VLOOKUP(C14,AR!$C$4:$AA$46,12,0),IF(E14=1,VLOOKUP(C14,AR!$C$4:$AA$46,18,0),IF(E14=2,VLOOKUP(C14,AR!$C$4:$AA$46,23,0),""))))</f>
        <v>46043</v>
      </c>
      <c r="I14" s="273">
        <f>IF(VLOOKUP(C14,AR!$C$4:$AA$46,13,0)="","",IF(E14=0,VLOOKUP(C14,AR!$C$4:$AA$46,13,0),IF(E14=1,VLOOKUP(C14,AR!$C$4:$AA$46,18,0),IF(E14=2,VLOOKUP(C14,AR!$C$4:$AA$46,23,0),""))))</f>
        <v>46051</v>
      </c>
      <c r="J14" s="273" t="str">
        <f>IF(VLOOKUP(C14,AR!$C$4:$AA$46,15,0)="","",IF(E14=0,VLOOKUP(C14,AR!$C$4:$AA$46,15,0),IF(E14=1,VLOOKUP(C14,AR!$C$4:$AA$46,20,0),IF(E14=2,VLOOKUP(C14,AR!$C$4:$AA$46,25,0),""))))</f>
        <v>B</v>
      </c>
      <c r="K14" s="276" t="str">
        <f>VLOOKUP(C14,AR!$C$4:$K$996,7,0)</f>
        <v>Closed</v>
      </c>
      <c r="L14" s="275" t="str" cm="1">
        <f t="array" aca="1" ref="L14" ca="1">_xlfn.IFS(AND($E14&lt;&gt;"",$M14="Pending",$K14="CTA"),TODAY()-$G14,AND($E14&lt;&gt;"",$M14="Pending",$K14="AUR"),TODAY()-$H14,AND($E14&lt;&gt;"",$M14="Pending",$K14="STT"),TODAY()-$I14,OR(K14="Closed",K14=""),"")</f>
        <v/>
      </c>
      <c r="M14" s="276" t="str">
        <f>VLOOKUP(C14,AR!$C$4:$J$34,8,0)</f>
        <v>B</v>
      </c>
      <c r="N14" s="269" t="str">
        <f t="shared" si="0"/>
        <v/>
      </c>
      <c r="O14" s="293"/>
    </row>
    <row r="15" spans="1:23" ht="32.25" hidden="1" customHeight="1" x14ac:dyDescent="0.25">
      <c r="A15" s="269">
        <f t="shared" si="1"/>
        <v>11</v>
      </c>
      <c r="B15" s="283" t="s">
        <v>19</v>
      </c>
      <c r="C15" s="291" t="s">
        <v>94</v>
      </c>
      <c r="D15" s="281" t="str">
        <f>VLOOKUP(C15,AR!$C$4:$J$52,2,0)</f>
        <v xml:space="preserve">Indicate Wall Structure and Wall Finishes Type for D22 6th Floor </v>
      </c>
      <c r="E15" s="269">
        <f>IF(VLOOKUP(C15,AR!$C$4:$J$46,6,0)="","",VLOOKUP(C15,AR!$C$4:$J$46,6,0))</f>
        <v>0</v>
      </c>
      <c r="F15" s="292"/>
      <c r="G15" s="272">
        <f>IF(VLOOKUP(C15,AR!$C$4:$J$46,4,0)="","",VLOOKUP(C15,AR!$C$4:$J$46,4,0))</f>
        <v>46042</v>
      </c>
      <c r="H15" s="273">
        <f>IF(VLOOKUP(C15,AR!$C$4:$AA$46,12,0)="","",IF(E15=0,VLOOKUP(C15,AR!$C$4:$AA$46,12,0),IF(E15=1,VLOOKUP(C15,AR!$C$4:$AA$46,18,0),IF(E15=2,VLOOKUP(C15,AR!$C$4:$AA$46,23,0),""))))</f>
        <v>46043</v>
      </c>
      <c r="I15" s="273">
        <f>IF(VLOOKUP(C15,AR!$C$4:$AA$46,13,0)="","",IF(E15=0,VLOOKUP(C15,AR!$C$4:$AA$46,13,0),IF(E15=1,VLOOKUP(C15,AR!$C$4:$AA$46,18,0),IF(E15=2,VLOOKUP(C15,AR!$C$4:$AA$46,23,0),""))))</f>
        <v>46051</v>
      </c>
      <c r="J15" s="273" t="str">
        <f>IF(VLOOKUP(C15,AR!$C$4:$AA$46,15,0)="","",IF(E15=0,VLOOKUP(C15,AR!$C$4:$AA$46,15,0),IF(E15=1,VLOOKUP(C15,AR!$C$4:$AA$46,20,0),IF(E15=2,VLOOKUP(C15,AR!$C$4:$AA$46,25,0),""))))</f>
        <v>B</v>
      </c>
      <c r="K15" s="276" t="str">
        <f>VLOOKUP(C15,AR!$C$4:$K$996,7,0)</f>
        <v>Closed</v>
      </c>
      <c r="L15" s="275" t="str" cm="1">
        <f t="array" aca="1" ref="L15" ca="1">_xlfn.IFS(AND($E15&lt;&gt;"",$M15="Pending",$K15="CTA"),TODAY()-$G15,AND($E15&lt;&gt;"",$M15="Pending",$K15="AUR"),TODAY()-$H15,AND($E15&lt;&gt;"",$M15="Pending",$K15="STT"),TODAY()-$I15,OR(K15="Closed",K15=""),"")</f>
        <v/>
      </c>
      <c r="M15" s="276" t="str">
        <f>VLOOKUP(C15,AR!$C$4:$J$34,8,0)</f>
        <v>B</v>
      </c>
      <c r="N15" s="269" t="str">
        <f t="shared" si="0"/>
        <v/>
      </c>
      <c r="O15" s="293"/>
    </row>
    <row r="16" spans="1:23" ht="32.25" hidden="1" customHeight="1" x14ac:dyDescent="0.25">
      <c r="A16" s="269">
        <f t="shared" si="1"/>
        <v>12</v>
      </c>
      <c r="B16" s="283" t="s">
        <v>19</v>
      </c>
      <c r="C16" s="291" t="s">
        <v>96</v>
      </c>
      <c r="D16" s="281" t="str">
        <f>VLOOKUP(C16,AR!$C$4:$J$52,2,0)</f>
        <v>Clarification on Raised Floor for DB Load Bank Room</v>
      </c>
      <c r="E16" s="269">
        <f>IF(VLOOKUP(C16,AR!$C$4:$J$46,6,0)="","",VLOOKUP(C16,AR!$C$4:$J$46,6,0))</f>
        <v>0</v>
      </c>
      <c r="F16" s="292"/>
      <c r="G16" s="272">
        <f>IF(VLOOKUP(C16,AR!$C$4:$J$46,4,0)="","",VLOOKUP(C16,AR!$C$4:$J$46,4,0))</f>
        <v>46042</v>
      </c>
      <c r="H16" s="273">
        <f>IF(VLOOKUP(C16,AR!$C$4:$AA$46,12,0)="","",IF(E16=0,VLOOKUP(C16,AR!$C$4:$AA$46,12,0),IF(E16=1,VLOOKUP(C16,AR!$C$4:$AA$46,18,0),IF(E16=2,VLOOKUP(C16,AR!$C$4:$AA$46,23,0),""))))</f>
        <v>46043</v>
      </c>
      <c r="I16" s="273">
        <f>IF(VLOOKUP(C16,AR!$C$4:$AA$46,13,0)="","",IF(E16=0,VLOOKUP(C16,AR!$C$4:$AA$46,13,0),IF(E16=1,VLOOKUP(C16,AR!$C$4:$AA$46,18,0),IF(E16=2,VLOOKUP(C16,AR!$C$4:$AA$46,23,0),""))))</f>
        <v>46051</v>
      </c>
      <c r="J16" s="273" t="str">
        <f>IF(VLOOKUP(C16,AR!$C$4:$AA$46,15,0)="","",IF(E16=0,VLOOKUP(C16,AR!$C$4:$AA$46,15,0),IF(E16=1,VLOOKUP(C16,AR!$C$4:$AA$46,20,0),IF(E16=2,VLOOKUP(C16,AR!$C$4:$AA$46,25,0),""))))</f>
        <v>B</v>
      </c>
      <c r="K16" s="276" t="str">
        <f>VLOOKUP(C16,AR!$C$4:$K$996,7,0)</f>
        <v>Closed</v>
      </c>
      <c r="L16" s="275" t="str" cm="1">
        <f t="array" aca="1" ref="L16" ca="1">_xlfn.IFS(AND($E16&lt;&gt;"",$M16="Pending",$K16="CTA"),TODAY()-$G16,AND($E16&lt;&gt;"",$M16="Pending",$K16="AUR"),TODAY()-$H16,AND($E16&lt;&gt;"",$M16="Pending",$K16="STT"),TODAY()-$I16,OR(K16="Closed",K16=""),"")</f>
        <v/>
      </c>
      <c r="M16" s="276" t="str">
        <f>VLOOKUP(C16,AR!$C$4:$J$34,8,0)</f>
        <v>B</v>
      </c>
      <c r="N16" s="269" t="str">
        <f t="shared" si="0"/>
        <v/>
      </c>
      <c r="O16" s="293"/>
    </row>
    <row r="17" spans="1:15" ht="32.25" hidden="1" customHeight="1" x14ac:dyDescent="0.25">
      <c r="A17" s="269">
        <f t="shared" si="1"/>
        <v>13</v>
      </c>
      <c r="B17" s="283" t="s">
        <v>19</v>
      </c>
      <c r="C17" s="291" t="s">
        <v>98</v>
      </c>
      <c r="D17" s="281" t="str">
        <f>VLOOKUP(C17,AR!$C$4:$J$52,2,0)</f>
        <v>Floor Tiles Size, Start Point, Layout and Orientation for Security Room and Reception Hall 1st FL</v>
      </c>
      <c r="E17" s="269">
        <f>IF(VLOOKUP(C17,AR!$C$4:$J$46,6,0)="","",VLOOKUP(C17,AR!$C$4:$J$46,6,0))</f>
        <v>0</v>
      </c>
      <c r="F17" s="292"/>
      <c r="G17" s="272">
        <f>IF(VLOOKUP(C17,AR!$C$4:$J$46,4,0)="","",VLOOKUP(C17,AR!$C$4:$J$46,4,0))</f>
        <v>46042</v>
      </c>
      <c r="H17" s="273">
        <f>IF(VLOOKUP(C17,AR!$C$4:$AA$46,12,0)="","",IF(E17=0,VLOOKUP(C17,AR!$C$4:$AA$46,12,0),IF(E17=1,VLOOKUP(C17,AR!$C$4:$AA$46,18,0),IF(E17=2,VLOOKUP(C17,AR!$C$4:$AA$46,23,0),""))))</f>
        <v>46052</v>
      </c>
      <c r="I17" s="273">
        <f>IF(VLOOKUP(C17,AR!$C$4:$AA$46,13,0)="","",IF(E17=0,VLOOKUP(C17,AR!$C$4:$AA$46,13,0),IF(E17=1,VLOOKUP(C17,AR!$C$4:$AA$46,18,0),IF(E17=2,VLOOKUP(C17,AR!$C$4:$AA$46,23,0),""))))</f>
        <v>46057</v>
      </c>
      <c r="J17" s="273" t="str">
        <f>IF(VLOOKUP(C17,AR!$C$4:$AA$46,15,0)="","",IF(E17=0,VLOOKUP(C17,AR!$C$4:$AA$46,15,0),IF(E17=1,VLOOKUP(C17,AR!$C$4:$AA$46,20,0),IF(E17=2,VLOOKUP(C17,AR!$C$4:$AA$46,25,0),""))))</f>
        <v>B</v>
      </c>
      <c r="K17" s="276" t="str">
        <f>VLOOKUP(C17,AR!$C$4:$K$996,7,0)</f>
        <v>Closed</v>
      </c>
      <c r="L17" s="275" t="str" cm="1">
        <f t="array" aca="1" ref="L17" ca="1">_xlfn.IFS(AND($E17&lt;&gt;"",$M17="Pending",$K17="CTA"),TODAY()-$G17,AND($E17&lt;&gt;"",$M17="Pending",$K17="AUR"),TODAY()-$H17,AND($E17&lt;&gt;"",$M17="Pending",$K17="STT"),TODAY()-$I17,OR(K17="Closed",K17=""),"")</f>
        <v/>
      </c>
      <c r="M17" s="276" t="str">
        <f>VLOOKUP(C17,AR!$C$4:$J$34,8,0)</f>
        <v>B</v>
      </c>
      <c r="N17" s="269" t="str">
        <f t="shared" si="0"/>
        <v/>
      </c>
      <c r="O17" s="293"/>
    </row>
    <row r="18" spans="1:15" ht="32.25" hidden="1" customHeight="1" x14ac:dyDescent="0.25">
      <c r="A18" s="269">
        <f t="shared" si="1"/>
        <v>14</v>
      </c>
      <c r="B18" s="283" t="s">
        <v>19</v>
      </c>
      <c r="C18" s="291" t="s">
        <v>100</v>
      </c>
      <c r="D18" s="281" t="str">
        <f>VLOOKUP(C18,AR!$C$4:$J$52,2,0)</f>
        <v xml:space="preserve"> C11 Ceiling type Specification</v>
      </c>
      <c r="E18" s="269">
        <f>IF(VLOOKUP(C18,AR!$C$4:$J$46,6,0)="","",VLOOKUP(C18,AR!$C$4:$J$46,6,0))</f>
        <v>0</v>
      </c>
      <c r="F18" s="292"/>
      <c r="G18" s="272">
        <f>IF(VLOOKUP(C18,AR!$C$4:$J$46,4,0)="","",VLOOKUP(C18,AR!$C$4:$J$46,4,0))</f>
        <v>46042</v>
      </c>
      <c r="H18" s="273">
        <f>IF(VLOOKUP(C18,AR!$C$4:$AA$46,12,0)="","",IF(E18=0,VLOOKUP(C18,AR!$C$4:$AA$46,12,0),IF(E18=1,VLOOKUP(C18,AR!$C$4:$AA$46,18,0),IF(E18=2,VLOOKUP(C18,AR!$C$4:$AA$46,23,0),""))))</f>
        <v>46043</v>
      </c>
      <c r="I18" s="273">
        <f>IF(VLOOKUP(C18,AR!$C$4:$AA$46,13,0)="","",IF(E18=0,VLOOKUP(C18,AR!$C$4:$AA$46,13,0),IF(E18=1,VLOOKUP(C18,AR!$C$4:$AA$46,18,0),IF(E18=2,VLOOKUP(C18,AR!$C$4:$AA$46,23,0),""))))</f>
        <v>46051</v>
      </c>
      <c r="J18" s="273" t="str">
        <f>IF(VLOOKUP(C18,AR!$C$4:$AA$46,15,0)="","",IF(E18=0,VLOOKUP(C18,AR!$C$4:$AA$46,15,0),IF(E18=1,VLOOKUP(C18,AR!$C$4:$AA$46,20,0),IF(E18=2,VLOOKUP(C18,AR!$C$4:$AA$46,25,0),""))))</f>
        <v>B</v>
      </c>
      <c r="K18" s="276" t="str">
        <f>VLOOKUP(C18,AR!$C$4:$K$996,7,0)</f>
        <v>Closed</v>
      </c>
      <c r="L18" s="275" t="str" cm="1">
        <f t="array" aca="1" ref="L18" ca="1">_xlfn.IFS(AND($E18&lt;&gt;"",$M18="Pending",$K18="CTA"),TODAY()-$G18,AND($E18&lt;&gt;"",$M18="Pending",$K18="AUR"),TODAY()-$H18,AND($E18&lt;&gt;"",$M18="Pending",$K18="STT"),TODAY()-$I18,OR(K18="Closed",K18=""),"")</f>
        <v/>
      </c>
      <c r="M18" s="276" t="str">
        <f>VLOOKUP(C18,AR!$C$4:$J$34,8,0)</f>
        <v>B</v>
      </c>
      <c r="N18" s="269" t="str">
        <f t="shared" si="0"/>
        <v/>
      </c>
      <c r="O18" s="316"/>
    </row>
    <row r="19" spans="1:15" ht="32.25" hidden="1" customHeight="1" x14ac:dyDescent="0.25">
      <c r="A19" s="269">
        <f t="shared" si="1"/>
        <v>15</v>
      </c>
      <c r="B19" s="283" t="s">
        <v>19</v>
      </c>
      <c r="C19" s="291" t="s">
        <v>102</v>
      </c>
      <c r="D19" s="281" t="str">
        <f>VLOOKUP(C19,AR!$C$4:$J$52,2,0)</f>
        <v>Confirm Ceiling Type 6th FL (C4 or C10)</v>
      </c>
      <c r="E19" s="269">
        <f>IF(VLOOKUP(C19,AR!$C$4:$J$46,6,0)="","",VLOOKUP(C19,AR!$C$4:$J$46,6,0))</f>
        <v>0</v>
      </c>
      <c r="F19" s="292"/>
      <c r="G19" s="272">
        <f>IF(VLOOKUP(C19,AR!$C$4:$J$46,4,0)="","",VLOOKUP(C19,AR!$C$4:$J$46,4,0))</f>
        <v>46037</v>
      </c>
      <c r="H19" s="273">
        <f>IF(VLOOKUP(C19,AR!$C$4:$AA$46,12,0)="","",IF(E19=0,VLOOKUP(C19,AR!$C$4:$AA$46,12,0),IF(E19=1,VLOOKUP(C19,AR!$C$4:$AA$46,18,0),IF(E19=2,VLOOKUP(C19,AR!$C$4:$AA$46,23,0),""))))</f>
        <v>46043</v>
      </c>
      <c r="I19" s="273">
        <f>IF(VLOOKUP(C19,AR!$C$4:$AA$46,13,0)="","",IF(E19=0,VLOOKUP(C19,AR!$C$4:$AA$46,13,0),IF(E19=1,VLOOKUP(C19,AR!$C$4:$AA$46,18,0),IF(E19=2,VLOOKUP(C19,AR!$C$4:$AA$46,23,0),""))))</f>
        <v>46051</v>
      </c>
      <c r="J19" s="273" t="str">
        <f>IF(VLOOKUP(C19,AR!$C$4:$AA$46,15,0)="","",IF(E19=0,VLOOKUP(C19,AR!$C$4:$AA$46,15,0),IF(E19=1,VLOOKUP(C19,AR!$C$4:$AA$46,20,0),IF(E19=2,VLOOKUP(C19,AR!$C$4:$AA$46,25,0),""))))</f>
        <v>B</v>
      </c>
      <c r="K19" s="276" t="str">
        <f>VLOOKUP(C19,AR!$C$4:$K$996,7,0)</f>
        <v>Closed</v>
      </c>
      <c r="L19" s="275" t="str" cm="1">
        <f t="array" aca="1" ref="L19" ca="1">_xlfn.IFS(AND($E19&lt;&gt;"",$M19="Pending",$K19="CTA"),TODAY()-$G19,AND($E19&lt;&gt;"",$M19="Pending",$K19="AUR"),TODAY()-$H19,AND($E19&lt;&gt;"",$M19="Pending",$K19="STT"),TODAY()-$I19,OR(K19="Closed",K19=""),"")</f>
        <v/>
      </c>
      <c r="M19" s="276" t="str">
        <f>VLOOKUP(C19,AR!$C$4:$J$34,8,0)</f>
        <v>B</v>
      </c>
      <c r="N19" s="269" t="str">
        <f t="shared" si="0"/>
        <v/>
      </c>
      <c r="O19" s="316" t="s">
        <v>372</v>
      </c>
    </row>
    <row r="20" spans="1:15" ht="32.25" customHeight="1" x14ac:dyDescent="0.25">
      <c r="A20" s="269">
        <f t="shared" si="1"/>
        <v>16</v>
      </c>
      <c r="B20" s="283" t="s">
        <v>19</v>
      </c>
      <c r="C20" s="291" t="s">
        <v>104</v>
      </c>
      <c r="D20" s="281" t="str">
        <f>VLOOKUP(C20,AR!$C$4:$J$52,2,0)</f>
        <v>Generator Set and PAU Rooms Waterproofing Scope</v>
      </c>
      <c r="E20" s="269">
        <f>IF(VLOOKUP(C20,AR!$C$4:$J$46,6,0)="","",VLOOKUP(C20,AR!$C$4:$J$46,6,0))</f>
        <v>0</v>
      </c>
      <c r="F20" s="292"/>
      <c r="G20" s="272">
        <f>IF(VLOOKUP(C20,AR!$C$4:$J$46,4,0)="","",VLOOKUP(C20,AR!$C$4:$J$46,4,0))</f>
        <v>46042</v>
      </c>
      <c r="H20" s="273">
        <f>IF(VLOOKUP(C20,AR!$C$4:$AA$46,12,0)="","",IF(E20=0,VLOOKUP(C20,AR!$C$4:$AA$46,12,0),IF(E20=1,VLOOKUP(C20,AR!$C$4:$AA$46,18,0),IF(E20=2,VLOOKUP(C20,AR!$C$4:$AA$46,23,0),""))))</f>
        <v>46058</v>
      </c>
      <c r="I20" s="273">
        <f>IF(VLOOKUP(C20,AR!$C$4:$AA$46,13,0)="","",IF(E20=0,VLOOKUP(C20,AR!$C$4:$AA$46,13,0),IF(E20=1,VLOOKUP(C20,AR!$C$4:$AA$46,18,0),IF(E20=2,VLOOKUP(C20,AR!$C$4:$AA$46,23,0),""))))</f>
        <v>46059</v>
      </c>
      <c r="J20" s="273" t="str">
        <f>IF(VLOOKUP(C20,AR!$C$4:$AA$46,15,0)="","",IF(E20=0,VLOOKUP(C20,AR!$C$4:$AA$46,15,0),IF(E20=1,VLOOKUP(C20,AR!$C$4:$AA$46,20,0),IF(E20=2,VLOOKUP(C20,AR!$C$4:$AA$46,25,0),""))))</f>
        <v/>
      </c>
      <c r="K20" s="276" t="str">
        <f>VLOOKUP(C20,AR!$C$4:$K$996,7,0)</f>
        <v>STT</v>
      </c>
      <c r="L20" s="275" cm="1">
        <f t="array" aca="1" ref="L20" ca="1">_xlfn.IFS(AND($E20&lt;&gt;"",$M20="Pending",$K20="CTA"),TODAY()-$G20,AND($E20&lt;&gt;"",$M20="Pending",$K20="AUR"),TODAY()-$H20,AND($E20&lt;&gt;"",$M20="Pending",$K20="STT"),TODAY()-$I20,OR(K20="Closed",K20=""),"")</f>
        <v>5</v>
      </c>
      <c r="M20" s="276" t="str">
        <f>VLOOKUP(C20,AR!$C$4:$J$34,8,0)</f>
        <v>Pending</v>
      </c>
      <c r="N20" s="269" t="str">
        <f t="shared" ca="1" si="0"/>
        <v>Overdue</v>
      </c>
      <c r="O20" s="293"/>
    </row>
    <row r="21" spans="1:15" ht="32.25" customHeight="1" x14ac:dyDescent="0.25">
      <c r="A21" s="269">
        <f t="shared" si="1"/>
        <v>17</v>
      </c>
      <c r="B21" s="283" t="s">
        <v>19</v>
      </c>
      <c r="C21" s="291" t="s">
        <v>106</v>
      </c>
      <c r="D21" s="281" t="str">
        <f>VLOOKUP(C21,AR!$C$4:$J$52,2,0)</f>
        <v>Busway Riser or EE Riser 2nd Floor</v>
      </c>
      <c r="E21" s="269">
        <f>IF(VLOOKUP(C21,AR!$C$4:$J$46,6,0)="","",VLOOKUP(C21,AR!$C$4:$J$46,6,0))</f>
        <v>0</v>
      </c>
      <c r="F21" s="292"/>
      <c r="G21" s="272">
        <f>IF(VLOOKUP(C21,AR!$C$4:$J$46,4,0)="","",VLOOKUP(C21,AR!$C$4:$J$46,4,0))</f>
        <v>46037</v>
      </c>
      <c r="H21" s="273">
        <f>IF(VLOOKUP(C21,AR!$C$4:$AA$46,12,0)="","",IF(E21=0,VLOOKUP(C21,AR!$C$4:$AA$46,12,0),IF(E21=1,VLOOKUP(C21,AR!$C$4:$AA$46,18,0),IF(E21=2,VLOOKUP(C21,AR!$C$4:$AA$46,23,0),""))))</f>
        <v>46052</v>
      </c>
      <c r="I21" s="273">
        <f>IF(VLOOKUP(C21,AR!$C$4:$AA$46,13,0)="","",IF(E21=0,VLOOKUP(C21,AR!$C$4:$AA$46,13,0),IF(E21=1,VLOOKUP(C21,AR!$C$4:$AA$46,18,0),IF(E21=2,VLOOKUP(C21,AR!$C$4:$AA$46,23,0),""))))</f>
        <v>46058</v>
      </c>
      <c r="J21" s="273" t="str">
        <f>IF(VLOOKUP(C21,AR!$C$4:$AA$46,15,0)="","",IF(E21=0,VLOOKUP(C21,AR!$C$4:$AA$46,15,0),IF(E21=1,VLOOKUP(C21,AR!$C$4:$AA$46,20,0),IF(E21=2,VLOOKUP(C21,AR!$C$4:$AA$46,25,0),""))))</f>
        <v/>
      </c>
      <c r="K21" s="276" t="str">
        <f>VLOOKUP(C21,AR!$C$4:$K$996,7,0)</f>
        <v>STT</v>
      </c>
      <c r="L21" s="275" cm="1">
        <f t="array" aca="1" ref="L21" ca="1">_xlfn.IFS(AND($E21&lt;&gt;"",$M21="Pending",$K21="CTA"),TODAY()-$G21,AND($E21&lt;&gt;"",$M21="Pending",$K21="AUR"),TODAY()-$H21,AND($E21&lt;&gt;"",$M21="Pending",$K21="STT"),TODAY()-$I21,OR(K21="Closed",K21=""),"")</f>
        <v>6</v>
      </c>
      <c r="M21" s="276" t="str">
        <f>VLOOKUP(C21,AR!$C$4:$J$34,8,0)</f>
        <v>Pending</v>
      </c>
      <c r="N21" s="269" t="str">
        <f t="shared" ca="1" si="0"/>
        <v>Overdue</v>
      </c>
      <c r="O21" s="269"/>
    </row>
    <row r="22" spans="1:15" ht="32.25" hidden="1" customHeight="1" x14ac:dyDescent="0.25">
      <c r="A22" s="269">
        <f t="shared" si="1"/>
        <v>18</v>
      </c>
      <c r="B22" s="283" t="s">
        <v>19</v>
      </c>
      <c r="C22" s="291" t="s">
        <v>108</v>
      </c>
      <c r="D22" s="281" t="str">
        <f>VLOOKUP(C22,AR!$C$4:$J$52,2,0)</f>
        <v>Regarding the alignment of the wall between IFC and TTI model is not the same. Gaa would like to confirm which model we should use?</v>
      </c>
      <c r="E22" s="269">
        <f>IF(VLOOKUP(C22,AR!$C$4:$J$46,6,0)="","",VLOOKUP(C22,AR!$C$4:$J$46,6,0))</f>
        <v>0</v>
      </c>
      <c r="F22" s="292"/>
      <c r="G22" s="272">
        <f>IF(VLOOKUP(C22,AR!$C$4:$J$46,4,0)="","",VLOOKUP(C22,AR!$C$4:$J$46,4,0))</f>
        <v>46035</v>
      </c>
      <c r="H22" s="273">
        <f>IF(VLOOKUP(C22,AR!$C$4:$AA$46,12,0)="","",IF(E22=0,VLOOKUP(C22,AR!$C$4:$AA$46,12,0),IF(E22=1,VLOOKUP(C22,AR!$C$4:$AA$46,18,0),IF(E22=2,VLOOKUP(C22,AR!$C$4:$AA$46,23,0),""))))</f>
        <v>46043</v>
      </c>
      <c r="I22" s="273">
        <f>IF(VLOOKUP(C22,AR!$C$4:$AA$46,13,0)="","",IF(E22=0,VLOOKUP(C22,AR!$C$4:$AA$46,13,0),IF(E22=1,VLOOKUP(C22,AR!$C$4:$AA$46,18,0),IF(E22=2,VLOOKUP(C22,AR!$C$4:$AA$46,23,0),""))))</f>
        <v>46052</v>
      </c>
      <c r="J22" s="273" t="str">
        <f>IF(VLOOKUP(C22,AR!$C$4:$AA$46,15,0)="","",IF(E22=0,VLOOKUP(C22,AR!$C$4:$AA$46,15,0),IF(E22=1,VLOOKUP(C22,AR!$C$4:$AA$46,20,0),IF(E22=2,VLOOKUP(C22,AR!$C$4:$AA$46,25,0),""))))</f>
        <v/>
      </c>
      <c r="K22" s="276" t="str">
        <f>VLOOKUP(C22,AR!$C$4:$K$996,7,0)</f>
        <v>Closed</v>
      </c>
      <c r="L22" s="275" t="str" cm="1">
        <f t="array" aca="1" ref="L22" ca="1">_xlfn.IFS(AND($E22&lt;&gt;"",$M22="Pending",$K22="CTA"),TODAY()-$G22,AND($E22&lt;&gt;"",$M22="Pending",$K22="AUR"),TODAY()-$H22,AND($E22&lt;&gt;"",$M22="Pending",$K22="STT"),TODAY()-$I22,OR(K22="Closed",K22=""),"")</f>
        <v/>
      </c>
      <c r="M22" s="276" t="str">
        <f>VLOOKUP(C22,AR!$C$4:$J$34,8,0)</f>
        <v>B</v>
      </c>
      <c r="N22" s="269" t="str">
        <f t="shared" si="0"/>
        <v/>
      </c>
      <c r="O22" s="269"/>
    </row>
    <row r="23" spans="1:15" ht="32.25" hidden="1" customHeight="1" x14ac:dyDescent="0.25">
      <c r="A23" s="269">
        <f t="shared" si="1"/>
        <v>19</v>
      </c>
      <c r="B23" s="283" t="s">
        <v>19</v>
      </c>
      <c r="C23" s="291" t="s">
        <v>110</v>
      </c>
      <c r="D23" s="281" t="str">
        <f>VLOOKUP(C23,AR!$C$4:$J$52,2,0)</f>
        <v>Clarification on Door Frame Depth Considering Different Wall Thicknesses</v>
      </c>
      <c r="E23" s="269">
        <f>IF(VLOOKUP(C23,AR!$C$4:$J$46,6,0)="","",VLOOKUP(C23,AR!$C$4:$J$46,6,0))</f>
        <v>0</v>
      </c>
      <c r="F23" s="292"/>
      <c r="G23" s="311">
        <f>IF(VLOOKUP(C23,AR!$C$4:$J$46,4,0)="","",VLOOKUP(C23,AR!$C$4:$J$46,4,0))</f>
        <v>46036</v>
      </c>
      <c r="H23" s="273">
        <f>IF(VLOOKUP(C23,AR!$C$4:$AA$46,12,0)="","",IF(E23=0,VLOOKUP(C23,AR!$C$4:$AA$46,12,0),IF(E23=1,VLOOKUP(C23,AR!$C$4:$AA$46,18,0),IF(E23=2,VLOOKUP(C23,AR!$C$4:$AA$46,23,0),""))))</f>
        <v>46043</v>
      </c>
      <c r="I23" s="273">
        <f>IF(VLOOKUP(C23,AR!$C$4:$AA$46,13,0)="","",IF(E23=0,VLOOKUP(C23,AR!$C$4:$AA$46,13,0),IF(E23=1,VLOOKUP(C23,AR!$C$4:$AA$46,18,0),IF(E23=2,VLOOKUP(C23,AR!$C$4:$AA$46,23,0),""))))</f>
        <v>46052</v>
      </c>
      <c r="J23" s="273" t="str">
        <f>IF(VLOOKUP(C23,AR!$C$4:$AA$46,15,0)="","",IF(E23=0,VLOOKUP(C23,AR!$C$4:$AA$46,15,0),IF(E23=1,VLOOKUP(C23,AR!$C$4:$AA$46,20,0),IF(E23=2,VLOOKUP(C23,AR!$C$4:$AA$46,25,0),""))))</f>
        <v/>
      </c>
      <c r="K23" s="276" t="str">
        <f>VLOOKUP(C23,AR!$C$4:$K$996,7,0)</f>
        <v>Closed</v>
      </c>
      <c r="L23" s="275" t="str" cm="1">
        <f t="array" aca="1" ref="L23" ca="1">_xlfn.IFS(AND($E23&lt;&gt;"",$M23="Pending",$K23="CTA"),TODAY()-$G23,AND($E23&lt;&gt;"",$M23="Pending",$K23="AUR"),TODAY()-$H23,AND($E23&lt;&gt;"",$M23="Pending",$K23="STT"),TODAY()-$I23,OR(K23="Closed",K23=""),"")</f>
        <v/>
      </c>
      <c r="M23" s="276" t="str">
        <f>VLOOKUP(C23,AR!$C$4:$J$34,8,0)</f>
        <v>B</v>
      </c>
      <c r="N23" s="269" t="str">
        <f t="shared" si="0"/>
        <v/>
      </c>
      <c r="O23" s="269"/>
    </row>
    <row r="24" spans="1:15" ht="32.25" hidden="1" customHeight="1" x14ac:dyDescent="0.25">
      <c r="A24" s="269">
        <f t="shared" si="1"/>
        <v>20</v>
      </c>
      <c r="B24" s="283" t="s">
        <v>19</v>
      </c>
      <c r="C24" s="291" t="s">
        <v>112</v>
      </c>
      <c r="D24" s="281" t="str">
        <f>VLOOKUP(C24,AR!$C$4:$J$52,2,0)</f>
        <v>Clarification of Return Air Grills 2nd, 3rd, 4th and 5th Floor</v>
      </c>
      <c r="E24" s="269">
        <f>IF(VLOOKUP(C24,AR!$C$4:$J$46,6,0)="","",VLOOKUP(C24,AR!$C$4:$J$46,6,0))</f>
        <v>0</v>
      </c>
      <c r="F24" s="292"/>
      <c r="G24" s="312">
        <f>IF(VLOOKUP(C24,AR!$C$4:$J$46,4,0)="","",VLOOKUP(C24,AR!$C$4:$J$46,4,0))</f>
        <v>46037</v>
      </c>
      <c r="H24" s="273">
        <f>IF(VLOOKUP(C24,AR!$C$4:$AA$46,12,0)="","",IF(E24=0,VLOOKUP(C24,AR!$C$4:$AA$46,12,0),IF(E24=1,VLOOKUP(C24,AR!$C$4:$AA$46,18,0),IF(E24=2,VLOOKUP(C24,AR!$C$4:$AA$46,23,0),""))))</f>
        <v>46043</v>
      </c>
      <c r="I24" s="273">
        <f>IF(VLOOKUP(C24,AR!$C$4:$AA$46,13,0)="","",IF(E24=0,VLOOKUP(C24,AR!$C$4:$AA$46,13,0),IF(E24=1,VLOOKUP(C24,AR!$C$4:$AA$46,18,0),IF(E24=2,VLOOKUP(C24,AR!$C$4:$AA$46,23,0),""))))</f>
        <v>46052</v>
      </c>
      <c r="J24" s="273" t="str">
        <f>IF(VLOOKUP(C24,AR!$C$4:$AA$46,15,0)="","",IF(E24=0,VLOOKUP(C24,AR!$C$4:$AA$46,15,0),IF(E24=1,VLOOKUP(C24,AR!$C$4:$AA$46,20,0),IF(E24=2,VLOOKUP(C24,AR!$C$4:$AA$46,25,0),""))))</f>
        <v/>
      </c>
      <c r="K24" s="276" t="str">
        <f>VLOOKUP(C24,AR!$C$4:$K$996,7,0)</f>
        <v>Closed</v>
      </c>
      <c r="L24" s="275" t="str" cm="1">
        <f t="array" aca="1" ref="L24" ca="1">_xlfn.IFS(AND($E24&lt;&gt;"",$M24="Pending",$K24="CTA"),TODAY()-$G24,AND($E24&lt;&gt;"",$M24="Pending",$K24="AUR"),TODAY()-$H24,AND($E24&lt;&gt;"",$M24="Pending",$K24="STT"),TODAY()-$I24,OR(K24="Closed",K24=""),"")</f>
        <v/>
      </c>
      <c r="M24" s="276" t="str">
        <f>VLOOKUP(C24,AR!$C$4:$J$34,8,0)</f>
        <v>B</v>
      </c>
      <c r="N24" s="269" t="str">
        <f t="shared" si="0"/>
        <v/>
      </c>
      <c r="O24" s="269"/>
    </row>
    <row r="25" spans="1:15" ht="32.25" hidden="1" customHeight="1" x14ac:dyDescent="0.25">
      <c r="A25" s="269">
        <f t="shared" si="1"/>
        <v>21</v>
      </c>
      <c r="B25" s="283" t="s">
        <v>19</v>
      </c>
      <c r="C25" s="291" t="s">
        <v>114</v>
      </c>
      <c r="D25" s="281">
        <f>VLOOKUP(C25,AR!$C$4:$J$52,2,0)</f>
        <v>0</v>
      </c>
      <c r="E25" s="269" t="str">
        <f>IF(VLOOKUP(C25,AR!$C$4:$J$46,6,0)="","",VLOOKUP(C25,AR!$C$4:$J$46,6,0))</f>
        <v/>
      </c>
      <c r="F25" s="292"/>
      <c r="G25" s="312" t="str">
        <f>IF(VLOOKUP(C25,AR!$C$4:$J$46,4,0)="","",VLOOKUP(C25,AR!$C$4:$J$46,4,0))</f>
        <v/>
      </c>
      <c r="H25" s="273" t="str">
        <f>IF(VLOOKUP(C25,AR!$C$4:$AA$46,12,0)="","",IF(E25=0,VLOOKUP(C25,AR!$C$4:$AA$46,12,0),IF(E25=1,VLOOKUP(C25,AR!$C$4:$AA$46,18,0),IF(E25=2,VLOOKUP(C25,AR!$C$4:$AA$46,23,0),""))))</f>
        <v/>
      </c>
      <c r="I25" s="273" t="str">
        <f>IF(VLOOKUP(C25,AR!$C$4:$AA$46,13,0)="","",IF(E25=0,VLOOKUP(C25,AR!$C$4:$AA$46,13,0),IF(E25=1,VLOOKUP(C25,AR!$C$4:$AA$46,18,0),IF(E25=2,VLOOKUP(C25,AR!$C$4:$AA$46,23,0),""))))</f>
        <v/>
      </c>
      <c r="J25" s="273" t="str">
        <f>IF(VLOOKUP(C25,AR!$C$4:$AA$46,15,0)="","",IF(E25=0,VLOOKUP(C25,AR!$C$4:$AA$46,15,0),IF(E25=1,VLOOKUP(C25,AR!$C$4:$AA$46,20,0),IF(E25=2,VLOOKUP(C25,AR!$C$4:$AA$46,25,0),""))))</f>
        <v/>
      </c>
      <c r="K25" s="276">
        <f>VLOOKUP(C25,AR!$C$4:$K$996,7,0)</f>
        <v>0</v>
      </c>
      <c r="L25" s="275" t="e" cm="1">
        <f t="array" aca="1" ref="L25" ca="1">_xlfn.IFS(AND($E25&lt;&gt;"",$M25="Pending",$K25="CTA"),TODAY()-$G25,AND($E25&lt;&gt;"",$M25="Pending",$K25="AUR"),TODAY()-$H25,AND($E25&lt;&gt;"",$M25="Pending",$K25="STT"),TODAY()-$I25,OR(K25="Closed",K25=""),"")</f>
        <v>#N/A</v>
      </c>
      <c r="M25" s="276">
        <f>VLOOKUP(C25,AR!$C$4:$J$34,8,0)</f>
        <v>0</v>
      </c>
      <c r="N25" s="269" t="str">
        <f t="shared" si="0"/>
        <v/>
      </c>
      <c r="O25" s="277"/>
    </row>
    <row r="26" spans="1:15" ht="32.25" hidden="1" customHeight="1" x14ac:dyDescent="0.25">
      <c r="A26" s="269">
        <f t="shared" si="1"/>
        <v>22</v>
      </c>
      <c r="B26" s="283" t="s">
        <v>19</v>
      </c>
      <c r="C26" s="291" t="s">
        <v>115</v>
      </c>
      <c r="D26" s="281" t="str">
        <f>VLOOKUP(C26,AR!$C$4:$J$52,2,0)</f>
        <v xml:space="preserve">Floor Flatness FM2 and Screed Reinforcement details for Data Hall and Related Area </v>
      </c>
      <c r="E26" s="269">
        <f>IF(VLOOKUP(C26,AR!$C$4:$J$46,6,0)="","",VLOOKUP(C26,AR!$C$4:$J$46,6,0))</f>
        <v>0</v>
      </c>
      <c r="F26" s="292"/>
      <c r="G26" s="312">
        <f>IF(VLOOKUP(C26,AR!$C$4:$J$46,4,0)="","",VLOOKUP(C26,AR!$C$4:$J$46,4,0))</f>
        <v>46039</v>
      </c>
      <c r="H26" s="273">
        <f>IF(VLOOKUP(C26,AR!$C$4:$AA$46,12,0)="","",IF(E26=0,VLOOKUP(C26,AR!$C$4:$AA$46,12,0),IF(E26=1,VLOOKUP(C26,AR!$C$4:$AA$46,18,0),IF(E26=2,VLOOKUP(C26,AR!$C$4:$AA$46,23,0),""))))</f>
        <v>46044</v>
      </c>
      <c r="I26" s="273">
        <f>IF(VLOOKUP(C26,AR!$C$4:$AA$46,13,0)="","",IF(E26=0,VLOOKUP(C26,AR!$C$4:$AA$46,13,0),IF(E26=1,VLOOKUP(C26,AR!$C$4:$AA$46,18,0),IF(E26=2,VLOOKUP(C26,AR!$C$4:$AA$46,23,0),""))))</f>
        <v>46048</v>
      </c>
      <c r="J26" s="273" t="str">
        <f>IF(VLOOKUP(C26,AR!$C$4:$AA$46,15,0)="","",IF(E26=0,VLOOKUP(C26,AR!$C$4:$AA$46,15,0),IF(E26=1,VLOOKUP(C26,AR!$C$4:$AA$46,20,0),IF(E26=2,VLOOKUP(C26,AR!$C$4:$AA$46,25,0),""))))</f>
        <v/>
      </c>
      <c r="K26" s="276" t="str">
        <f>VLOOKUP(C26,AR!$C$4:$K$996,7,0)</f>
        <v>Closed</v>
      </c>
      <c r="L26" s="275" t="str" cm="1">
        <f t="array" aca="1" ref="L26" ca="1">_xlfn.IFS(AND($E26&lt;&gt;"",$M26="Pending",$K26="CTA"),TODAY()-$G26,AND($E26&lt;&gt;"",$M26="Pending",$K26="AUR"),TODAY()-$H26,AND($E26&lt;&gt;"",$M26="Pending",$K26="STT"),TODAY()-$I26,OR(K26="Closed",K26=""),"")</f>
        <v/>
      </c>
      <c r="M26" s="276" t="str">
        <f>VLOOKUP(C26,AR!$C$4:$J$34,8,0)</f>
        <v>B</v>
      </c>
      <c r="N26" s="269" t="str">
        <f t="shared" si="0"/>
        <v/>
      </c>
      <c r="O26" s="316" t="s">
        <v>372</v>
      </c>
    </row>
    <row r="27" spans="1:15" ht="32.25" hidden="1" customHeight="1" x14ac:dyDescent="0.25">
      <c r="A27" s="269">
        <f t="shared" si="1"/>
        <v>23</v>
      </c>
      <c r="B27" s="283" t="s">
        <v>19</v>
      </c>
      <c r="C27" s="291" t="s">
        <v>117</v>
      </c>
      <c r="D27" s="281" t="str">
        <f>VLOOKUP(C27,AR!$C$4:$J$52,2,0)</f>
        <v>Finishing Schedule</v>
      </c>
      <c r="E27" s="269">
        <f>IF(VLOOKUP(C27,AR!$C$4:$J$46,6,0)="","",VLOOKUP(C27,AR!$C$4:$J$46,6,0))</f>
        <v>0</v>
      </c>
      <c r="F27" s="292"/>
      <c r="G27" s="312">
        <f>IF(VLOOKUP(C27,AR!$C$4:$J$46,4,0)="","",VLOOKUP(C27,AR!$C$4:$J$46,4,0))</f>
        <v>46038</v>
      </c>
      <c r="H27" s="273">
        <f>IF(VLOOKUP(C27,AR!$C$4:$AA$46,12,0)="","",IF(E27=0,VLOOKUP(C27,AR!$C$4:$AA$46,12,0),IF(E27=1,VLOOKUP(C27,AR!$C$4:$AA$46,18,0),IF(E27=2,VLOOKUP(C27,AR!$C$4:$AA$46,23,0),""))))</f>
        <v>46043</v>
      </c>
      <c r="I27" s="273">
        <f>IF(VLOOKUP(C27,AR!$C$4:$AA$46,13,0)="","",IF(E27=0,VLOOKUP(C27,AR!$C$4:$AA$46,13,0),IF(E27=1,VLOOKUP(C27,AR!$C$4:$AA$46,18,0),IF(E27=2,VLOOKUP(C27,AR!$C$4:$AA$46,23,0),""))))</f>
        <v>46052</v>
      </c>
      <c r="J27" s="273" t="str">
        <f>IF(VLOOKUP(C27,AR!$C$4:$AA$46,15,0)="","",IF(E27=0,VLOOKUP(C27,AR!$C$4:$AA$46,15,0),IF(E27=1,VLOOKUP(C27,AR!$C$4:$AA$46,20,0),IF(E27=2,VLOOKUP(C27,AR!$C$4:$AA$46,25,0),""))))</f>
        <v/>
      </c>
      <c r="K27" s="276" t="str">
        <f>VLOOKUP(C27,AR!$C$4:$K$996,7,0)</f>
        <v>Closed</v>
      </c>
      <c r="L27" s="275" t="str" cm="1">
        <f t="array" aca="1" ref="L27" ca="1">_xlfn.IFS(AND($E27&lt;&gt;"",$M27="Pending",$K27="CTA"),TODAY()-$G27,AND($E27&lt;&gt;"",$M27="Pending",$K27="AUR"),TODAY()-$H27,AND($E27&lt;&gt;"",$M27="Pending",$K27="STT"),TODAY()-$I27,OR(K27="Closed",K27=""),"")</f>
        <v/>
      </c>
      <c r="M27" s="276" t="str">
        <f>VLOOKUP(C27,AR!$C$4:$J$34,8,0)</f>
        <v>B</v>
      </c>
      <c r="N27" s="269" t="str">
        <f t="shared" si="0"/>
        <v/>
      </c>
      <c r="O27" s="269"/>
    </row>
    <row r="28" spans="1:15" ht="32.25" hidden="1" customHeight="1" x14ac:dyDescent="0.25">
      <c r="A28" s="269">
        <f t="shared" si="1"/>
        <v>24</v>
      </c>
      <c r="B28" s="283" t="s">
        <v>19</v>
      </c>
      <c r="C28" s="291" t="s">
        <v>119</v>
      </c>
      <c r="D28" s="281" t="str">
        <f>VLOOKUP(C28,AR!$C$4:$J$52,2,0)</f>
        <v xml:space="preserve">Confirmation on the Wire Mesh Screen Details at the Fan wall Corridors </v>
      </c>
      <c r="E28" s="269">
        <f>IF(VLOOKUP(C28,AR!$C$4:$J$46,6,0)="","",VLOOKUP(C28,AR!$C$4:$J$46,6,0))</f>
        <v>0</v>
      </c>
      <c r="F28" s="292"/>
      <c r="G28" s="312">
        <f>IF(VLOOKUP(C28,AR!$C$4:$J$46,4,0)="","",VLOOKUP(C28,AR!$C$4:$J$46,4,0))</f>
        <v>46041</v>
      </c>
      <c r="H28" s="273">
        <f>IF(VLOOKUP(C28,AR!$C$4:$AA$46,12,0)="","",IF(E28=0,VLOOKUP(C28,AR!$C$4:$AA$46,12,0),IF(E28=1,VLOOKUP(C28,AR!$C$4:$AA$46,18,0),IF(E28=2,VLOOKUP(C28,AR!$C$4:$AA$46,23,0),""))))</f>
        <v>46043</v>
      </c>
      <c r="I28" s="273">
        <f>IF(VLOOKUP(C28,AR!$C$4:$AA$46,13,0)="","",IF(E28=0,VLOOKUP(C28,AR!$C$4:$AA$46,13,0),IF(E28=1,VLOOKUP(C28,AR!$C$4:$AA$46,18,0),IF(E28=2,VLOOKUP(C28,AR!$C$4:$AA$46,23,0),""))))</f>
        <v>46052</v>
      </c>
      <c r="J28" s="273" t="str">
        <f>IF(VLOOKUP(C28,AR!$C$4:$AA$46,15,0)="","",IF(E28=0,VLOOKUP(C28,AR!$C$4:$AA$46,15,0),IF(E28=1,VLOOKUP(C28,AR!$C$4:$AA$46,20,0),IF(E28=2,VLOOKUP(C28,AR!$C$4:$AA$46,25,0),""))))</f>
        <v/>
      </c>
      <c r="K28" s="276" t="str">
        <f>VLOOKUP(C28,AR!$C$4:$K$996,7,0)</f>
        <v>Closed</v>
      </c>
      <c r="L28" s="275" t="str" cm="1">
        <f t="array" aca="1" ref="L28" ca="1">_xlfn.IFS(AND($E28&lt;&gt;"",$M28="Pending",$K28="CTA"),TODAY()-$G28,AND($E28&lt;&gt;"",$M28="Pending",$K28="AUR"),TODAY()-$H28,AND($E28&lt;&gt;"",$M28="Pending",$K28="STT"),TODAY()-$I28,OR(K28="Closed",K28=""),"")</f>
        <v/>
      </c>
      <c r="M28" s="276" t="str">
        <f>VLOOKUP(C28,AR!$C$4:$J$34,8,0)</f>
        <v>B</v>
      </c>
      <c r="N28" s="269" t="str">
        <f t="shared" si="0"/>
        <v/>
      </c>
      <c r="O28" s="293"/>
    </row>
    <row r="29" spans="1:15" ht="32.25" hidden="1" customHeight="1" x14ac:dyDescent="0.25">
      <c r="A29" s="269">
        <f t="shared" si="1"/>
        <v>25</v>
      </c>
      <c r="B29" s="283" t="s">
        <v>19</v>
      </c>
      <c r="C29" s="291" t="s">
        <v>121</v>
      </c>
      <c r="D29" s="281" t="str">
        <f>VLOOKUP(C29,AR!$C$4:$J$52,2,0)</f>
        <v xml:space="preserve">Confirm for the Final Height of HMI Display from Fan wall unit (FWU) with Respects to Human Ratio </v>
      </c>
      <c r="E29" s="269">
        <f>IF(VLOOKUP(C29,AR!$C$4:$J$46,6,0)="","",VLOOKUP(C29,AR!$C$4:$J$46,6,0))</f>
        <v>0</v>
      </c>
      <c r="F29" s="292"/>
      <c r="G29" s="312">
        <f>IF(VLOOKUP(C29,AR!$C$4:$J$46,4,0)="","",VLOOKUP(C29,AR!$C$4:$J$46,4,0))</f>
        <v>46041</v>
      </c>
      <c r="H29" s="273">
        <f>IF(VLOOKUP(C29,AR!$C$4:$AA$46,12,0)="","",IF(E29=0,VLOOKUP(C29,AR!$C$4:$AA$46,12,0),IF(E29=1,VLOOKUP(C29,AR!$C$4:$AA$46,18,0),IF(E29=2,VLOOKUP(C29,AR!$C$4:$AA$46,23,0),""))))</f>
        <v>46043</v>
      </c>
      <c r="I29" s="273">
        <f>IF(VLOOKUP(C29,AR!$C$4:$AA$46,13,0)="","",IF(E29=0,VLOOKUP(C29,AR!$C$4:$AA$46,13,0),IF(E29=1,VLOOKUP(C29,AR!$C$4:$AA$46,18,0),IF(E29=2,VLOOKUP(C29,AR!$C$4:$AA$46,23,0),""))))</f>
        <v>46052</v>
      </c>
      <c r="J29" s="273" t="str">
        <f>IF(VLOOKUP(C29,AR!$C$4:$AA$46,15,0)="","",IF(E29=0,VLOOKUP(C29,AR!$C$4:$AA$46,15,0),IF(E29=1,VLOOKUP(C29,AR!$C$4:$AA$46,20,0),IF(E29=2,VLOOKUP(C29,AR!$C$4:$AA$46,25,0),""))))</f>
        <v/>
      </c>
      <c r="K29" s="276" t="str">
        <f>VLOOKUP(C29,AR!$C$4:$K$996,7,0)</f>
        <v>Closed</v>
      </c>
      <c r="L29" s="275" t="str" cm="1">
        <f t="array" aca="1" ref="L29" ca="1">_xlfn.IFS(AND($E29&lt;&gt;"",$M29="Pending",$K29="CTA"),TODAY()-$G29,AND($E29&lt;&gt;"",$M29="Pending",$K29="AUR"),TODAY()-$H29,AND($E29&lt;&gt;"",$M29="Pending",$K29="STT"),TODAY()-$I29,OR(K29="Closed",K29=""),"")</f>
        <v/>
      </c>
      <c r="M29" s="276" t="str">
        <f>VLOOKUP(C29,AR!$C$4:$J$34,8,0)</f>
        <v>B</v>
      </c>
      <c r="N29" s="269" t="str">
        <f t="shared" si="0"/>
        <v/>
      </c>
      <c r="O29" s="293"/>
    </row>
    <row r="30" spans="1:15" ht="32.25" hidden="1" customHeight="1" x14ac:dyDescent="0.25">
      <c r="A30" s="269">
        <f t="shared" si="1"/>
        <v>26</v>
      </c>
      <c r="B30" s="283" t="s">
        <v>19</v>
      </c>
      <c r="C30" s="291" t="s">
        <v>123</v>
      </c>
      <c r="D30" s="281" t="str">
        <f>VLOOKUP(C30,AR!$C$4:$J$52,2,0)</f>
        <v xml:space="preserve">Reduce the Thickness of Glass block in the Curve Wall from 12.7 mm. to 10.0 mm. </v>
      </c>
      <c r="E30" s="269">
        <f>IF(VLOOKUP(C30,AR!$C$4:$J$46,6,0)="","",VLOOKUP(C30,AR!$C$4:$J$46,6,0))</f>
        <v>0</v>
      </c>
      <c r="F30" s="292"/>
      <c r="G30" s="312">
        <f>IF(VLOOKUP(C30,AR!$C$4:$J$46,4,0)="","",VLOOKUP(C30,AR!$C$4:$J$46,4,0))</f>
        <v>46041</v>
      </c>
      <c r="H30" s="273">
        <f>IF(VLOOKUP(C30,AR!$C$4:$AA$46,12,0)="","",IF(E30=0,VLOOKUP(C30,AR!$C$4:$AA$46,12,0),IF(E30=1,VLOOKUP(C30,AR!$C$4:$AA$46,18,0),IF(E30=2,VLOOKUP(C30,AR!$C$4:$AA$46,23,0),""))))</f>
        <v>46043</v>
      </c>
      <c r="I30" s="273">
        <f>IF(VLOOKUP(C30,AR!$C$4:$AA$46,13,0)="","",IF(E30=0,VLOOKUP(C30,AR!$C$4:$AA$46,13,0),IF(E30=1,VLOOKUP(C30,AR!$C$4:$AA$46,18,0),IF(E30=2,VLOOKUP(C30,AR!$C$4:$AA$46,23,0),""))))</f>
        <v>46052</v>
      </c>
      <c r="J30" s="273" t="str">
        <f>IF(VLOOKUP(C30,AR!$C$4:$AA$46,15,0)="","",IF(E30=0,VLOOKUP(C30,AR!$C$4:$AA$46,15,0),IF(E30=1,VLOOKUP(C30,AR!$C$4:$AA$46,20,0),IF(E30=2,VLOOKUP(C30,AR!$C$4:$AA$46,25,0),""))))</f>
        <v/>
      </c>
      <c r="K30" s="276" t="str">
        <f>VLOOKUP(C30,AR!$C$4:$K$996,7,0)</f>
        <v>Closed</v>
      </c>
      <c r="L30" s="275" t="str" cm="1">
        <f t="array" aca="1" ref="L30" ca="1">_xlfn.IFS(AND($E30&lt;&gt;"",$M30="Pending",$K30="CTA"),TODAY()-$G30,AND($E30&lt;&gt;"",$M30="Pending",$K30="AUR"),TODAY()-$H30,AND($E30&lt;&gt;"",$M30="Pending",$K30="STT"),TODAY()-$I30,OR(K30="Closed",K30=""),"")</f>
        <v/>
      </c>
      <c r="M30" s="276" t="str">
        <f>VLOOKUP(C30,AR!$C$4:$J$34,8,0)</f>
        <v>B</v>
      </c>
      <c r="N30" s="269" t="str">
        <f t="shared" si="0"/>
        <v/>
      </c>
      <c r="O30" s="293"/>
    </row>
    <row r="31" spans="1:15" ht="32.25" hidden="1" customHeight="1" x14ac:dyDescent="0.25">
      <c r="A31" s="269">
        <f t="shared" si="1"/>
        <v>27</v>
      </c>
      <c r="B31" s="283" t="s">
        <v>19</v>
      </c>
      <c r="C31" s="291" t="s">
        <v>125</v>
      </c>
      <c r="D31" s="281" t="str">
        <f>VLOOKUP(C31,AR!$C$4:$J$52,2,0)</f>
        <v>Confirm Colour Code and Type  - Semi-Gloss or Matt Type</v>
      </c>
      <c r="E31" s="269">
        <f>IF(VLOOKUP(C31,AR!$C$4:$J$46,6,0)="","",VLOOKUP(C31,AR!$C$4:$J$46,6,0))</f>
        <v>0</v>
      </c>
      <c r="F31" s="292"/>
      <c r="G31" s="312">
        <f>IF(VLOOKUP(C31,AR!$C$4:$J$46,4,0)="","",VLOOKUP(C31,AR!$C$4:$J$46,4,0))</f>
        <v>46041</v>
      </c>
      <c r="H31" s="273">
        <f>IF(VLOOKUP(C31,AR!$C$4:$AA$46,12,0)="","",IF(E31=0,VLOOKUP(C31,AR!$C$4:$AA$46,12,0),IF(E31=1,VLOOKUP(C31,AR!$C$4:$AA$46,18,0),IF(E31=2,VLOOKUP(C31,AR!$C$4:$AA$46,23,0),""))))</f>
        <v>46049</v>
      </c>
      <c r="I31" s="273">
        <f>IF(VLOOKUP(C31,AR!$C$4:$AA$46,13,0)="","",IF(E31=0,VLOOKUP(C31,AR!$C$4:$AA$46,13,0),IF(E31=1,VLOOKUP(C31,AR!$C$4:$AA$46,18,0),IF(E31=2,VLOOKUP(C31,AR!$C$4:$AA$46,23,0),""))))</f>
        <v>46055</v>
      </c>
      <c r="J31" s="273" t="str">
        <f>IF(VLOOKUP(C31,AR!$C$4:$AA$46,15,0)="","",IF(E31=0,VLOOKUP(C31,AR!$C$4:$AA$46,15,0),IF(E31=1,VLOOKUP(C31,AR!$C$4:$AA$46,20,0),IF(E31=2,VLOOKUP(C31,AR!$C$4:$AA$46,25,0),""))))</f>
        <v>A</v>
      </c>
      <c r="K31" s="276" t="str">
        <f>VLOOKUP(C31,AR!$C$4:$K$996,7,0)</f>
        <v>Closed</v>
      </c>
      <c r="L31" s="275" t="str" cm="1">
        <f t="array" aca="1" ref="L31" ca="1">_xlfn.IFS(AND($E31&lt;&gt;"",$M31="Pending",$K31="CTA"),TODAY()-$G31,AND($E31&lt;&gt;"",$M31="Pending",$K31="AUR"),TODAY()-$H31,AND($E31&lt;&gt;"",$M31="Pending",$K31="STT"),TODAY()-$I31,OR(K31="Closed",K31=""),"")</f>
        <v/>
      </c>
      <c r="M31" s="276" t="str">
        <f>VLOOKUP(C31,AR!$C$4:$J$34,8,0)</f>
        <v>A</v>
      </c>
      <c r="N31" s="269" t="str">
        <f t="shared" si="0"/>
        <v/>
      </c>
      <c r="O31" s="293"/>
    </row>
    <row r="32" spans="1:15" ht="32.25" customHeight="1" x14ac:dyDescent="0.25">
      <c r="A32" s="269">
        <f t="shared" si="1"/>
        <v>28</v>
      </c>
      <c r="B32" s="283" t="s">
        <v>19</v>
      </c>
      <c r="C32" s="291" t="s">
        <v>127</v>
      </c>
      <c r="D32" s="281" t="str">
        <f>VLOOKUP(C32,AR!$C$4:$J$52,2,0)</f>
        <v>Proposal for Waterproofing Termination Level at RC Curb for F3, F3C and F6</v>
      </c>
      <c r="E32" s="269">
        <f>IF(VLOOKUP(C32,AR!$C$4:$J$46,6,0)="","",VLOOKUP(C32,AR!$C$4:$J$46,6,0))</f>
        <v>0</v>
      </c>
      <c r="F32" s="292"/>
      <c r="G32" s="312">
        <f>IF(VLOOKUP(C32,AR!$C$4:$J$46,4,0)="","",VLOOKUP(C32,AR!$C$4:$J$46,4,0))</f>
        <v>46042</v>
      </c>
      <c r="H32" s="273">
        <f>IF(VLOOKUP(C32,AR!$C$4:$AA$46,12,0)="","",IF(E32=0,VLOOKUP(C32,AR!$C$4:$AA$46,12,0),IF(E32=1,VLOOKUP(C32,AR!$C$4:$AA$46,18,0),IF(E32=2,VLOOKUP(C32,AR!$C$4:$AA$46,23,0),""))))</f>
        <v>46044</v>
      </c>
      <c r="I32" s="273">
        <f>IF(VLOOKUP(C32,AR!$C$4:$AA$46,13,0)="","",IF(E32=0,VLOOKUP(C32,AR!$C$4:$AA$46,13,0),IF(E32=1,VLOOKUP(C32,AR!$C$4:$AA$46,18,0),IF(E32=2,VLOOKUP(C32,AR!$C$4:$AA$46,23,0),""))))</f>
        <v>46055</v>
      </c>
      <c r="J32" s="273" t="str">
        <f>IF(VLOOKUP(C32,AR!$C$4:$AA$46,15,0)="","",IF(E32=0,VLOOKUP(C32,AR!$C$4:$AA$46,15,0),IF(E32=1,VLOOKUP(C32,AR!$C$4:$AA$46,20,0),IF(E32=2,VLOOKUP(C32,AR!$C$4:$AA$46,25,0),""))))</f>
        <v/>
      </c>
      <c r="K32" s="276" t="str">
        <f>VLOOKUP(C32,AR!$C$4:$K$996,7,0)</f>
        <v>STT</v>
      </c>
      <c r="L32" s="275" cm="1">
        <f t="array" aca="1" ref="L32" ca="1">_xlfn.IFS(AND($E32&lt;&gt;"",$M32="Pending",$K32="CTA"),TODAY()-$G32,AND($E32&lt;&gt;"",$M32="Pending",$K32="AUR"),TODAY()-$H32,AND($E32&lt;&gt;"",$M32="Pending",$K32="STT"),TODAY()-$I32,OR(K32="Closed",K32=""),"")</f>
        <v>9</v>
      </c>
      <c r="M32" s="276" t="str">
        <f>VLOOKUP(C32,AR!$C$4:$J$34,8,0)</f>
        <v>Pending</v>
      </c>
      <c r="N32" s="269" t="str">
        <f t="shared" ca="1" si="0"/>
        <v>Overdue</v>
      </c>
      <c r="O32" s="316" t="s">
        <v>372</v>
      </c>
    </row>
    <row r="33" spans="1:15" ht="32.25" hidden="1" customHeight="1" x14ac:dyDescent="0.25">
      <c r="A33" s="269">
        <f t="shared" si="1"/>
        <v>29</v>
      </c>
      <c r="B33" s="283" t="s">
        <v>19</v>
      </c>
      <c r="C33" s="291" t="s">
        <v>129</v>
      </c>
      <c r="D33" s="281" t="str">
        <f>VLOOKUP(C33,AR!$C$4:$J$52,2,0)</f>
        <v>Confirm Colour for Partition Wall Toilet Room 1st to 5th Floor</v>
      </c>
      <c r="E33" s="269">
        <f>IF(VLOOKUP(C33,AR!$C$4:$J$46,6,0)="","",VLOOKUP(C33,AR!$C$4:$J$46,6,0))</f>
        <v>0</v>
      </c>
      <c r="F33" s="292"/>
      <c r="G33" s="312">
        <f>IF(VLOOKUP(C33,AR!$C$4:$J$46,4,0)="","",VLOOKUP(C33,AR!$C$4:$J$46,4,0))</f>
        <v>46042</v>
      </c>
      <c r="H33" s="273">
        <f>IF(VLOOKUP(C33,AR!$C$4:$AA$46,12,0)="","",IF(E33=0,VLOOKUP(C33,AR!$C$4:$AA$46,12,0),IF(E33=1,VLOOKUP(C33,AR!$C$4:$AA$46,18,0),IF(E33=2,VLOOKUP(C33,AR!$C$4:$AA$46,23,0),""))))</f>
        <v>46052</v>
      </c>
      <c r="I33" s="273">
        <f>IF(VLOOKUP(C33,AR!$C$4:$AA$46,13,0)="","",IF(E33=0,VLOOKUP(C33,AR!$C$4:$AA$46,13,0),IF(E33=1,VLOOKUP(C33,AR!$C$4:$AA$46,18,0),IF(E33=2,VLOOKUP(C33,AR!$C$4:$AA$46,23,0),""))))</f>
        <v>46057</v>
      </c>
      <c r="J33" s="273" t="str">
        <f>IF(VLOOKUP(C33,AR!$C$4:$AA$46,15,0)="","",IF(E33=0,VLOOKUP(C33,AR!$C$4:$AA$46,15,0),IF(E33=1,VLOOKUP(C33,AR!$C$4:$AA$46,20,0),IF(E33=2,VLOOKUP(C33,AR!$C$4:$AA$46,25,0),""))))</f>
        <v>B</v>
      </c>
      <c r="K33" s="276" t="str">
        <f>VLOOKUP(C33,AR!$C$4:$K$996,7,0)</f>
        <v>Closed</v>
      </c>
      <c r="L33" s="275" t="str" cm="1">
        <f t="array" aca="1" ref="L33" ca="1">_xlfn.IFS(AND($E33&lt;&gt;"",$M33="Pending",$K33="CTA"),TODAY()-$G33,AND($E33&lt;&gt;"",$M33="Pending",$K33="AUR"),TODAY()-$H33,AND($E33&lt;&gt;"",$M33="Pending",$K33="STT"),TODAY()-$I33,OR(K33="Closed",K33=""),"")</f>
        <v/>
      </c>
      <c r="M33" s="276" t="str">
        <f>VLOOKUP(C33,AR!$C$4:$J$34,8,0)</f>
        <v>B</v>
      </c>
      <c r="N33" s="269" t="str">
        <f t="shared" si="0"/>
        <v/>
      </c>
      <c r="O33" s="293"/>
    </row>
    <row r="34" spans="1:15" ht="32.25" hidden="1" customHeight="1" x14ac:dyDescent="0.25">
      <c r="A34" s="269">
        <f t="shared" si="1"/>
        <v>30</v>
      </c>
      <c r="B34" s="283" t="s">
        <v>19</v>
      </c>
      <c r="C34" s="291" t="s">
        <v>131</v>
      </c>
      <c r="D34" s="281" t="str">
        <f>VLOOKUP(C34,AR!$C$4:$J$52,2,0)</f>
        <v>Clarify Ceiling Soffit Color for Ceiling Painting</v>
      </c>
      <c r="E34" s="269">
        <f>IF(VLOOKUP(C34,AR!$C$4:$J$46,6,0)="","",VLOOKUP(C34,AR!$C$4:$J$46,6,0))</f>
        <v>0</v>
      </c>
      <c r="F34" s="292"/>
      <c r="G34" s="312">
        <f>IF(VLOOKUP(C34,AR!$C$4:$J$46,4,0)="","",VLOOKUP(C34,AR!$C$4:$J$46,4,0))</f>
        <v>46042</v>
      </c>
      <c r="H34" s="273">
        <f>IF(VLOOKUP(C34,AR!$C$4:$AA$46,12,0)="","",IF(E34=0,VLOOKUP(C34,AR!$C$4:$AA$46,12,0),IF(E34=1,VLOOKUP(C34,AR!$C$4:$AA$46,18,0),IF(E34=2,VLOOKUP(C34,AR!$C$4:$AA$46,23,0),""))))</f>
        <v>46052</v>
      </c>
      <c r="I34" s="273">
        <f>IF(VLOOKUP(C34,AR!$C$4:$AA$46,13,0)="","",IF(E34=0,VLOOKUP(C34,AR!$C$4:$AA$46,13,0),IF(E34=1,VLOOKUP(C34,AR!$C$4:$AA$46,18,0),IF(E34=2,VLOOKUP(C34,AR!$C$4:$AA$46,23,0),""))))</f>
        <v>46057</v>
      </c>
      <c r="J34" s="273" t="str">
        <f>IF(VLOOKUP(C34,AR!$C$4:$AA$46,15,0)="","",IF(E34=0,VLOOKUP(C34,AR!$C$4:$AA$46,15,0),IF(E34=1,VLOOKUP(C34,AR!$C$4:$AA$46,20,0),IF(E34=2,VLOOKUP(C34,AR!$C$4:$AA$46,25,0),""))))</f>
        <v>B</v>
      </c>
      <c r="K34" s="276" t="str">
        <f>VLOOKUP(C34,AR!$C$4:$K$996,7,0)</f>
        <v>Closed</v>
      </c>
      <c r="L34" s="275" t="str" cm="1">
        <f t="array" aca="1" ref="L34" ca="1">_xlfn.IFS(AND($E34&lt;&gt;"",$M34="Pending",$K34="CTA"),TODAY()-$G34,AND($E34&lt;&gt;"",$M34="Pending",$K34="AUR"),TODAY()-$H34,AND($E34&lt;&gt;"",$M34="Pending",$K34="STT"),TODAY()-$I34,OR(K34="Closed",K34=""),"")</f>
        <v/>
      </c>
      <c r="M34" s="276" t="str">
        <f>VLOOKUP(C34,AR!$C$4:$J$34,8,0)</f>
        <v>B</v>
      </c>
      <c r="N34" s="269" t="str">
        <f t="shared" si="0"/>
        <v/>
      </c>
      <c r="O34" s="293"/>
    </row>
    <row r="35" spans="1:15" ht="32.25" customHeight="1" x14ac:dyDescent="0.25">
      <c r="A35" s="269">
        <f t="shared" si="1"/>
        <v>31</v>
      </c>
      <c r="B35" s="283" t="s">
        <v>19</v>
      </c>
      <c r="C35" s="291" t="s">
        <v>133</v>
      </c>
      <c r="D35" s="281" t="str">
        <f>VLOOKUP(C35,AR!$C$4:$J$52,2,0)</f>
        <v>Request Product to Replace SIKA Bituseal-1500SA (Due to Discontinue to Produce)</v>
      </c>
      <c r="E35" s="269">
        <f>IF(VLOOKUP(C35,AR!$C$4:$J$46,6,0)="","",VLOOKUP(C35,AR!$C$4:$J$46,6,0))</f>
        <v>0</v>
      </c>
      <c r="F35" s="292"/>
      <c r="G35" s="312">
        <f>IF(VLOOKUP(C35,AR!$C$4:$J$46,4,0)="","",VLOOKUP(C35,AR!$C$4:$J$46,4,0))</f>
        <v>46043</v>
      </c>
      <c r="H35" s="273">
        <f>IF(VLOOKUP(C35,AR!$C$4:$AA$46,12,0)="","",IF(E35=0,VLOOKUP(C35,AR!$C$4:$AA$46,12,0),IF(E35=1,VLOOKUP(C35,AR!$C$4:$AA$46,18,0),IF(E35=2,VLOOKUP(C35,AR!$C$4:$AA$46,23,0),""))))</f>
        <v>46058</v>
      </c>
      <c r="I35" s="273">
        <f>IF(VLOOKUP(C35,AR!$C$4:$AA$46,13,0)="","",IF(E35=0,VLOOKUP(C35,AR!$C$4:$AA$46,13,0),IF(E35=1,VLOOKUP(C35,AR!$C$4:$AA$46,18,0),IF(E35=2,VLOOKUP(C35,AR!$C$4:$AA$46,23,0),""))))</f>
        <v>46059</v>
      </c>
      <c r="J35" s="273" t="str">
        <f>IF(VLOOKUP(C35,AR!$C$4:$AA$46,15,0)="","",IF(E35=0,VLOOKUP(C35,AR!$C$4:$AA$46,15,0),IF(E35=1,VLOOKUP(C35,AR!$C$4:$AA$46,20,0),IF(E35=2,VLOOKUP(C35,AR!$C$4:$AA$46,25,0),""))))</f>
        <v/>
      </c>
      <c r="K35" s="276" t="str">
        <f>VLOOKUP(C35,AR!$C$4:$K$996,7,0)</f>
        <v>STT</v>
      </c>
      <c r="L35" s="275" cm="1">
        <f t="array" aca="1" ref="L35" ca="1">_xlfn.IFS(AND($E35&lt;&gt;"",$M35="Pending",$K35="CTA"),TODAY()-$G35,AND($E35&lt;&gt;"",$M35="Pending",$K35="AUR"),TODAY()-$H35,AND($E35&lt;&gt;"",$M35="Pending",$K35="STT"),TODAY()-$I35,OR(K35="Closed",K35=""),"")</f>
        <v>5</v>
      </c>
      <c r="M35" s="276" t="str">
        <f>VLOOKUP(C35,AR!$C$4:$J$34,8,0)</f>
        <v>Pending</v>
      </c>
      <c r="N35" s="269" t="str">
        <f t="shared" ref="N35:N49" ca="1" si="2">IF(AND(E35&lt;&gt;"",M35="Pending"),IF(L35&gt;=5,"Overdue",IF(L35&gt;=3,"High","")),"")</f>
        <v>Overdue</v>
      </c>
      <c r="O35" s="293"/>
    </row>
    <row r="36" spans="1:15" ht="32.25" hidden="1" customHeight="1" x14ac:dyDescent="0.25">
      <c r="A36" s="269">
        <f t="shared" si="1"/>
        <v>32</v>
      </c>
      <c r="B36" s="283" t="s">
        <v>19</v>
      </c>
      <c r="C36" s="291" t="s">
        <v>135</v>
      </c>
      <c r="D36" s="281" t="str">
        <f>VLOOKUP(C36,AR!$C$4:$J$52,2,0)</f>
        <v>Confirm the Correct Floor Finishes for ID Works 1st-ID Works and 2nd to 5th Toilet</v>
      </c>
      <c r="E36" s="269">
        <f>IF(VLOOKUP(C36,AR!$C$4:$J$46,6,0)="","",VLOOKUP(C36,AR!$C$4:$J$46,6,0))</f>
        <v>0</v>
      </c>
      <c r="F36" s="292"/>
      <c r="G36" s="312">
        <f>IF(VLOOKUP(C36,AR!$C$4:$J$46,4,0)="","",VLOOKUP(C36,AR!$C$4:$J$46,4,0))</f>
        <v>46043</v>
      </c>
      <c r="H36" s="273">
        <f>IF(VLOOKUP(C36,AR!$C$4:$AA$46,12,0)="","",IF(E36=0,VLOOKUP(C36,AR!$C$4:$AA$46,12,0),IF(E36=1,VLOOKUP(C36,AR!$C$4:$AA$46,18,0),IF(E36=2,VLOOKUP(C36,AR!$C$4:$AA$46,23,0),""))))</f>
        <v>46052</v>
      </c>
      <c r="I36" s="273">
        <f>IF(VLOOKUP(C36,AR!$C$4:$AA$46,13,0)="","",IF(E36=0,VLOOKUP(C36,AR!$C$4:$AA$46,13,0),IF(E36=1,VLOOKUP(C36,AR!$C$4:$AA$46,18,0),IF(E36=2,VLOOKUP(C36,AR!$C$4:$AA$46,23,0),""))))</f>
        <v>46057</v>
      </c>
      <c r="J36" s="273" t="str">
        <f>IF(VLOOKUP(C36,AR!$C$4:$AA$46,15,0)="","",IF(E36=0,VLOOKUP(C36,AR!$C$4:$AA$46,15,0),IF(E36=1,VLOOKUP(C36,AR!$C$4:$AA$46,20,0),IF(E36=2,VLOOKUP(C36,AR!$C$4:$AA$46,25,0),""))))</f>
        <v>B</v>
      </c>
      <c r="K36" s="276" t="str">
        <f>VLOOKUP(C36,AR!$C$4:$K$996,7,0)</f>
        <v>Closed</v>
      </c>
      <c r="L36" s="275" t="str" cm="1">
        <f t="array" aca="1" ref="L36" ca="1">_xlfn.IFS(AND($E36&lt;&gt;"",$M36="Pending",$K36="CTA"),TODAY()-$G36,AND($E36&lt;&gt;"",$M36="Pending",$K36="AUR"),TODAY()-$H36,AND($E36&lt;&gt;"",$M36="Pending",$K36="STT"),TODAY()-$I36,OR(K36="Closed",K36=""),"")</f>
        <v/>
      </c>
      <c r="M36" s="276" t="str">
        <f>VLOOKUP(C36,AR!$C$4:$J$35,8,0)</f>
        <v>B</v>
      </c>
      <c r="N36" s="269" t="str">
        <f t="shared" si="2"/>
        <v/>
      </c>
      <c r="O36" s="293"/>
    </row>
    <row r="37" spans="1:15" ht="32.25" hidden="1" customHeight="1" x14ac:dyDescent="0.25">
      <c r="A37" s="269">
        <f t="shared" si="1"/>
        <v>33</v>
      </c>
      <c r="B37" s="283" t="s">
        <v>19</v>
      </c>
      <c r="C37" s="291" t="s">
        <v>137</v>
      </c>
      <c r="D37" s="281" t="str">
        <f>VLOOKUP(C37,AR!$C$4:$J$52,2,0)</f>
        <v>Confirm the Correct Ceiling Finishes for ID Works 1st to 5th Floor</v>
      </c>
      <c r="E37" s="269">
        <f>IF(VLOOKUP(C37,AR!$C$4:$J$46,6,0)="","",VLOOKUP(C37,AR!$C$4:$J$46,6,0))</f>
        <v>0</v>
      </c>
      <c r="F37" s="292"/>
      <c r="G37" s="312">
        <f>IF(VLOOKUP(C37,AR!$C$4:$J$46,4,0)="","",VLOOKUP(C37,AR!$C$4:$J$46,4,0))</f>
        <v>46043</v>
      </c>
      <c r="H37" s="273">
        <f>IF(VLOOKUP(C37,AR!$C$4:$AA$46,12,0)="","",IF(E37=0,VLOOKUP(C37,AR!$C$4:$AA$46,12,0),IF(E37=1,VLOOKUP(C37,AR!$C$4:$AA$46,18,0),IF(E37=2,VLOOKUP(C37,AR!$C$4:$AA$46,23,0),""))))</f>
        <v>46052</v>
      </c>
      <c r="I37" s="273">
        <f>IF(VLOOKUP(C37,AR!$C$4:$AA$46,13,0)="","",IF(E37=0,VLOOKUP(C37,AR!$C$4:$AA$46,13,0),IF(E37=1,VLOOKUP(C37,AR!$C$4:$AA$46,18,0),IF(E37=2,VLOOKUP(C37,AR!$C$4:$AA$46,23,0),""))))</f>
        <v>46057</v>
      </c>
      <c r="J37" s="273" t="str">
        <f>IF(VLOOKUP(C37,AR!$C$4:$AA$46,15,0)="","",IF(E37=0,VLOOKUP(C37,AR!$C$4:$AA$46,15,0),IF(E37=1,VLOOKUP(C37,AR!$C$4:$AA$46,20,0),IF(E37=2,VLOOKUP(C37,AR!$C$4:$AA$46,25,0),""))))</f>
        <v>B</v>
      </c>
      <c r="K37" s="276" t="str">
        <f>VLOOKUP(C37,AR!$C$4:$K$996,7,0)</f>
        <v>Closed</v>
      </c>
      <c r="L37" s="275" t="str" cm="1">
        <f t="array" aca="1" ref="L37" ca="1">_xlfn.IFS(AND($E37&lt;&gt;"",$M37="Pending",$K37="CTA"),TODAY()-$G37,AND($E37&lt;&gt;"",$M37="Pending",$K37="AUR"),TODAY()-$H37,AND($E37&lt;&gt;"",$M37="Pending",$K37="STT"),TODAY()-$I37,OR(K37="Closed",K37=""),"")</f>
        <v/>
      </c>
      <c r="M37" s="276" t="str">
        <f>VLOOKUP(C37,AR!$C$4:$J$36,8,0)</f>
        <v>B</v>
      </c>
      <c r="N37" s="269" t="str">
        <f t="shared" si="2"/>
        <v/>
      </c>
      <c r="O37" s="293"/>
    </row>
    <row r="38" spans="1:15" ht="32.25" hidden="1" customHeight="1" x14ac:dyDescent="0.25">
      <c r="A38" s="269">
        <f t="shared" si="1"/>
        <v>34</v>
      </c>
      <c r="B38" s="283" t="s">
        <v>19</v>
      </c>
      <c r="C38" s="291" t="s">
        <v>139</v>
      </c>
      <c r="D38" s="281" t="str">
        <f>VLOOKUP(C38,AR!$C$4:$J$52,2,0)</f>
        <v>Clarify the C2 T-Bar Ceiling  and Specify the Colour</v>
      </c>
      <c r="E38" s="269">
        <f>IF(VLOOKUP(C38,AR!$C$4:$J$46,6,0)="","",VLOOKUP(C38,AR!$C$4:$J$46,6,0))</f>
        <v>0</v>
      </c>
      <c r="F38" s="292"/>
      <c r="G38" s="312">
        <f>IF(VLOOKUP(C38,AR!$C$4:$J$46,4,0)="","",VLOOKUP(C38,AR!$C$4:$J$46,4,0))</f>
        <v>46043</v>
      </c>
      <c r="H38" s="273">
        <f>IF(VLOOKUP(C38,AR!$C$4:$AA$46,12,0)="","",IF(E38=0,VLOOKUP(C38,AR!$C$4:$AA$46,12,0),IF(E38=1,VLOOKUP(C38,AR!$C$4:$AA$46,18,0),IF(E38=2,VLOOKUP(C38,AR!$C$4:$AA$46,23,0),""))))</f>
        <v>46052</v>
      </c>
      <c r="I38" s="273">
        <f>IF(VLOOKUP(C38,AR!$C$4:$AA$46,13,0)="","",IF(E38=0,VLOOKUP(C38,AR!$C$4:$AA$46,13,0),IF(E38=1,VLOOKUP(C38,AR!$C$4:$AA$46,18,0),IF(E38=2,VLOOKUP(C38,AR!$C$4:$AA$46,23,0),""))))</f>
        <v>46057</v>
      </c>
      <c r="J38" s="273" t="str">
        <f>IF(VLOOKUP(C38,AR!$C$4:$AA$46,15,0)="","",IF(E38=0,VLOOKUP(C38,AR!$C$4:$AA$46,15,0),IF(E38=1,VLOOKUP(C38,AR!$C$4:$AA$46,20,0),IF(E38=2,VLOOKUP(C38,AR!$C$4:$AA$46,25,0),""))))</f>
        <v>B</v>
      </c>
      <c r="K38" s="276" t="str">
        <f>VLOOKUP(C38,AR!$C$4:$K$996,7,0)</f>
        <v>Closed</v>
      </c>
      <c r="L38" s="275" t="str" cm="1">
        <f t="array" aca="1" ref="L38" ca="1">_xlfn.IFS(AND($E38&lt;&gt;"",$M38="Pending",$K38="CTA"),TODAY()-$G38,AND($E38&lt;&gt;"",$M38="Pending",$K38="AUR"),TODAY()-$H38,AND($E38&lt;&gt;"",$M38="Pending",$K38="STT"),TODAY()-$I38,OR(K38="Closed",K38=""),"")</f>
        <v/>
      </c>
      <c r="M38" s="276" t="str">
        <f>VLOOKUP(C38,AR!$C$4:$J$37,8,0)</f>
        <v>B</v>
      </c>
      <c r="N38" s="269" t="str">
        <f t="shared" si="2"/>
        <v/>
      </c>
      <c r="O38" s="293"/>
    </row>
    <row r="39" spans="1:15" ht="32.25" customHeight="1" x14ac:dyDescent="0.25">
      <c r="A39" s="269">
        <f t="shared" si="1"/>
        <v>35</v>
      </c>
      <c r="B39" s="283" t="s">
        <v>19</v>
      </c>
      <c r="C39" s="291" t="s">
        <v>141</v>
      </c>
      <c r="D39" s="281" t="str">
        <f>VLOOKUP(C39,AR!$C$4:$J$52,2,0)</f>
        <v xml:space="preserve">Confirming the Tile Type from the catalog SE206 is a Carpet Tile </v>
      </c>
      <c r="E39" s="269">
        <f>IF(VLOOKUP(C39,AR!$C$4:$J$46,6,0)="","",VLOOKUP(C39,AR!$C$4:$J$46,6,0))</f>
        <v>0</v>
      </c>
      <c r="F39" s="292"/>
      <c r="G39" s="312">
        <f>IF(VLOOKUP(C39,AR!$C$4:$J$46,4,0)="","",VLOOKUP(C39,AR!$C$4:$J$46,4,0))</f>
        <v>46043</v>
      </c>
      <c r="H39" s="273">
        <f>IF(VLOOKUP(C39,AR!$C$4:$AA$46,12,0)="","",IF(E39=0,VLOOKUP(C39,AR!$C$4:$AA$46,12,0),IF(E39=1,VLOOKUP(C39,AR!$C$4:$AA$46,18,0),IF(E39=2,VLOOKUP(C39,AR!$C$4:$AA$46,23,0),""))))</f>
        <v>46052</v>
      </c>
      <c r="I39" s="273">
        <f>IF(VLOOKUP(C39,AR!$C$4:$AA$46,13,0)="","",IF(E39=0,VLOOKUP(C39,AR!$C$4:$AA$46,13,0),IF(E39=1,VLOOKUP(C39,AR!$C$4:$AA$46,18,0),IF(E39=2,VLOOKUP(C39,AR!$C$4:$AA$46,23,0),""))))</f>
        <v>46057</v>
      </c>
      <c r="J39" s="273" t="str">
        <f>IF(VLOOKUP(C39,AR!$C$4:$AA$46,15,0)="","",IF(E39=0,VLOOKUP(C39,AR!$C$4:$AA$46,15,0),IF(E39=1,VLOOKUP(C39,AR!$C$4:$AA$46,20,0),IF(E39=2,VLOOKUP(C39,AR!$C$4:$AA$46,25,0),""))))</f>
        <v/>
      </c>
      <c r="K39" s="276" t="str">
        <f>VLOOKUP(C39,AR!$C$4:$K$996,7,0)</f>
        <v>STT</v>
      </c>
      <c r="L39" s="275" cm="1">
        <f t="array" aca="1" ref="L39" ca="1">_xlfn.IFS(AND($E39&lt;&gt;"",$M39="Pending",$K39="CTA"),TODAY()-$G39,AND($E39&lt;&gt;"",$M39="Pending",$K39="AUR"),TODAY()-$H39,AND($E39&lt;&gt;"",$M39="Pending",$K39="STT"),TODAY()-$I39,OR(K39="Closed",K39=""),"")</f>
        <v>7</v>
      </c>
      <c r="M39" s="276" t="str">
        <f>VLOOKUP(C39,AR!$C$4:$J$38,8,0)</f>
        <v>Pending</v>
      </c>
      <c r="N39" s="269" t="str">
        <f t="shared" ca="1" si="2"/>
        <v>Overdue</v>
      </c>
      <c r="O39" s="293"/>
    </row>
    <row r="40" spans="1:15" ht="32.25" customHeight="1" x14ac:dyDescent="0.25">
      <c r="A40" s="269">
        <f t="shared" si="1"/>
        <v>36</v>
      </c>
      <c r="B40" s="283" t="s">
        <v>19</v>
      </c>
      <c r="C40" s="291" t="s">
        <v>143</v>
      </c>
      <c r="D40" s="281" t="str">
        <f>VLOOKUP(C40,AR!$C$4:$J$52,2,0)</f>
        <v>Request for Tile Grout Specification and Colour Schemes for BKK2</v>
      </c>
      <c r="E40" s="269">
        <f>IF(VLOOKUP(C40,AR!$C$4:$J$46,6,0)="","",VLOOKUP(C40,AR!$C$4:$J$46,6,0))</f>
        <v>0</v>
      </c>
      <c r="F40" s="292"/>
      <c r="G40" s="312">
        <f>IF(VLOOKUP(C40,AR!$C$4:$J$46,4,0)="","",VLOOKUP(C40,AR!$C$4:$J$46,4,0))</f>
        <v>46045</v>
      </c>
      <c r="H40" s="273">
        <f>IF(VLOOKUP(C40,AR!$C$4:$AA$46,12,0)="","",IF(E40=0,VLOOKUP(C40,AR!$C$4:$AA$46,12,0),IF(E40=1,VLOOKUP(C40,AR!$C$4:$AA$46,18,0),IF(E40=2,VLOOKUP(C40,AR!$C$4:$AA$46,23,0),""))))</f>
        <v>46052</v>
      </c>
      <c r="I40" s="273">
        <f>IF(VLOOKUP(C40,AR!$C$4:$AA$46,13,0)="","",IF(E40=0,VLOOKUP(C40,AR!$C$4:$AA$46,13,0),IF(E40=1,VLOOKUP(C40,AR!$C$4:$AA$46,18,0),IF(E40=2,VLOOKUP(C40,AR!$C$4:$AA$46,23,0),""))))</f>
        <v>46057</v>
      </c>
      <c r="J40" s="273" t="str">
        <f>IF(VLOOKUP(C40,AR!$C$4:$AA$46,15,0)="","",IF(E40=0,VLOOKUP(C40,AR!$C$4:$AA$46,15,0),IF(E40=1,VLOOKUP(C40,AR!$C$4:$AA$46,20,0),IF(E40=2,VLOOKUP(C40,AR!$C$4:$AA$46,25,0),""))))</f>
        <v/>
      </c>
      <c r="K40" s="276" t="str">
        <f>VLOOKUP(C40,AR!$C$4:$K$996,7,0)</f>
        <v>STT</v>
      </c>
      <c r="L40" s="275" cm="1">
        <f t="array" aca="1" ref="L40" ca="1">_xlfn.IFS(AND($E40&lt;&gt;"",$M40="Pending",$K40="CTA"),TODAY()-$G40,AND($E40&lt;&gt;"",$M40="Pending",$K40="AUR"),TODAY()-$H40,AND($E40&lt;&gt;"",$M40="Pending",$K40="STT"),TODAY()-$I40,OR(K40="Closed",K40=""),"")</f>
        <v>7</v>
      </c>
      <c r="M40" s="276" t="str">
        <f>VLOOKUP(C40,AR!$C$4:$J$39,8,0)</f>
        <v>Pending</v>
      </c>
      <c r="N40" s="269" t="str">
        <f t="shared" ca="1" si="2"/>
        <v>Overdue</v>
      </c>
      <c r="O40" s="277"/>
    </row>
    <row r="41" spans="1:15" ht="32.25" hidden="1" customHeight="1" x14ac:dyDescent="0.25">
      <c r="A41" s="269">
        <f t="shared" si="1"/>
        <v>37</v>
      </c>
      <c r="B41" s="283" t="s">
        <v>19</v>
      </c>
      <c r="C41" s="291" t="s">
        <v>145</v>
      </c>
      <c r="D41" s="281" t="str">
        <f>VLOOKUP(C41,AR!$C$4:$J$52,2,0)</f>
        <v xml:space="preserve">Confirm to Change Weberdry S3000S to Proofex GPE due to Discontinued Product </v>
      </c>
      <c r="E41" s="269">
        <f>IF(VLOOKUP(C41,AR!$C$4:$J$46,6,0)="","",VLOOKUP(C41,AR!$C$4:$J$46,6,0))</f>
        <v>0</v>
      </c>
      <c r="F41" s="292"/>
      <c r="G41" s="312">
        <f>IF(VLOOKUP(C41,AR!$C$4:$J$46,4,0)="","",VLOOKUP(C41,AR!$C$4:$J$46,4,0))</f>
        <v>46045</v>
      </c>
      <c r="H41" s="273">
        <f>IF(VLOOKUP(C41,AR!$C$4:$AA$46,12,0)="","",IF(E41=0,VLOOKUP(C41,AR!$C$4:$AA$46,12,0),IF(E41=1,VLOOKUP(C41,AR!$C$4:$AA$46,18,0),IF(E41=2,VLOOKUP(C41,AR!$C$4:$AA$46,23,0),""))))</f>
        <v>46052</v>
      </c>
      <c r="I41" s="273">
        <f>IF(VLOOKUP(C41,AR!$C$4:$AA$46,13,0)="","",IF(E41=0,VLOOKUP(C41,AR!$C$4:$AA$46,13,0),IF(E41=1,VLOOKUP(C41,AR!$C$4:$AA$46,18,0),IF(E41=2,VLOOKUP(C41,AR!$C$4:$AA$46,23,0),""))))</f>
        <v>46057</v>
      </c>
      <c r="J41" s="273" t="str">
        <f>IF(VLOOKUP(C41,AR!$C$4:$AA$46,15,0)="","",IF(E41=0,VLOOKUP(C41,AR!$C$4:$AA$46,15,0),IF(E41=1,VLOOKUP(C41,AR!$C$4:$AA$46,20,0),IF(E41=2,VLOOKUP(C41,AR!$C$4:$AA$46,25,0),""))))</f>
        <v>B</v>
      </c>
      <c r="K41" s="276" t="str">
        <f>VLOOKUP(C41,AR!$C$4:$K$996,7,0)</f>
        <v>Closed</v>
      </c>
      <c r="L41" s="275" t="str" cm="1">
        <f t="array" aca="1" ref="L41" ca="1">_xlfn.IFS(AND($E41&lt;&gt;"",$M41="Pending",$K41="CTA"),TODAY()-$G41,AND($E41&lt;&gt;"",$M41="Pending",$K41="AUR"),TODAY()-$H41,AND($E41&lt;&gt;"",$M41="Pending",$K41="STT"),TODAY()-$I41,OR(K41="Closed",K41=""),"")</f>
        <v/>
      </c>
      <c r="M41" s="276" t="str">
        <f>VLOOKUP(C41,AR!$C$4:$J$44,8,0)</f>
        <v>B</v>
      </c>
      <c r="N41" s="269" t="str">
        <f t="shared" si="2"/>
        <v/>
      </c>
      <c r="O41" s="277"/>
    </row>
    <row r="42" spans="1:15" ht="34.950000000000003" customHeight="1" x14ac:dyDescent="0.25">
      <c r="A42" s="269">
        <f t="shared" si="1"/>
        <v>38</v>
      </c>
      <c r="B42" s="283" t="s">
        <v>19</v>
      </c>
      <c r="C42" s="291" t="s">
        <v>147</v>
      </c>
      <c r="D42" s="281" t="str">
        <f>VLOOKUP(C42,AR!$C$4:$J$52,2,0)</f>
        <v>Change of Ceiling Panel Specification from Gypsum Board to Metal Pan Ceiling Board</v>
      </c>
      <c r="E42" s="269">
        <f>IF(VLOOKUP(C42,AR!$C$4:$J$46,6,0)="","",VLOOKUP(C42,AR!$C$4:$J$46,6,0))</f>
        <v>1</v>
      </c>
      <c r="F42" s="292"/>
      <c r="G42" s="312">
        <f>IF(VLOOKUP(C42,AR!$C$4:$J$46,4,0)="","",VLOOKUP(C42,AR!$C$4:$J$46,4,0))</f>
        <v>46064</v>
      </c>
      <c r="H42" s="273"/>
      <c r="I42" s="273"/>
      <c r="J42" s="273" t="str">
        <f>IF(VLOOKUP(C42,AR!$C$4:$AA$46,15,0)="","",IF(E42=0,VLOOKUP(C42,AR!$C$4:$AA$46,15,0),IF(E42=1,VLOOKUP(C42,AR!$C$4:$AA$46,20,0),IF(E42=2,VLOOKUP(C42,AR!$C$4:$AA$46,25,0),""))))</f>
        <v/>
      </c>
      <c r="K42" s="276" t="str">
        <f>VLOOKUP(C42,AR!$C$4:$K$996,7,0)</f>
        <v>CTA</v>
      </c>
      <c r="L42" s="275" cm="1">
        <f t="array" aca="1" ref="L42" ca="1">_xlfn.IFS(AND($E42&lt;&gt;"",$M42="Pending",$K42="CTA"),TODAY()-$G42,AND($E42&lt;&gt;"",$M42="Pending",$K42="AUR"),TODAY()-$H42,AND($E42&lt;&gt;"",$M42="Pending",$K42="STT"),TODAY()-$I42,OR(K42="Closed",K42=""),"")</f>
        <v>0</v>
      </c>
      <c r="M42" s="276" t="str">
        <f>VLOOKUP(C42,AR!$C$4:$J$44,8,0)</f>
        <v>Pending</v>
      </c>
      <c r="N42" s="269" t="str">
        <f t="shared" ca="1" si="2"/>
        <v/>
      </c>
      <c r="O42" s="277"/>
    </row>
    <row r="43" spans="1:15" ht="32.25" customHeight="1" x14ac:dyDescent="0.25">
      <c r="A43" s="269">
        <f t="shared" si="1"/>
        <v>39</v>
      </c>
      <c r="B43" s="283" t="s">
        <v>19</v>
      </c>
      <c r="C43" s="291" t="s">
        <v>149</v>
      </c>
      <c r="D43" s="281" t="str">
        <f>VLOOKUP(C43,AR!$C$4:$J$52,2,0)</f>
        <v>Change Laminated Color due to Discontinued Product</v>
      </c>
      <c r="E43" s="269">
        <f>IF(VLOOKUP(C43,AR!$C$4:$J$46,6,0)="","",VLOOKUP(C43,AR!$C$4:$J$46,6,0))</f>
        <v>0</v>
      </c>
      <c r="F43" s="292"/>
      <c r="G43" s="312">
        <f>IF(VLOOKUP(C43,AR!$C$4:$J$46,4,0)="","",VLOOKUP(C43,AR!$C$4:$J$46,4,0))</f>
        <v>46056</v>
      </c>
      <c r="H43" s="273">
        <f>IF(VLOOKUP(C43,AR!$C$4:$AA$46,12,0)="","",IF(E43=0,VLOOKUP(C43,AR!$C$4:$AA$46,12,0),IF(E43=1,VLOOKUP(C43,AR!$C$4:$AA$46,18,0),IF(E43=2,VLOOKUP(C43,AR!$C$4:$AA$46,23,0),""))))</f>
        <v>46058</v>
      </c>
      <c r="I43" s="273">
        <f>IF(VLOOKUP(C43,AR!$C$4:$AA$46,13,0)="","",IF(E43=0,VLOOKUP(C43,AR!$C$4:$AA$46,13,0),IF(E43=1,VLOOKUP(C43,AR!$C$4:$AA$46,18,0),IF(E43=2,VLOOKUP(C43,AR!$C$4:$AA$46,23,0),""))))</f>
        <v>46059</v>
      </c>
      <c r="J43" s="273" t="str">
        <f>IF(VLOOKUP(C43,AR!$C$4:$AA$46,15,0)="","",IF(E43=0,VLOOKUP(C43,AR!$C$4:$AA$46,15,0),IF(E43=1,VLOOKUP(C43,AR!$C$4:$AA$46,20,0),IF(E43=2,VLOOKUP(C43,AR!$C$4:$AA$46,25,0),""))))</f>
        <v/>
      </c>
      <c r="K43" s="276" t="str">
        <f>VLOOKUP(C43,AR!$C$4:$K$996,7,0)</f>
        <v>STT</v>
      </c>
      <c r="L43" s="275" cm="1">
        <f t="array" aca="1" ref="L43" ca="1">_xlfn.IFS(AND($E43&lt;&gt;"",$M43="Pending",$K43="CTA"),TODAY()-$G43,AND($E43&lt;&gt;"",$M43="Pending",$K43="AUR"),TODAY()-$H43,AND($E43&lt;&gt;"",$M43="Pending",$K43="STT"),TODAY()-$I43,OR(K43="Closed",K43=""),"")</f>
        <v>5</v>
      </c>
      <c r="M43" s="276" t="str">
        <f>VLOOKUP(C43,AR!$C$4:$J$44,8,0)</f>
        <v>Pending</v>
      </c>
      <c r="N43" s="269" t="str">
        <f t="shared" ca="1" si="2"/>
        <v>Overdue</v>
      </c>
      <c r="O43" s="277"/>
    </row>
    <row r="44" spans="1:15" ht="32.25" customHeight="1" x14ac:dyDescent="0.25">
      <c r="A44" s="269">
        <f t="shared" si="1"/>
        <v>40</v>
      </c>
      <c r="B44" s="283" t="s">
        <v>19</v>
      </c>
      <c r="C44" s="291" t="s">
        <v>151</v>
      </c>
      <c r="D44" s="281" t="str">
        <f>VLOOKUP(C44,AR!$C$4:$J$52,2,0)</f>
        <v>Confirm to Install Ceiling Side Guard 2nd to 5th FL</v>
      </c>
      <c r="E44" s="269">
        <f>IF(VLOOKUP(C44,AR!$C$4:$J$46,6,0)="","",VLOOKUP(C44,AR!$C$4:$J$46,6,0))</f>
        <v>0</v>
      </c>
      <c r="F44" s="292"/>
      <c r="G44" s="312">
        <f>IF(VLOOKUP(C44,AR!$C$4:$J$46,4,0)="","",VLOOKUP(C44,AR!$C$4:$J$46,4,0))</f>
        <v>46057</v>
      </c>
      <c r="H44" s="273">
        <f>IF(VLOOKUP(C44,AR!$C$4:$AA$46,12,0)="","",IF(E44=0,VLOOKUP(C44,AR!$C$4:$AA$46,12,0),IF(E44=1,VLOOKUP(C44,AR!$C$4:$AA$46,18,0),IF(E44=2,VLOOKUP(C44,AR!$C$4:$AA$46,23,0),""))))</f>
        <v>46060</v>
      </c>
      <c r="I44" s="273">
        <f>IF(VLOOKUP(C44,AR!$C$4:$AA$46,13,0)="","",IF(E44=0,VLOOKUP(C44,AR!$C$4:$AA$46,13,0),IF(E44=1,VLOOKUP(C44,AR!$C$4:$AA$46,18,0),IF(E44=2,VLOOKUP(C44,AR!$C$4:$AA$46,23,0),""))))</f>
        <v>46062</v>
      </c>
      <c r="J44" s="273" t="str">
        <f>IF(VLOOKUP(C44,AR!$C$4:$AA$46,15,0)="","",IF(E44=0,VLOOKUP(C44,AR!$C$4:$AA$46,15,0),IF(E44=1,VLOOKUP(C44,AR!$C$4:$AA$46,20,0),IF(E44=2,VLOOKUP(C44,AR!$C$4:$AA$46,25,0),""))))</f>
        <v/>
      </c>
      <c r="K44" s="276" t="str">
        <f>VLOOKUP(C44,AR!$C$4:$K$996,7,0)</f>
        <v>STT</v>
      </c>
      <c r="L44" s="275" cm="1">
        <f t="array" aca="1" ref="L44" ca="1">_xlfn.IFS(AND($E44&lt;&gt;"",$M44="Pending",$K44="CTA"),TODAY()-$G44,AND($E44&lt;&gt;"",$M44="Pending",$K44="AUR"),TODAY()-$H44,AND($E44&lt;&gt;"",$M44="Pending",$K44="STT"),TODAY()-$I44,OR(K44="Closed",K44=""),"")</f>
        <v>2</v>
      </c>
      <c r="M44" s="276" t="str">
        <f>VLOOKUP(C44,AR!$C$4:$J$44,8,0)</f>
        <v>Pending</v>
      </c>
      <c r="N44" s="269" t="str">
        <f ca="1">IF(AND(E44&lt;&gt;"",M44="Pending"),IF(L44&gt;=5,"Overdue",IF(L44&gt;=3,"High","")),"")</f>
        <v/>
      </c>
      <c r="O44" s="277"/>
    </row>
    <row r="45" spans="1:15" ht="32.25" customHeight="1" x14ac:dyDescent="0.25">
      <c r="A45" s="269">
        <f t="shared" si="1"/>
        <v>41</v>
      </c>
      <c r="B45" s="283" t="s">
        <v>19</v>
      </c>
      <c r="C45" s="291" t="s">
        <v>153</v>
      </c>
      <c r="D45" s="281" t="str">
        <f>VLOOKUP(C45,AR!$C$4:$J$52,2,0)</f>
        <v>Confirm External Paint Color and Technical Specification for Generators Room</v>
      </c>
      <c r="E45" s="269">
        <f>IF(VLOOKUP(C45,AR!$C$4:$J$46,6,0)="","",VLOOKUP(C45,AR!$C$4:$J$46,6,0))</f>
        <v>0</v>
      </c>
      <c r="F45" s="292"/>
      <c r="G45" s="312">
        <f>IF(VLOOKUP(C45,AR!$C$4:$J$46,4,0)="","",VLOOKUP(C45,AR!$C$4:$J$46,4,0))</f>
        <v>46059</v>
      </c>
      <c r="H45" s="273">
        <f>IF(VLOOKUP(C45,AR!$C$4:$AA$46,12,0)="","",IF(E45=0,VLOOKUP(C45,AR!$C$4:$AA$46,12,0),IF(E45=1,VLOOKUP(C45,AR!$C$4:$AA$46,18,0),IF(E45=2,VLOOKUP(C45,AR!$C$4:$AA$46,23,0),""))))</f>
        <v>46062</v>
      </c>
      <c r="I45" s="273">
        <f>IF(VLOOKUP(C45,AR!$C$4:$AA$46,13,0)="","",IF(E45=0,VLOOKUP(C45,AR!$C$4:$AA$46,13,0),IF(E45=1,VLOOKUP(C45,AR!$C$4:$AA$46,18,0),IF(E45=2,VLOOKUP(C45,AR!$C$4:$AA$46,23,0),""))))</f>
        <v>46063</v>
      </c>
      <c r="J45" s="273" t="str">
        <f>IF(VLOOKUP(C45,AR!$C$4:$AA$46,15,0)="","",IF(E45=0,VLOOKUP(C45,AR!$C$4:$AA$46,15,0),IF(E45=1,VLOOKUP(C45,AR!$C$4:$AA$46,20,0),IF(E45=2,VLOOKUP(C45,AR!$C$4:$AA$46,25,0),""))))</f>
        <v/>
      </c>
      <c r="K45" s="276" t="str">
        <f>VLOOKUP(C45,AR!$C$4:$K$996,7,0)</f>
        <v>STT</v>
      </c>
      <c r="L45" s="275" cm="1">
        <f t="array" aca="1" ref="L45" ca="1">_xlfn.IFS(AND($E45&lt;&gt;"",$M45="Pending",$K45="CTA"),TODAY()-$G45,AND($E45&lt;&gt;"",$M45="Pending",$K45="AUR"),TODAY()-$H45,AND($E45&lt;&gt;"",$M45="Pending",$K45="STT"),TODAY()-$I45,OR(K45="Closed",K45=""),"")</f>
        <v>1</v>
      </c>
      <c r="M45" s="276" t="str">
        <f>VLOOKUP(C45,AR!$C$4:$J$50,8,0)</f>
        <v>Pending</v>
      </c>
      <c r="N45" s="269" t="str">
        <f ca="1">IF(AND(E45&lt;&gt;"",M45="Pending"),IF(L45&gt;=5,"Overdue",IF(L45&gt;=3,"High","")),"")</f>
        <v/>
      </c>
      <c r="O45" s="277"/>
    </row>
    <row r="46" spans="1:15" ht="32.25" customHeight="1" x14ac:dyDescent="0.25">
      <c r="A46" s="269">
        <f t="shared" si="1"/>
        <v>42</v>
      </c>
      <c r="B46" s="283" t="s">
        <v>19</v>
      </c>
      <c r="C46" s="291" t="s">
        <v>155</v>
      </c>
      <c r="D46" s="281" t="str">
        <f>VLOOKUP(C46,AR!$C$4:$J$52,2,0)</f>
        <v>Clarify Ceiling Types for Level 5 Battery Room B1,B2,C1,C2,D1 &amp; D2 Areas.</v>
      </c>
      <c r="E46" s="269">
        <f>IF(VLOOKUP(C46,AR!$C$4:$J$46,6,0)="","",VLOOKUP(C46,AR!$C$4:$J$46,6,0))</f>
        <v>0</v>
      </c>
      <c r="F46" s="292"/>
      <c r="G46" s="312">
        <f>IF(VLOOKUP(C46,AR!$C$4:$J$46,4,0)="","",VLOOKUP(C46,AR!$C$4:$J$46,4,0))</f>
        <v>46059</v>
      </c>
      <c r="H46" s="273">
        <f>IF(VLOOKUP(C46,AR!$C$4:$AA$46,12,0)="","",IF(E46=0,VLOOKUP(C46,AR!$C$4:$AA$46,12,0),IF(E46=1,VLOOKUP(C46,AR!$C$4:$AA$46,18,0),IF(E46=2,VLOOKUP(C46,AR!$C$4:$AA$46,23,0),""))))</f>
        <v>46062</v>
      </c>
      <c r="I46" s="273">
        <f>IF(VLOOKUP(C46,AR!$C$4:$AA$46,13,0)="","",IF(E46=0,VLOOKUP(C46,AR!$C$4:$AA$46,13,0),IF(E46=1,VLOOKUP(C46,AR!$C$4:$AA$46,18,0),IF(E46=2,VLOOKUP(C46,AR!$C$4:$AA$46,23,0),""))))</f>
        <v>46063</v>
      </c>
      <c r="J46" s="273" t="str">
        <f>IF(VLOOKUP(C46,AR!$C$4:$AA$46,15,0)="","",IF(E46=0,VLOOKUP(C46,AR!$C$4:$AA$46,15,0),IF(E46=1,VLOOKUP(C46,AR!$C$4:$AA$46,20,0),IF(E46=2,VLOOKUP(C46,AR!$C$4:$AA$46,25,0),""))))</f>
        <v/>
      </c>
      <c r="K46" s="276" t="str">
        <f>VLOOKUP(C46,AR!$C$4:$K$996,7,0)</f>
        <v>STT</v>
      </c>
      <c r="L46" s="275" cm="1">
        <f t="array" aca="1" ref="L46" ca="1">_xlfn.IFS(AND($E46&lt;&gt;"",$M46="Pending",$K46="CTA"),TODAY()-$G46,AND($E46&lt;&gt;"",$M46="Pending",$K46="AUR"),TODAY()-$H46,AND($E46&lt;&gt;"",$M46="Pending",$K46="STT"),TODAY()-$I46,OR(K46="Closed",K46=""),"")</f>
        <v>1</v>
      </c>
      <c r="M46" s="276" t="str">
        <f>VLOOKUP(C46,AR!$C$4:$J$50,8,0)</f>
        <v>Pending</v>
      </c>
      <c r="N46" s="269" t="str">
        <f ca="1">IF(AND(E46&lt;&gt;"",M46="Pending"),IF(L46&gt;=5,"Overdue",IF(L46&gt;=3,"High","")),"")</f>
        <v/>
      </c>
      <c r="O46" s="277"/>
    </row>
    <row r="47" spans="1:15" ht="32.25" hidden="1" customHeight="1" x14ac:dyDescent="0.25">
      <c r="A47" s="269">
        <f t="shared" si="1"/>
        <v>43</v>
      </c>
      <c r="B47" s="283" t="s">
        <v>19</v>
      </c>
      <c r="C47" s="291" t="s">
        <v>157</v>
      </c>
      <c r="D47" s="281">
        <f>VLOOKUP(C47,AR!$C$4:$J$52,2,0)</f>
        <v>0</v>
      </c>
      <c r="E47" s="269" t="str">
        <f>IF(VLOOKUP(C47,AR!$C$4:$J$46,6,0)="","",VLOOKUP(C47,AR!$C$4:$J$46,6,0))</f>
        <v/>
      </c>
      <c r="F47" s="292"/>
      <c r="G47" s="312" t="str">
        <f>IF(VLOOKUP(C47,AR!$C$4:$J$46,4,0)="","",VLOOKUP(C47,AR!$C$4:$J$46,4,0))</f>
        <v/>
      </c>
      <c r="H47" s="273" t="str">
        <f>IF(VLOOKUP(C47,AR!$C$4:$AA$46,12,0)="","",IF(E47=0,VLOOKUP(C47,AR!$C$4:$AA$46,12,0),IF(E47=1,VLOOKUP(C47,AR!$C$4:$AA$46,18,0),IF(E47=2,VLOOKUP(C47,AR!$C$4:$AA$46,23,0),""))))</f>
        <v/>
      </c>
      <c r="I47" s="273" t="str">
        <f>IF(VLOOKUP(C47,AR!$C$4:$AA$46,13,0)="","",IF(E47=0,VLOOKUP(C47,AR!$C$4:$AA$46,13,0),IF(E47=1,VLOOKUP(C47,AR!$C$4:$AA$46,18,0),IF(E47=2,VLOOKUP(C47,AR!$C$4:$AA$46,23,0),""))))</f>
        <v/>
      </c>
      <c r="J47" s="273" t="str">
        <f>IF(VLOOKUP(C47,AR!$C$4:$AA$46,15,0)="","",IF(E47=0,VLOOKUP(C47,AR!$C$4:$AA$46,15,0),IF(E47=1,VLOOKUP(C47,AR!$C$4:$AA$46,20,0),IF(E47=2,VLOOKUP(C47,AR!$C$4:$AA$46,25,0),""))))</f>
        <v/>
      </c>
      <c r="K47" s="276">
        <f>VLOOKUP(C47,AR!$C$4:$K$996,7,0)</f>
        <v>0</v>
      </c>
      <c r="L47" s="275" t="e" cm="1">
        <f t="array" aca="1" ref="L47" ca="1">_xlfn.IFS(AND($E47&lt;&gt;"",$M47="Pending",$K47="CTA"),TODAY()-$G47,AND($E47&lt;&gt;"",$M47="Pending",$K47="AUR"),TODAY()-$H47,AND($E47&lt;&gt;"",$M47="Pending",$K47="STT"),TODAY()-$I47,OR(K47="Closed",K47=""),"")</f>
        <v>#N/A</v>
      </c>
      <c r="M47" s="276">
        <f>VLOOKUP(C47,AR!$C$4:$J$50,8,0)</f>
        <v>0</v>
      </c>
      <c r="N47" s="269" t="str">
        <f>IF(AND(E47&lt;&gt;"",M47="Pending"),IF(L47&gt;=5,"Overdue",IF(L47&gt;=3,"High","")),"")</f>
        <v/>
      </c>
      <c r="O47" s="277"/>
    </row>
    <row r="48" spans="1:15" ht="32.25" hidden="1" customHeight="1" x14ac:dyDescent="0.25">
      <c r="A48" s="269">
        <f t="shared" si="1"/>
        <v>44</v>
      </c>
      <c r="B48" s="283" t="s">
        <v>19</v>
      </c>
      <c r="C48" s="291" t="s">
        <v>373</v>
      </c>
      <c r="D48" s="281" t="e">
        <f>VLOOKUP(C48,AR!$C$4:$J$52,2,0)</f>
        <v>#N/A</v>
      </c>
      <c r="E48" s="269" t="e">
        <f>IF(VLOOKUP(C48,AR!$C$4:$J$46,6,0)="","",VLOOKUP(C48,AR!$C$4:$J$46,6,0))</f>
        <v>#N/A</v>
      </c>
      <c r="F48" s="292"/>
      <c r="G48" s="312" t="e">
        <f>IF(VLOOKUP(C48,AR!$C$4:$J$46,4,0)="","",VLOOKUP(C48,AR!$C$4:$J$46,4,0))</f>
        <v>#N/A</v>
      </c>
      <c r="H48" s="273" t="e">
        <f>IF(VLOOKUP(C48,AR!$C$4:$AA$46,12,0)="","",IF(E48=0,VLOOKUP(C48,AR!$C$4:$AA$46,12,0),IF(E48=1,VLOOKUP(C48,AR!$C$4:$AA$46,18,0),IF(E48=2,VLOOKUP(C48,AR!$C$4:$AA$46,23,0),""))))</f>
        <v>#N/A</v>
      </c>
      <c r="I48" s="273" t="e">
        <f>IF(VLOOKUP(C48,AR!$C$4:$AA$46,13,0)="","",IF(E48=0,VLOOKUP(C48,AR!$C$4:$AA$46,13,0),IF(E48=1,VLOOKUP(C48,AR!$C$4:$AA$46,18,0),IF(E48=2,VLOOKUP(C48,AR!$C$4:$AA$46,23,0),""))))</f>
        <v>#N/A</v>
      </c>
      <c r="J48" s="273" t="e">
        <f>IF(VLOOKUP(C48,AR!$C$4:$AA$46,15,0)="","",IF(E48=0,VLOOKUP(C48,AR!$C$4:$AA$46,15,0),IF(E48=1,VLOOKUP(C48,AR!$C$4:$AA$46,20,0),IF(E48=2,VLOOKUP(C48,AR!$C$4:$AA$46,25,0),""))))</f>
        <v>#N/A</v>
      </c>
      <c r="K48" s="276" t="e">
        <f>VLOOKUP(C48,AR!$C$4:$K$996,7,0)</f>
        <v>#N/A</v>
      </c>
      <c r="L48" s="275" t="e" cm="1">
        <f t="array" aca="1" ref="L48" ca="1">_xlfn.IFS(AND($E48&lt;&gt;"",$M48="Pending",$K48="CTA"),TODAY()-$G48,AND($E48&lt;&gt;"",$M48="Pending",$K48="AUR"),TODAY()-$H48,AND($E48&lt;&gt;"",$M48="Pending",$K48="STT"),TODAY()-$I48,OR(K48="Closed",K48=""),"")</f>
        <v>#N/A</v>
      </c>
      <c r="M48" s="276" t="e">
        <f>VLOOKUP(C48,AR!$C$4:$J$50,8,0)</f>
        <v>#N/A</v>
      </c>
      <c r="N48" s="269" t="e">
        <f t="shared" si="2"/>
        <v>#N/A</v>
      </c>
      <c r="O48" s="277"/>
    </row>
    <row r="49" spans="1:15" ht="32.25" hidden="1" customHeight="1" x14ac:dyDescent="0.25">
      <c r="A49" s="269"/>
      <c r="B49" s="270"/>
      <c r="C49" s="269"/>
      <c r="D49" s="271"/>
      <c r="E49" s="269"/>
      <c r="F49" s="272"/>
      <c r="G49" s="272"/>
      <c r="H49" s="274"/>
      <c r="I49" s="274"/>
      <c r="J49" s="273"/>
      <c r="K49" s="273"/>
      <c r="L49" s="273"/>
      <c r="M49" s="276"/>
      <c r="N49" s="269" t="str">
        <f t="shared" si="2"/>
        <v/>
      </c>
      <c r="O49" s="277"/>
    </row>
    <row r="50" spans="1:15" ht="32.25" hidden="1" customHeight="1" x14ac:dyDescent="0.25">
      <c r="A50" s="285" t="s">
        <v>374</v>
      </c>
      <c r="B50" s="286"/>
      <c r="C50" s="287"/>
      <c r="D50" s="288"/>
      <c r="E50" s="287"/>
      <c r="F50" s="287" t="s">
        <v>370</v>
      </c>
      <c r="G50" s="287"/>
      <c r="H50" s="287"/>
      <c r="I50" s="287"/>
      <c r="J50" s="287"/>
      <c r="K50" s="287"/>
      <c r="L50" s="287"/>
      <c r="M50" s="287"/>
      <c r="N50" s="287"/>
      <c r="O50" s="287"/>
    </row>
    <row r="51" spans="1:15" ht="32.25" customHeight="1" x14ac:dyDescent="0.25">
      <c r="A51" s="269">
        <v>1</v>
      </c>
      <c r="B51" s="283" t="s">
        <v>50</v>
      </c>
      <c r="C51" s="282" t="s">
        <v>159</v>
      </c>
      <c r="D51" s="281" t="str">
        <f>VLOOKUP(C51,EL!$C$4:$J$22,2,0)</f>
        <v xml:space="preserve">Aux Supply Non-IT UPS for LVSB,OUSB,MSSB and ATS </v>
      </c>
      <c r="E51" s="269">
        <f>IF(VLOOKUP(C51,EL!$C$4:$J$975,6,0)="","",VLOOKUP(C51,EL!$C$4:$J$975,6,0))</f>
        <v>0</v>
      </c>
      <c r="F51" s="272"/>
      <c r="G51" s="272">
        <f>IF(VLOOKUP(C51,EL!$C$4:$J$975,4,0)="","",VLOOKUP(C51,EL!$C$4:$J$975,4,0))</f>
        <v>46037</v>
      </c>
      <c r="H51" s="273">
        <f>IF(VLOOKUP(C51,EL!$C$4:$AA$975,13,0)="","",IF(E51=0,VLOOKUP(C51,EL!$C$4:$AA$975,13,0),IF(E51=1,VLOOKUP(C51,EL!$C$4:$AA$975,17,0),IF(E51=2,VLOOKUP(C51,EL!$C$4:$AA$975,22,0),""))))</f>
        <v>46055</v>
      </c>
      <c r="I51" s="273">
        <f>IF(VLOOKUP(C51,EL!$C$4:$AA$975,14,0)="","",IF(E51=0,VLOOKUP(C51,EL!$C$4:$AA$975,14,0),IF(E51=1,VLOOKUP(C51,EL!$C$4:$AA$975,18,0),IF(E51=2,VLOOKUP(C51,EL!$C$4:$AA$975,23,0),""))))</f>
        <v>46063</v>
      </c>
      <c r="J51" s="273" t="str">
        <f>IF(VLOOKUP(C51,EL!$C$4:$AA$66,15,0)="","",IF(E51=0,VLOOKUP(C51,EL!$C$4:$AA$66,15,0),IF(E51=1,VLOOKUP(C51,EL!$C$4:$AA$66,20,0),IF(E51=2,VLOOKUP(C51,EL!$C$4:$AA$66,25,0),""))))</f>
        <v/>
      </c>
      <c r="K51" s="276" t="str">
        <f>VLOOKUP(C51,EL!$C$4:$K$1035,8,0)</f>
        <v>STT</v>
      </c>
      <c r="L51" s="275" cm="1">
        <f t="array" aca="1" ref="L51" ca="1">_xlfn.IFS(AND($E51&lt;&gt;"",$M51="Pending",$K51="CTA"),TODAY()-$G51,AND($E51&lt;&gt;"",$M51="Pending",$K51="AUR"),TODAY()-$H51,AND($E51&lt;&gt;"",$M51="Pending",$K51="STT"),TODAY()-$I51,OR(K51="Closed",K51=""),"")</f>
        <v>1</v>
      </c>
      <c r="M51" s="276" t="str">
        <f>VLOOKUP(C51,EL!$C$4:$K$975,9,0)</f>
        <v>Pending</v>
      </c>
      <c r="N51" s="269" t="str">
        <f t="shared" ref="N51:N106" ca="1" si="3">IF(AND(E51&lt;&gt;"",M51="Pending"),IF(L51&gt;=5,"Overdue",IF(L51&gt;=3,"High","")),"")</f>
        <v/>
      </c>
      <c r="O51" s="293"/>
    </row>
    <row r="52" spans="1:15" ht="32.25" customHeight="1" x14ac:dyDescent="0.25">
      <c r="A52" s="269">
        <f>A51+1</f>
        <v>2</v>
      </c>
      <c r="B52" s="283" t="s">
        <v>50</v>
      </c>
      <c r="C52" s="282" t="s">
        <v>161</v>
      </c>
      <c r="D52" s="281" t="str">
        <f>VLOOKUP(C52,EL!$C$4:$J$22,2,0)</f>
        <v>Pre-Action System for Comm Riser</v>
      </c>
      <c r="E52" s="269">
        <f>IF(VLOOKUP(C52,EL!$C$4:$J$975,6,0)="","",VLOOKUP(C52,EL!$C$4:$J$975,6,0))</f>
        <v>0</v>
      </c>
      <c r="F52" s="272"/>
      <c r="G52" s="272">
        <f>IF(VLOOKUP(C52,EL!$C$4:$J$975,4,0)="","",VLOOKUP(C52,EL!$C$4:$J$975,4,0))</f>
        <v>46037</v>
      </c>
      <c r="H52" s="273">
        <f>IF(VLOOKUP(C52,EL!$C$4:$AA$975,13,0)="","",IF(E52=0,VLOOKUP(C52,EL!$C$4:$AA$975,13,0),IF(E52=1,VLOOKUP(C52,EL!$C$4:$AA$975,17,0),IF(E52=2,VLOOKUP(C52,EL!$C$4:$AA$975,22,0),""))))</f>
        <v>46055</v>
      </c>
      <c r="I52" s="273">
        <f>IF(VLOOKUP(C52,EL!$C$4:$AA$975,14,0)="","",IF(E52=0,VLOOKUP(C52,EL!$C$4:$AA$975,14,0),IF(E52=1,VLOOKUP(C52,EL!$C$4:$AA$975,18,0),IF(E52=2,VLOOKUP(C52,EL!$C$4:$AA$975,23,0),""))))</f>
        <v>46062</v>
      </c>
      <c r="J52" s="273" t="str">
        <f>IF(VLOOKUP(C52,EL!$C$4:$AA$66,15,0)="","",IF(E52=0,VLOOKUP(C52,EL!$C$4:$AA$66,15,0),IF(E52=1,VLOOKUP(C52,EL!$C$4:$AA$66,20,0),IF(E52=2,VLOOKUP(C52,EL!$C$4:$AA$66,25,0),""))))</f>
        <v/>
      </c>
      <c r="K52" s="276" t="str">
        <f>VLOOKUP(C52,EL!$C$4:$K$1035,8,0)</f>
        <v>STT</v>
      </c>
      <c r="L52" s="275" cm="1">
        <f t="array" aca="1" ref="L52" ca="1">_xlfn.IFS(AND($E52&lt;&gt;"",$M52="Pending",$K52="CTA"),TODAY()-$G52,AND($E52&lt;&gt;"",$M52="Pending",$K52="AUR"),TODAY()-$H52,AND($E52&lt;&gt;"",$M52="Pending",$K52="STT"),TODAY()-$I52,OR(K52="Closed",K52=""),"")</f>
        <v>2</v>
      </c>
      <c r="M52" s="276" t="str">
        <f>VLOOKUP(C52,EL!$C$4:$K$975,9,0)</f>
        <v>Pending</v>
      </c>
      <c r="N52" s="269" t="str">
        <f t="shared" ca="1" si="3"/>
        <v/>
      </c>
      <c r="O52" s="293"/>
    </row>
    <row r="53" spans="1:15" ht="32.25" customHeight="1" x14ac:dyDescent="0.25">
      <c r="A53" s="269">
        <f t="shared" ref="A53:A94" si="4">A52+1</f>
        <v>3</v>
      </c>
      <c r="B53" s="283" t="s">
        <v>50</v>
      </c>
      <c r="C53" s="282" t="s">
        <v>163</v>
      </c>
      <c r="D53" s="281" t="str">
        <f>VLOOKUP(C53,EL!$C$4:$J$22,2,0)</f>
        <v>Use Local Switch or Remote Switch 2nd to 6th FL R0</v>
      </c>
      <c r="E53" s="269">
        <f>IF(VLOOKUP(C53,EL!$C$4:$J$975,6,0)="","",VLOOKUP(C53,EL!$C$4:$J$975,6,0))</f>
        <v>0</v>
      </c>
      <c r="F53" s="272"/>
      <c r="G53" s="272">
        <f>IF(VLOOKUP(C53,EL!$C$4:$J$975,4,0)="","",VLOOKUP(C53,EL!$C$4:$J$975,4,0))</f>
        <v>46037</v>
      </c>
      <c r="H53" s="273">
        <f>IF(VLOOKUP(C53,EL!$C$4:$AA$975,13,0)="","",IF(E53=0,VLOOKUP(C53,EL!$C$4:$AA$975,13,0),IF(E53=1,VLOOKUP(C53,EL!$C$4:$AA$975,17,0),IF(E53=2,VLOOKUP(C53,EL!$C$4:$AA$975,22,0),""))))</f>
        <v>46055</v>
      </c>
      <c r="I53" s="273" t="str">
        <f>IF(VLOOKUP(C53,EL!$C$4:$AA$975,14,0)="","",IF(E53=0,VLOOKUP(C53,EL!$C$4:$AA$975,14,0),IF(E53=1,VLOOKUP(C53,EL!$C$4:$AA$975,18,0),IF(E53=2,VLOOKUP(C53,EL!$C$4:$AA$975,23,0),""))))</f>
        <v/>
      </c>
      <c r="J53" s="273" t="str">
        <f>IF(VLOOKUP(C53,EL!$C$4:$AA$66,15,0)="","",IF(E53=0,VLOOKUP(C53,EL!$C$4:$AA$66,15,0),IF(E53=1,VLOOKUP(C53,EL!$C$4:$AA$66,20,0),IF(E53=2,VLOOKUP(C53,EL!$C$4:$AA$66,25,0),""))))</f>
        <v/>
      </c>
      <c r="K53" s="276" t="str">
        <f>VLOOKUP(C53,EL!$C$4:$K$1035,8,0)</f>
        <v>AUR</v>
      </c>
      <c r="L53" s="275" cm="1">
        <f t="array" aca="1" ref="L53" ca="1">_xlfn.IFS(AND($E53&lt;&gt;"",$M53="Pending",$K53="CTA"),TODAY()-$G53,AND($E53&lt;&gt;"",$M53="Pending",$K53="AUR"),TODAY()-$H53,AND($E53&lt;&gt;"",$M53="Pending",$K53="STT"),TODAY()-$I53,OR(K53="Closed",K53=""),"")</f>
        <v>9</v>
      </c>
      <c r="M53" s="276" t="str">
        <f>VLOOKUP(C53,EL!$C$4:$K$975,9,0)</f>
        <v>Pending</v>
      </c>
      <c r="N53" s="269" t="str">
        <f t="shared" ca="1" si="3"/>
        <v>Overdue</v>
      </c>
      <c r="O53" s="293"/>
    </row>
    <row r="54" spans="1:15" ht="32.25" customHeight="1" x14ac:dyDescent="0.25">
      <c r="A54" s="269">
        <f t="shared" si="4"/>
        <v>4</v>
      </c>
      <c r="B54" s="283" t="s">
        <v>50</v>
      </c>
      <c r="C54" s="282" t="s">
        <v>165</v>
      </c>
      <c r="D54" s="281" t="str">
        <f>VLOOKUP(C54,EL!$C$4:$J$22,2,0)</f>
        <v xml:space="preserve">Shut down Exhaust Fan </v>
      </c>
      <c r="E54" s="269">
        <f>IF(VLOOKUP(C54,EL!$C$4:$J$975,6,0)="","",VLOOKUP(C54,EL!$C$4:$J$975,6,0))</f>
        <v>0</v>
      </c>
      <c r="F54" s="272"/>
      <c r="G54" s="272">
        <f>IF(VLOOKUP(C54,EL!$C$4:$J$975,4,0)="","",VLOOKUP(C54,EL!$C$4:$J$975,4,0))</f>
        <v>46042</v>
      </c>
      <c r="H54" s="273">
        <f>IF(VLOOKUP(C54,EL!$C$4:$AA$975,13,0)="","",IF(E54=0,VLOOKUP(C54,EL!$C$4:$AA$975,13,0),IF(E54=1,VLOOKUP(C54,EL!$C$4:$AA$975,17,0),IF(E54=2,VLOOKUP(C54,EL!$C$4:$AA$975,22,0),""))))</f>
        <v>46044</v>
      </c>
      <c r="I54" s="273">
        <f>IF(VLOOKUP(C54,EL!$C$4:$AA$975,14,0)="","",IF(E54=0,VLOOKUP(C54,EL!$C$4:$AA$975,14,0),IF(E54=1,VLOOKUP(C54,EL!$C$4:$AA$975,18,0),IF(E54=2,VLOOKUP(C54,EL!$C$4:$AA$975,23,0),""))))</f>
        <v>46049</v>
      </c>
      <c r="J54" s="273" t="str">
        <f>IF(VLOOKUP(C54,EL!$C$4:$AA$66,15,0)="","",IF(E54=0,VLOOKUP(C54,EL!$C$4:$AA$66,15,0),IF(E54=1,VLOOKUP(C54,EL!$C$4:$AA$66,20,0),IF(E54=2,VLOOKUP(C54,EL!$C$4:$AA$66,25,0),""))))</f>
        <v/>
      </c>
      <c r="K54" s="276" t="str">
        <f>VLOOKUP(C54,EL!$C$4:$K$1035,8,0)</f>
        <v>STT</v>
      </c>
      <c r="L54" s="275" cm="1">
        <f t="array" aca="1" ref="L54" ca="1">_xlfn.IFS(AND($E54&lt;&gt;"",$M54="Pending",$K54="CTA"),TODAY()-$G54,AND($E54&lt;&gt;"",$M54="Pending",$K54="AUR"),TODAY()-$H54,AND($E54&lt;&gt;"",$M54="Pending",$K54="STT"),TODAY()-$I54,OR(K54="Closed",K54=""),"")</f>
        <v>15</v>
      </c>
      <c r="M54" s="276" t="str">
        <f>VLOOKUP(C54,EL!$C$4:$K$975,9,0)</f>
        <v>Pending</v>
      </c>
      <c r="N54" s="269" t="str">
        <f t="shared" ca="1" si="3"/>
        <v>Overdue</v>
      </c>
      <c r="O54" s="316" t="s">
        <v>372</v>
      </c>
    </row>
    <row r="55" spans="1:15" ht="32.25" customHeight="1" x14ac:dyDescent="0.25">
      <c r="A55" s="269">
        <f t="shared" si="4"/>
        <v>5</v>
      </c>
      <c r="B55" s="283" t="s">
        <v>50</v>
      </c>
      <c r="C55" s="282" t="s">
        <v>167</v>
      </c>
      <c r="D55" s="281" t="str">
        <f>VLOOKUP(C55,EL!$C$4:$J$22,2,0)</f>
        <v>Detector of Toilet for Fire Alarm System (Heat or Smoke?) for all Floor</v>
      </c>
      <c r="E55" s="269">
        <f>IF(VLOOKUP(C55,EL!$C$4:$J$975,6,0)="","",VLOOKUP(C55,EL!$C$4:$J$975,6,0))</f>
        <v>0</v>
      </c>
      <c r="F55" s="272"/>
      <c r="G55" s="272">
        <f>IF(VLOOKUP(C55,EL!$C$4:$J$975,4,0)="","",VLOOKUP(C55,EL!$C$4:$J$975,4,0))</f>
        <v>46037</v>
      </c>
      <c r="H55" s="273">
        <f>IF(VLOOKUP(C55,EL!$C$4:$AA$975,13,0)="","",IF(E55=0,VLOOKUP(C55,EL!$C$4:$AA$975,13,0),IF(E55=1,VLOOKUP(C55,EL!$C$4:$AA$975,17,0),IF(E55=2,VLOOKUP(C55,EL!$C$4:$AA$975,22,0),""))))</f>
        <v>46055</v>
      </c>
      <c r="I55" s="273">
        <f>IF(VLOOKUP(C55,EL!$C$4:$AA$975,14,0)="","",IF(E55=0,VLOOKUP(C55,EL!$C$4:$AA$975,14,0),IF(E55=1,VLOOKUP(C55,EL!$C$4:$AA$975,18,0),IF(E55=2,VLOOKUP(C55,EL!$C$4:$AA$975,23,0),""))))</f>
        <v>46056</v>
      </c>
      <c r="J55" s="273" t="str">
        <f>IF(VLOOKUP(C55,EL!$C$4:$AA$66,15,0)="","",IF(E55=0,VLOOKUP(C55,EL!$C$4:$AA$66,15,0),IF(E55=1,VLOOKUP(C55,EL!$C$4:$AA$66,20,0),IF(E55=2,VLOOKUP(C55,EL!$C$4:$AA$66,25,0),""))))</f>
        <v/>
      </c>
      <c r="K55" s="276" t="str">
        <f>VLOOKUP(C55,EL!$C$4:$K$1035,8,0)</f>
        <v>STT</v>
      </c>
      <c r="L55" s="275" cm="1">
        <f t="array" aca="1" ref="L55" ca="1">_xlfn.IFS(AND($E55&lt;&gt;"",$M55="Pending",$K55="CTA"),TODAY()-$G55,AND($E55&lt;&gt;"",$M55="Pending",$K55="AUR"),TODAY()-$H55,AND($E55&lt;&gt;"",$M55="Pending",$K55="STT"),TODAY()-$I55,OR(K55="Closed",K55=""),"")</f>
        <v>8</v>
      </c>
      <c r="M55" s="276" t="str">
        <f>VLOOKUP(C55,EL!$C$4:$K$975,9,0)</f>
        <v>Pending</v>
      </c>
      <c r="N55" s="269" t="str">
        <f t="shared" ca="1" si="3"/>
        <v>Overdue</v>
      </c>
      <c r="O55" s="293"/>
    </row>
    <row r="56" spans="1:15" ht="32.25" customHeight="1" x14ac:dyDescent="0.25">
      <c r="A56" s="269">
        <f t="shared" si="4"/>
        <v>6</v>
      </c>
      <c r="B56" s="283" t="s">
        <v>50</v>
      </c>
      <c r="C56" s="282" t="s">
        <v>169</v>
      </c>
      <c r="D56" s="281" t="str">
        <f>VLOOKUP(C56,EL!$C$4:$J$22,2,0)</f>
        <v xml:space="preserve">Detector of Toilet for Fire Alarm System &amp; Fire Alarm System </v>
      </c>
      <c r="E56" s="269">
        <f>IF(VLOOKUP(C56,EL!$C$4:$J$975,6,0)="","",VLOOKUP(C56,EL!$C$4:$J$975,6,0))</f>
        <v>0</v>
      </c>
      <c r="F56" s="272"/>
      <c r="G56" s="272">
        <f>IF(VLOOKUP(C56,EL!$C$4:$J$975,4,0)="","",VLOOKUP(C56,EL!$C$4:$J$975,4,0))</f>
        <v>46037</v>
      </c>
      <c r="H56" s="273">
        <f>IF(VLOOKUP(C56,EL!$C$4:$AA$975,13,0)="","",IF(E56=0,VLOOKUP(C56,EL!$C$4:$AA$975,13,0),IF(E56=1,VLOOKUP(C56,EL!$C$4:$AA$975,17,0),IF(E56=2,VLOOKUP(C56,EL!$C$4:$AA$975,22,0),""))))</f>
        <v>46055</v>
      </c>
      <c r="I56" s="273" t="str">
        <f>IF(VLOOKUP(C56,EL!$C$4:$AA$975,14,0)="","",IF(E56=0,VLOOKUP(C56,EL!$C$4:$AA$975,14,0),IF(E56=1,VLOOKUP(C56,EL!$C$4:$AA$975,18,0),IF(E56=2,VLOOKUP(C56,EL!$C$4:$AA$975,23,0),""))))</f>
        <v/>
      </c>
      <c r="J56" s="273" t="str">
        <f>IF(VLOOKUP(C56,EL!$C$4:$AA$66,15,0)="","",IF(E56=0,VLOOKUP(C56,EL!$C$4:$AA$66,15,0),IF(E56=1,VLOOKUP(C56,EL!$C$4:$AA$66,20,0),IF(E56=2,VLOOKUP(C56,EL!$C$4:$AA$66,25,0),""))))</f>
        <v/>
      </c>
      <c r="K56" s="276" t="str">
        <f>VLOOKUP(C56,EL!$C$4:$K$1035,8,0)</f>
        <v>AUR</v>
      </c>
      <c r="L56" s="275" cm="1">
        <f t="array" aca="1" ref="L56" ca="1">_xlfn.IFS(AND($E56&lt;&gt;"",$M56="Pending",$K56="CTA"),TODAY()-$G56,AND($E56&lt;&gt;"",$M56="Pending",$K56="AUR"),TODAY()-$H56,AND($E56&lt;&gt;"",$M56="Pending",$K56="STT"),TODAY()-$I56,OR(K56="Closed",K56=""),"")</f>
        <v>9</v>
      </c>
      <c r="M56" s="276" t="str">
        <f>VLOOKUP(C56,EL!$C$4:$K$975,9,0)</f>
        <v>Pending</v>
      </c>
      <c r="N56" s="269" t="str">
        <f t="shared" ca="1" si="3"/>
        <v>Overdue</v>
      </c>
      <c r="O56" s="293"/>
    </row>
    <row r="57" spans="1:15" ht="32.25" customHeight="1" x14ac:dyDescent="0.25">
      <c r="A57" s="269">
        <f t="shared" si="4"/>
        <v>7</v>
      </c>
      <c r="B57" s="283" t="s">
        <v>50</v>
      </c>
      <c r="C57" s="282" t="s">
        <v>171</v>
      </c>
      <c r="D57" s="281" t="str">
        <f>VLOOKUP(C57,EL!$C$4:$J$22,2,0)</f>
        <v xml:space="preserve">Fire Alarm System Interface with Mechanical Equipment </v>
      </c>
      <c r="E57" s="269">
        <f>IF(VLOOKUP(C57,EL!$C$4:$J$975,6,0)="","",VLOOKUP(C57,EL!$C$4:$J$975,6,0))</f>
        <v>0</v>
      </c>
      <c r="F57" s="272"/>
      <c r="G57" s="272">
        <f>IF(VLOOKUP(C57,EL!$C$4:$J$975,4,0)="","",VLOOKUP(C57,EL!$C$4:$J$975,4,0))</f>
        <v>46042</v>
      </c>
      <c r="H57" s="273">
        <f>IF(VLOOKUP(C57,EL!$C$4:$AA$975,13,0)="","",IF(E57=0,VLOOKUP(C57,EL!$C$4:$AA$975,13,0),IF(E57=1,VLOOKUP(C57,EL!$C$4:$AA$975,17,0),IF(E57=2,VLOOKUP(C57,EL!$C$4:$AA$975,22,0),""))))</f>
        <v>46044</v>
      </c>
      <c r="I57" s="273">
        <f>IF(VLOOKUP(C57,EL!$C$4:$AA$975,14,0)="","",IF(E57=0,VLOOKUP(C57,EL!$C$4:$AA$975,14,0),IF(E57=1,VLOOKUP(C57,EL!$C$4:$AA$975,18,0),IF(E57=2,VLOOKUP(C57,EL!$C$4:$AA$975,23,0),""))))</f>
        <v>46049</v>
      </c>
      <c r="J57" s="273" t="str">
        <f>IF(VLOOKUP(C57,EL!$C$4:$AA$66,15,0)="","",IF(E57=0,VLOOKUP(C57,EL!$C$4:$AA$66,15,0),IF(E57=1,VLOOKUP(C57,EL!$C$4:$AA$66,20,0),IF(E57=2,VLOOKUP(C57,EL!$C$4:$AA$66,25,0),""))))</f>
        <v/>
      </c>
      <c r="K57" s="276" t="str">
        <f>VLOOKUP(C57,EL!$C$4:$K$1035,8,0)</f>
        <v>STT</v>
      </c>
      <c r="L57" s="275" cm="1">
        <f t="array" aca="1" ref="L57" ca="1">_xlfn.IFS(AND($E57&lt;&gt;"",$M57="Pending",$K57="CTA"),TODAY()-$G57,AND($E57&lt;&gt;"",$M57="Pending",$K57="AUR"),TODAY()-$H57,AND($E57&lt;&gt;"",$M57="Pending",$K57="STT"),TODAY()-$I57,OR(K57="Closed",K57=""),"")</f>
        <v>15</v>
      </c>
      <c r="M57" s="276" t="str">
        <f>VLOOKUP(C57,EL!$C$4:$K$975,9,0)</f>
        <v>Pending</v>
      </c>
      <c r="N57" s="269" t="str">
        <f t="shared" ca="1" si="3"/>
        <v>Overdue</v>
      </c>
      <c r="O57" s="316" t="s">
        <v>372</v>
      </c>
    </row>
    <row r="58" spans="1:15" ht="32.25" customHeight="1" x14ac:dyDescent="0.25">
      <c r="A58" s="269">
        <f t="shared" si="4"/>
        <v>8</v>
      </c>
      <c r="B58" s="283" t="s">
        <v>50</v>
      </c>
      <c r="C58" s="282" t="s">
        <v>173</v>
      </c>
      <c r="D58" s="281" t="str">
        <f>VLOOKUP(C58,EL!$C$4:$J$22,2,0)</f>
        <v>Confirm the amount of Monitor and Control Module - Fire Alarm System</v>
      </c>
      <c r="E58" s="269">
        <f>IF(VLOOKUP(C58,EL!$C$4:$J$975,6,0)="","",VLOOKUP(C58,EL!$C$4:$J$975,6,0))</f>
        <v>0</v>
      </c>
      <c r="F58" s="272"/>
      <c r="G58" s="272">
        <f>IF(VLOOKUP(C58,EL!$C$4:$J$975,4,0)="","",VLOOKUP(C58,EL!$C$4:$J$975,4,0))</f>
        <v>46042</v>
      </c>
      <c r="H58" s="273">
        <f>IF(VLOOKUP(C58,EL!$C$4:$AA$975,13,0)="","",IF(E58=0,VLOOKUP(C58,EL!$C$4:$AA$975,13,0),IF(E58=1,VLOOKUP(C58,EL!$C$4:$AA$975,17,0),IF(E58=2,VLOOKUP(C58,EL!$C$4:$AA$975,22,0),""))))</f>
        <v>46055</v>
      </c>
      <c r="I58" s="273">
        <f>IF(VLOOKUP(C58,EL!$C$4:$AA$975,14,0)="","",IF(E58=0,VLOOKUP(C58,EL!$C$4:$AA$975,14,0),IF(E58=1,VLOOKUP(C58,EL!$C$4:$AA$975,18,0),IF(E58=2,VLOOKUP(C58,EL!$C$4:$AA$975,23,0),""))))</f>
        <v>46062</v>
      </c>
      <c r="J58" s="273" t="str">
        <f>IF(VLOOKUP(C58,EL!$C$4:$AA$66,15,0)="","",IF(E58=0,VLOOKUP(C58,EL!$C$4:$AA$66,15,0),IF(E58=1,VLOOKUP(C58,EL!$C$4:$AA$66,20,0),IF(E58=2,VLOOKUP(C58,EL!$C$4:$AA$66,25,0),""))))</f>
        <v/>
      </c>
      <c r="K58" s="276" t="str">
        <f>VLOOKUP(C58,EL!$C$4:$K$1035,8,0)</f>
        <v>STT</v>
      </c>
      <c r="L58" s="275" cm="1">
        <f t="array" aca="1" ref="L58" ca="1">_xlfn.IFS(AND($E58&lt;&gt;"",$M58="Pending",$K58="CTA"),TODAY()-$G58,AND($E58&lt;&gt;"",$M58="Pending",$K58="AUR"),TODAY()-$H58,AND($E58&lt;&gt;"",$M58="Pending",$K58="STT"),TODAY()-$I58,OR(K58="Closed",K58=""),"")</f>
        <v>2</v>
      </c>
      <c r="M58" s="276" t="str">
        <f>VLOOKUP(C58,EL!$C$4:$K$975,9,0)</f>
        <v>Pending</v>
      </c>
      <c r="N58" s="269" t="str">
        <f t="shared" ca="1" si="3"/>
        <v/>
      </c>
      <c r="O58" s="293"/>
    </row>
    <row r="59" spans="1:15" ht="32.25" customHeight="1" x14ac:dyDescent="0.25">
      <c r="A59" s="269">
        <f t="shared" si="4"/>
        <v>9</v>
      </c>
      <c r="B59" s="283" t="s">
        <v>50</v>
      </c>
      <c r="C59" s="282" t="s">
        <v>175</v>
      </c>
      <c r="D59" s="281" t="str">
        <f>VLOOKUP(C59,EL!$C$4:$J$22,2,0)</f>
        <v>Quantity of Smoke Detector is not equal in Fan Wall A and B on 5th FL, Speaker 4th FL and Speaker L2 2nd FL</v>
      </c>
      <c r="E59" s="269">
        <f>IF(VLOOKUP(C59,EL!$C$4:$J$975,6,0)="","",VLOOKUP(C59,EL!$C$4:$J$975,6,0))</f>
        <v>0</v>
      </c>
      <c r="F59" s="272"/>
      <c r="G59" s="272">
        <f>IF(VLOOKUP(C59,EL!$C$4:$J$975,4,0)="","",VLOOKUP(C59,EL!$C$4:$J$975,4,0))</f>
        <v>46037</v>
      </c>
      <c r="H59" s="273">
        <f>IF(VLOOKUP(C59,EL!$C$4:$AA$975,13,0)="","",IF(E59=0,VLOOKUP(C59,EL!$C$4:$AA$975,13,0),IF(E59=1,VLOOKUP(C59,EL!$C$4:$AA$975,17,0),IF(E59=2,VLOOKUP(C59,EL!$C$4:$AA$975,22,0),""))))</f>
        <v>46055</v>
      </c>
      <c r="I59" s="273">
        <f>IF(VLOOKUP(C59,EL!$C$4:$AA$975,14,0)="","",IF(E59=0,VLOOKUP(C59,EL!$C$4:$AA$975,14,0),IF(E59=1,VLOOKUP(C59,EL!$C$4:$AA$975,18,0),IF(E59=2,VLOOKUP(C59,EL!$C$4:$AA$975,23,0),""))))</f>
        <v>46056</v>
      </c>
      <c r="J59" s="273" t="str">
        <f>IF(VLOOKUP(C59,EL!$C$4:$AA$66,15,0)="","",IF(E59=0,VLOOKUP(C59,EL!$C$4:$AA$66,15,0),IF(E59=1,VLOOKUP(C59,EL!$C$4:$AA$66,20,0),IF(E59=2,VLOOKUP(C59,EL!$C$4:$AA$66,25,0),""))))</f>
        <v/>
      </c>
      <c r="K59" s="276" t="str">
        <f>VLOOKUP(C59,EL!$C$4:$K$1035,8,0)</f>
        <v>STT</v>
      </c>
      <c r="L59" s="275" cm="1">
        <f t="array" aca="1" ref="L59" ca="1">_xlfn.IFS(AND($E59&lt;&gt;"",$M59="Pending",$K59="CTA"),TODAY()-$G59,AND($E59&lt;&gt;"",$M59="Pending",$K59="AUR"),TODAY()-$H59,AND($E59&lt;&gt;"",$M59="Pending",$K59="STT"),TODAY()-$I59,OR(K59="Closed",K59=""),"")</f>
        <v>8</v>
      </c>
      <c r="M59" s="276" t="str">
        <f>VLOOKUP(C59,EL!$C$4:$K$975,9,0)</f>
        <v>Pending</v>
      </c>
      <c r="N59" s="269" t="str">
        <f t="shared" ca="1" si="3"/>
        <v>Overdue</v>
      </c>
      <c r="O59" s="293"/>
    </row>
    <row r="60" spans="1:15" ht="32.25" hidden="1" customHeight="1" x14ac:dyDescent="0.25">
      <c r="A60" s="269">
        <f t="shared" si="4"/>
        <v>10</v>
      </c>
      <c r="B60" s="283" t="s">
        <v>50</v>
      </c>
      <c r="C60" s="282" t="s">
        <v>177</v>
      </c>
      <c r="D60" s="281">
        <f>VLOOKUP(C60,EL!$C$4:$J$22,2,0)</f>
        <v>0</v>
      </c>
      <c r="E60" s="269" t="str">
        <f>IF(VLOOKUP(C60,EL!$C$4:$J$975,6,0)="","",VLOOKUP(C60,EL!$C$4:$J$975,6,0))</f>
        <v/>
      </c>
      <c r="F60" s="272"/>
      <c r="G60" s="272" t="str">
        <f>IF(VLOOKUP(C60,EL!$C$4:$J$975,4,0)="","",VLOOKUP(C60,EL!$C$4:$J$975,4,0))</f>
        <v/>
      </c>
      <c r="H60" s="273" t="str">
        <f>IF(VLOOKUP(C60,EL!$C$4:$AA$975,13,0)="","",IF(E60=0,VLOOKUP(C60,EL!$C$4:$AA$975,13,0),IF(E60=1,VLOOKUP(C60,EL!$C$4:$AA$975,17,0),IF(E60=2,VLOOKUP(C60,EL!$C$4:$AA$975,22,0),""))))</f>
        <v/>
      </c>
      <c r="I60" s="273" t="str">
        <f>IF(VLOOKUP(C60,EL!$C$4:$AA$975,14,0)="","",IF(E60=0,VLOOKUP(C60,EL!$C$4:$AA$975,14,0),IF(E60=1,VLOOKUP(C60,EL!$C$4:$AA$975,18,0),IF(E60=2,VLOOKUP(C60,EL!$C$4:$AA$975,23,0),""))))</f>
        <v/>
      </c>
      <c r="J60" s="273" t="str">
        <f>IF(VLOOKUP(C60,EL!$C$4:$AA$66,15,0)="","",IF(E60=0,VLOOKUP(C60,EL!$C$4:$AA$66,15,0),IF(E60=1,VLOOKUP(C60,EL!$C$4:$AA$66,20,0),IF(E60=2,VLOOKUP(C60,EL!$C$4:$AA$66,25,0),""))))</f>
        <v/>
      </c>
      <c r="K60" s="276">
        <f>VLOOKUP(C60,EL!$C$4:$K$1035,8,0)</f>
        <v>0</v>
      </c>
      <c r="L60" s="275" t="e" cm="1">
        <f t="array" aca="1" ref="L60" ca="1">_xlfn.IFS(AND($E60&lt;&gt;"",$M60="Pending",$K60="CTA"),TODAY()-$G60,AND($E60&lt;&gt;"",$M60="Pending",$K60="AUR"),TODAY()-$H60,AND($E60&lt;&gt;"",$M60="Pending",$K60="STT"),TODAY()-$I60,OR(K60="Closed",K60=""),"")</f>
        <v>#N/A</v>
      </c>
      <c r="M60" s="276">
        <f>VLOOKUP(C60,EL!$C$4:$K$975,9,0)</f>
        <v>0</v>
      </c>
      <c r="N60" s="269" t="str">
        <f t="shared" si="3"/>
        <v/>
      </c>
      <c r="O60" s="277"/>
    </row>
    <row r="61" spans="1:15" ht="32.25" customHeight="1" x14ac:dyDescent="0.25">
      <c r="A61" s="269">
        <f t="shared" si="4"/>
        <v>11</v>
      </c>
      <c r="B61" s="283" t="s">
        <v>50</v>
      </c>
      <c r="C61" s="282" t="s">
        <v>178</v>
      </c>
      <c r="D61" s="281" t="str">
        <f>VLOOKUP(C61,EL!$C$4:$J$22,2,0)</f>
        <v xml:space="preserve">Add &amp; Remove Cable Ladder from HVSB to HV Riser </v>
      </c>
      <c r="E61" s="269">
        <f>IF(VLOOKUP(C61,EL!$C$4:$J$975,6,0)="","",VLOOKUP(C61,EL!$C$4:$J$975,6,0))</f>
        <v>0</v>
      </c>
      <c r="F61" s="272"/>
      <c r="G61" s="272">
        <f>IF(VLOOKUP(C61,EL!$C$4:$J$975,4,0)="","",VLOOKUP(C61,EL!$C$4:$J$975,4,0))</f>
        <v>46037</v>
      </c>
      <c r="H61" s="273">
        <f>IF(VLOOKUP(C61,EL!$C$4:$AA$975,13,0)="","",IF(E61=0,VLOOKUP(C61,EL!$C$4:$AA$975,13,0),IF(E61=1,VLOOKUP(C61,EL!$C$4:$AA$975,17,0),IF(E61=2,VLOOKUP(C61,EL!$C$4:$AA$975,22,0),""))))</f>
        <v>46055</v>
      </c>
      <c r="I61" s="273">
        <f>IF(VLOOKUP(C61,EL!$C$4:$AA$975,14,0)="","",IF(E61=0,VLOOKUP(C61,EL!$C$4:$AA$975,14,0),IF(E61=1,VLOOKUP(C61,EL!$C$4:$AA$975,18,0),IF(E61=2,VLOOKUP(C61,EL!$C$4:$AA$975,23,0),""))))</f>
        <v>46062</v>
      </c>
      <c r="J61" s="273" t="str">
        <f>IF(VLOOKUP(C61,EL!$C$4:$AA$66,15,0)="","",IF(E61=0,VLOOKUP(C61,EL!$C$4:$AA$66,15,0),IF(E61=1,VLOOKUP(C61,EL!$C$4:$AA$66,20,0),IF(E61=2,VLOOKUP(C61,EL!$C$4:$AA$66,25,0),""))))</f>
        <v/>
      </c>
      <c r="K61" s="276" t="str">
        <f>VLOOKUP(C61,EL!$C$4:$K$1035,8,0)</f>
        <v>STT</v>
      </c>
      <c r="L61" s="275" cm="1">
        <f t="array" aca="1" ref="L61" ca="1">_xlfn.IFS(AND($E61&lt;&gt;"",$M61="Pending",$K61="CTA"),TODAY()-$G61,AND($E61&lt;&gt;"",$M61="Pending",$K61="AUR"),TODAY()-$H61,AND($E61&lt;&gt;"",$M61="Pending",$K61="STT"),TODAY()-$I61,OR(K61="Closed",K61=""),"")</f>
        <v>2</v>
      </c>
      <c r="M61" s="276" t="str">
        <f>VLOOKUP(C61,EL!$C$4:$K$975,9,0)</f>
        <v>Pending</v>
      </c>
      <c r="N61" s="269" t="str">
        <f t="shared" ca="1" si="3"/>
        <v/>
      </c>
      <c r="O61" s="293"/>
    </row>
    <row r="62" spans="1:15" ht="32.25" customHeight="1" x14ac:dyDescent="0.25">
      <c r="A62" s="269">
        <f t="shared" si="4"/>
        <v>12</v>
      </c>
      <c r="B62" s="283" t="s">
        <v>50</v>
      </c>
      <c r="C62" s="282" t="s">
        <v>180</v>
      </c>
      <c r="D62" s="281" t="str">
        <f>VLOOKUP(C62,EL!$C$4:$J$22,2,0)</f>
        <v xml:space="preserve">Incoming HV Cable Route Problem </v>
      </c>
      <c r="E62" s="269">
        <f>IF(VLOOKUP(C62,EL!$C$4:$J$975,6,0)="","",VLOOKUP(C62,EL!$C$4:$J$975,6,0))</f>
        <v>0</v>
      </c>
      <c r="F62" s="272"/>
      <c r="G62" s="272">
        <f>IF(VLOOKUP(C62,EL!$C$4:$J$975,4,0)="","",VLOOKUP(C62,EL!$C$4:$J$975,4,0))</f>
        <v>46037</v>
      </c>
      <c r="H62" s="273">
        <f>IF(VLOOKUP(C62,EL!$C$4:$AA$975,13,0)="","",IF(E62=0,VLOOKUP(C62,EL!$C$4:$AA$975,13,0),IF(E62=1,VLOOKUP(C62,EL!$C$4:$AA$975,17,0),IF(E62=2,VLOOKUP(C62,EL!$C$4:$AA$975,22,0),""))))</f>
        <v>46044</v>
      </c>
      <c r="I62" s="273">
        <f>IF(VLOOKUP(C62,EL!$C$4:$AA$975,14,0)="","",IF(E62=0,VLOOKUP(C62,EL!$C$4:$AA$975,14,0),IF(E62=1,VLOOKUP(C62,EL!$C$4:$AA$975,18,0),IF(E62=2,VLOOKUP(C62,EL!$C$4:$AA$975,23,0),""))))</f>
        <v>46050</v>
      </c>
      <c r="J62" s="273" t="str">
        <f>IF(VLOOKUP(C62,EL!$C$4:$AA$66,15,0)="","",IF(E62=0,VLOOKUP(C62,EL!$C$4:$AA$66,15,0),IF(E62=1,VLOOKUP(C62,EL!$C$4:$AA$66,20,0),IF(E62=2,VLOOKUP(C62,EL!$C$4:$AA$66,25,0),""))))</f>
        <v/>
      </c>
      <c r="K62" s="276" t="str">
        <f>VLOOKUP(C62,EL!$C$4:$K$1035,8,0)</f>
        <v>STT</v>
      </c>
      <c r="L62" s="275" cm="1">
        <f t="array" aca="1" ref="L62" ca="1">_xlfn.IFS(AND($E62&lt;&gt;"",$M62="Pending",$K62="CTA"),TODAY()-$G62,AND($E62&lt;&gt;"",$M62="Pending",$K62="AUR"),TODAY()-$H62,AND($E62&lt;&gt;"",$M62="Pending",$K62="STT"),TODAY()-$I62,OR(K62="Closed",K62=""),"")</f>
        <v>14</v>
      </c>
      <c r="M62" s="276" t="str">
        <f>VLOOKUP(C62,EL!$C$4:$K$975,9,0)</f>
        <v>Pending</v>
      </c>
      <c r="N62" s="269" t="str">
        <f t="shared" ca="1" si="3"/>
        <v>Overdue</v>
      </c>
      <c r="O62" s="316" t="s">
        <v>372</v>
      </c>
    </row>
    <row r="63" spans="1:15" ht="32.25" customHeight="1" x14ac:dyDescent="0.25">
      <c r="A63" s="269">
        <f t="shared" si="4"/>
        <v>13</v>
      </c>
      <c r="B63" s="283" t="s">
        <v>50</v>
      </c>
      <c r="C63" s="282" t="s">
        <v>182</v>
      </c>
      <c r="D63" s="281" t="str">
        <f>VLOOKUP(C63,EL!$C$4:$J$22,2,0)</f>
        <v>Need PIR for Security Room 2, Janitor, Storage and Work Shop - Lighting Control System</v>
      </c>
      <c r="E63" s="269">
        <f>IF(VLOOKUP(C63,EL!$C$4:$J$975,6,0)="","",VLOOKUP(C63,EL!$C$4:$J$975,6,0))</f>
        <v>0</v>
      </c>
      <c r="F63" s="272"/>
      <c r="G63" s="272">
        <f>IF(VLOOKUP(C63,EL!$C$4:$J$975,4,0)="","",VLOOKUP(C63,EL!$C$4:$J$975,4,0))</f>
        <v>46037</v>
      </c>
      <c r="H63" s="273">
        <f>IF(VLOOKUP(C63,EL!$C$4:$AA$975,13,0)="","",IF(E63=0,VLOOKUP(C63,EL!$C$4:$AA$975,13,0),IF(E63=1,VLOOKUP(C63,EL!$C$4:$AA$975,17,0),IF(E63=2,VLOOKUP(C63,EL!$C$4:$AA$975,22,0),""))))</f>
        <v>46055</v>
      </c>
      <c r="I63" s="273" t="str">
        <f>IF(VLOOKUP(C63,EL!$C$4:$AA$975,14,0)="","",IF(E63=0,VLOOKUP(C63,EL!$C$4:$AA$975,14,0),IF(E63=1,VLOOKUP(C63,EL!$C$4:$AA$975,18,0),IF(E63=2,VLOOKUP(C63,EL!$C$4:$AA$975,23,0),""))))</f>
        <v/>
      </c>
      <c r="J63" s="273" t="str">
        <f>IF(VLOOKUP(C63,EL!$C$4:$AA$66,15,0)="","",IF(E63=0,VLOOKUP(C63,EL!$C$4:$AA$66,15,0),IF(E63=1,VLOOKUP(C63,EL!$C$4:$AA$66,20,0),IF(E63=2,VLOOKUP(C63,EL!$C$4:$AA$66,25,0),""))))</f>
        <v/>
      </c>
      <c r="K63" s="276" t="str">
        <f>VLOOKUP(C63,EL!$C$4:$K$1035,8,0)</f>
        <v>AUR</v>
      </c>
      <c r="L63" s="275" cm="1">
        <f t="array" aca="1" ref="L63" ca="1">_xlfn.IFS(AND($E63&lt;&gt;"",$M63="Pending",$K63="CTA"),TODAY()-$G63,AND($E63&lt;&gt;"",$M63="Pending",$K63="AUR"),TODAY()-$H63,AND($E63&lt;&gt;"",$M63="Pending",$K63="STT"),TODAY()-$I63,OR(K63="Closed",K63=""),"")</f>
        <v>9</v>
      </c>
      <c r="M63" s="276" t="str">
        <f>VLOOKUP(C63,EL!$C$4:$K$975,9,0)</f>
        <v>Pending</v>
      </c>
      <c r="N63" s="269" t="str">
        <f t="shared" ca="1" si="3"/>
        <v>Overdue</v>
      </c>
      <c r="O63" s="293"/>
    </row>
    <row r="64" spans="1:15" ht="32.25" customHeight="1" x14ac:dyDescent="0.25">
      <c r="A64" s="269">
        <f t="shared" si="4"/>
        <v>14</v>
      </c>
      <c r="B64" s="283" t="s">
        <v>50</v>
      </c>
      <c r="C64" s="282" t="s">
        <v>184</v>
      </c>
      <c r="D64" s="281" t="str">
        <f>VLOOKUP(C64,EL!$C$4:$J$22,2,0)</f>
        <v>Confirm for Additional Power Supply for GDP</v>
      </c>
      <c r="E64" s="269">
        <f>IF(VLOOKUP(C64,EL!$C$4:$J$975,6,0)="","",VLOOKUP(C64,EL!$C$4:$J$975,6,0))</f>
        <v>0</v>
      </c>
      <c r="F64" s="272"/>
      <c r="G64" s="272">
        <f>IF(VLOOKUP(C64,EL!$C$4:$J$975,4,0)="","",VLOOKUP(C64,EL!$C$4:$J$975,4,0))</f>
        <v>46037</v>
      </c>
      <c r="H64" s="273">
        <f>IF(VLOOKUP(C64,EL!$C$4:$AA$975,13,0)="","",IF(E64=0,VLOOKUP(C64,EL!$C$4:$AA$975,13,0),IF(E64=1,VLOOKUP(C64,EL!$C$4:$AA$975,17,0),IF(E64=2,VLOOKUP(C64,EL!$C$4:$AA$975,22,0),""))))</f>
        <v>46055</v>
      </c>
      <c r="I64" s="273" t="str">
        <f>IF(VLOOKUP(C64,EL!$C$4:$AA$975,14,0)="","",IF(E64=0,VLOOKUP(C64,EL!$C$4:$AA$975,14,0),IF(E64=1,VLOOKUP(C64,EL!$C$4:$AA$975,18,0),IF(E64=2,VLOOKUP(C64,EL!$C$4:$AA$975,23,0),""))))</f>
        <v/>
      </c>
      <c r="J64" s="273" t="str">
        <f>IF(VLOOKUP(C64,EL!$C$4:$AA$66,15,0)="","",IF(E64=0,VLOOKUP(C64,EL!$C$4:$AA$66,15,0),IF(E64=1,VLOOKUP(C64,EL!$C$4:$AA$66,20,0),IF(E64=2,VLOOKUP(C64,EL!$C$4:$AA$66,25,0),""))))</f>
        <v/>
      </c>
      <c r="K64" s="276" t="str">
        <f>VLOOKUP(C64,EL!$C$4:$K$1035,8,0)</f>
        <v>AUR</v>
      </c>
      <c r="L64" s="275" cm="1">
        <f t="array" aca="1" ref="L64" ca="1">_xlfn.IFS(AND($E64&lt;&gt;"",$M64="Pending",$K64="CTA"),TODAY()-$G64,AND($E64&lt;&gt;"",$M64="Pending",$K64="AUR"),TODAY()-$H64,AND($E64&lt;&gt;"",$M64="Pending",$K64="STT"),TODAY()-$I64,OR(K64="Closed",K64=""),"")</f>
        <v>9</v>
      </c>
      <c r="M64" s="276" t="str">
        <f>VLOOKUP(C64,EL!$C$4:$K$975,9,0)</f>
        <v>Pending</v>
      </c>
      <c r="N64" s="269" t="str">
        <f t="shared" ca="1" si="3"/>
        <v>Overdue</v>
      </c>
      <c r="O64" s="293"/>
    </row>
    <row r="65" spans="1:15" ht="32.25" customHeight="1" x14ac:dyDescent="0.25">
      <c r="A65" s="269">
        <f t="shared" si="4"/>
        <v>15</v>
      </c>
      <c r="B65" s="283" t="s">
        <v>50</v>
      </c>
      <c r="C65" s="282" t="s">
        <v>186</v>
      </c>
      <c r="D65" s="281" t="str">
        <f>VLOOKUP(C65,EL!$C$4:$J$22,2,0)</f>
        <v>Clarification on Fire Alarm Module Type for Sysem Interface</v>
      </c>
      <c r="E65" s="269">
        <f>IF(VLOOKUP(C65,EL!$C$4:$J$975,6,0)="","",VLOOKUP(C65,EL!$C$4:$J$975,6,0))</f>
        <v>0</v>
      </c>
      <c r="F65" s="272"/>
      <c r="G65" s="272">
        <f>IF(VLOOKUP(C65,EL!$C$4:$J$975,4,0)="","",VLOOKUP(C65,EL!$C$4:$J$975,4,0))</f>
        <v>46037</v>
      </c>
      <c r="H65" s="273">
        <f>IF(VLOOKUP(C65,EL!$C$4:$AA$975,13,0)="","",IF(E65=0,VLOOKUP(C65,EL!$C$4:$AA$975,13,0),IF(E65=1,VLOOKUP(C65,EL!$C$4:$AA$975,17,0),IF(E65=2,VLOOKUP(C65,EL!$C$4:$AA$975,22,0),""))))</f>
        <v>46055</v>
      </c>
      <c r="I65" s="273">
        <f>IF(VLOOKUP(C65,EL!$C$4:$AA$975,14,0)="","",IF(E65=0,VLOOKUP(C65,EL!$C$4:$AA$975,14,0),IF(E65=1,VLOOKUP(C65,EL!$C$4:$AA$975,18,0),IF(E65=2,VLOOKUP(C65,EL!$C$4:$AA$975,23,0),""))))</f>
        <v>46062</v>
      </c>
      <c r="J65" s="273" t="str">
        <f>IF(VLOOKUP(C65,EL!$C$4:$AA$66,15,0)="","",IF(E65=0,VLOOKUP(C65,EL!$C$4:$AA$66,15,0),IF(E65=1,VLOOKUP(C65,EL!$C$4:$AA$66,20,0),IF(E65=2,VLOOKUP(C65,EL!$C$4:$AA$66,25,0),""))))</f>
        <v/>
      </c>
      <c r="K65" s="276" t="str">
        <f>VLOOKUP(C65,EL!$C$4:$K$1035,8,0)</f>
        <v>STT</v>
      </c>
      <c r="L65" s="275" cm="1">
        <f t="array" aca="1" ref="L65" ca="1">_xlfn.IFS(AND($E65&lt;&gt;"",$M65="Pending",$K65="CTA"),TODAY()-$G65,AND($E65&lt;&gt;"",$M65="Pending",$K65="AUR"),TODAY()-$H65,AND($E65&lt;&gt;"",$M65="Pending",$K65="STT"),TODAY()-$I65,OR(K65="Closed",K65=""),"")</f>
        <v>2</v>
      </c>
      <c r="M65" s="276" t="str">
        <f>VLOOKUP(C65,EL!$C$4:$K$975,9,0)</f>
        <v>Pending</v>
      </c>
      <c r="N65" s="269" t="str">
        <f t="shared" ca="1" si="3"/>
        <v/>
      </c>
      <c r="O65" s="293"/>
    </row>
    <row r="66" spans="1:15" ht="32.25" customHeight="1" x14ac:dyDescent="0.25">
      <c r="A66" s="269">
        <f t="shared" si="4"/>
        <v>16</v>
      </c>
      <c r="B66" s="283" t="s">
        <v>50</v>
      </c>
      <c r="C66" s="282" t="s">
        <v>188</v>
      </c>
      <c r="D66" s="281" t="str">
        <f>VLOOKUP(C66,EL!$C$4:$J$22,2,0)</f>
        <v xml:space="preserve">Aux supply Non-IT DB for HVSB,TX and LB </v>
      </c>
      <c r="E66" s="269">
        <f>IF(VLOOKUP(C66,EL!$C$4:$J$975,6,0)="","",VLOOKUP(C66,EL!$C$4:$J$975,6,0))</f>
        <v>0</v>
      </c>
      <c r="F66" s="272"/>
      <c r="G66" s="272">
        <f>IF(VLOOKUP(C66,EL!$C$4:$J$975,4,0)="","",VLOOKUP(C66,EL!$C$4:$J$975,4,0))</f>
        <v>46037</v>
      </c>
      <c r="H66" s="273">
        <f>IF(VLOOKUP(C66,EL!$C$4:$AA$975,13,0)="","",IF(E66=0,VLOOKUP(C66,EL!$C$4:$AA$975,13,0),IF(E66=1,VLOOKUP(C66,EL!$C$4:$AA$975,17,0),IF(E66=2,VLOOKUP(C66,EL!$C$4:$AA$975,22,0),""))))</f>
        <v>46055</v>
      </c>
      <c r="I66" s="273" t="str">
        <f>IF(VLOOKUP(C66,EL!$C$4:$AA$975,14,0)="","",IF(E66=0,VLOOKUP(C66,EL!$C$4:$AA$975,14,0),IF(E66=1,VLOOKUP(C66,EL!$C$4:$AA$975,18,0),IF(E66=2,VLOOKUP(C66,EL!$C$4:$AA$975,23,0),""))))</f>
        <v/>
      </c>
      <c r="J66" s="273" t="str">
        <f>IF(VLOOKUP(C66,EL!$C$4:$AA$66,15,0)="","",IF(E66=0,VLOOKUP(C66,EL!$C$4:$AA$66,15,0),IF(E66=1,VLOOKUP(C66,EL!$C$4:$AA$66,20,0),IF(E66=2,VLOOKUP(C66,EL!$C$4:$AA$66,25,0),""))))</f>
        <v/>
      </c>
      <c r="K66" s="276" t="str">
        <f>VLOOKUP(C66,EL!$C$4:$K$1035,8,0)</f>
        <v>AUR</v>
      </c>
      <c r="L66" s="275" cm="1">
        <f t="array" aca="1" ref="L66" ca="1">_xlfn.IFS(AND($E66&lt;&gt;"",$M66="Pending",$K66="CTA"),TODAY()-$G66,AND($E66&lt;&gt;"",$M66="Pending",$K66="AUR"),TODAY()-$H66,AND($E66&lt;&gt;"",$M66="Pending",$K66="STT"),TODAY()-$I66,OR(K66="Closed",K66=""),"")</f>
        <v>9</v>
      </c>
      <c r="M66" s="276" t="str">
        <f>VLOOKUP(C66,EL!$C$4:$K$975,9,0)</f>
        <v>Pending</v>
      </c>
      <c r="N66" s="269" t="str">
        <f t="shared" ca="1" si="3"/>
        <v>Overdue</v>
      </c>
      <c r="O66" s="293"/>
    </row>
    <row r="67" spans="1:15" ht="32.25" customHeight="1" x14ac:dyDescent="0.25">
      <c r="A67" s="269">
        <f t="shared" si="4"/>
        <v>17</v>
      </c>
      <c r="B67" s="283" t="s">
        <v>50</v>
      </c>
      <c r="C67" s="282" t="s">
        <v>190</v>
      </c>
      <c r="D67" s="281" t="str">
        <f>VLOOKUP(C67,EL!$C$4:$J$22,2,0)</f>
        <v>Confirm to Add Power Supply for ASD - Staging Room 1st Floor</v>
      </c>
      <c r="E67" s="269">
        <f>IF(VLOOKUP(C67,EL!$C$4:$J$975,6,0)="","",VLOOKUP(C67,EL!$C$4:$J$975,6,0))</f>
        <v>0</v>
      </c>
      <c r="F67" s="272"/>
      <c r="G67" s="272">
        <f>IF(VLOOKUP(C67,EL!$C$4:$J$975,4,0)="","",VLOOKUP(C67,EL!$C$4:$J$975,4,0))</f>
        <v>46042</v>
      </c>
      <c r="H67" s="273">
        <f>IF(VLOOKUP(C67,EL!$C$4:$AA$975,13,0)="","",IF(E67=0,VLOOKUP(C67,EL!$C$4:$AA$975,13,0),IF(E67=1,VLOOKUP(C67,EL!$C$4:$AA$975,17,0),IF(E67=2,VLOOKUP(C67,EL!$C$4:$AA$975,22,0),""))))</f>
        <v>46055</v>
      </c>
      <c r="I67" s="273">
        <f>IF(VLOOKUP(C67,EL!$C$4:$AA$975,14,0)="","",IF(E67=0,VLOOKUP(C67,EL!$C$4:$AA$975,14,0),IF(E67=1,VLOOKUP(C67,EL!$C$4:$AA$975,18,0),IF(E67=2,VLOOKUP(C67,EL!$C$4:$AA$975,23,0),""))))</f>
        <v>46062</v>
      </c>
      <c r="J67" s="273" t="str">
        <f>IF(VLOOKUP(C67,EL!$C$4:$AA$66,15,0)="","",IF(E67=0,VLOOKUP(C67,EL!$C$4:$AA$66,15,0),IF(E67=1,VLOOKUP(C67,EL!$C$4:$AA$66,20,0),IF(E67=2,VLOOKUP(C67,EL!$C$4:$AA$66,25,0),""))))</f>
        <v/>
      </c>
      <c r="K67" s="276" t="str">
        <f>VLOOKUP(C67,EL!$C$4:$K$1035,8,0)</f>
        <v>STT</v>
      </c>
      <c r="L67" s="275" cm="1">
        <f t="array" aca="1" ref="L67" ca="1">_xlfn.IFS(AND($E67&lt;&gt;"",$M67="Pending",$K67="CTA"),TODAY()-$G67,AND($E67&lt;&gt;"",$M67="Pending",$K67="AUR"),TODAY()-$H67,AND($E67&lt;&gt;"",$M67="Pending",$K67="STT"),TODAY()-$I67,OR(K67="Closed",K67=""),"")</f>
        <v>2</v>
      </c>
      <c r="M67" s="276" t="str">
        <f>VLOOKUP(C67,EL!$C$4:$K$975,9,0)</f>
        <v>Pending</v>
      </c>
      <c r="N67" s="269" t="str">
        <f t="shared" ca="1" si="3"/>
        <v/>
      </c>
      <c r="O67" s="293"/>
    </row>
    <row r="68" spans="1:15" ht="32.25" customHeight="1" x14ac:dyDescent="0.25">
      <c r="A68" s="269">
        <f t="shared" si="4"/>
        <v>18</v>
      </c>
      <c r="B68" s="283" t="s">
        <v>50</v>
      </c>
      <c r="C68" s="282" t="s">
        <v>192</v>
      </c>
      <c r="D68" s="281" t="str">
        <f>VLOOKUP(C68,EL!$C$4:$J$22,2,0)</f>
        <v>Confirm the Correct ASD Pipe Installation Location in Data Hall Area</v>
      </c>
      <c r="E68" s="269">
        <f>IF(VLOOKUP(C68,EL!$C$4:$J$975,6,0)="","",VLOOKUP(C68,EL!$C$4:$J$975,6,0))</f>
        <v>0</v>
      </c>
      <c r="F68" s="272"/>
      <c r="G68" s="272">
        <f>IF(VLOOKUP(C68,EL!$C$4:$J$975,4,0)="","",VLOOKUP(C68,EL!$C$4:$J$975,4,0))</f>
        <v>46036</v>
      </c>
      <c r="H68" s="273">
        <f>IF(VLOOKUP(C68,EL!$C$4:$AA$975,13,0)="","",IF(E68=0,VLOOKUP(C68,EL!$C$4:$AA$975,13,0),IF(E68=1,VLOOKUP(C68,EL!$C$4:$AA$975,17,0),IF(E68=2,VLOOKUP(C68,EL!$C$4:$AA$975,22,0),""))))</f>
        <v>46055</v>
      </c>
      <c r="I68" s="273">
        <f>IF(VLOOKUP(C68,EL!$C$4:$AA$975,14,0)="","",IF(E68=0,VLOOKUP(C68,EL!$C$4:$AA$975,14,0),IF(E68=1,VLOOKUP(C68,EL!$C$4:$AA$975,18,0),IF(E68=2,VLOOKUP(C68,EL!$C$4:$AA$975,23,0),""))))</f>
        <v>46056</v>
      </c>
      <c r="J68" s="273" t="str">
        <f>IF(VLOOKUP(C68,EL!$C$4:$AA$66,15,0)="","",IF(E68=0,VLOOKUP(C68,EL!$C$4:$AA$66,15,0),IF(E68=1,VLOOKUP(C68,EL!$C$4:$AA$66,20,0),IF(E68=2,VLOOKUP(C68,EL!$C$4:$AA$66,25,0),""))))</f>
        <v/>
      </c>
      <c r="K68" s="276" t="str">
        <f>VLOOKUP(C68,EL!$C$4:$K$1035,8,0)</f>
        <v>STT</v>
      </c>
      <c r="L68" s="275" cm="1">
        <f t="array" aca="1" ref="L68" ca="1">_xlfn.IFS(AND($E68&lt;&gt;"",$M68="Pending",$K68="CTA"),TODAY()-$G68,AND($E68&lt;&gt;"",$M68="Pending",$K68="AUR"),TODAY()-$H68,AND($E68&lt;&gt;"",$M68="Pending",$K68="STT"),TODAY()-$I68,OR(K68="Closed",K68=""),"")</f>
        <v>8</v>
      </c>
      <c r="M68" s="276" t="str">
        <f>VLOOKUP(C68,EL!$C$4:$K$975,9,0)</f>
        <v>Pending</v>
      </c>
      <c r="N68" s="269" t="str">
        <f t="shared" ca="1" si="3"/>
        <v>Overdue</v>
      </c>
      <c r="O68" s="293"/>
    </row>
    <row r="69" spans="1:15" ht="32.25" customHeight="1" x14ac:dyDescent="0.25">
      <c r="A69" s="269">
        <f t="shared" si="4"/>
        <v>19</v>
      </c>
      <c r="B69" s="283" t="s">
        <v>50</v>
      </c>
      <c r="C69" s="282" t="s">
        <v>194</v>
      </c>
      <c r="D69" s="281" t="str">
        <f>VLOOKUP(C69,EL!$C$4:$J$22,2,0)</f>
        <v>Detail Location for Install CCTV at Outside Building</v>
      </c>
      <c r="E69" s="269">
        <f>IF(VLOOKUP(C69,EL!$C$4:$J$975,6,0)="","",VLOOKUP(C69,EL!$C$4:$J$975,6,0))</f>
        <v>0</v>
      </c>
      <c r="F69" s="272"/>
      <c r="G69" s="272">
        <f>IF(VLOOKUP(C69,EL!$C$4:$J$975,4,0)="","",VLOOKUP(C69,EL!$C$4:$J$975,4,0))</f>
        <v>46036</v>
      </c>
      <c r="H69" s="273">
        <f>IF(VLOOKUP(C69,EL!$C$4:$AA$975,13,0)="","",IF(E69=0,VLOOKUP(C69,EL!$C$4:$AA$975,13,0),IF(E69=1,VLOOKUP(C69,EL!$C$4:$AA$975,17,0),IF(E69=2,VLOOKUP(C69,EL!$C$4:$AA$975,22,0),""))))</f>
        <v>46055</v>
      </c>
      <c r="I69" s="273">
        <f>IF(VLOOKUP(C69,EL!$C$4:$AA$975,14,0)="","",IF(E69=0,VLOOKUP(C69,EL!$C$4:$AA$975,14,0),IF(E69=1,VLOOKUP(C69,EL!$C$4:$AA$975,18,0),IF(E69=2,VLOOKUP(C69,EL!$C$4:$AA$975,23,0),""))))</f>
        <v>46062</v>
      </c>
      <c r="J69" s="273" t="str">
        <f>IF(VLOOKUP(C69,EL!$C$4:$AA$66,15,0)="","",IF(E69=0,VLOOKUP(C69,EL!$C$4:$AA$66,15,0),IF(E69=1,VLOOKUP(C69,EL!$C$4:$AA$66,20,0),IF(E69=2,VLOOKUP(C69,EL!$C$4:$AA$66,25,0),""))))</f>
        <v/>
      </c>
      <c r="K69" s="276" t="str">
        <f>VLOOKUP(C69,EL!$C$4:$K$1035,8,0)</f>
        <v>STT</v>
      </c>
      <c r="L69" s="275" cm="1">
        <f t="array" aca="1" ref="L69" ca="1">_xlfn.IFS(AND($E69&lt;&gt;"",$M69="Pending",$K69="CTA"),TODAY()-$G69,AND($E69&lt;&gt;"",$M69="Pending",$K69="AUR"),TODAY()-$H69,AND($E69&lt;&gt;"",$M69="Pending",$K69="STT"),TODAY()-$I69,OR(K69="Closed",K69=""),"")</f>
        <v>2</v>
      </c>
      <c r="M69" s="276" t="str">
        <f>VLOOKUP(C69,EL!$C$4:$K$975,9,0)</f>
        <v>Pending</v>
      </c>
      <c r="N69" s="269" t="str">
        <f t="shared" ca="1" si="3"/>
        <v/>
      </c>
      <c r="O69" s="293"/>
    </row>
    <row r="70" spans="1:15" ht="32.25" customHeight="1" x14ac:dyDescent="0.25">
      <c r="A70" s="269">
        <f t="shared" si="4"/>
        <v>20</v>
      </c>
      <c r="B70" s="283" t="s">
        <v>50</v>
      </c>
      <c r="C70" s="282" t="s">
        <v>196</v>
      </c>
      <c r="D70" s="281" t="str">
        <f>VLOOKUP(C70,EL!$C$4:$J$32,2,0)</f>
        <v>Quantity and Installation Locations of PIR Sensors for the Stairs</v>
      </c>
      <c r="E70" s="269">
        <f>IF(VLOOKUP(C70,EL!$C$4:$J$975,6,0)="","",VLOOKUP(C70,EL!$C$4:$J$975,6,0))</f>
        <v>0</v>
      </c>
      <c r="F70" s="272"/>
      <c r="G70" s="272">
        <f>IF(VLOOKUP(C70,EL!$C$4:$J$975,4,0)="","",VLOOKUP(C70,EL!$C$4:$J$975,4,0))</f>
        <v>46042</v>
      </c>
      <c r="H70" s="273">
        <f>IF(VLOOKUP(C70,EL!$C$4:$AA$975,13,0)="","",IF(E70=0,VLOOKUP(C70,EL!$C$4:$AA$975,13,0),IF(E70=1,VLOOKUP(C70,EL!$C$4:$AA$975,17,0),IF(E70=2,VLOOKUP(C70,EL!$C$4:$AA$975,22,0),""))))</f>
        <v>46055</v>
      </c>
      <c r="I70" s="273" t="str">
        <f>IF(VLOOKUP(C70,EL!$C$4:$AA$975,14,0)="","",IF(E70=0,VLOOKUP(C70,EL!$C$4:$AA$975,14,0),IF(E70=1,VLOOKUP(C70,EL!$C$4:$AA$975,18,0),IF(E70=2,VLOOKUP(C70,EL!$C$4:$AA$975,23,0),""))))</f>
        <v/>
      </c>
      <c r="J70" s="273" t="str">
        <f>IF(VLOOKUP(C70,EL!$C$4:$AA$66,15,0)="","",IF(E70=0,VLOOKUP(C70,EL!$C$4:$AA$66,15,0),IF(E70=1,VLOOKUP(C70,EL!$C$4:$AA$66,20,0),IF(E70=2,VLOOKUP(C70,EL!$C$4:$AA$66,25,0),""))))</f>
        <v/>
      </c>
      <c r="K70" s="276" t="str">
        <f>VLOOKUP(C70,EL!$C$4:$K$1035,8,0)</f>
        <v>AUR</v>
      </c>
      <c r="L70" s="275" cm="1">
        <f t="array" aca="1" ref="L70" ca="1">_xlfn.IFS(AND($E70&lt;&gt;"",$M70="Pending",$K70="CTA"),TODAY()-$G70,AND($E70&lt;&gt;"",$M70="Pending",$K70="AUR"),TODAY()-$H70,AND($E70&lt;&gt;"",$M70="Pending",$K70="STT"),TODAY()-$I70,OR(K70="Closed",K70=""),"")</f>
        <v>9</v>
      </c>
      <c r="M70" s="276" t="str">
        <f>VLOOKUP(C70,EL!$C$4:$K$975,9,0)</f>
        <v>Pending</v>
      </c>
      <c r="N70" s="269" t="str">
        <f t="shared" ca="1" si="3"/>
        <v>Overdue</v>
      </c>
      <c r="O70" s="293"/>
    </row>
    <row r="71" spans="1:15" ht="32.25" customHeight="1" x14ac:dyDescent="0.25">
      <c r="A71" s="269">
        <f t="shared" si="4"/>
        <v>21</v>
      </c>
      <c r="B71" s="283" t="s">
        <v>50</v>
      </c>
      <c r="C71" s="282" t="s">
        <v>198</v>
      </c>
      <c r="D71" s="281" t="str">
        <f>VLOOKUP(C71,EL!$C$4:$J$32,2,0)</f>
        <v>Confirm for Power Supply for LV System</v>
      </c>
      <c r="E71" s="269">
        <f>IF(VLOOKUP(C71,EL!$C$4:$J$975,6,0)="","",VLOOKUP(C71,EL!$C$4:$J$975,6,0))</f>
        <v>0</v>
      </c>
      <c r="F71" s="272"/>
      <c r="G71" s="272">
        <f>IF(VLOOKUP(C71,EL!$C$4:$J$975,4,0)="","",VLOOKUP(C71,EL!$C$4:$J$975,4,0))</f>
        <v>46042</v>
      </c>
      <c r="H71" s="273">
        <f>IF(VLOOKUP(C71,EL!$C$4:$AA$975,13,0)="","",IF(E71=0,VLOOKUP(C71,EL!$C$4:$AA$975,13,0),IF(E71=1,VLOOKUP(C71,EL!$C$4:$AA$975,17,0),IF(E71=2,VLOOKUP(C71,EL!$C$4:$AA$975,22,0),""))))</f>
        <v>46055</v>
      </c>
      <c r="I71" s="273" t="str">
        <f>IF(VLOOKUP(C71,EL!$C$4:$AA$975,14,0)="","",IF(E71=0,VLOOKUP(C71,EL!$C$4:$AA$975,14,0),IF(E71=1,VLOOKUP(C71,EL!$C$4:$AA$975,18,0),IF(E71=2,VLOOKUP(C71,EL!$C$4:$AA$975,23,0),""))))</f>
        <v/>
      </c>
      <c r="J71" s="273" t="str">
        <f>IF(VLOOKUP(C71,EL!$C$4:$AA$66,15,0)="","",IF(E71=0,VLOOKUP(C71,EL!$C$4:$AA$66,15,0),IF(E71=1,VLOOKUP(C71,EL!$C$4:$AA$66,20,0),IF(E71=2,VLOOKUP(C71,EL!$C$4:$AA$66,25,0),""))))</f>
        <v/>
      </c>
      <c r="K71" s="276" t="str">
        <f>VLOOKUP(C71,EL!$C$4:$K$1035,8,0)</f>
        <v>AUR</v>
      </c>
      <c r="L71" s="275" cm="1">
        <f t="array" aca="1" ref="L71" ca="1">_xlfn.IFS(AND($E71&lt;&gt;"",$M71="Pending",$K71="CTA"),TODAY()-$G71,AND($E71&lt;&gt;"",$M71="Pending",$K71="AUR"),TODAY()-$H71,AND($E71&lt;&gt;"",$M71="Pending",$K71="STT"),TODAY()-$I71,OR(K71="Closed",K71=""),"")</f>
        <v>9</v>
      </c>
      <c r="M71" s="276" t="str">
        <f>VLOOKUP(C71,EL!$C$4:$K$975,9,0)</f>
        <v>Pending</v>
      </c>
      <c r="N71" s="269" t="str">
        <f t="shared" ca="1" si="3"/>
        <v>Overdue</v>
      </c>
      <c r="O71" s="293"/>
    </row>
    <row r="72" spans="1:15" ht="32.25" customHeight="1" x14ac:dyDescent="0.25">
      <c r="A72" s="269">
        <f t="shared" si="4"/>
        <v>22</v>
      </c>
      <c r="B72" s="283" t="s">
        <v>50</v>
      </c>
      <c r="C72" s="282" t="s">
        <v>200</v>
      </c>
      <c r="D72" s="281" t="str">
        <f>VLOOKUP(C72,EL!$C$4:$J$32,2,0)</f>
        <v xml:space="preserve">Confirm Fire Alarm and ASD Interface </v>
      </c>
      <c r="E72" s="269">
        <f>IF(VLOOKUP(C72,EL!$C$4:$J$975,6,0)="","",VLOOKUP(C72,EL!$C$4:$J$975,6,0))</f>
        <v>0</v>
      </c>
      <c r="F72" s="272"/>
      <c r="G72" s="272">
        <f>IF(VLOOKUP(C72,EL!$C$4:$J$975,4,0)="","",VLOOKUP(C72,EL!$C$4:$J$975,4,0))</f>
        <v>46042</v>
      </c>
      <c r="H72" s="273">
        <f>IF(VLOOKUP(C72,EL!$C$4:$AA$975,13,0)="","",IF(E72=0,VLOOKUP(C72,EL!$C$4:$AA$975,13,0),IF(E72=1,VLOOKUP(C72,EL!$C$4:$AA$975,17,0),IF(E72=2,VLOOKUP(C72,EL!$C$4:$AA$975,22,0),""))))</f>
        <v>46044</v>
      </c>
      <c r="I72" s="273">
        <f>IF(VLOOKUP(C72,EL!$C$4:$AA$975,14,0)="","",IF(E72=0,VLOOKUP(C72,EL!$C$4:$AA$975,14,0),IF(E72=1,VLOOKUP(C72,EL!$C$4:$AA$975,18,0),IF(E72=2,VLOOKUP(C72,EL!$C$4:$AA$975,23,0),""))))</f>
        <v>46049</v>
      </c>
      <c r="J72" s="273" t="str">
        <f>IF(VLOOKUP(C72,EL!$C$4:$AA$66,15,0)="","",IF(E72=0,VLOOKUP(C72,EL!$C$4:$AA$66,15,0),IF(E72=1,VLOOKUP(C72,EL!$C$4:$AA$66,20,0),IF(E72=2,VLOOKUP(C72,EL!$C$4:$AA$66,25,0),""))))</f>
        <v/>
      </c>
      <c r="K72" s="276" t="str">
        <f>VLOOKUP(C72,EL!$C$4:$K$1035,8,0)</f>
        <v>STT</v>
      </c>
      <c r="L72" s="275" cm="1">
        <f t="array" aca="1" ref="L72" ca="1">_xlfn.IFS(AND($E72&lt;&gt;"",$M72="Pending",$K72="CTA"),TODAY()-$G72,AND($E72&lt;&gt;"",$M72="Pending",$K72="AUR"),TODAY()-$H72,AND($E72&lt;&gt;"",$M72="Pending",$K72="STT"),TODAY()-$I72,OR(K72="Closed",K72=""),"")</f>
        <v>15</v>
      </c>
      <c r="M72" s="276" t="str">
        <f>VLOOKUP(C72,EL!$C$4:$K$975,9,0)</f>
        <v>Pending</v>
      </c>
      <c r="N72" s="269" t="str">
        <f t="shared" ca="1" si="3"/>
        <v>Overdue</v>
      </c>
      <c r="O72" s="316" t="s">
        <v>372</v>
      </c>
    </row>
    <row r="73" spans="1:15" ht="32.25" customHeight="1" x14ac:dyDescent="0.25">
      <c r="A73" s="269">
        <f t="shared" si="4"/>
        <v>23</v>
      </c>
      <c r="B73" s="283" t="s">
        <v>50</v>
      </c>
      <c r="C73" s="282" t="s">
        <v>202</v>
      </c>
      <c r="D73" s="281" t="str">
        <f>VLOOKUP(C73,EL!$C$4:$J$32,2,0)</f>
        <v>Fire Alarm Signals Interface to BMS System</v>
      </c>
      <c r="E73" s="269">
        <f>IF(VLOOKUP(C73,EL!$C$4:$J$975,6,0)="","",VLOOKUP(C73,EL!$C$4:$J$975,6,0))</f>
        <v>0</v>
      </c>
      <c r="F73" s="272"/>
      <c r="G73" s="272">
        <f>IF(VLOOKUP(C73,EL!$C$4:$J$975,4,0)="","",VLOOKUP(C73,EL!$C$4:$J$975,4,0))</f>
        <v>46044</v>
      </c>
      <c r="H73" s="273">
        <f>IF(VLOOKUP(C73,EL!$C$4:$AA$975,13,0)="","",IF(E73=0,VLOOKUP(C73,EL!$C$4:$AA$975,13,0),IF(E73=1,VLOOKUP(C73,EL!$C$4:$AA$975,17,0),IF(E73=2,VLOOKUP(C73,EL!$C$4:$AA$975,22,0),""))))</f>
        <v>46055</v>
      </c>
      <c r="I73" s="273">
        <f>IF(VLOOKUP(C73,EL!$C$4:$AA$975,14,0)="","",IF(E73=0,VLOOKUP(C73,EL!$C$4:$AA$975,14,0),IF(E73=1,VLOOKUP(C73,EL!$C$4:$AA$975,18,0),IF(E73=2,VLOOKUP(C73,EL!$C$4:$AA$975,23,0),""))))</f>
        <v>46062</v>
      </c>
      <c r="J73" s="273" t="str">
        <f>IF(VLOOKUP(C73,EL!$C$4:$AA$66,15,0)="","",IF(E73=0,VLOOKUP(C73,EL!$C$4:$AA$66,15,0),IF(E73=1,VLOOKUP(C73,EL!$C$4:$AA$66,20,0),IF(E73=2,VLOOKUP(C73,EL!$C$4:$AA$66,25,0),""))))</f>
        <v/>
      </c>
      <c r="K73" s="276" t="str">
        <f>VLOOKUP(C73,EL!$C$4:$K$1035,8,0)</f>
        <v>STT</v>
      </c>
      <c r="L73" s="275" cm="1">
        <f t="array" aca="1" ref="L73" ca="1">_xlfn.IFS(AND($E73&lt;&gt;"",$M73="Pending",$K73="CTA"),TODAY()-$G73,AND($E73&lt;&gt;"",$M73="Pending",$K73="AUR"),TODAY()-$H73,AND($E73&lt;&gt;"",$M73="Pending",$K73="STT"),TODAY()-$I73,OR(K73="Closed",K73=""),"")</f>
        <v>2</v>
      </c>
      <c r="M73" s="276" t="str">
        <f>VLOOKUP(C73,EL!$C$4:$K$975,9,0)</f>
        <v>Pending</v>
      </c>
      <c r="N73" s="269" t="str">
        <f t="shared" ca="1" si="3"/>
        <v/>
      </c>
      <c r="O73" s="316" t="s">
        <v>372</v>
      </c>
    </row>
    <row r="74" spans="1:15" ht="32.25" customHeight="1" x14ac:dyDescent="0.25">
      <c r="A74" s="269">
        <f t="shared" si="4"/>
        <v>24</v>
      </c>
      <c r="B74" s="283" t="s">
        <v>50</v>
      </c>
      <c r="C74" s="282" t="s">
        <v>204</v>
      </c>
      <c r="D74" s="281" t="str">
        <f>VLOOKUP(C74,EL!$C$4:$J$32,2,0)</f>
        <v xml:space="preserve">Module (Control Module) for Fire Telephone of Staircases 1st FL </v>
      </c>
      <c r="E74" s="269">
        <f>IF(VLOOKUP(C74,EL!$C$4:$J$975,6,0)="","",VLOOKUP(C74,EL!$C$4:$J$975,6,0))</f>
        <v>0</v>
      </c>
      <c r="F74" s="272"/>
      <c r="G74" s="272">
        <f>IF(VLOOKUP(C74,EL!$C$4:$J$975,4,0)="","",VLOOKUP(C74,EL!$C$4:$J$975,4,0))</f>
        <v>46042</v>
      </c>
      <c r="H74" s="273">
        <f>IF(VLOOKUP(C74,EL!$C$4:$AA$975,13,0)="","",IF(E74=0,VLOOKUP(C74,EL!$C$4:$AA$975,13,0),IF(E74=1,VLOOKUP(C74,EL!$C$4:$AA$975,17,0),IF(E74=2,VLOOKUP(C74,EL!$C$4:$AA$975,22,0),""))))</f>
        <v>46044</v>
      </c>
      <c r="I74" s="273">
        <f>IF(VLOOKUP(C74,EL!$C$4:$AA$975,14,0)="","",IF(E74=0,VLOOKUP(C74,EL!$C$4:$AA$975,14,0),IF(E74=1,VLOOKUP(C74,EL!$C$4:$AA$975,18,0),IF(E74=2,VLOOKUP(C74,EL!$C$4:$AA$975,23,0),""))))</f>
        <v>46049</v>
      </c>
      <c r="J74" s="273" t="str">
        <f>IF(VLOOKUP(C74,EL!$C$4:$AA$66,15,0)="","",IF(E74=0,VLOOKUP(C74,EL!$C$4:$AA$66,15,0),IF(E74=1,VLOOKUP(C74,EL!$C$4:$AA$66,20,0),IF(E74=2,VLOOKUP(C74,EL!$C$4:$AA$66,25,0),""))))</f>
        <v/>
      </c>
      <c r="K74" s="276" t="str">
        <f>VLOOKUP(C74,EL!$C$4:$K$1035,8,0)</f>
        <v>STT</v>
      </c>
      <c r="L74" s="275" cm="1">
        <f t="array" aca="1" ref="L74" ca="1">_xlfn.IFS(AND($E74&lt;&gt;"",$M74="Pending",$K74="CTA"),TODAY()-$G74,AND($E74&lt;&gt;"",$M74="Pending",$K74="AUR"),TODAY()-$H74,AND($E74&lt;&gt;"",$M74="Pending",$K74="STT"),TODAY()-$I74,OR(K74="Closed",K74=""),"")</f>
        <v>15</v>
      </c>
      <c r="M74" s="276" t="str">
        <f>VLOOKUP(C74,EL!$C$4:$K$975,9,0)</f>
        <v>Pending</v>
      </c>
      <c r="N74" s="269" t="str">
        <f t="shared" ca="1" si="3"/>
        <v>Overdue</v>
      </c>
      <c r="O74" s="293"/>
    </row>
    <row r="75" spans="1:15" ht="32.25" customHeight="1" x14ac:dyDescent="0.25">
      <c r="A75" s="269">
        <f t="shared" si="4"/>
        <v>25</v>
      </c>
      <c r="B75" s="283" t="s">
        <v>50</v>
      </c>
      <c r="C75" s="282" t="s">
        <v>206</v>
      </c>
      <c r="D75" s="281" t="str">
        <f>VLOOKUP(C75,EL!$C$4:$J$32,2,0)</f>
        <v xml:space="preserve"> Scope of Earth Ground Bar and Cable for Fuel Fill Cabinet </v>
      </c>
      <c r="E75" s="269">
        <f>IF(VLOOKUP(C75,EL!$C$4:$J$975,6,0)="","",VLOOKUP(C75,EL!$C$4:$J$975,6,0))</f>
        <v>0</v>
      </c>
      <c r="F75" s="272"/>
      <c r="G75" s="272">
        <f>IF(VLOOKUP(C75,EL!$C$4:$J$975,4,0)="","",VLOOKUP(C75,EL!$C$4:$J$975,4,0))</f>
        <v>46042</v>
      </c>
      <c r="H75" s="273">
        <f>IF(VLOOKUP(C75,EL!$C$4:$AA$975,13,0)="","",IF(E75=0,VLOOKUP(C75,EL!$C$4:$AA$975,13,0),IF(E75=1,VLOOKUP(C75,EL!$C$4:$AA$975,17,0),IF(E75=2,VLOOKUP(C75,EL!$C$4:$AA$975,22,0),""))))</f>
        <v>46056</v>
      </c>
      <c r="I75" s="273" t="str">
        <f>IF(VLOOKUP(C75,EL!$C$4:$AA$975,14,0)="","",IF(E75=0,VLOOKUP(C75,EL!$C$4:$AA$975,14,0),IF(E75=1,VLOOKUP(C75,EL!$C$4:$AA$975,18,0),IF(E75=2,VLOOKUP(C75,EL!$C$4:$AA$975,23,0),""))))</f>
        <v/>
      </c>
      <c r="J75" s="273" t="str">
        <f>IF(VLOOKUP(C75,EL!$C$4:$AA$66,15,0)="","",IF(E75=0,VLOOKUP(C75,EL!$C$4:$AA$66,15,0),IF(E75=1,VLOOKUP(C75,EL!$C$4:$AA$66,20,0),IF(E75=2,VLOOKUP(C75,EL!$C$4:$AA$66,25,0),""))))</f>
        <v/>
      </c>
      <c r="K75" s="276" t="str">
        <f>VLOOKUP(C75,EL!$C$4:$K$1035,8,0)</f>
        <v>AUR</v>
      </c>
      <c r="L75" s="275" cm="1">
        <f t="array" aca="1" ref="L75" ca="1">_xlfn.IFS(AND($E75&lt;&gt;"",$M75="Pending",$K75="CTA"),TODAY()-$G75,AND($E75&lt;&gt;"",$M75="Pending",$K75="AUR"),TODAY()-$H75,AND($E75&lt;&gt;"",$M75="Pending",$K75="STT"),TODAY()-$I75,OR(K75="Closed",K75=""),"")</f>
        <v>8</v>
      </c>
      <c r="M75" s="276" t="str">
        <f>VLOOKUP(C75,EL!$C$4:$K$975,9,0)</f>
        <v>Pending</v>
      </c>
      <c r="N75" s="269" t="str">
        <f t="shared" ca="1" si="3"/>
        <v>Overdue</v>
      </c>
      <c r="O75" s="293"/>
    </row>
    <row r="76" spans="1:15" ht="34.950000000000003" customHeight="1" x14ac:dyDescent="0.25">
      <c r="A76" s="269">
        <f t="shared" si="4"/>
        <v>26</v>
      </c>
      <c r="B76" s="283" t="s">
        <v>50</v>
      </c>
      <c r="C76" s="282" t="s">
        <v>208</v>
      </c>
      <c r="D76" s="281" t="str">
        <f>VLOOKUP(C76,EL!$C$4:$J$32,2,0)</f>
        <v>Electrical Routing at 2nd Floor Confirmation</v>
      </c>
      <c r="E76" s="269">
        <f>IF(VLOOKUP(C76,EL!$C$4:$J$975,6,0)="","",VLOOKUP(C76,EL!$C$4:$J$975,6,0))</f>
        <v>0</v>
      </c>
      <c r="F76" s="272"/>
      <c r="G76" s="272">
        <f>IF(VLOOKUP(C76,EL!$C$4:$J$975,4,0)="","",VLOOKUP(C76,EL!$C$4:$J$975,4,0))</f>
        <v>46039</v>
      </c>
      <c r="H76" s="273">
        <f>IF(VLOOKUP(C76,EL!$C$4:$AA$975,13,0)="","",IF(E76=0,VLOOKUP(C76,EL!$C$4:$AA$975,13,0),IF(E76=1,VLOOKUP(C76,EL!$C$4:$AA$975,17,0),IF(E76=2,VLOOKUP(C76,EL!$C$4:$AA$975,22,0),""))))</f>
        <v>46056</v>
      </c>
      <c r="I76" s="273" t="str">
        <f>IF(VLOOKUP(C76,EL!$C$4:$AA$975,14,0)="","",IF(E76=0,VLOOKUP(C76,EL!$C$4:$AA$975,14,0),IF(E76=1,VLOOKUP(C76,EL!$C$4:$AA$975,18,0),IF(E76=2,VLOOKUP(C76,EL!$C$4:$AA$975,23,0),""))))</f>
        <v/>
      </c>
      <c r="J76" s="273" t="str">
        <f>IF(VLOOKUP(C76,EL!$C$4:$AA$66,15,0)="","",IF(E76=0,VLOOKUP(C76,EL!$C$4:$AA$66,15,0),IF(E76=1,VLOOKUP(C76,EL!$C$4:$AA$66,20,0),IF(E76=2,VLOOKUP(C76,EL!$C$4:$AA$66,25,0),""))))</f>
        <v/>
      </c>
      <c r="K76" s="276" t="str">
        <f>VLOOKUP(C76,EL!$C$4:$K$1035,8,0)</f>
        <v>AUR</v>
      </c>
      <c r="L76" s="275" cm="1">
        <f t="array" aca="1" ref="L76" ca="1">_xlfn.IFS(AND($E76&lt;&gt;"",$M76="Pending",$K76="CTA"),TODAY()-$G76,AND($E76&lt;&gt;"",$M76="Pending",$K76="AUR"),TODAY()-$H76,AND($E76&lt;&gt;"",$M76="Pending",$K76="STT"),TODAY()-$I76,OR(K76="Closed",K76=""),"")</f>
        <v>8</v>
      </c>
      <c r="M76" s="276" t="str">
        <f>VLOOKUP(C76,EL!$C$4:$K$975,9,0)</f>
        <v>Pending</v>
      </c>
      <c r="N76" s="269" t="str">
        <f t="shared" ca="1" si="3"/>
        <v>Overdue</v>
      </c>
      <c r="O76" s="293"/>
    </row>
    <row r="77" spans="1:15" ht="34.950000000000003" customHeight="1" x14ac:dyDescent="0.25">
      <c r="A77" s="269">
        <f t="shared" si="4"/>
        <v>27</v>
      </c>
      <c r="B77" s="283" t="s">
        <v>50</v>
      </c>
      <c r="C77" s="282" t="s">
        <v>210</v>
      </c>
      <c r="D77" s="281" t="str">
        <f>VLOOKUP(C77,EL!$C$4:$J$32,2,0)</f>
        <v>Confirm to add Lamp type&amp;room in Luminaire Schedule and  PIR for Sensor 1st and 5th FL</v>
      </c>
      <c r="E77" s="269">
        <f>IF(VLOOKUP(C77,EL!$C$4:$J$975,6,0)="","",VLOOKUP(C77,EL!$C$4:$J$975,6,0))</f>
        <v>0</v>
      </c>
      <c r="F77" s="272"/>
      <c r="G77" s="272">
        <f>IF(VLOOKUP(C77,EL!$C$4:$J$975,4,0)="","",VLOOKUP(C77,EL!$C$4:$J$975,4,0))</f>
        <v>46053</v>
      </c>
      <c r="H77" s="273">
        <f>IF(VLOOKUP(C77,EL!$C$4:$AA$975,13,0)="","",IF(E77=0,VLOOKUP(C77,EL!$C$4:$AA$975,13,0),IF(E77=1,VLOOKUP(C77,EL!$C$4:$AA$975,17,0),IF(E77=2,VLOOKUP(C77,EL!$C$4:$AA$975,22,0),""))))</f>
        <v>46056</v>
      </c>
      <c r="I77" s="273" t="str">
        <f>IF(VLOOKUP(C77,EL!$C$4:$AA$975,14,0)="","",IF(E77=0,VLOOKUP(C77,EL!$C$4:$AA$975,14,0),IF(E77=1,VLOOKUP(C77,EL!$C$4:$AA$975,18,0),IF(E77=2,VLOOKUP(C77,EL!$C$4:$AA$975,23,0),""))))</f>
        <v/>
      </c>
      <c r="J77" s="273" t="str">
        <f>IF(VLOOKUP(C77,EL!$C$4:$AA$66,15,0)="","",IF(E77=0,VLOOKUP(C77,EL!$C$4:$AA$66,15,0),IF(E77=1,VLOOKUP(C77,EL!$C$4:$AA$66,20,0),IF(E77=2,VLOOKUP(C77,EL!$C$4:$AA$66,25,0),""))))</f>
        <v/>
      </c>
      <c r="K77" s="276" t="str">
        <f>VLOOKUP(C77,EL!$C$4:$K$1035,8,0)</f>
        <v>AUR</v>
      </c>
      <c r="L77" s="275" cm="1">
        <f t="array" aca="1" ref="L77" ca="1">_xlfn.IFS(AND($E77&lt;&gt;"",$M77="Pending",$K77="CTA"),TODAY()-$G77,AND($E77&lt;&gt;"",$M77="Pending",$K77="AUR"),TODAY()-$H77,AND($E77&lt;&gt;"",$M77="Pending",$K77="STT"),TODAY()-$I77,OR(K77="Closed",K77=""),"")</f>
        <v>8</v>
      </c>
      <c r="M77" s="276" t="str">
        <f>VLOOKUP(C77,EL!$C$4:$K$975,9,0)</f>
        <v>Pending</v>
      </c>
      <c r="N77" s="269" t="str">
        <f t="shared" ca="1" si="3"/>
        <v>Overdue</v>
      </c>
      <c r="O77" s="293"/>
    </row>
    <row r="78" spans="1:15" ht="34.950000000000003" customHeight="1" x14ac:dyDescent="0.25">
      <c r="A78" s="269">
        <f t="shared" si="4"/>
        <v>28</v>
      </c>
      <c r="B78" s="283" t="s">
        <v>50</v>
      </c>
      <c r="C78" s="282" t="s">
        <v>212</v>
      </c>
      <c r="D78" s="281" t="str">
        <f>VLOOKUP(C78,EL!$C$4:$J$32,2,0)</f>
        <v>UDB and LCP Panels Relocation on 2nd Floor</v>
      </c>
      <c r="E78" s="269">
        <f>IF(VLOOKUP(C78,EL!$C$4:$J$975,6,0)="","",VLOOKUP(C78,EL!$C$4:$J$975,6,0))</f>
        <v>0</v>
      </c>
      <c r="F78" s="272"/>
      <c r="G78" s="272">
        <f>IF(VLOOKUP(C78,EL!$C$4:$J$975,4,0)="","",VLOOKUP(C78,EL!$C$4:$J$975,4,0))</f>
        <v>46039</v>
      </c>
      <c r="H78" s="273">
        <f>IF(VLOOKUP(C78,EL!$C$4:$AA$975,13,0)="","",IF(E78=0,VLOOKUP(C78,EL!$C$4:$AA$975,13,0),IF(E78=1,VLOOKUP(C78,EL!$C$4:$AA$975,17,0),IF(E78=2,VLOOKUP(C78,EL!$C$4:$AA$975,22,0),""))))</f>
        <v>46056</v>
      </c>
      <c r="I78" s="273" t="str">
        <f>IF(VLOOKUP(C78,EL!$C$4:$AA$975,14,0)="","",IF(E78=0,VLOOKUP(C78,EL!$C$4:$AA$975,14,0),IF(E78=1,VLOOKUP(C78,EL!$C$4:$AA$975,18,0),IF(E78=2,VLOOKUP(C78,EL!$C$4:$AA$975,23,0),""))))</f>
        <v/>
      </c>
      <c r="J78" s="273" t="str">
        <f>IF(VLOOKUP(C78,EL!$C$4:$AA$66,15,0)="","",IF(E78=0,VLOOKUP(C78,EL!$C$4:$AA$66,15,0),IF(E78=1,VLOOKUP(C78,EL!$C$4:$AA$66,20,0),IF(E78=2,VLOOKUP(C78,EL!$C$4:$AA$66,25,0),""))))</f>
        <v/>
      </c>
      <c r="K78" s="276" t="str">
        <f>VLOOKUP(C78,EL!$C$4:$K$1035,8,0)</f>
        <v>AUR</v>
      </c>
      <c r="L78" s="275" cm="1">
        <f t="array" aca="1" ref="L78" ca="1">_xlfn.IFS(AND($E78&lt;&gt;"",$M78="Pending",$K78="CTA"),TODAY()-$G78,AND($E78&lt;&gt;"",$M78="Pending",$K78="AUR"),TODAY()-$H78,AND($E78&lt;&gt;"",$M78="Pending",$K78="STT"),TODAY()-$I78,OR(K78="Closed",K78=""),"")</f>
        <v>8</v>
      </c>
      <c r="M78" s="276" t="str">
        <f>VLOOKUP(C78,EL!$C$4:$K$975,9,0)</f>
        <v>Pending</v>
      </c>
      <c r="N78" s="269" t="str">
        <f t="shared" ca="1" si="3"/>
        <v>Overdue</v>
      </c>
      <c r="O78" s="293"/>
    </row>
    <row r="79" spans="1:15" ht="34.950000000000003" customHeight="1" x14ac:dyDescent="0.25">
      <c r="A79" s="269">
        <f t="shared" si="4"/>
        <v>29</v>
      </c>
      <c r="B79" s="283" t="s">
        <v>50</v>
      </c>
      <c r="C79" s="282" t="s">
        <v>214</v>
      </c>
      <c r="D79" s="281" t="str">
        <f>VLOOKUP(C79,EL!$C$4:$J$60,2,0)</f>
        <v>Add Junction Box for Phase 1 on 3rd, 4th and 5th Floor for Convenience for Tie-In in the Future Phase</v>
      </c>
      <c r="E79" s="269">
        <f>IF(VLOOKUP(C79,EL!$C$4:$J$975,6,0)="","",VLOOKUP(C79,EL!$C$4:$J$975,6,0))</f>
        <v>0</v>
      </c>
      <c r="F79" s="272"/>
      <c r="G79" s="272">
        <f>IF(VLOOKUP(C79,EL!$C$4:$J$975,4,0)="","",VLOOKUP(C79,EL!$C$4:$J$975,4,0))</f>
        <v>46039</v>
      </c>
      <c r="H79" s="273">
        <f>IF(VLOOKUP(C79,EL!$C$4:$AA$975,13,0)="","",IF(E79=0,VLOOKUP(C79,EL!$C$4:$AA$975,13,0),IF(E79=1,VLOOKUP(C79,EL!$C$4:$AA$975,17,0),IF(E79=2,VLOOKUP(C79,EL!$C$4:$AA$975,22,0),""))))</f>
        <v>46056</v>
      </c>
      <c r="I79" s="273">
        <f>IF(VLOOKUP(C79,EL!$C$4:$AA$975,14,0)="","",IF(E79=0,VLOOKUP(C79,EL!$C$4:$AA$975,14,0),IF(E79=1,VLOOKUP(C79,EL!$C$4:$AA$975,18,0),IF(E79=2,VLOOKUP(C79,EL!$C$4:$AA$975,23,0),""))))</f>
        <v>46062</v>
      </c>
      <c r="J79" s="273" t="str">
        <f>IF(VLOOKUP(C79,EL!$C$4:$AA$66,15,0)="","",IF(E79=0,VLOOKUP(C79,EL!$C$4:$AA$66,15,0),IF(E79=1,VLOOKUP(C79,EL!$C$4:$AA$66,20,0),IF(E79=2,VLOOKUP(C79,EL!$C$4:$AA$66,25,0),""))))</f>
        <v/>
      </c>
      <c r="K79" s="276" t="str">
        <f>VLOOKUP(C79,EL!$C$4:$K$1035,8,0)</f>
        <v>STT</v>
      </c>
      <c r="L79" s="275" cm="1">
        <f t="array" aca="1" ref="L79" ca="1">_xlfn.IFS(AND($E79&lt;&gt;"",$M79="Pending",$K79="CTA"),TODAY()-$G79,AND($E79&lt;&gt;"",$M79="Pending",$K79="AUR"),TODAY()-$H79,AND($E79&lt;&gt;"",$M79="Pending",$K79="STT"),TODAY()-$I79,OR(K79="Closed",K79=""),"")</f>
        <v>2</v>
      </c>
      <c r="M79" s="276" t="str">
        <f>VLOOKUP(C79,EL!$C$4:$K$975,9,0)</f>
        <v>Pending</v>
      </c>
      <c r="N79" s="269" t="str">
        <f t="shared" ca="1" si="3"/>
        <v/>
      </c>
      <c r="O79" s="293"/>
    </row>
    <row r="80" spans="1:15" ht="34.950000000000003" customHeight="1" x14ac:dyDescent="0.25">
      <c r="A80" s="269">
        <f t="shared" si="4"/>
        <v>30</v>
      </c>
      <c r="B80" s="283" t="s">
        <v>50</v>
      </c>
      <c r="C80" s="282" t="s">
        <v>216</v>
      </c>
      <c r="D80" s="281" t="str">
        <f>VLOOKUP(C80,EL!$C$4:$J$60,2,0)</f>
        <v>Relay of Lighting Control at 2nd floor Confirmation</v>
      </c>
      <c r="E80" s="269">
        <f>IF(VLOOKUP(C80,EL!$C$4:$J$975,6,0)="","",VLOOKUP(C80,EL!$C$4:$J$975,6,0))</f>
        <v>0</v>
      </c>
      <c r="F80" s="272"/>
      <c r="G80" s="272">
        <f>IF(VLOOKUP(C80,EL!$C$4:$J$975,4,0)="","",VLOOKUP(C80,EL!$C$4:$J$975,4,0))</f>
        <v>46042</v>
      </c>
      <c r="H80" s="273">
        <f>IF(VLOOKUP(C80,EL!$C$4:$AA$975,13,0)="","",IF(E80=0,VLOOKUP(C80,EL!$C$4:$AA$975,13,0),IF(E80=1,VLOOKUP(C80,EL!$C$4:$AA$975,17,0),IF(E80=2,VLOOKUP(C80,EL!$C$4:$AA$975,22,0),""))))</f>
        <v>46056</v>
      </c>
      <c r="I80" s="273" t="str">
        <f>IF(VLOOKUP(C80,EL!$C$4:$AA$975,14,0)="","",IF(E80=0,VLOOKUP(C80,EL!$C$4:$AA$975,14,0),IF(E80=1,VLOOKUP(C80,EL!$C$4:$AA$975,18,0),IF(E80=2,VLOOKUP(C80,EL!$C$4:$AA$975,23,0),""))))</f>
        <v/>
      </c>
      <c r="J80" s="273" t="str">
        <f>IF(VLOOKUP(C80,EL!$C$4:$AA$66,15,0)="","",IF(E80=0,VLOOKUP(C80,EL!$C$4:$AA$66,15,0),IF(E80=1,VLOOKUP(C80,EL!$C$4:$AA$66,20,0),IF(E80=2,VLOOKUP(C80,EL!$C$4:$AA$66,25,0),""))))</f>
        <v/>
      </c>
      <c r="K80" s="276" t="str">
        <f>VLOOKUP(C80,EL!$C$4:$K$1035,8,0)</f>
        <v>AUR</v>
      </c>
      <c r="L80" s="275" cm="1">
        <f t="array" aca="1" ref="L80" ca="1">_xlfn.IFS(AND($E80&lt;&gt;"",$M80="Pending",$K80="CTA"),TODAY()-$G80,AND($E80&lt;&gt;"",$M80="Pending",$K80="AUR"),TODAY()-$H80,AND($E80&lt;&gt;"",$M80="Pending",$K80="STT"),TODAY()-$I80,OR(K80="Closed",K80=""),"")</f>
        <v>8</v>
      </c>
      <c r="M80" s="276" t="str">
        <f>VLOOKUP(C80,EL!$C$4:$K$975,9,0)</f>
        <v>Pending</v>
      </c>
      <c r="N80" s="269" t="str">
        <f t="shared" ca="1" si="3"/>
        <v>Overdue</v>
      </c>
      <c r="O80" s="293"/>
    </row>
    <row r="81" spans="1:15" ht="34.950000000000003" customHeight="1" x14ac:dyDescent="0.25">
      <c r="A81" s="269">
        <f t="shared" si="4"/>
        <v>31</v>
      </c>
      <c r="B81" s="283" t="s">
        <v>50</v>
      </c>
      <c r="C81" s="282" t="s">
        <v>218</v>
      </c>
      <c r="D81" s="281" t="str">
        <f>VLOOKUP(C81,EL!$C$4:$J$60,2,0)</f>
        <v>Lighting Circuit at Garbage and Janitor Rooms, 1st Floor - Supply from Source B Only</v>
      </c>
      <c r="E81" s="269">
        <f>IF(VLOOKUP(C81,EL!$C$4:$J$975,6,0)="","",VLOOKUP(C81,EL!$C$4:$J$975,6,0))</f>
        <v>0</v>
      </c>
      <c r="F81" s="272"/>
      <c r="G81" s="272">
        <f>IF(VLOOKUP(C81,EL!$C$4:$J$975,4,0)="","",VLOOKUP(C81,EL!$C$4:$J$975,4,0))</f>
        <v>46042</v>
      </c>
      <c r="H81" s="273">
        <f>IF(VLOOKUP(C81,EL!$C$4:$AA$975,13,0)="","",IF(E81=0,VLOOKUP(C81,EL!$C$4:$AA$975,13,0),IF(E81=1,VLOOKUP(C81,EL!$C$4:$AA$975,17,0),IF(E81=2,VLOOKUP(C81,EL!$C$4:$AA$975,22,0),""))))</f>
        <v>46056</v>
      </c>
      <c r="I81" s="273" t="str">
        <f>IF(VLOOKUP(C81,EL!$C$4:$AA$975,14,0)="","",IF(E81=0,VLOOKUP(C81,EL!$C$4:$AA$975,14,0),IF(E81=1,VLOOKUP(C81,EL!$C$4:$AA$975,18,0),IF(E81=2,VLOOKUP(C81,EL!$C$4:$AA$975,23,0),""))))</f>
        <v/>
      </c>
      <c r="J81" s="273" t="str">
        <f>IF(VLOOKUP(C81,EL!$C$4:$AA$66,15,0)="","",IF(E81=0,VLOOKUP(C81,EL!$C$4:$AA$66,15,0),IF(E81=1,VLOOKUP(C81,EL!$C$4:$AA$66,20,0),IF(E81=2,VLOOKUP(C81,EL!$C$4:$AA$66,25,0),""))))</f>
        <v/>
      </c>
      <c r="K81" s="276" t="str">
        <f>VLOOKUP(C81,EL!$C$4:$K$1035,8,0)</f>
        <v>AUR</v>
      </c>
      <c r="L81" s="275" cm="1">
        <f t="array" aca="1" ref="L81" ca="1">_xlfn.IFS(AND($E81&lt;&gt;"",$M81="Pending",$K81="CTA"),TODAY()-$G81,AND($E81&lt;&gt;"",$M81="Pending",$K81="AUR"),TODAY()-$H81,AND($E81&lt;&gt;"",$M81="Pending",$K81="STT"),TODAY()-$I81,OR(K81="Closed",K81=""),"")</f>
        <v>8</v>
      </c>
      <c r="M81" s="276" t="str">
        <f>VLOOKUP(C81,EL!$C$4:$K$975,9,0)</f>
        <v>Pending</v>
      </c>
      <c r="N81" s="269" t="str">
        <f t="shared" ca="1" si="3"/>
        <v>Overdue</v>
      </c>
      <c r="O81" s="293"/>
    </row>
    <row r="82" spans="1:15" ht="34.950000000000003" customHeight="1" x14ac:dyDescent="0.25">
      <c r="A82" s="269">
        <f t="shared" si="4"/>
        <v>32</v>
      </c>
      <c r="B82" s="283" t="s">
        <v>50</v>
      </c>
      <c r="C82" s="282" t="s">
        <v>220</v>
      </c>
      <c r="D82" s="281" t="str">
        <f>VLOOKUP(C82,EL!$C$4:$J$60,2,0)</f>
        <v>Confirm Phase of TH-BKK02-02-06-LVSB-002-S1 on 6th Floor  (Phase 1 or Phase 2)</v>
      </c>
      <c r="E82" s="269">
        <f>IF(VLOOKUP(C82,EL!$C$4:$J$975,6,0)="","",VLOOKUP(C82,EL!$C$4:$J$975,6,0))</f>
        <v>0</v>
      </c>
      <c r="F82" s="272"/>
      <c r="G82" s="272">
        <f>IF(VLOOKUP(C82,EL!$C$4:$J$975,4,0)="","",VLOOKUP(C82,EL!$C$4:$J$975,4,0))</f>
        <v>46042</v>
      </c>
      <c r="H82" s="273">
        <f>IF(VLOOKUP(C82,EL!$C$4:$AA$975,13,0)="","",IF(E82=0,VLOOKUP(C82,EL!$C$4:$AA$975,13,0),IF(E82=1,VLOOKUP(C82,EL!$C$4:$AA$975,17,0),IF(E82=2,VLOOKUP(C82,EL!$C$4:$AA$975,22,0),""))))</f>
        <v>46056</v>
      </c>
      <c r="I82" s="273">
        <f>IF(VLOOKUP(C82,EL!$C$4:$AA$975,14,0)="","",IF(E82=0,VLOOKUP(C82,EL!$C$4:$AA$975,14,0),IF(E82=1,VLOOKUP(C82,EL!$C$4:$AA$975,18,0),IF(E82=2,VLOOKUP(C82,EL!$C$4:$AA$975,23,0),""))))</f>
        <v>46062</v>
      </c>
      <c r="J82" s="273" t="str">
        <f>IF(VLOOKUP(C82,EL!$C$4:$AA$66,15,0)="","",IF(E82=0,VLOOKUP(C82,EL!$C$4:$AA$66,15,0),IF(E82=1,VLOOKUP(C82,EL!$C$4:$AA$66,20,0),IF(E82=2,VLOOKUP(C82,EL!$C$4:$AA$66,25,0),""))))</f>
        <v/>
      </c>
      <c r="K82" s="276" t="str">
        <f>VLOOKUP(C82,EL!$C$4:$K$1035,8,0)</f>
        <v>STT</v>
      </c>
      <c r="L82" s="275" cm="1">
        <f t="array" aca="1" ref="L82" ca="1">_xlfn.IFS(AND($E82&lt;&gt;"",$M82="Pending",$K82="CTA"),TODAY()-$G82,AND($E82&lt;&gt;"",$M82="Pending",$K82="AUR"),TODAY()-$H82,AND($E82&lt;&gt;"",$M82="Pending",$K82="STT"),TODAY()-$I82,OR(K82="Closed",K82=""),"")</f>
        <v>2</v>
      </c>
      <c r="M82" s="276" t="str">
        <f>VLOOKUP(C82,EL!$C$4:$K$975,9,0)</f>
        <v>Pending</v>
      </c>
      <c r="N82" s="269" t="str">
        <f t="shared" ca="1" si="3"/>
        <v/>
      </c>
      <c r="O82" s="293"/>
    </row>
    <row r="83" spans="1:15" ht="34.950000000000003" customHeight="1" x14ac:dyDescent="0.25">
      <c r="A83" s="269">
        <f t="shared" si="4"/>
        <v>33</v>
      </c>
      <c r="B83" s="283" t="s">
        <v>50</v>
      </c>
      <c r="C83" s="282" t="s">
        <v>222</v>
      </c>
      <c r="D83" s="281" t="str">
        <f>VLOOKUP(C83,EL!$C$4:$J$60,2,0)</f>
        <v>Confirmation on Identification of Relay Numbers Lighting System Roof Floor</v>
      </c>
      <c r="E83" s="269">
        <f>IF(VLOOKUP(C83,EL!$C$4:$J$975,6,0)="","",VLOOKUP(C83,EL!$C$4:$J$975,6,0))</f>
        <v>0</v>
      </c>
      <c r="F83" s="272"/>
      <c r="G83" s="272">
        <f>IF(VLOOKUP(C83,EL!$C$4:$J$975,4,0)="","",VLOOKUP(C83,EL!$C$4:$J$975,4,0))</f>
        <v>46051</v>
      </c>
      <c r="H83" s="273">
        <f>IF(VLOOKUP(C83,EL!$C$4:$AA$975,13,0)="","",IF(E83=0,VLOOKUP(C83,EL!$C$4:$AA$975,13,0),IF(E83=1,VLOOKUP(C83,EL!$C$4:$AA$975,17,0),IF(E83=2,VLOOKUP(C83,EL!$C$4:$AA$975,22,0),""))))</f>
        <v>46059</v>
      </c>
      <c r="I83" s="273" t="str">
        <f>IF(VLOOKUP(C83,EL!$C$4:$AA$975,14,0)="","",IF(E83=0,VLOOKUP(C83,EL!$C$4:$AA$975,14,0),IF(E83=1,VLOOKUP(C83,EL!$C$4:$AA$975,18,0),IF(E83=2,VLOOKUP(C83,EL!$C$4:$AA$975,23,0),""))))</f>
        <v/>
      </c>
      <c r="J83" s="273" t="str">
        <f>IF(VLOOKUP(C83,EL!$C$4:$AA$66,15,0)="","",IF(E83=0,VLOOKUP(C83,EL!$C$4:$AA$66,15,0),IF(E83=1,VLOOKUP(C83,EL!$C$4:$AA$66,20,0),IF(E83=2,VLOOKUP(C83,EL!$C$4:$AA$66,25,0),""))))</f>
        <v/>
      </c>
      <c r="K83" s="276" t="str">
        <f>VLOOKUP(C83,EL!$C$4:$K$1035,8,0)</f>
        <v>AUR</v>
      </c>
      <c r="L83" s="275" cm="1">
        <f t="array" aca="1" ref="L83" ca="1">_xlfn.IFS(AND($E83&lt;&gt;"",$M83="Pending",$K83="CTA"),TODAY()-$G83,AND($E83&lt;&gt;"",$M83="Pending",$K83="AUR"),TODAY()-$H83,AND($E83&lt;&gt;"",$M83="Pending",$K83="STT"),TODAY()-$I83,OR(K83="Closed",K83=""),"")</f>
        <v>5</v>
      </c>
      <c r="M83" s="276" t="str">
        <f>VLOOKUP(C83,EL!$C$4:$K$975,9,0)</f>
        <v>Pending</v>
      </c>
      <c r="N83" s="269" t="str">
        <f t="shared" ca="1" si="3"/>
        <v>Overdue</v>
      </c>
      <c r="O83" s="293"/>
    </row>
    <row r="84" spans="1:15" ht="34.950000000000003" customHeight="1" x14ac:dyDescent="0.25">
      <c r="A84" s="269">
        <f t="shared" si="4"/>
        <v>34</v>
      </c>
      <c r="B84" s="283" t="s">
        <v>50</v>
      </c>
      <c r="C84" s="282" t="s">
        <v>224</v>
      </c>
      <c r="D84" s="281" t="str">
        <f>VLOOKUP(C84,EL!$C$4:$J$60,2,0)</f>
        <v>Confirmation on Power Supply for TH-BKK2-02-01-EAF-007 and 008  1st FL</v>
      </c>
      <c r="E84" s="269">
        <f>IF(VLOOKUP(C84,EL!$C$4:$J$975,6,0)="","",VLOOKUP(C84,EL!$C$4:$J$975,6,0))</f>
        <v>0</v>
      </c>
      <c r="F84" s="272"/>
      <c r="G84" s="272">
        <f>IF(VLOOKUP(C84,EL!$C$4:$J$975,4,0)="","",VLOOKUP(C84,EL!$C$4:$J$975,4,0))</f>
        <v>46051</v>
      </c>
      <c r="H84" s="273">
        <f>IF(VLOOKUP(C84,EL!$C$4:$AA$975,13,0)="","",IF(E84=0,VLOOKUP(C84,EL!$C$4:$AA$975,13,0),IF(E84=1,VLOOKUP(C84,EL!$C$4:$AA$975,17,0),IF(E84=2,VLOOKUP(C84,EL!$C$4:$AA$975,22,0),""))))</f>
        <v>46064</v>
      </c>
      <c r="I84" s="273" t="str">
        <f>IF(VLOOKUP(C84,EL!$C$4:$AA$975,14,0)="","",IF(E84=0,VLOOKUP(C84,EL!$C$4:$AA$975,14,0),IF(E84=1,VLOOKUP(C84,EL!$C$4:$AA$975,18,0),IF(E84=2,VLOOKUP(C84,EL!$C$4:$AA$975,23,0),""))))</f>
        <v/>
      </c>
      <c r="J84" s="273" t="str">
        <f>IF(VLOOKUP(C84,EL!$C$4:$AA$66,15,0)="","",IF(E84=0,VLOOKUP(C84,EL!$C$4:$AA$66,15,0),IF(E84=1,VLOOKUP(C84,EL!$C$4:$AA$66,20,0),IF(E84=2,VLOOKUP(C84,EL!$C$4:$AA$66,25,0),""))))</f>
        <v/>
      </c>
      <c r="K84" s="276" t="str">
        <f>VLOOKUP(C84,EL!$C$4:$K$1035,8,0)</f>
        <v>AUR</v>
      </c>
      <c r="L84" s="275" cm="1">
        <f t="array" aca="1" ref="L84" ca="1">_xlfn.IFS(AND($E84&lt;&gt;"",$M84="Pending",$K84="CTA"),TODAY()-$G84,AND($E84&lt;&gt;"",$M84="Pending",$K84="AUR"),TODAY()-$H84,AND($E84&lt;&gt;"",$M84="Pending",$K84="STT"),TODAY()-$I84,OR(K84="Closed",K84=""),"")</f>
        <v>0</v>
      </c>
      <c r="M84" s="276" t="str">
        <f>VLOOKUP(C84,EL!$C$4:$K$975,9,0)</f>
        <v>Pending</v>
      </c>
      <c r="N84" s="269" t="str">
        <f t="shared" ca="1" si="3"/>
        <v/>
      </c>
      <c r="O84" s="293"/>
    </row>
    <row r="85" spans="1:15" ht="32.25" customHeight="1" x14ac:dyDescent="0.25">
      <c r="A85" s="269">
        <f t="shared" si="4"/>
        <v>35</v>
      </c>
      <c r="B85" s="283" t="s">
        <v>50</v>
      </c>
      <c r="C85" s="282" t="s">
        <v>226</v>
      </c>
      <c r="D85" s="281" t="str">
        <f>VLOOKUP(C85,EL!$C$4:$J$60,2,0)</f>
        <v>Requirement for PIR Sensor for lighting L1 Type 2nd to 6th FL</v>
      </c>
      <c r="E85" s="269">
        <f>IF(VLOOKUP(C85,EL!$C$4:$J$975,6,0)="","",VLOOKUP(C85,EL!$C$4:$J$975,6,0))</f>
        <v>0</v>
      </c>
      <c r="F85" s="272"/>
      <c r="G85" s="272">
        <f>IF(VLOOKUP(C85,EL!$C$4:$J$975,4,0)="","",VLOOKUP(C85,EL!$C$4:$J$975,4,0))</f>
        <v>46051</v>
      </c>
      <c r="H85" s="273">
        <f>IF(VLOOKUP(C85,EL!$C$4:$AA$975,13,0)="","",IF(E85=0,VLOOKUP(C85,EL!$C$4:$AA$975,13,0),IF(E85=1,VLOOKUP(C85,EL!$C$4:$AA$975,17,0),IF(E85=2,VLOOKUP(C85,EL!$C$4:$AA$975,22,0),""))))</f>
        <v>46064</v>
      </c>
      <c r="I85" s="273" t="str">
        <f>IF(VLOOKUP(C85,EL!$C$4:$AA$975,14,0)="","",IF(E85=0,VLOOKUP(C85,EL!$C$4:$AA$975,14,0),IF(E85=1,VLOOKUP(C85,EL!$C$4:$AA$975,18,0),IF(E85=2,VLOOKUP(C85,EL!$C$4:$AA$975,23,0),""))))</f>
        <v/>
      </c>
      <c r="J85" s="273" t="str">
        <f>IF(VLOOKUP(C85,EL!$C$4:$AA$66,15,0)="","",IF(E85=0,VLOOKUP(C85,EL!$C$4:$AA$66,15,0),IF(E85=1,VLOOKUP(C85,EL!$C$4:$AA$66,20,0),IF(E85=2,VLOOKUP(C85,EL!$C$4:$AA$66,25,0),""))))</f>
        <v/>
      </c>
      <c r="K85" s="276" t="str">
        <f>VLOOKUP(C85,EL!$C$4:$K$1035,8,0)</f>
        <v>AUR</v>
      </c>
      <c r="L85" s="275" cm="1">
        <f t="array" aca="1" ref="L85" ca="1">_xlfn.IFS(AND($E85&lt;&gt;"",$M85="Pending",$K85="CTA"),TODAY()-$G85,AND($E85&lt;&gt;"",$M85="Pending",$K85="AUR"),TODAY()-$H85,AND($E85&lt;&gt;"",$M85="Pending",$K85="STT"),TODAY()-$I85,OR(K85="Closed",K85=""),"")</f>
        <v>0</v>
      </c>
      <c r="M85" s="276" t="str">
        <f>VLOOKUP(C85,EL!$C$4:$K$975,9,0)</f>
        <v>Pending</v>
      </c>
      <c r="N85" s="269" t="str">
        <f t="shared" ca="1" si="3"/>
        <v/>
      </c>
      <c r="O85" s="293"/>
    </row>
    <row r="86" spans="1:15" ht="32.25" hidden="1" customHeight="1" x14ac:dyDescent="0.25">
      <c r="A86" s="269">
        <f t="shared" si="4"/>
        <v>36</v>
      </c>
      <c r="B86" s="283" t="s">
        <v>50</v>
      </c>
      <c r="C86" s="282" t="s">
        <v>228</v>
      </c>
      <c r="D86" s="281">
        <f>VLOOKUP(C86,EL!$C$4:$J$60,2,0)</f>
        <v>0</v>
      </c>
      <c r="E86" s="269" t="str">
        <f>IF(VLOOKUP(C86,EL!$C$4:$J$975,6,0)="","",VLOOKUP(C86,EL!$C$4:$J$975,6,0))</f>
        <v/>
      </c>
      <c r="F86" s="272"/>
      <c r="G86" s="272" t="str">
        <f>IF(VLOOKUP(C86,EL!$C$4:$J$975,4,0)="","",VLOOKUP(C86,EL!$C$4:$J$975,4,0))</f>
        <v/>
      </c>
      <c r="H86" s="273" t="str">
        <f>IF(VLOOKUP(C86,EL!$C$4:$AA$975,13,0)="","",IF(E86=0,VLOOKUP(C86,EL!$C$4:$AA$975,13,0),IF(E86=1,VLOOKUP(C86,EL!$C$4:$AA$975,17,0),IF(E86=2,VLOOKUP(C86,EL!$C$4:$AA$975,22,0),""))))</f>
        <v/>
      </c>
      <c r="I86" s="273" t="str">
        <f>IF(VLOOKUP(C86,EL!$C$4:$AA$975,14,0)="","",IF(E86=0,VLOOKUP(C86,EL!$C$4:$AA$975,14,0),IF(E86=1,VLOOKUP(C86,EL!$C$4:$AA$975,18,0),IF(E86=2,VLOOKUP(C86,EL!$C$4:$AA$975,23,0),""))))</f>
        <v/>
      </c>
      <c r="J86" s="273" t="str">
        <f>IF(VLOOKUP(C86,EL!$C$4:$AA$66,15,0)="","",IF(E86=0,VLOOKUP(C86,EL!$C$4:$AA$66,15,0),IF(E86=1,VLOOKUP(C86,EL!$C$4:$AA$66,20,0),IF(E86=2,VLOOKUP(C86,EL!$C$4:$AA$66,25,0),""))))</f>
        <v/>
      </c>
      <c r="K86" s="276">
        <f>VLOOKUP(C86,EL!$C$4:$K$1035,8,0)</f>
        <v>0</v>
      </c>
      <c r="L86" s="275" t="e" cm="1">
        <f t="array" aca="1" ref="L86" ca="1">_xlfn.IFS(AND($E86&lt;&gt;"",$M86="Pending",$K86="CTA"),TODAY()-$G86,AND($E86&lt;&gt;"",$M86="Pending",$K86="AUR"),TODAY()-$H86,AND($E86&lt;&gt;"",$M86="Pending",$K86="STT"),TODAY()-$I86,OR(K86="Closed",K86=""),"")</f>
        <v>#N/A</v>
      </c>
      <c r="M86" s="276">
        <f>VLOOKUP(C86,EL!$C$4:$K$975,9,0)</f>
        <v>0</v>
      </c>
      <c r="N86" s="269" t="str">
        <f t="shared" si="3"/>
        <v/>
      </c>
      <c r="O86" s="293"/>
    </row>
    <row r="87" spans="1:15" ht="32.25" customHeight="1" x14ac:dyDescent="0.25">
      <c r="A87" s="269">
        <f t="shared" si="4"/>
        <v>37</v>
      </c>
      <c r="B87" s="283" t="s">
        <v>50</v>
      </c>
      <c r="C87" s="282" t="s">
        <v>229</v>
      </c>
      <c r="D87" s="281" t="str">
        <f>VLOOKUP(C87,EL!$C$4:$J$60,2,0)</f>
        <v>Tag Confirmation for Electrical Panel 1st to Roof FL</v>
      </c>
      <c r="E87" s="269">
        <f>IF(VLOOKUP(C87,EL!$C$4:$J$975,6,0)="","",VLOOKUP(C87,EL!$C$4:$J$975,6,0))</f>
        <v>0</v>
      </c>
      <c r="F87" s="272"/>
      <c r="G87" s="272">
        <f>IF(VLOOKUP(C87,EL!$C$4:$J$975,4,0)="","",VLOOKUP(C87,EL!$C$4:$J$975,4,0))</f>
        <v>46053</v>
      </c>
      <c r="H87" s="273">
        <f>IF(VLOOKUP(C87,EL!$C$4:$AA$975,13,0)="","",IF(E87=0,VLOOKUP(C87,EL!$C$4:$AA$975,13,0),IF(E87=1,VLOOKUP(C87,EL!$C$4:$AA$975,17,0),IF(E87=2,VLOOKUP(C87,EL!$C$4:$AA$975,22,0),""))))</f>
        <v>46060</v>
      </c>
      <c r="I87" s="273" t="str">
        <f>IF(VLOOKUP(C87,EL!$C$4:$AA$975,14,0)="","",IF(E87=0,VLOOKUP(C87,EL!$C$4:$AA$975,14,0),IF(E87=1,VLOOKUP(C87,EL!$C$4:$AA$975,18,0),IF(E87=2,VLOOKUP(C87,EL!$C$4:$AA$975,23,0),""))))</f>
        <v/>
      </c>
      <c r="J87" s="273" t="str">
        <f>IF(VLOOKUP(C87,EL!$C$4:$AA$66,15,0)="","",IF(E87=0,VLOOKUP(C87,EL!$C$4:$AA$66,15,0),IF(E87=1,VLOOKUP(C87,EL!$C$4:$AA$66,20,0),IF(E87=2,VLOOKUP(C87,EL!$C$4:$AA$66,25,0),""))))</f>
        <v/>
      </c>
      <c r="K87" s="276" t="str">
        <f>VLOOKUP(C87,EL!$C$4:$K$1035,8,0)</f>
        <v>AUR</v>
      </c>
      <c r="L87" s="275" cm="1">
        <f t="array" aca="1" ref="L87" ca="1">_xlfn.IFS(AND($E87&lt;&gt;"",$M87="Pending",$K87="CTA"),TODAY()-$G87,AND($E87&lt;&gt;"",$M87="Pending",$K87="AUR"),TODAY()-$H87,AND($E87&lt;&gt;"",$M87="Pending",$K87="STT"),TODAY()-$I87,OR(K87="Closed",K87=""),"")</f>
        <v>4</v>
      </c>
      <c r="M87" s="276" t="str">
        <f>VLOOKUP(C87,EL!$C$4:$K$975,9,0)</f>
        <v>Pending</v>
      </c>
      <c r="N87" s="269" t="str">
        <f t="shared" ca="1" si="3"/>
        <v>High</v>
      </c>
      <c r="O87" s="293"/>
    </row>
    <row r="88" spans="1:15" ht="32.25" customHeight="1" x14ac:dyDescent="0.25">
      <c r="A88" s="269">
        <f t="shared" si="4"/>
        <v>38</v>
      </c>
      <c r="B88" s="283" t="s">
        <v>50</v>
      </c>
      <c r="C88" s="282" t="s">
        <v>231</v>
      </c>
      <c r="D88" s="281" t="str">
        <f>VLOOKUP(C88,EL!$C$4:$J$60,2,0)</f>
        <v>Connection for Fire Alarm Phase 1 on 3rd FL system</v>
      </c>
      <c r="E88" s="269">
        <f>IF(VLOOKUP(C88,EL!$C$4:$J$975,6,0)="","",VLOOKUP(C88,EL!$C$4:$J$975,6,0))</f>
        <v>0</v>
      </c>
      <c r="F88" s="272"/>
      <c r="G88" s="272">
        <f>IF(VLOOKUP(C88,EL!$C$4:$J$975,4,0)="","",VLOOKUP(C88,EL!$C$4:$J$975,4,0))</f>
        <v>46051</v>
      </c>
      <c r="H88" s="273">
        <f>IF(VLOOKUP(C88,EL!$C$4:$AA$975,13,0)="","",IF(E88=0,VLOOKUP(C88,EL!$C$4:$AA$975,13,0),IF(E88=1,VLOOKUP(C88,EL!$C$4:$AA$975,17,0),IF(E88=2,VLOOKUP(C88,EL!$C$4:$AA$975,22,0),""))))</f>
        <v>46064</v>
      </c>
      <c r="I88" s="273" t="str">
        <f>IF(VLOOKUP(C88,EL!$C$4:$AA$975,14,0)="","",IF(E88=0,VLOOKUP(C88,EL!$C$4:$AA$975,14,0),IF(E88=1,VLOOKUP(C88,EL!$C$4:$AA$975,18,0),IF(E88=2,VLOOKUP(C88,EL!$C$4:$AA$975,23,0),""))))</f>
        <v/>
      </c>
      <c r="J88" s="273" t="str">
        <f>IF(VLOOKUP(C88,EL!$C$4:$AA$66,15,0)="","",IF(E88=0,VLOOKUP(C88,EL!$C$4:$AA$66,15,0),IF(E88=1,VLOOKUP(C88,EL!$C$4:$AA$66,20,0),IF(E88=2,VLOOKUP(C88,EL!$C$4:$AA$66,25,0),""))))</f>
        <v/>
      </c>
      <c r="K88" s="276" t="str">
        <f>VLOOKUP(C88,EL!$C$4:$K$1035,8,0)</f>
        <v>AUR</v>
      </c>
      <c r="L88" s="275" cm="1">
        <f t="array" aca="1" ref="L88" ca="1">_xlfn.IFS(AND($E88&lt;&gt;"",$M88="Pending",$K88="CTA"),TODAY()-$G88,AND($E88&lt;&gt;"",$M88="Pending",$K88="AUR"),TODAY()-$H88,AND($E88&lt;&gt;"",$M88="Pending",$K88="STT"),TODAY()-$I88,OR(K88="Closed",K88=""),"")</f>
        <v>0</v>
      </c>
      <c r="M88" s="276" t="str">
        <f>VLOOKUP(C88,EL!$C$4:$K$975,9,0)</f>
        <v>Pending</v>
      </c>
      <c r="N88" s="269" t="str">
        <f t="shared" ca="1" si="3"/>
        <v/>
      </c>
      <c r="O88" s="293"/>
    </row>
    <row r="89" spans="1:15" ht="32.25" hidden="1" customHeight="1" x14ac:dyDescent="0.25">
      <c r="A89" s="269">
        <f t="shared" si="4"/>
        <v>39</v>
      </c>
      <c r="B89" s="283" t="s">
        <v>50</v>
      </c>
      <c r="C89" s="282" t="s">
        <v>233</v>
      </c>
      <c r="D89" s="281">
        <f>VLOOKUP(C89,EL!$C$4:$J$60,2,0)</f>
        <v>0</v>
      </c>
      <c r="E89" s="269" t="str">
        <f>IF(VLOOKUP(C89,EL!$C$4:$J$975,6,0)="","",VLOOKUP(C89,EL!$C$4:$J$975,6,0))</f>
        <v/>
      </c>
      <c r="F89" s="272"/>
      <c r="G89" s="272" t="str">
        <f>IF(VLOOKUP(C89,EL!$C$4:$J$975,4,0)="","",VLOOKUP(C89,EL!$C$4:$J$975,4,0))</f>
        <v/>
      </c>
      <c r="H89" s="273" t="str">
        <f>IF(VLOOKUP(C89,EL!$C$4:$AA$975,13,0)="","",IF(E89=0,VLOOKUP(C89,EL!$C$4:$AA$975,13,0),IF(E89=1,VLOOKUP(C89,EL!$C$4:$AA$975,17,0),IF(E89=2,VLOOKUP(C89,EL!$C$4:$AA$975,22,0),""))))</f>
        <v/>
      </c>
      <c r="I89" s="273" t="str">
        <f>IF(VLOOKUP(C89,EL!$C$4:$AA$975,14,0)="","",IF(E89=0,VLOOKUP(C89,EL!$C$4:$AA$975,14,0),IF(E89=1,VLOOKUP(C89,EL!$C$4:$AA$975,18,0),IF(E89=2,VLOOKUP(C89,EL!$C$4:$AA$975,23,0),""))))</f>
        <v/>
      </c>
      <c r="J89" s="273" t="str">
        <f>IF(VLOOKUP(C89,EL!$C$4:$AA$66,15,0)="","",IF(E89=0,VLOOKUP(C89,EL!$C$4:$AA$66,15,0),IF(E89=1,VLOOKUP(C89,EL!$C$4:$AA$66,20,0),IF(E89=2,VLOOKUP(C89,EL!$C$4:$AA$66,25,0),""))))</f>
        <v/>
      </c>
      <c r="K89" s="276">
        <f>VLOOKUP(C89,EL!$C$4:$K$1035,8,0)</f>
        <v>0</v>
      </c>
      <c r="L89" s="275" t="e" cm="1">
        <f t="array" aca="1" ref="L89" ca="1">_xlfn.IFS(AND($E89&lt;&gt;"",$M89="Pending",$K89="CTA"),TODAY()-$G89,AND($E89&lt;&gt;"",$M89="Pending",$K89="AUR"),TODAY()-$H89,AND($E89&lt;&gt;"",$M89="Pending",$K89="STT"),TODAY()-$I89,OR(K89="Closed",K89=""),"")</f>
        <v>#N/A</v>
      </c>
      <c r="M89" s="276">
        <f>VLOOKUP(C89,EL!$C$4:$K$975,9,0)</f>
        <v>0</v>
      </c>
      <c r="N89" s="269" t="str">
        <f t="shared" si="3"/>
        <v/>
      </c>
      <c r="O89" s="293"/>
    </row>
    <row r="90" spans="1:15" ht="32.25" hidden="1" customHeight="1" x14ac:dyDescent="0.25">
      <c r="A90" s="269">
        <f t="shared" si="4"/>
        <v>40</v>
      </c>
      <c r="B90" s="283" t="s">
        <v>50</v>
      </c>
      <c r="C90" s="282" t="s">
        <v>234</v>
      </c>
      <c r="D90" s="281">
        <f>VLOOKUP(C90,EL!$C$4:$J$60,2,0)</f>
        <v>0</v>
      </c>
      <c r="E90" s="269" t="str">
        <f>IF(VLOOKUP(C90,EL!$C$4:$J$975,6,0)="","",VLOOKUP(C90,EL!$C$4:$J$975,6,0))</f>
        <v/>
      </c>
      <c r="F90" s="272"/>
      <c r="G90" s="272" t="str">
        <f>IF(VLOOKUP(C90,EL!$C$4:$J$975,4,0)="","",VLOOKUP(C90,EL!$C$4:$J$975,4,0))</f>
        <v/>
      </c>
      <c r="H90" s="273" t="str">
        <f>IF(VLOOKUP(C90,EL!$C$4:$AA$975,13,0)="","",IF(E90=0,VLOOKUP(C90,EL!$C$4:$AA$975,13,0),IF(E90=1,VLOOKUP(C90,EL!$C$4:$AA$975,17,0),IF(E90=2,VLOOKUP(C90,EL!$C$4:$AA$975,22,0),""))))</f>
        <v/>
      </c>
      <c r="I90" s="273" t="str">
        <f>IF(VLOOKUP(C90,EL!$C$4:$AA$975,14,0)="","",IF(E90=0,VLOOKUP(C90,EL!$C$4:$AA$975,14,0),IF(E90=1,VLOOKUP(C90,EL!$C$4:$AA$975,18,0),IF(E90=2,VLOOKUP(C90,EL!$C$4:$AA$975,23,0),""))))</f>
        <v/>
      </c>
      <c r="J90" s="273" t="str">
        <f>IF(VLOOKUP(C90,EL!$C$4:$AA$66,15,0)="","",IF(E90=0,VLOOKUP(C90,EL!$C$4:$AA$66,15,0),IF(E90=1,VLOOKUP(C90,EL!$C$4:$AA$66,20,0),IF(E90=2,VLOOKUP(C90,EL!$C$4:$AA$66,25,0),""))))</f>
        <v/>
      </c>
      <c r="K90" s="276">
        <f>VLOOKUP(C90,EL!$C$4:$K$1035,8,0)</f>
        <v>0</v>
      </c>
      <c r="L90" s="275" t="e" cm="1">
        <f t="array" aca="1" ref="L90" ca="1">_xlfn.IFS(AND($E90&lt;&gt;"",$M90="Pending",$K90="CTA"),TODAY()-$G90,AND($E90&lt;&gt;"",$M90="Pending",$K90="AUR"),TODAY()-$H90,AND($E90&lt;&gt;"",$M90="Pending",$K90="STT"),TODAY()-$I90,OR(K90="Closed",K90=""),"")</f>
        <v>#N/A</v>
      </c>
      <c r="M90" s="276">
        <f>VLOOKUP(C90,EL!$C$4:$K$975,9,0)</f>
        <v>0</v>
      </c>
      <c r="N90" s="269" t="str">
        <f t="shared" si="3"/>
        <v/>
      </c>
      <c r="O90" s="293"/>
    </row>
    <row r="91" spans="1:15" ht="32.25" customHeight="1" x14ac:dyDescent="0.25">
      <c r="A91" s="269">
        <f t="shared" si="4"/>
        <v>41</v>
      </c>
      <c r="B91" s="283" t="s">
        <v>50</v>
      </c>
      <c r="C91" s="282" t="s">
        <v>235</v>
      </c>
      <c r="D91" s="281" t="str">
        <f>VLOOKUP(C91,EL!$C$4:$J$60,2,0)</f>
        <v>Clarification on Scope of Work for Plug-in Units and Sub Main Cables</v>
      </c>
      <c r="E91" s="269">
        <f>IF(VLOOKUP(C91,EL!$C$4:$J$975,6,0)="","",VLOOKUP(C91,EL!$C$4:$J$975,6,0))</f>
        <v>0</v>
      </c>
      <c r="F91" s="272"/>
      <c r="G91" s="272">
        <f>IF(VLOOKUP(C91,EL!$C$4:$J$975,4,0)="","",VLOOKUP(C91,EL!$C$4:$J$975,4,0))</f>
        <v>46053</v>
      </c>
      <c r="H91" s="273">
        <f>IF(VLOOKUP(C91,EL!$C$4:$AA$975,13,0)="","",IF(E91=0,VLOOKUP(C91,EL!$C$4:$AA$975,13,0),IF(E91=1,VLOOKUP(C91,EL!$C$4:$AA$975,17,0),IF(E91=2,VLOOKUP(C91,EL!$C$4:$AA$975,22,0),""))))</f>
        <v>46064</v>
      </c>
      <c r="I91" s="273" t="str">
        <f>IF(VLOOKUP(C91,EL!$C$4:$AA$975,14,0)="","",IF(E91=0,VLOOKUP(C91,EL!$C$4:$AA$975,14,0),IF(E91=1,VLOOKUP(C91,EL!$C$4:$AA$975,18,0),IF(E91=2,VLOOKUP(C91,EL!$C$4:$AA$975,23,0),""))))</f>
        <v/>
      </c>
      <c r="J91" s="273" t="str">
        <f>IF(VLOOKUP(C91,EL!$C$4:$AA$66,15,0)="","",IF(E91=0,VLOOKUP(C91,EL!$C$4:$AA$66,15,0),IF(E91=1,VLOOKUP(C91,EL!$C$4:$AA$66,20,0),IF(E91=2,VLOOKUP(C91,EL!$C$4:$AA$66,25,0),""))))</f>
        <v/>
      </c>
      <c r="K91" s="276" t="str">
        <f>VLOOKUP(C91,EL!$C$4:$K$1035,8,0)</f>
        <v>AUR</v>
      </c>
      <c r="L91" s="275" cm="1">
        <f t="array" aca="1" ref="L91" ca="1">_xlfn.IFS(AND($E91&lt;&gt;"",$M91="Pending",$K91="CTA"),TODAY()-$G91,AND($E91&lt;&gt;"",$M91="Pending",$K91="AUR"),TODAY()-$H91,AND($E91&lt;&gt;"",$M91="Pending",$K91="STT"),TODAY()-$I91,OR(K91="Closed",K91=""),"")</f>
        <v>0</v>
      </c>
      <c r="M91" s="276" t="str">
        <f>VLOOKUP(C91,EL!$C$4:$K$975,9,0)</f>
        <v>Pending</v>
      </c>
      <c r="N91" s="269" t="str">
        <f t="shared" ca="1" si="3"/>
        <v/>
      </c>
      <c r="O91" s="293"/>
    </row>
    <row r="92" spans="1:15" ht="32.25" hidden="1" customHeight="1" x14ac:dyDescent="0.25">
      <c r="A92" s="269">
        <f t="shared" si="4"/>
        <v>42</v>
      </c>
      <c r="B92" s="283" t="s">
        <v>50</v>
      </c>
      <c r="C92" s="282" t="s">
        <v>237</v>
      </c>
      <c r="D92" s="281">
        <f>VLOOKUP(C92,EL!$C$4:$J$60,2,0)</f>
        <v>0</v>
      </c>
      <c r="E92" s="269" t="str">
        <f>IF(VLOOKUP(C92,EL!$C$4:$J$975,6,0)="","",VLOOKUP(C92,EL!$C$4:$J$975,6,0))</f>
        <v/>
      </c>
      <c r="F92" s="272"/>
      <c r="G92" s="272" t="str">
        <f>IF(VLOOKUP(C92,EL!$C$4:$J$975,4,0)="","",VLOOKUP(C92,EL!$C$4:$J$975,4,0))</f>
        <v/>
      </c>
      <c r="H92" s="273" t="str">
        <f>IF(VLOOKUP(C92,EL!$C$4:$AA$975,13,0)="","",IF(E92=0,VLOOKUP(C92,EL!$C$4:$AA$975,13,0),IF(E92=1,VLOOKUP(C92,EL!$C$4:$AA$975,17,0),IF(E92=2,VLOOKUP(C92,EL!$C$4:$AA$975,22,0),""))))</f>
        <v/>
      </c>
      <c r="I92" s="273" t="str">
        <f>IF(VLOOKUP(C92,EL!$C$4:$AA$975,14,0)="","",IF(E92=0,VLOOKUP(C92,EL!$C$4:$AA$975,14,0),IF(E92=1,VLOOKUP(C92,EL!$C$4:$AA$975,18,0),IF(E92=2,VLOOKUP(C92,EL!$C$4:$AA$975,23,0),""))))</f>
        <v/>
      </c>
      <c r="J92" s="273" t="str">
        <f>IF(VLOOKUP(C92,EL!$C$4:$AA$66,15,0)="","",IF(E92=0,VLOOKUP(C92,EL!$C$4:$AA$66,15,0),IF(E92=1,VLOOKUP(C92,EL!$C$4:$AA$66,20,0),IF(E92=2,VLOOKUP(C92,EL!$C$4:$AA$66,25,0),""))))</f>
        <v/>
      </c>
      <c r="K92" s="276">
        <f>VLOOKUP(C92,EL!$C$4:$K$1035,8,0)</f>
        <v>0</v>
      </c>
      <c r="L92" s="275" t="e" cm="1">
        <f t="array" aca="1" ref="L92" ca="1">_xlfn.IFS(AND($E92&lt;&gt;"",$M92="Pending",$K92="CTA"),TODAY()-$G92,AND($E92&lt;&gt;"",$M92="Pending",$K92="AUR"),TODAY()-$H92,AND($E92&lt;&gt;"",$M92="Pending",$K92="STT"),TODAY()-$I92,OR(K92="Closed",K92=""),"")</f>
        <v>#N/A</v>
      </c>
      <c r="M92" s="276">
        <f>VLOOKUP(C92,EL!$C$4:$K$975,9,0)</f>
        <v>0</v>
      </c>
      <c r="N92" s="269" t="str">
        <f t="shared" si="3"/>
        <v/>
      </c>
      <c r="O92" s="293"/>
    </row>
    <row r="93" spans="1:15" ht="32.25" customHeight="1" x14ac:dyDescent="0.25">
      <c r="A93" s="269">
        <f t="shared" si="4"/>
        <v>43</v>
      </c>
      <c r="B93" s="283" t="s">
        <v>50</v>
      </c>
      <c r="C93" s="282" t="s">
        <v>238</v>
      </c>
      <c r="D93" s="281" t="str">
        <f>VLOOKUP(C93,EL!$C$4:$J$60,2,0)</f>
        <v>Confirmation for NSCP interface with BMS as - HHI or LLI?</v>
      </c>
      <c r="E93" s="269">
        <f>IF(VLOOKUP(C93,EL!$C$4:$J$975,6,0)="","",VLOOKUP(C93,EL!$C$4:$J$975,6,0))</f>
        <v>0</v>
      </c>
      <c r="F93" s="272"/>
      <c r="G93" s="272">
        <f>IF(VLOOKUP(C93,EL!$C$4:$J$975,4,0)="","",VLOOKUP(C93,EL!$C$4:$J$975,4,0))</f>
        <v>46059</v>
      </c>
      <c r="H93" s="273">
        <f>IF(VLOOKUP(C93,EL!$C$4:$AA$975,13,0)="","",IF(E93=0,VLOOKUP(C93,EL!$C$4:$AA$975,13,0),IF(E93=1,VLOOKUP(C93,EL!$C$4:$AA$975,17,0),IF(E93=2,VLOOKUP(C93,EL!$C$4:$AA$975,22,0),""))))</f>
        <v>46060</v>
      </c>
      <c r="I93" s="273" t="str">
        <f>IF(VLOOKUP(C93,EL!$C$4:$AA$975,14,0)="","",IF(E93=0,VLOOKUP(C93,EL!$C$4:$AA$975,14,0),IF(E93=1,VLOOKUP(C93,EL!$C$4:$AA$975,18,0),IF(E93=2,VLOOKUP(C93,EL!$C$4:$AA$975,23,0),""))))</f>
        <v/>
      </c>
      <c r="J93" s="273" t="str">
        <f>IF(VLOOKUP(C93,EL!$C$4:$AA$66,15,0)="","",IF(E93=0,VLOOKUP(C93,EL!$C$4:$AA$66,15,0),IF(E93=1,VLOOKUP(C93,EL!$C$4:$AA$66,20,0),IF(E93=2,VLOOKUP(C93,EL!$C$4:$AA$66,25,0),""))))</f>
        <v/>
      </c>
      <c r="K93" s="276" t="str">
        <f>VLOOKUP(C93,EL!$C$4:$K$1035,8,0)</f>
        <v>AUR</v>
      </c>
      <c r="L93" s="275" cm="1">
        <f t="array" aca="1" ref="L93" ca="1">_xlfn.IFS(AND($E93&lt;&gt;"",$M93="Pending",$K93="CTA"),TODAY()-$G93,AND($E93&lt;&gt;"",$M93="Pending",$K93="AUR"),TODAY()-$H93,AND($E93&lt;&gt;"",$M93="Pending",$K93="STT"),TODAY()-$I93,OR(K93="Closed",K93=""),"")</f>
        <v>4</v>
      </c>
      <c r="M93" s="276" t="str">
        <f>VLOOKUP(C93,EL!$C$4:$K$975,9,0)</f>
        <v>Pending</v>
      </c>
      <c r="N93" s="269" t="str">
        <f t="shared" ca="1" si="3"/>
        <v>High</v>
      </c>
      <c r="O93" s="293"/>
    </row>
    <row r="94" spans="1:15" ht="32.25" customHeight="1" x14ac:dyDescent="0.25">
      <c r="A94" s="269">
        <f t="shared" si="4"/>
        <v>44</v>
      </c>
      <c r="B94" s="283" t="s">
        <v>50</v>
      </c>
      <c r="C94" s="282" t="s">
        <v>240</v>
      </c>
      <c r="D94" s="281" t="str">
        <f>VLOOKUP(C94,EL!$C$4:$J$60,2,0)</f>
        <v xml:space="preserve">Clarification of Heat Detector for Genset Room Fire Alarm System </v>
      </c>
      <c r="E94" s="269">
        <f>IF(VLOOKUP(C94,EL!$C$4:$J$975,6,0)="","",VLOOKUP(C94,EL!$C$4:$J$975,6,0))</f>
        <v>0</v>
      </c>
      <c r="F94" s="272"/>
      <c r="G94" s="272">
        <f>IF(VLOOKUP(C94,EL!$C$4:$J$975,4,0)="","",VLOOKUP(C94,EL!$C$4:$J$975,4,0))</f>
        <v>46057</v>
      </c>
      <c r="H94" s="273">
        <f>IF(VLOOKUP(C94,EL!$C$4:$AA$975,13,0)="","",IF(E94=0,VLOOKUP(C94,EL!$C$4:$AA$975,13,0),IF(E94=1,VLOOKUP(C94,EL!$C$4:$AA$975,17,0),IF(E94=2,VLOOKUP(C94,EL!$C$4:$AA$975,22,0),""))))</f>
        <v>46064</v>
      </c>
      <c r="I94" s="273" t="str">
        <f>IF(VLOOKUP(C94,EL!$C$4:$AA$975,14,0)="","",IF(E94=0,VLOOKUP(C94,EL!$C$4:$AA$975,14,0),IF(E94=1,VLOOKUP(C94,EL!$C$4:$AA$975,18,0),IF(E94=2,VLOOKUP(C94,EL!$C$4:$AA$975,23,0),""))))</f>
        <v/>
      </c>
      <c r="J94" s="273" t="str">
        <f>IF(VLOOKUP(C94,EL!$C$4:$AA$66,15,0)="","",IF(E94=0,VLOOKUP(C94,EL!$C$4:$AA$66,15,0),IF(E94=1,VLOOKUP(C94,EL!$C$4:$AA$66,20,0),IF(E94=2,VLOOKUP(C94,EL!$C$4:$AA$66,25,0),""))))</f>
        <v/>
      </c>
      <c r="K94" s="276" t="str">
        <f>VLOOKUP(C94,EL!$C$4:$K$1035,8,0)</f>
        <v>AUR</v>
      </c>
      <c r="L94" s="275" cm="1">
        <f t="array" aca="1" ref="L94" ca="1">_xlfn.IFS(AND($E94&lt;&gt;"",$M94="Pending",$K94="CTA"),TODAY()-$G94,AND($E94&lt;&gt;"",$M94="Pending",$K94="AUR"),TODAY()-$H94,AND($E94&lt;&gt;"",$M94="Pending",$K94="STT"),TODAY()-$I94,OR(K94="Closed",K94=""),"")</f>
        <v>0</v>
      </c>
      <c r="M94" s="276" t="str">
        <f>VLOOKUP(C94,EL!$C$4:$K$975,9,0)</f>
        <v>Pending</v>
      </c>
      <c r="N94" s="269" t="str">
        <f t="shared" ca="1" si="3"/>
        <v/>
      </c>
      <c r="O94" s="293"/>
    </row>
    <row r="95" spans="1:15" ht="34.950000000000003" customHeight="1" x14ac:dyDescent="0.25">
      <c r="A95" s="269">
        <f>A94+1</f>
        <v>45</v>
      </c>
      <c r="B95" s="283" t="s">
        <v>50</v>
      </c>
      <c r="C95" s="282" t="s">
        <v>242</v>
      </c>
      <c r="D95" s="281" t="str">
        <f>VLOOKUP(C95,EL!$C$4:$J$60,2,0)</f>
        <v>Confirm to use Steel Plint for all LV Switch Board as same as Phase 4 and 5.</v>
      </c>
      <c r="E95" s="269">
        <f>IF(VLOOKUP(C95,EL!$C$4:$J$975,6,0)="","",VLOOKUP(C95,EL!$C$4:$J$975,6,0))</f>
        <v>0</v>
      </c>
      <c r="F95" s="272"/>
      <c r="G95" s="272">
        <f>IF(VLOOKUP(C95,EL!$C$4:$J$975,4,0)="","",VLOOKUP(C95,EL!$C$4:$J$975,4,0))</f>
        <v>46059</v>
      </c>
      <c r="H95" s="273">
        <f>IF(VLOOKUP(C95,EL!$C$4:$AA$975,13,0)="","",IF(E95=0,VLOOKUP(C95,EL!$C$4:$AA$975,13,0),IF(E95=1,VLOOKUP(C95,EL!$C$4:$AA$975,17,0),IF(E95=2,VLOOKUP(C95,EL!$C$4:$AA$975,22,0),""))))</f>
        <v>46060</v>
      </c>
      <c r="I95" s="273" t="str">
        <f>IF(VLOOKUP(C95,EL!$C$4:$AA$975,14,0)="","",IF(E95=0,VLOOKUP(C95,EL!$C$4:$AA$975,14,0),IF(E95=1,VLOOKUP(C95,EL!$C$4:$AA$975,18,0),IF(E95=2,VLOOKUP(C95,EL!$C$4:$AA$975,23,0),""))))</f>
        <v/>
      </c>
      <c r="J95" s="273" t="str">
        <f>IF(VLOOKUP(C95,EL!$C$4:$AA$66,15,0)="","",IF(E95=0,VLOOKUP(C95,EL!$C$4:$AA$66,15,0),IF(E95=1,VLOOKUP(C95,EL!$C$4:$AA$66,20,0),IF(E95=2,VLOOKUP(C95,EL!$C$4:$AA$66,25,0),""))))</f>
        <v/>
      </c>
      <c r="K95" s="276" t="str">
        <f>VLOOKUP(C95,EL!$C$4:$K$1035,8,0)</f>
        <v>AUR</v>
      </c>
      <c r="L95" s="275" cm="1">
        <f t="array" aca="1" ref="L95" ca="1">_xlfn.IFS(AND($E95&lt;&gt;"",$M95="Pending",$K95="CTA"),TODAY()-$G95,AND($E95&lt;&gt;"",$M95="Pending",$K95="AUR"),TODAY()-$H95,AND($E95&lt;&gt;"",$M95="Pending",$K95="STT"),TODAY()-$I95,OR(K95="Closed",K95=""),"")</f>
        <v>4</v>
      </c>
      <c r="M95" s="276" t="str">
        <f>VLOOKUP(C95,EL!$C$4:$K$975,9,0)</f>
        <v>Pending</v>
      </c>
      <c r="N95" s="269" t="str">
        <f t="shared" ca="1" si="3"/>
        <v>High</v>
      </c>
      <c r="O95" s="293"/>
    </row>
    <row r="96" spans="1:15" ht="34.950000000000003" customHeight="1" x14ac:dyDescent="0.25">
      <c r="A96" s="269">
        <f>A95+1</f>
        <v>46</v>
      </c>
      <c r="B96" s="283" t="s">
        <v>50</v>
      </c>
      <c r="C96" s="282" t="s">
        <v>244</v>
      </c>
      <c r="D96" s="281" t="str">
        <f>VLOOKUP(C96,EL!$C$4:$J$60,2,0)</f>
        <v>Confirm of Interface Method for Tap-off Unit (Non-IT) : HLI or LLI?</v>
      </c>
      <c r="E96" s="269">
        <f>IF(VLOOKUP(C96,EL!$C$4:$J$975,6,0)="","",VLOOKUP(C96,EL!$C$4:$J$975,6,0))</f>
        <v>0</v>
      </c>
      <c r="F96" s="272"/>
      <c r="G96" s="272">
        <f>IF(VLOOKUP(C96,EL!$C$4:$J$975,4,0)="","",VLOOKUP(C96,EL!$C$4:$J$975,4,0))</f>
        <v>46063</v>
      </c>
      <c r="H96" s="273">
        <f>IF(VLOOKUP(C96,EL!$C$4:$AA$975,13,0)="","",IF(E96=0,VLOOKUP(C96,EL!$C$4:$AA$975,13,0),IF(E96=1,VLOOKUP(C96,EL!$C$4:$AA$975,17,0),IF(E96=2,VLOOKUP(C96,EL!$C$4:$AA$975,22,0),""))))</f>
        <v>46064</v>
      </c>
      <c r="I96" s="273" t="str">
        <f>IF(VLOOKUP(C96,EL!$C$4:$AA$975,14,0)="","",IF(E96=0,VLOOKUP(C96,EL!$C$4:$AA$975,14,0),IF(E96=1,VLOOKUP(C96,EL!$C$4:$AA$975,18,0),IF(E96=2,VLOOKUP(C96,EL!$C$4:$AA$975,23,0),""))))</f>
        <v/>
      </c>
      <c r="J96" s="273" t="str">
        <f>IF(VLOOKUP(C96,EL!$C$4:$AA$66,15,0)="","",IF(E96=0,VLOOKUP(C96,EL!$C$4:$AA$66,15,0),IF(E96=1,VLOOKUP(C96,EL!$C$4:$AA$66,20,0),IF(E96=2,VLOOKUP(C96,EL!$C$4:$AA$66,25,0),""))))</f>
        <v/>
      </c>
      <c r="K96" s="276" t="str">
        <f>VLOOKUP(C96,EL!$C$4:$K$1035,8,0)</f>
        <v>AUR</v>
      </c>
      <c r="L96" s="275" cm="1">
        <f t="array" aca="1" ref="L96" ca="1">_xlfn.IFS(AND($E96&lt;&gt;"",$M96="Pending",$K96="CTA"),TODAY()-$G96,AND($E96&lt;&gt;"",$M96="Pending",$K96="AUR"),TODAY()-$H96,AND($E96&lt;&gt;"",$M96="Pending",$K96="STT"),TODAY()-$I96,OR(K96="Closed",K96=""),"")</f>
        <v>0</v>
      </c>
      <c r="M96" s="276" t="str">
        <f>VLOOKUP(C96,EL!$C$4:$K$975,9,0)</f>
        <v>Pending</v>
      </c>
      <c r="N96" s="269" t="str">
        <f t="shared" ref="N96:N104" ca="1" si="5">IF(AND(E96&lt;&gt;"",M96="Pending"),IF(L96&gt;=5,"Overdue",IF(L96&gt;=3,"High","")),"")</f>
        <v/>
      </c>
      <c r="O96" s="293"/>
    </row>
    <row r="97" spans="1:15" ht="34.950000000000003" customHeight="1" x14ac:dyDescent="0.25">
      <c r="A97" s="269">
        <f t="shared" ref="A97:A104" si="6">A96+1</f>
        <v>47</v>
      </c>
      <c r="B97" s="283" t="s">
        <v>50</v>
      </c>
      <c r="C97" s="282" t="s">
        <v>246</v>
      </c>
      <c r="D97" s="281" t="str">
        <f>VLOOKUP(C97,EL!$C$4:$J$60,2,0)</f>
        <v>Confirm Switch Control for Lighting System 1st FL (Entrance, Reception, Lift Lobby and Sec. Room 2)</v>
      </c>
      <c r="E97" s="269">
        <f>IF(VLOOKUP(C97,EL!$C$4:$J$975,6,0)="","",VLOOKUP(C97,EL!$C$4:$J$975,6,0))</f>
        <v>0</v>
      </c>
      <c r="F97" s="272"/>
      <c r="G97" s="272">
        <f>IF(VLOOKUP(C97,EL!$C$4:$J$975,4,0)="","",VLOOKUP(C97,EL!$C$4:$J$975,4,0))</f>
        <v>46063</v>
      </c>
      <c r="H97" s="273">
        <f>IF(VLOOKUP(C97,EL!$C$4:$AA$975,13,0)="","",IF(E97=0,VLOOKUP(C97,EL!$C$4:$AA$975,13,0),IF(E97=1,VLOOKUP(C97,EL!$C$4:$AA$975,17,0),IF(E97=2,VLOOKUP(C97,EL!$C$4:$AA$975,22,0),""))))</f>
        <v>46064</v>
      </c>
      <c r="I97" s="273" t="str">
        <f>IF(VLOOKUP(C97,EL!$C$4:$AA$975,14,0)="","",IF(E97=0,VLOOKUP(C97,EL!$C$4:$AA$975,14,0),IF(E97=1,VLOOKUP(C97,EL!$C$4:$AA$975,18,0),IF(E97=2,VLOOKUP(C97,EL!$C$4:$AA$975,23,0),""))))</f>
        <v/>
      </c>
      <c r="J97" s="273" t="str">
        <f>IF(VLOOKUP(C97,EL!$C$4:$AA$66,15,0)="","",IF(E97=0,VLOOKUP(C97,EL!$C$4:$AA$66,15,0),IF(E97=1,VLOOKUP(C97,EL!$C$4:$AA$66,20,0),IF(E97=2,VLOOKUP(C97,EL!$C$4:$AA$66,25,0),""))))</f>
        <v/>
      </c>
      <c r="K97" s="276" t="str">
        <f>VLOOKUP(C97,EL!$C$4:$K$1035,8,0)</f>
        <v>AUR</v>
      </c>
      <c r="L97" s="275" cm="1">
        <f t="array" aca="1" ref="L97" ca="1">_xlfn.IFS(AND($E97&lt;&gt;"",$M97="Pending",$K97="CTA"),TODAY()-$G97,AND($E97&lt;&gt;"",$M97="Pending",$K97="AUR"),TODAY()-$H97,AND($E97&lt;&gt;"",$M97="Pending",$K97="STT"),TODAY()-$I97,OR(K97="Closed",K97=""),"")</f>
        <v>0</v>
      </c>
      <c r="M97" s="276" t="str">
        <f>VLOOKUP(C97,EL!$C$4:$K$975,9,0)</f>
        <v>Pending</v>
      </c>
      <c r="N97" s="269" t="str">
        <f t="shared" ca="1" si="5"/>
        <v/>
      </c>
      <c r="O97" s="293"/>
    </row>
    <row r="98" spans="1:15" ht="34.950000000000003" customHeight="1" x14ac:dyDescent="0.25">
      <c r="A98" s="269">
        <f t="shared" si="6"/>
        <v>48</v>
      </c>
      <c r="B98" s="283" t="s">
        <v>50</v>
      </c>
      <c r="C98" s="282" t="s">
        <v>248</v>
      </c>
      <c r="D98" s="281" t="str">
        <f>VLOOKUP(C98,EL!$C$4:$J$60,2,0)</f>
        <v>Cable trays obstruct a spare space of FWU</v>
      </c>
      <c r="E98" s="269">
        <f>IF(VLOOKUP(C98,EL!$C$4:$J$975,6,0)="","",VLOOKUP(C98,EL!$C$4:$J$975,6,0))</f>
        <v>0</v>
      </c>
      <c r="F98" s="272"/>
      <c r="G98" s="272">
        <f>IF(VLOOKUP(C98,EL!$C$4:$J$975,4,0)="","",VLOOKUP(C98,EL!$C$4:$J$975,4,0))</f>
        <v>46064</v>
      </c>
      <c r="H98" s="273" t="str">
        <f>IF(VLOOKUP(C98,EL!$C$4:$AA$975,13,0)="","",IF(E98=0,VLOOKUP(C98,EL!$C$4:$AA$975,13,0),IF(E98=1,VLOOKUP(C98,EL!$C$4:$AA$975,17,0),IF(E98=2,VLOOKUP(C98,EL!$C$4:$AA$975,22,0),""))))</f>
        <v/>
      </c>
      <c r="I98" s="273" t="str">
        <f>IF(VLOOKUP(C98,EL!$C$4:$AA$975,14,0)="","",IF(E98=0,VLOOKUP(C98,EL!$C$4:$AA$975,14,0),IF(E98=1,VLOOKUP(C98,EL!$C$4:$AA$975,18,0),IF(E98=2,VLOOKUP(C98,EL!$C$4:$AA$975,23,0),""))))</f>
        <v/>
      </c>
      <c r="J98" s="273" t="str">
        <f>IF(VLOOKUP(C98,EL!$C$4:$AA$66,15,0)="","",IF(E98=0,VLOOKUP(C98,EL!$C$4:$AA$66,15,0),IF(E98=1,VLOOKUP(C98,EL!$C$4:$AA$66,20,0),IF(E98=2,VLOOKUP(C98,EL!$C$4:$AA$66,25,0),""))))</f>
        <v/>
      </c>
      <c r="K98" s="276" t="str">
        <f>VLOOKUP(C98,EL!$C$4:$K$1035,8,0)</f>
        <v>CTA</v>
      </c>
      <c r="L98" s="275" cm="1">
        <f t="array" aca="1" ref="L98" ca="1">_xlfn.IFS(AND($E98&lt;&gt;"",$M98="Pending",$K98="CTA"),TODAY()-$G98,AND($E98&lt;&gt;"",$M98="Pending",$K98="AUR"),TODAY()-$H98,AND($E98&lt;&gt;"",$M98="Pending",$K98="STT"),TODAY()-$I98,OR(K98="Closed",K98=""),"")</f>
        <v>0</v>
      </c>
      <c r="M98" s="276" t="str">
        <f>VLOOKUP(C98,EL!$C$4:$K$975,9,0)</f>
        <v>Pending</v>
      </c>
      <c r="N98" s="269" t="str">
        <f t="shared" ca="1" si="5"/>
        <v/>
      </c>
      <c r="O98" s="293"/>
    </row>
    <row r="99" spans="1:15" ht="34.950000000000003" customHeight="1" x14ac:dyDescent="0.25">
      <c r="A99" s="269">
        <f t="shared" si="6"/>
        <v>49</v>
      </c>
      <c r="B99" s="283" t="s">
        <v>50</v>
      </c>
      <c r="C99" s="282" t="s">
        <v>250</v>
      </c>
      <c r="D99" s="281" t="str">
        <f>VLOOKUP(C99,EL!$C$4:$J$60,2,0)</f>
        <v>Confirm Supply source for junction boxes in shower room (1st floor)</v>
      </c>
      <c r="E99" s="269">
        <f>IF(VLOOKUP(C99,EL!$C$4:$J$975,6,0)="","",VLOOKUP(C99,EL!$C$4:$J$975,6,0))</f>
        <v>0</v>
      </c>
      <c r="F99" s="272"/>
      <c r="G99" s="272">
        <f>IF(VLOOKUP(C99,EL!$C$4:$J$975,4,0)="","",VLOOKUP(C99,EL!$C$4:$J$975,4,0))</f>
        <v>46064</v>
      </c>
      <c r="H99" s="273" t="str">
        <f>IF(VLOOKUP(C99,EL!$C$4:$AA$975,13,0)="","",IF(E99=0,VLOOKUP(C99,EL!$C$4:$AA$975,13,0),IF(E99=1,VLOOKUP(C99,EL!$C$4:$AA$975,17,0),IF(E99=2,VLOOKUP(C99,EL!$C$4:$AA$975,22,0),""))))</f>
        <v/>
      </c>
      <c r="I99" s="273" t="str">
        <f>IF(VLOOKUP(C99,EL!$C$4:$AA$975,14,0)="","",IF(E99=0,VLOOKUP(C99,EL!$C$4:$AA$975,14,0),IF(E99=1,VLOOKUP(C99,EL!$C$4:$AA$975,18,0),IF(E99=2,VLOOKUP(C99,EL!$C$4:$AA$975,23,0),""))))</f>
        <v/>
      </c>
      <c r="J99" s="273" t="str">
        <f>IF(VLOOKUP(C99,EL!$C$4:$AA$66,15,0)="","",IF(E99=0,VLOOKUP(C99,EL!$C$4:$AA$66,15,0),IF(E99=1,VLOOKUP(C99,EL!$C$4:$AA$66,20,0),IF(E99=2,VLOOKUP(C99,EL!$C$4:$AA$66,25,0),""))))</f>
        <v/>
      </c>
      <c r="K99" s="276" t="str">
        <f>VLOOKUP(C99,EL!$C$4:$K$1035,8,0)</f>
        <v>CTA</v>
      </c>
      <c r="L99" s="275" cm="1">
        <f t="array" aca="1" ref="L99" ca="1">_xlfn.IFS(AND($E99&lt;&gt;"",$M99="Pending",$K99="CTA"),TODAY()-$G99,AND($E99&lt;&gt;"",$M99="Pending",$K99="AUR"),TODAY()-$H99,AND($E99&lt;&gt;"",$M99="Pending",$K99="STT"),TODAY()-$I99,OR(K99="Closed",K99=""),"")</f>
        <v>0</v>
      </c>
      <c r="M99" s="276" t="str">
        <f>VLOOKUP(C99,EL!$C$4:$K$975,9,0)</f>
        <v>Pending</v>
      </c>
      <c r="N99" s="269" t="str">
        <f t="shared" ca="1" si="5"/>
        <v/>
      </c>
      <c r="O99" s="293"/>
    </row>
    <row r="100" spans="1:15" ht="34.950000000000003" customHeight="1" x14ac:dyDescent="0.25">
      <c r="A100" s="269">
        <f t="shared" si="6"/>
        <v>50</v>
      </c>
      <c r="B100" s="283" t="s">
        <v>50</v>
      </c>
      <c r="C100" s="282" t="s">
        <v>252</v>
      </c>
      <c r="D100" s="281" t="str">
        <f>VLOOKUP(C100,EL!$C$4:$J$60,2,0)</f>
        <v>Clarification on BMS Monitoring Points for IG-100 Fire Suppression System</v>
      </c>
      <c r="E100" s="269">
        <f>IF(VLOOKUP(C100,EL!$C$4:$J$975,6,0)="","",VLOOKUP(C100,EL!$C$4:$J$975,6,0))</f>
        <v>0</v>
      </c>
      <c r="F100" s="272"/>
      <c r="G100" s="272">
        <f>IF(VLOOKUP(C100,EL!$C$4:$J$975,4,0)="","",VLOOKUP(C100,EL!$C$4:$J$975,4,0))</f>
        <v>46064</v>
      </c>
      <c r="H100" s="273" t="str">
        <f>IF(VLOOKUP(C100,EL!$C$4:$AA$975,13,0)="","",IF(E100=0,VLOOKUP(C100,EL!$C$4:$AA$975,13,0),IF(E100=1,VLOOKUP(C100,EL!$C$4:$AA$975,17,0),IF(E100=2,VLOOKUP(C100,EL!$C$4:$AA$975,22,0),""))))</f>
        <v/>
      </c>
      <c r="I100" s="273" t="str">
        <f>IF(VLOOKUP(C100,EL!$C$4:$AA$975,14,0)="","",IF(E100=0,VLOOKUP(C100,EL!$C$4:$AA$975,14,0),IF(E100=1,VLOOKUP(C100,EL!$C$4:$AA$975,18,0),IF(E100=2,VLOOKUP(C100,EL!$C$4:$AA$975,23,0),""))))</f>
        <v/>
      </c>
      <c r="J100" s="273" t="str">
        <f>IF(VLOOKUP(C100,EL!$C$4:$AA$66,15,0)="","",IF(E100=0,VLOOKUP(C100,EL!$C$4:$AA$66,15,0),IF(E100=1,VLOOKUP(C100,EL!$C$4:$AA$66,20,0),IF(E100=2,VLOOKUP(C100,EL!$C$4:$AA$66,25,0),""))))</f>
        <v/>
      </c>
      <c r="K100" s="276" t="str">
        <f>VLOOKUP(C100,EL!$C$4:$K$1035,8,0)</f>
        <v>CTA</v>
      </c>
      <c r="L100" s="275" cm="1">
        <f t="array" aca="1" ref="L100" ca="1">_xlfn.IFS(AND($E100&lt;&gt;"",$M100="Pending",$K100="CTA"),TODAY()-$G100,AND($E100&lt;&gt;"",$M100="Pending",$K100="AUR"),TODAY()-$H100,AND($E100&lt;&gt;"",$M100="Pending",$K100="STT"),TODAY()-$I100,OR(K100="Closed",K100=""),"")</f>
        <v>0</v>
      </c>
      <c r="M100" s="276" t="str">
        <f>VLOOKUP(C100,EL!$C$4:$K$975,9,0)</f>
        <v>Pending</v>
      </c>
      <c r="N100" s="269" t="str">
        <f t="shared" ca="1" si="5"/>
        <v/>
      </c>
      <c r="O100" s="293"/>
    </row>
    <row r="101" spans="1:15" ht="34.950000000000003" customHeight="1" x14ac:dyDescent="0.25">
      <c r="A101" s="269">
        <f t="shared" si="6"/>
        <v>51</v>
      </c>
      <c r="B101" s="283" t="s">
        <v>50</v>
      </c>
      <c r="C101" s="282" t="s">
        <v>254</v>
      </c>
      <c r="D101" s="281" t="str">
        <f>VLOOKUP(C101,EL!$C$4:$J$60,2,0)</f>
        <v>Clarification on PACP Low-Level Interface (Hardwired) Point List Requirements</v>
      </c>
      <c r="E101" s="269">
        <f>IF(VLOOKUP(C101,EL!$C$4:$J$975,6,0)="","",VLOOKUP(C101,EL!$C$4:$J$975,6,0))</f>
        <v>0</v>
      </c>
      <c r="F101" s="272"/>
      <c r="G101" s="272">
        <f>IF(VLOOKUP(C101,EL!$C$4:$J$975,4,0)="","",VLOOKUP(C101,EL!$C$4:$J$975,4,0))</f>
        <v>46064</v>
      </c>
      <c r="H101" s="273" t="str">
        <f>IF(VLOOKUP(C101,EL!$C$4:$AA$975,13,0)="","",IF(E101=0,VLOOKUP(C101,EL!$C$4:$AA$975,13,0),IF(E101=1,VLOOKUP(C101,EL!$C$4:$AA$975,17,0),IF(E101=2,VLOOKUP(C101,EL!$C$4:$AA$975,22,0),""))))</f>
        <v/>
      </c>
      <c r="I101" s="273" t="str">
        <f>IF(VLOOKUP(C101,EL!$C$4:$AA$975,14,0)="","",IF(E101=0,VLOOKUP(C101,EL!$C$4:$AA$975,14,0),IF(E101=1,VLOOKUP(C101,EL!$C$4:$AA$975,18,0),IF(E101=2,VLOOKUP(C101,EL!$C$4:$AA$975,23,0),""))))</f>
        <v/>
      </c>
      <c r="J101" s="273" t="str">
        <f>IF(VLOOKUP(C101,EL!$C$4:$AA$66,15,0)="","",IF(E101=0,VLOOKUP(C101,EL!$C$4:$AA$66,15,0),IF(E101=1,VLOOKUP(C101,EL!$C$4:$AA$66,20,0),IF(E101=2,VLOOKUP(C101,EL!$C$4:$AA$66,25,0),""))))</f>
        <v/>
      </c>
      <c r="K101" s="276" t="str">
        <f>VLOOKUP(C101,EL!$C$4:$K$1035,8,0)</f>
        <v>CTA</v>
      </c>
      <c r="L101" s="275" cm="1">
        <f t="array" aca="1" ref="L101" ca="1">_xlfn.IFS(AND($E101&lt;&gt;"",$M101="Pending",$K101="CTA"),TODAY()-$G101,AND($E101&lt;&gt;"",$M101="Pending",$K101="AUR"),TODAY()-$H101,AND($E101&lt;&gt;"",$M101="Pending",$K101="STT"),TODAY()-$I101,OR(K101="Closed",K101=""),"")</f>
        <v>0</v>
      </c>
      <c r="M101" s="276" t="str">
        <f>VLOOKUP(C101,EL!$C$4:$K$975,9,0)</f>
        <v>Pending</v>
      </c>
      <c r="N101" s="269" t="str">
        <f t="shared" ca="1" si="5"/>
        <v/>
      </c>
      <c r="O101" s="293"/>
    </row>
    <row r="102" spans="1:15" ht="34.950000000000003" customHeight="1" x14ac:dyDescent="0.25">
      <c r="A102" s="269">
        <f t="shared" si="6"/>
        <v>52</v>
      </c>
      <c r="B102" s="283" t="s">
        <v>50</v>
      </c>
      <c r="C102" s="282" t="s">
        <v>256</v>
      </c>
      <c r="D102" s="281" t="str">
        <f>VLOOKUP(C102,EL!$C$4:$J$60,2,0)</f>
        <v>Confirmation for MV Cable Ladder Color Coding</v>
      </c>
      <c r="E102" s="269">
        <f>IF(VLOOKUP(C102,EL!$C$4:$J$975,6,0)="","",VLOOKUP(C102,EL!$C$4:$J$975,6,0))</f>
        <v>0</v>
      </c>
      <c r="F102" s="272"/>
      <c r="G102" s="272">
        <f>IF(VLOOKUP(C102,EL!$C$4:$J$975,4,0)="","",VLOOKUP(C102,EL!$C$4:$J$975,4,0))</f>
        <v>46064</v>
      </c>
      <c r="H102" s="273" t="str">
        <f>IF(VLOOKUP(C102,EL!$C$4:$AA$975,13,0)="","",IF(E102=0,VLOOKUP(C102,EL!$C$4:$AA$975,13,0),IF(E102=1,VLOOKUP(C102,EL!$C$4:$AA$975,17,0),IF(E102=2,VLOOKUP(C102,EL!$C$4:$AA$975,22,0),""))))</f>
        <v/>
      </c>
      <c r="I102" s="273" t="str">
        <f>IF(VLOOKUP(C102,EL!$C$4:$AA$975,14,0)="","",IF(E102=0,VLOOKUP(C102,EL!$C$4:$AA$975,14,0),IF(E102=1,VLOOKUP(C102,EL!$C$4:$AA$975,18,0),IF(E102=2,VLOOKUP(C102,EL!$C$4:$AA$975,23,0),""))))</f>
        <v/>
      </c>
      <c r="J102" s="273" t="str">
        <f>IF(VLOOKUP(C102,EL!$C$4:$AA$66,15,0)="","",IF(E102=0,VLOOKUP(C102,EL!$C$4:$AA$66,15,0),IF(E102=1,VLOOKUP(C102,EL!$C$4:$AA$66,20,0),IF(E102=2,VLOOKUP(C102,EL!$C$4:$AA$66,25,0),""))))</f>
        <v/>
      </c>
      <c r="K102" s="276" t="str">
        <f>VLOOKUP(C102,EL!$C$4:$K$1035,8,0)</f>
        <v>CTA</v>
      </c>
      <c r="L102" s="275" cm="1">
        <f t="array" aca="1" ref="L102" ca="1">_xlfn.IFS(AND($E102&lt;&gt;"",$M102="Pending",$K102="CTA"),TODAY()-$G102,AND($E102&lt;&gt;"",$M102="Pending",$K102="AUR"),TODAY()-$H102,AND($E102&lt;&gt;"",$M102="Pending",$K102="STT"),TODAY()-$I102,OR(K102="Closed",K102=""),"")</f>
        <v>0</v>
      </c>
      <c r="M102" s="276" t="str">
        <f>VLOOKUP(C102,EL!$C$4:$K$975,9,0)</f>
        <v>Pending</v>
      </c>
      <c r="N102" s="269" t="str">
        <f t="shared" ca="1" si="5"/>
        <v/>
      </c>
      <c r="O102" s="293"/>
    </row>
    <row r="103" spans="1:15" ht="32.25" hidden="1" customHeight="1" x14ac:dyDescent="0.25">
      <c r="A103" s="269">
        <f t="shared" si="6"/>
        <v>53</v>
      </c>
      <c r="B103" s="283" t="s">
        <v>50</v>
      </c>
      <c r="C103" s="282" t="s">
        <v>258</v>
      </c>
      <c r="D103" s="281">
        <f>VLOOKUP(C103,EL!$C$4:$J$60,2,0)</f>
        <v>0</v>
      </c>
      <c r="E103" s="269" t="str">
        <f>IF(VLOOKUP(C103,EL!$C$4:$J$975,6,0)="","",VLOOKUP(C103,EL!$C$4:$J$975,6,0))</f>
        <v/>
      </c>
      <c r="F103" s="272"/>
      <c r="G103" s="272" t="str">
        <f>IF(VLOOKUP(C103,EL!$C$4:$J$975,4,0)="","",VLOOKUP(C103,EL!$C$4:$J$975,4,0))</f>
        <v/>
      </c>
      <c r="H103" s="273" t="str">
        <f>IF(VLOOKUP(C103,EL!$C$4:$AA$975,13,0)="","",IF(E103=0,VLOOKUP(C103,EL!$C$4:$AA$975,13,0),IF(E103=1,VLOOKUP(C103,EL!$C$4:$AA$975,17,0),IF(E103=2,VLOOKUP(C103,EL!$C$4:$AA$975,22,0),""))))</f>
        <v/>
      </c>
      <c r="I103" s="273" t="str">
        <f>IF(VLOOKUP(C103,EL!$C$4:$AA$975,14,0)="","",IF(E103=0,VLOOKUP(C103,EL!$C$4:$AA$975,14,0),IF(E103=1,VLOOKUP(C103,EL!$C$4:$AA$975,18,0),IF(E103=2,VLOOKUP(C103,EL!$C$4:$AA$975,23,0),""))))</f>
        <v/>
      </c>
      <c r="J103" s="273" t="str">
        <f>IF(VLOOKUP(C103,EL!$C$4:$AA$66,15,0)="","",IF(E103=0,VLOOKUP(C103,EL!$C$4:$AA$66,15,0),IF(E103=1,VLOOKUP(C103,EL!$C$4:$AA$66,20,0),IF(E103=2,VLOOKUP(C103,EL!$C$4:$AA$66,25,0),""))))</f>
        <v/>
      </c>
      <c r="K103" s="276">
        <f>VLOOKUP(C103,EL!$C$4:$K$1035,8,0)</f>
        <v>0</v>
      </c>
      <c r="L103" s="275" t="e" cm="1">
        <f t="array" aca="1" ref="L103" ca="1">_xlfn.IFS(AND($E103&lt;&gt;"",$M103="Pending",$K103="CTA"),TODAY()-$G103,AND($E103&lt;&gt;"",$M103="Pending",$K103="AUR"),TODAY()-$H103,AND($E103&lt;&gt;"",$M103="Pending",$K103="STT"),TODAY()-$I103,OR(K103="Closed",K103=""),"")</f>
        <v>#N/A</v>
      </c>
      <c r="M103" s="276">
        <f>VLOOKUP(C103,EL!$C$4:$K$975,9,0)</f>
        <v>0</v>
      </c>
      <c r="N103" s="269" t="str">
        <f t="shared" si="5"/>
        <v/>
      </c>
      <c r="O103" s="293"/>
    </row>
    <row r="104" spans="1:15" ht="32.25" hidden="1" customHeight="1" x14ac:dyDescent="0.25">
      <c r="A104" s="269">
        <f t="shared" si="6"/>
        <v>54</v>
      </c>
      <c r="B104" s="283" t="s">
        <v>50</v>
      </c>
      <c r="C104" s="282" t="s">
        <v>259</v>
      </c>
      <c r="D104" s="281">
        <f>VLOOKUP(C104,EL!$C$4:$J$60,2,0)</f>
        <v>0</v>
      </c>
      <c r="E104" s="269" t="str">
        <f>IF(VLOOKUP(C104,EL!$C$4:$J$975,6,0)="","",VLOOKUP(C104,EL!$C$4:$J$975,6,0))</f>
        <v/>
      </c>
      <c r="F104" s="272"/>
      <c r="G104" s="272" t="str">
        <f>IF(VLOOKUP(C104,EL!$C$4:$J$975,4,0)="","",VLOOKUP(C104,EL!$C$4:$J$975,4,0))</f>
        <v/>
      </c>
      <c r="H104" s="273" t="str">
        <f>IF(VLOOKUP(C104,EL!$C$4:$AA$975,13,0)="","",IF(E104=0,VLOOKUP(C104,EL!$C$4:$AA$975,13,0),IF(E104=1,VLOOKUP(C104,EL!$C$4:$AA$975,17,0),IF(E104=2,VLOOKUP(C104,EL!$C$4:$AA$975,22,0),""))))</f>
        <v/>
      </c>
      <c r="I104" s="273" t="str">
        <f>IF(VLOOKUP(C104,EL!$C$4:$AA$975,14,0)="","",IF(E104=0,VLOOKUP(C104,EL!$C$4:$AA$975,14,0),IF(E104=1,VLOOKUP(C104,EL!$C$4:$AA$975,18,0),IF(E104=2,VLOOKUP(C104,EL!$C$4:$AA$975,23,0),""))))</f>
        <v/>
      </c>
      <c r="J104" s="273" t="str">
        <f>IF(VLOOKUP(C104,EL!$C$4:$AA$66,15,0)="","",IF(E104=0,VLOOKUP(C104,EL!$C$4:$AA$66,15,0),IF(E104=1,VLOOKUP(C104,EL!$C$4:$AA$66,20,0),IF(E104=2,VLOOKUP(C104,EL!$C$4:$AA$66,25,0),""))))</f>
        <v/>
      </c>
      <c r="K104" s="276">
        <f>VLOOKUP(C104,EL!$C$4:$K$1035,8,0)</f>
        <v>0</v>
      </c>
      <c r="L104" s="275" t="e" cm="1">
        <f t="array" aca="1" ref="L104" ca="1">_xlfn.IFS(AND($E104&lt;&gt;"",$M104="Pending",$K104="CTA"),TODAY()-$G104,AND($E104&lt;&gt;"",$M104="Pending",$K104="AUR"),TODAY()-$H104,AND($E104&lt;&gt;"",$M104="Pending",$K104="STT"),TODAY()-$I104,OR(K104="Closed",K104=""),"")</f>
        <v>#N/A</v>
      </c>
      <c r="M104" s="276">
        <f>VLOOKUP(C104,EL!$C$4:$K$975,9,0)</f>
        <v>0</v>
      </c>
      <c r="N104" s="269" t="str">
        <f t="shared" si="5"/>
        <v/>
      </c>
      <c r="O104" s="293"/>
    </row>
    <row r="105" spans="1:15" ht="32.25" hidden="1" customHeight="1" x14ac:dyDescent="0.25">
      <c r="A105" s="279"/>
      <c r="C105" s="357"/>
      <c r="E105" s="280"/>
      <c r="F105" s="272"/>
      <c r="G105" s="272"/>
      <c r="H105" s="273"/>
      <c r="I105" s="273"/>
      <c r="J105" s="273"/>
      <c r="K105" s="276"/>
      <c r="L105" s="275"/>
      <c r="M105" s="276"/>
      <c r="N105" s="269"/>
      <c r="O105" s="293"/>
    </row>
    <row r="106" spans="1:15" ht="32.25" hidden="1" customHeight="1" x14ac:dyDescent="0.25">
      <c r="A106" s="279"/>
      <c r="B106" s="294"/>
      <c r="C106" s="295"/>
      <c r="D106" s="296"/>
      <c r="E106" s="280"/>
      <c r="F106" s="297"/>
      <c r="G106" s="272" t="e">
        <f>IF(VLOOKUP(C106,EL!$C$4:$J$975,4,0)="","",VLOOKUP(C106,EL!$C$4:$J$975,4,0))</f>
        <v>#N/A</v>
      </c>
      <c r="H106" s="273"/>
      <c r="I106" s="273" t="e">
        <f>IF(VLOOKUP(C106,EL!$C$4:$AA$975,14,0)="","",IF(E106=0,VLOOKUP(C106,EL!$C$4:$AA$975,14,0),IF(E106=1,VLOOKUP(C106,EL!$C$4:$AA$975,18,0),IF(E106=2,VLOOKUP(C106,EL!$C$4:$AA$975,23,0),""))))</f>
        <v>#N/A</v>
      </c>
      <c r="J106" s="273" t="e">
        <f>IF(VLOOKUP(C106,EL!$C$4:$AA$66,15,0)="","",IF(E106=0,VLOOKUP(C106,EL!$C$4:$AA$66,15,0),IF(E106=1,VLOOKUP(C106,EL!$C$4:$AA$66,20,0),IF(E106=2,VLOOKUP(C106,EL!$C$4:$AA$66,25,0),""))))</f>
        <v>#N/A</v>
      </c>
      <c r="K106" s="276" t="e">
        <f>VLOOKUP(C106,EL!$C$4:$K$1035,8,0)</f>
        <v>#N/A</v>
      </c>
      <c r="L106" s="275" t="e" cm="1">
        <f t="array" aca="1" ref="L106" ca="1">_xlfn.IFS(AND($E106&lt;&gt;"",$M106="Pending",$K106="CTA"),TODAY()-$G106,AND($E106&lt;&gt;"",$M106="Pending",$K106="AUR"),TODAY()-$H106,AND($E106&lt;&gt;"",$M106="Pending",$K106="STT"),TODAY()-$I106,OR(K106="Closed",K106=""),"")</f>
        <v>#N/A</v>
      </c>
      <c r="M106" s="276" t="e">
        <f>VLOOKUP(C106,EL!$C$4:$K$975,9,0)</f>
        <v>#N/A</v>
      </c>
      <c r="N106" s="269" t="e">
        <f t="shared" si="3"/>
        <v>#N/A</v>
      </c>
      <c r="O106" s="277"/>
    </row>
    <row r="107" spans="1:15" ht="32.25" hidden="1" customHeight="1" x14ac:dyDescent="0.25">
      <c r="A107" s="285" t="s">
        <v>375</v>
      </c>
      <c r="B107" s="298"/>
      <c r="C107" s="299"/>
      <c r="D107" s="300"/>
      <c r="E107" s="287"/>
      <c r="F107" s="287" t="s">
        <v>370</v>
      </c>
      <c r="G107" s="287"/>
      <c r="H107" s="287"/>
      <c r="I107" s="287"/>
      <c r="J107" s="287"/>
      <c r="K107" s="287"/>
      <c r="L107" s="287"/>
      <c r="M107" s="287"/>
      <c r="N107" s="287"/>
      <c r="O107" s="287"/>
    </row>
    <row r="108" spans="1:15" ht="32.25" customHeight="1" x14ac:dyDescent="0.25">
      <c r="A108" s="269">
        <v>1</v>
      </c>
      <c r="B108" s="283" t="s">
        <v>21</v>
      </c>
      <c r="C108" s="282" t="s">
        <v>261</v>
      </c>
      <c r="D108" s="281" t="str">
        <f>VLOOKUP(C108,FI!$C$4:$J$75,2,0)</f>
        <v>Request for Information - IG 100 or Wet Sprinkler for HV UG Entry Room 1st FL</v>
      </c>
      <c r="E108" s="269">
        <f>IF(VLOOKUP(C108,FI!$C$4:$J$939,6,0)="","",VLOOKUP(C108,FI!$C$4:$J$939,6,0))</f>
        <v>0</v>
      </c>
      <c r="F108" s="272"/>
      <c r="G108" s="272">
        <f>IF(VLOOKUP(C108,FI!$C$4:$J$939,4,0)="","",VLOOKUP(C108,FI!$C$4:$J$939,4,0))</f>
        <v>46044</v>
      </c>
      <c r="H108" s="273">
        <f>IF(VLOOKUP(C108,FI!$C$4:$AA$939,13,0)="","",IF(E108=0,VLOOKUP(C108,FI!$C$4:$AA$939,13,0),IF(E108=1,VLOOKUP(C108,FI!$C$4:$AA$939,17,0),IF(E108=2,VLOOKUP(C108,FI!$C$4:$AA$939,22,0),""))))</f>
        <v>46059</v>
      </c>
      <c r="I108" s="273" t="str">
        <f>IF(VLOOKUP(C108,FI!$C$4:$AA$939,14,0)="","",IF(E108=0,VLOOKUP(C108,FI!$C$4:$AA$939,14,0),IF(E108=1,VLOOKUP(C108,FI!$C$4:$AA$939,18,0),IF(E108=2,VLOOKUP(C108,FI!$C$4:$AA$939,23,0),""))))</f>
        <v/>
      </c>
      <c r="J108" s="273" t="str">
        <f>IF(VLOOKUP(C108,FI!$C$4:$AA$46,15,0)="","",IF(E108=0,VLOOKUP(C108,FI!$C$4:$AA$46,15,0),IF(E108=1,VLOOKUP(C108,FI!$C$4:$AA$46,20,0),IF(E108=2,VLOOKUP(C108,FI!$C$4:$AA$46,25,0),""))))</f>
        <v/>
      </c>
      <c r="K108" s="276" t="str">
        <f>VLOOKUP(C108,FI!$C$4:$K$999,8,0)</f>
        <v>AUR</v>
      </c>
      <c r="L108" s="275" cm="1">
        <f t="array" aca="1" ref="L108" ca="1">_xlfn.IFS(AND($E108&lt;&gt;"",$M108="Pending",$K108="CTA"),TODAY()-$G108,AND($E108&lt;&gt;"",$M108="Pending",$K108="AUR"),TODAY()-$H108,AND($E108&lt;&gt;"",$M108="Pending",$K108="STT"),TODAY()-$I108,OR(K108="Closed",K108=""),"")</f>
        <v>5</v>
      </c>
      <c r="M108" s="276" t="str">
        <f>VLOOKUP(C108,FI!$C$4:$K$939,9,0)</f>
        <v>Pending</v>
      </c>
      <c r="N108" s="269" t="str">
        <f t="shared" ref="N108:N128" ca="1" si="7">IF(AND(E108&lt;&gt;"",M108="Pending"),IF(L108&gt;=5,"Overdue",IF(L108&gt;=3,"High","")),"")</f>
        <v>Overdue</v>
      </c>
      <c r="O108" s="293"/>
    </row>
    <row r="109" spans="1:15" ht="32.25" customHeight="1" x14ac:dyDescent="0.25">
      <c r="A109" s="269">
        <v>2</v>
      </c>
      <c r="B109" s="283" t="s">
        <v>21</v>
      </c>
      <c r="C109" s="282" t="s">
        <v>263</v>
      </c>
      <c r="D109" s="281" t="str">
        <f>VLOOKUP(C109,FI!$C$4:$J$75,2,0)</f>
        <v>Symbol to use with Jockey Pump</v>
      </c>
      <c r="E109" s="269">
        <f>IF(VLOOKUP(C109,FI!$C$4:$J$939,6,0)="","",VLOOKUP(C109,FI!$C$4:$J$939,6,0))</f>
        <v>0</v>
      </c>
      <c r="F109" s="272"/>
      <c r="G109" s="272">
        <f>IF(VLOOKUP(C109,FI!$C$4:$J$939,4,0)="","",VLOOKUP(C109,FI!$C$4:$J$939,4,0))</f>
        <v>46036</v>
      </c>
      <c r="H109" s="273">
        <f>IF(VLOOKUP(C109,FI!$C$4:$AA$939,13,0)="","",IF(E109=0,VLOOKUP(C109,FI!$C$4:$AA$939,13,0),IF(E109=1,VLOOKUP(C109,FI!$C$4:$AA$939,17,0),IF(E109=2,VLOOKUP(C109,FI!$C$4:$AA$939,22,0),""))))</f>
        <v>46059</v>
      </c>
      <c r="I109" s="273" t="str">
        <f>IF(VLOOKUP(C109,FI!$C$4:$AA$939,14,0)="","",IF(E109=0,VLOOKUP(C109,FI!$C$4:$AA$939,14,0),IF(E109=1,VLOOKUP(C109,FI!$C$4:$AA$939,18,0),IF(E109=2,VLOOKUP(C109,FI!$C$4:$AA$939,23,0),""))))</f>
        <v/>
      </c>
      <c r="J109" s="273" t="str">
        <f>IF(VLOOKUP(C109,FI!$C$4:$AA$46,15,0)="","",IF(E109=0,VLOOKUP(C109,FI!$C$4:$AA$46,15,0),IF(E109=1,VLOOKUP(C109,FI!$C$4:$AA$46,20,0),IF(E109=2,VLOOKUP(C109,FI!$C$4:$AA$46,25,0),""))))</f>
        <v/>
      </c>
      <c r="K109" s="276" t="str">
        <f>VLOOKUP(C109,FI!$C$4:$K$999,8,0)</f>
        <v>AUR</v>
      </c>
      <c r="L109" s="275" cm="1">
        <f t="array" aca="1" ref="L109" ca="1">_xlfn.IFS(AND($E109&lt;&gt;"",$M109="Pending",$K109="CTA"),TODAY()-$G109,AND($E109&lt;&gt;"",$M109="Pending",$K109="AUR"),TODAY()-$H109,AND($E109&lt;&gt;"",$M109="Pending",$K109="STT"),TODAY()-$I109,OR(K109="Closed",K109=""),"")</f>
        <v>5</v>
      </c>
      <c r="M109" s="276" t="str">
        <f>VLOOKUP(C109,FI!$C$4:$K$939,9,0)</f>
        <v>Pending</v>
      </c>
      <c r="N109" s="269" t="str">
        <f t="shared" ca="1" si="7"/>
        <v>Overdue</v>
      </c>
      <c r="O109" s="293"/>
    </row>
    <row r="110" spans="1:15" ht="32.25" customHeight="1" x14ac:dyDescent="0.25">
      <c r="A110" s="269">
        <v>3</v>
      </c>
      <c r="B110" s="283" t="s">
        <v>21</v>
      </c>
      <c r="C110" s="282" t="s">
        <v>265</v>
      </c>
      <c r="D110" s="281" t="str">
        <f>VLOOKUP(C110,FI!$C$4:$J$75,2,0)</f>
        <v>Name of Data Hall (1, 2, 3 or A, B, C )</v>
      </c>
      <c r="E110" s="269">
        <f>IF(VLOOKUP(C110,FI!$C$4:$J$939,6,0)="","",VLOOKUP(C110,FI!$C$4:$J$939,6,0))</f>
        <v>0</v>
      </c>
      <c r="F110" s="272"/>
      <c r="G110" s="272">
        <f>IF(VLOOKUP(C110,FI!$C$4:$J$939,4,0)="","",VLOOKUP(C110,FI!$C$4:$J$939,4,0))</f>
        <v>46036</v>
      </c>
      <c r="H110" s="273">
        <f>IF(VLOOKUP(C110,FI!$C$4:$AA$939,13,0)="","",IF(E110=0,VLOOKUP(C110,FI!$C$4:$AA$939,13,0),IF(E110=1,VLOOKUP(C110,FI!$C$4:$AA$939,17,0),IF(E110=2,VLOOKUP(C110,FI!$C$4:$AA$939,22,0),""))))</f>
        <v>46059</v>
      </c>
      <c r="I110" s="273" t="str">
        <f>IF(VLOOKUP(C110,FI!$C$4:$AA$939,14,0)="","",IF(E110=0,VLOOKUP(C110,FI!$C$4:$AA$939,14,0),IF(E110=1,VLOOKUP(C110,FI!$C$4:$AA$939,18,0),IF(E110=2,VLOOKUP(C110,FI!$C$4:$AA$939,23,0),""))))</f>
        <v/>
      </c>
      <c r="J110" s="273" t="str">
        <f>IF(VLOOKUP(C110,FI!$C$4:$AA$46,15,0)="","",IF(E110=0,VLOOKUP(C110,FI!$C$4:$AA$46,15,0),IF(E110=1,VLOOKUP(C110,FI!$C$4:$AA$46,20,0),IF(E110=2,VLOOKUP(C110,FI!$C$4:$AA$46,25,0),""))))</f>
        <v/>
      </c>
      <c r="K110" s="276" t="str">
        <f>VLOOKUP(C110,FI!$C$4:$K$999,8,0)</f>
        <v>AUR</v>
      </c>
      <c r="L110" s="275" cm="1">
        <f t="array" aca="1" ref="L110" ca="1">_xlfn.IFS(AND($E110&lt;&gt;"",$M110="Pending",$K110="CTA"),TODAY()-$G110,AND($E110&lt;&gt;"",$M110="Pending",$K110="AUR"),TODAY()-$H110,AND($E110&lt;&gt;"",$M110="Pending",$K110="STT"),TODAY()-$I110,OR(K110="Closed",K110=""),"")</f>
        <v>5</v>
      </c>
      <c r="M110" s="276" t="str">
        <f>VLOOKUP(C110,FI!$C$4:$K$939,9,0)</f>
        <v>Pending</v>
      </c>
      <c r="N110" s="269" t="str">
        <f t="shared" ca="1" si="7"/>
        <v>Overdue</v>
      </c>
      <c r="O110" s="293"/>
    </row>
    <row r="111" spans="1:15" ht="32.25" customHeight="1" x14ac:dyDescent="0.25">
      <c r="A111" s="269">
        <v>4</v>
      </c>
      <c r="B111" s="283" t="s">
        <v>21</v>
      </c>
      <c r="C111" s="282" t="s">
        <v>267</v>
      </c>
      <c r="D111" s="281" t="str">
        <f>VLOOKUP(C111,FI!$C$4:$J$75,2,0)</f>
        <v>Sprinkler Corridor 1st FL is Fit Out</v>
      </c>
      <c r="E111" s="269">
        <f>IF(VLOOKUP(C111,FI!$C$4:$J$939,6,0)="","",VLOOKUP(C111,FI!$C$4:$J$939,6,0))</f>
        <v>0</v>
      </c>
      <c r="F111" s="272"/>
      <c r="G111" s="272">
        <f>IF(VLOOKUP(C111,FI!$C$4:$J$939,4,0)="","",VLOOKUP(C111,FI!$C$4:$J$939,4,0))</f>
        <v>46044</v>
      </c>
      <c r="H111" s="273">
        <f>IF(VLOOKUP(C111,FI!$C$4:$AA$939,13,0)="","",IF(E111=0,VLOOKUP(C111,FI!$C$4:$AA$939,13,0),IF(E111=1,VLOOKUP(C111,FI!$C$4:$AA$939,17,0),IF(E111=2,VLOOKUP(C111,FI!$C$4:$AA$939,22,0),""))))</f>
        <v>46062</v>
      </c>
      <c r="I111" s="273" t="str">
        <f>IF(VLOOKUP(C111,FI!$C$4:$AA$939,14,0)="","",IF(E111=0,VLOOKUP(C111,FI!$C$4:$AA$939,14,0),IF(E111=1,VLOOKUP(C111,FI!$C$4:$AA$939,18,0),IF(E111=2,VLOOKUP(C111,FI!$C$4:$AA$939,23,0),""))))</f>
        <v/>
      </c>
      <c r="J111" s="273" t="str">
        <f>IF(VLOOKUP(C111,FI!$C$4:$AA$46,15,0)="","",IF(E111=0,VLOOKUP(C111,FI!$C$4:$AA$46,15,0),IF(E111=1,VLOOKUP(C111,FI!$C$4:$AA$46,20,0),IF(E111=2,VLOOKUP(C111,FI!$C$4:$AA$46,25,0),""))))</f>
        <v/>
      </c>
      <c r="K111" s="276" t="str">
        <f>VLOOKUP(C111,FI!$C$4:$K$999,8,0)</f>
        <v>AUR</v>
      </c>
      <c r="L111" s="275" cm="1">
        <f t="array" aca="1" ref="L111" ca="1">_xlfn.IFS(AND($E111&lt;&gt;"",$M111="Pending",$K111="CTA"),TODAY()-$G111,AND($E111&lt;&gt;"",$M111="Pending",$K111="AUR"),TODAY()-$H111,AND($E111&lt;&gt;"",$M111="Pending",$K111="STT"),TODAY()-$I111,OR(K111="Closed",K111=""),"")</f>
        <v>2</v>
      </c>
      <c r="M111" s="276" t="str">
        <f>VLOOKUP(C111,FI!$C$4:$K$939,9,0)</f>
        <v>Pending</v>
      </c>
      <c r="N111" s="269" t="str">
        <f t="shared" ca="1" si="7"/>
        <v/>
      </c>
      <c r="O111" s="293"/>
    </row>
    <row r="112" spans="1:15" ht="32.25" customHeight="1" x14ac:dyDescent="0.25">
      <c r="A112" s="269">
        <v>5</v>
      </c>
      <c r="B112" s="283" t="s">
        <v>21</v>
      </c>
      <c r="C112" s="282" t="s">
        <v>269</v>
      </c>
      <c r="D112" s="281" t="str">
        <f>VLOOKUP(C112,FI!$C$4:$J$75,2,0)</f>
        <v>Confirm the Location of Fire Hose Cabinet 1st</v>
      </c>
      <c r="E112" s="269">
        <f>IF(VLOOKUP(C112,FI!$C$4:$J$939,6,0)="","",VLOOKUP(C112,FI!$C$4:$J$939,6,0))</f>
        <v>0</v>
      </c>
      <c r="F112" s="272"/>
      <c r="G112" s="272">
        <f>IF(VLOOKUP(C112,FI!$C$4:$J$939,4,0)="","",VLOOKUP(C112,FI!$C$4:$J$939,4,0))</f>
        <v>46036</v>
      </c>
      <c r="H112" s="273">
        <f>IF(VLOOKUP(C112,FI!$C$4:$AA$939,13,0)="","",IF(E112=0,VLOOKUP(C112,FI!$C$4:$AA$939,13,0),IF(E112=1,VLOOKUP(C112,FI!$C$4:$AA$939,17,0),IF(E112=2,VLOOKUP(C112,FI!$C$4:$AA$939,22,0),""))))</f>
        <v>46059</v>
      </c>
      <c r="I112" s="273" t="str">
        <f>IF(VLOOKUP(C112,FI!$C$4:$AA$939,14,0)="","",IF(E112=0,VLOOKUP(C112,FI!$C$4:$AA$939,14,0),IF(E112=1,VLOOKUP(C112,FI!$C$4:$AA$939,18,0),IF(E112=2,VLOOKUP(C112,FI!$C$4:$AA$939,23,0),""))))</f>
        <v/>
      </c>
      <c r="J112" s="273" t="str">
        <f>IF(VLOOKUP(C112,FI!$C$4:$AA$46,15,0)="","",IF(E112=0,VLOOKUP(C112,FI!$C$4:$AA$46,15,0),IF(E112=1,VLOOKUP(C112,FI!$C$4:$AA$46,20,0),IF(E112=2,VLOOKUP(C112,FI!$C$4:$AA$46,25,0),""))))</f>
        <v/>
      </c>
      <c r="K112" s="276" t="str">
        <f>VLOOKUP(C112,FI!$C$4:$K$999,8,0)</f>
        <v>AUR</v>
      </c>
      <c r="L112" s="275" cm="1">
        <f t="array" aca="1" ref="L112" ca="1">_xlfn.IFS(AND($E112&lt;&gt;"",$M112="Pending",$K112="CTA"),TODAY()-$G112,AND($E112&lt;&gt;"",$M112="Pending",$K112="AUR"),TODAY()-$H112,AND($E112&lt;&gt;"",$M112="Pending",$K112="STT"),TODAY()-$I112,OR(K112="Closed",K112=""),"")</f>
        <v>5</v>
      </c>
      <c r="M112" s="276" t="str">
        <f>VLOOKUP(C112,FI!$C$4:$K$939,9,0)</f>
        <v>Pending</v>
      </c>
      <c r="N112" s="269" t="str">
        <f t="shared" ca="1" si="7"/>
        <v>Overdue</v>
      </c>
      <c r="O112" s="293"/>
    </row>
    <row r="113" spans="1:15" ht="32.25" customHeight="1" x14ac:dyDescent="0.25">
      <c r="A113" s="269">
        <v>6</v>
      </c>
      <c r="B113" s="283" t="s">
        <v>21</v>
      </c>
      <c r="C113" s="282" t="s">
        <v>271</v>
      </c>
      <c r="D113" s="281" t="str">
        <f>VLOOKUP(C113,FI!$C$4:$J$75,2,0)</f>
        <v>Needed Installation Detail of Fire Hose Cabinet in Pump Room</v>
      </c>
      <c r="E113" s="269">
        <f>IF(VLOOKUP(C113,FI!$C$4:$J$939,6,0)="","",VLOOKUP(C113,FI!$C$4:$J$939,6,0))</f>
        <v>0</v>
      </c>
      <c r="F113" s="272"/>
      <c r="G113" s="272">
        <f>IF(VLOOKUP(C113,FI!$C$4:$J$939,4,0)="","",VLOOKUP(C113,FI!$C$4:$J$939,4,0))</f>
        <v>46036</v>
      </c>
      <c r="H113" s="273">
        <f>IF(VLOOKUP(C113,FI!$C$4:$AA$939,13,0)="","",IF(E113=0,VLOOKUP(C113,FI!$C$4:$AA$939,13,0),IF(E113=1,VLOOKUP(C113,FI!$C$4:$AA$939,17,0),IF(E113=2,VLOOKUP(C113,FI!$C$4:$AA$939,22,0),""))))</f>
        <v>46059</v>
      </c>
      <c r="I113" s="273" t="str">
        <f>IF(VLOOKUP(C113,FI!$C$4:$AA$939,14,0)="","",IF(E113=0,VLOOKUP(C113,FI!$C$4:$AA$939,14,0),IF(E113=1,VLOOKUP(C113,FI!$C$4:$AA$939,18,0),IF(E113=2,VLOOKUP(C113,FI!$C$4:$AA$939,23,0),""))))</f>
        <v/>
      </c>
      <c r="J113" s="273" t="str">
        <f>IF(VLOOKUP(C113,FI!$C$4:$AA$46,15,0)="","",IF(E113=0,VLOOKUP(C113,FI!$C$4:$AA$46,15,0),IF(E113=1,VLOOKUP(C113,FI!$C$4:$AA$46,20,0),IF(E113=2,VLOOKUP(C113,FI!$C$4:$AA$46,25,0),""))))</f>
        <v/>
      </c>
      <c r="K113" s="276" t="str">
        <f>VLOOKUP(C113,FI!$C$4:$K$999,8,0)</f>
        <v>AUR</v>
      </c>
      <c r="L113" s="275" cm="1">
        <f t="array" aca="1" ref="L113" ca="1">_xlfn.IFS(AND($E113&lt;&gt;"",$M113="Pending",$K113="CTA"),TODAY()-$G113,AND($E113&lt;&gt;"",$M113="Pending",$K113="AUR"),TODAY()-$H113,AND($E113&lt;&gt;"",$M113="Pending",$K113="STT"),TODAY()-$I113,OR(K113="Closed",K113=""),"")</f>
        <v>5</v>
      </c>
      <c r="M113" s="276" t="str">
        <f>VLOOKUP(C113,FI!$C$4:$K$939,9,0)</f>
        <v>Pending</v>
      </c>
      <c r="N113" s="269" t="str">
        <f t="shared" ca="1" si="7"/>
        <v>Overdue</v>
      </c>
      <c r="O113" s="293"/>
    </row>
    <row r="114" spans="1:15" ht="32.25" customHeight="1" x14ac:dyDescent="0.25">
      <c r="A114" s="269">
        <v>7</v>
      </c>
      <c r="B114" s="283" t="s">
        <v>21</v>
      </c>
      <c r="C114" s="282" t="s">
        <v>273</v>
      </c>
      <c r="D114" s="281" t="str">
        <f>VLOOKUP(C114,FI!$C$4:$J$75,2,0)</f>
        <v>Confirm The Main Pipe Size</v>
      </c>
      <c r="E114" s="269">
        <f>IF(VLOOKUP(C114,FI!$C$4:$J$939,6,0)="","",VLOOKUP(C114,FI!$C$4:$J$939,6,0))</f>
        <v>0</v>
      </c>
      <c r="F114" s="272"/>
      <c r="G114" s="272">
        <f>IF(VLOOKUP(C114,FI!$C$4:$J$939,4,0)="","",VLOOKUP(C114,FI!$C$4:$J$939,4,0))</f>
        <v>46044</v>
      </c>
      <c r="H114" s="273">
        <f>IF(VLOOKUP(C114,FI!$C$4:$AA$939,13,0)="","",IF(E114=0,VLOOKUP(C114,FI!$C$4:$AA$939,13,0),IF(E114=1,VLOOKUP(C114,FI!$C$4:$AA$939,17,0),IF(E114=2,VLOOKUP(C114,FI!$C$4:$AA$939,22,0),""))))</f>
        <v>46044</v>
      </c>
      <c r="I114" s="273" t="str">
        <f>IF(VLOOKUP(C114,FI!$C$4:$AA$939,14,0)="","",IF(E114=0,VLOOKUP(C114,FI!$C$4:$AA$939,14,0),IF(E114=1,VLOOKUP(C114,FI!$C$4:$AA$939,18,0),IF(E114=2,VLOOKUP(C114,FI!$C$4:$AA$939,23,0),""))))</f>
        <v/>
      </c>
      <c r="J114" s="273" t="str">
        <f>IF(VLOOKUP(C114,FI!$C$4:$AA$46,15,0)="","",IF(E114=0,VLOOKUP(C114,FI!$C$4:$AA$46,15,0),IF(E114=1,VLOOKUP(C114,FI!$C$4:$AA$46,20,0),IF(E114=2,VLOOKUP(C114,FI!$C$4:$AA$46,25,0),""))))</f>
        <v/>
      </c>
      <c r="K114" s="276" t="str">
        <f>VLOOKUP(C114,FI!$C$4:$K$999,8,0)</f>
        <v>AUR</v>
      </c>
      <c r="L114" s="275" cm="1">
        <f t="array" aca="1" ref="L114" ca="1">_xlfn.IFS(AND($E114&lt;&gt;"",$M114="Pending",$K114="CTA"),TODAY()-$G114,AND($E114&lt;&gt;"",$M114="Pending",$K114="AUR"),TODAY()-$H114,AND($E114&lt;&gt;"",$M114="Pending",$K114="STT"),TODAY()-$I114,OR(K114="Closed",K114=""),"")</f>
        <v>20</v>
      </c>
      <c r="M114" s="276" t="str">
        <f>VLOOKUP(C114,FI!$C$4:$K$939,9,0)</f>
        <v>Pending</v>
      </c>
      <c r="N114" s="269" t="str">
        <f t="shared" ca="1" si="7"/>
        <v>Overdue</v>
      </c>
      <c r="O114" s="316" t="s">
        <v>372</v>
      </c>
    </row>
    <row r="115" spans="1:15" ht="34.950000000000003" customHeight="1" x14ac:dyDescent="0.25">
      <c r="A115" s="269">
        <v>8</v>
      </c>
      <c r="B115" s="283" t="s">
        <v>21</v>
      </c>
      <c r="C115" s="282" t="s">
        <v>275</v>
      </c>
      <c r="D115" s="281" t="str">
        <f>VLOOKUP(C115,FI!$C$4:$J$75,2,0)</f>
        <v>Confirmation of Nitrogen Suppression System for MDF A &amp; ELV A  and MDF B &amp; ELV B (Level 2)</v>
      </c>
      <c r="E115" s="269">
        <f>IF(VLOOKUP(C115,FI!$C$4:$J$939,6,0)="","",VLOOKUP(C115,FI!$C$4:$J$939,6,0))</f>
        <v>0</v>
      </c>
      <c r="F115" s="272"/>
      <c r="G115" s="272">
        <f>IF(VLOOKUP(C115,FI!$C$4:$J$939,4,0)="","",VLOOKUP(C115,FI!$C$4:$J$939,4,0))</f>
        <v>46042</v>
      </c>
      <c r="H115" s="273">
        <f>IF(VLOOKUP(C115,FI!$C$4:$AA$939,13,0)="","",IF(E115=0,VLOOKUP(C115,FI!$C$4:$AA$939,13,0),IF(E115=1,VLOOKUP(C115,FI!$C$4:$AA$939,17,0),IF(E115=2,VLOOKUP(C115,FI!$C$4:$AA$939,22,0),""))))</f>
        <v>46059</v>
      </c>
      <c r="I115" s="273" t="str">
        <f>IF(VLOOKUP(C115,FI!$C$4:$AA$939,14,0)="","",IF(E115=0,VLOOKUP(C115,FI!$C$4:$AA$939,14,0),IF(E115=1,VLOOKUP(C115,FI!$C$4:$AA$939,18,0),IF(E115=2,VLOOKUP(C115,FI!$C$4:$AA$939,23,0),""))))</f>
        <v/>
      </c>
      <c r="J115" s="273" t="str">
        <f>IF(VLOOKUP(C115,FI!$C$4:$AA$46,15,0)="","",IF(E115=0,VLOOKUP(C115,FI!$C$4:$AA$46,15,0),IF(E115=1,VLOOKUP(C115,FI!$C$4:$AA$46,20,0),IF(E115=2,VLOOKUP(C115,FI!$C$4:$AA$46,25,0),""))))</f>
        <v/>
      </c>
      <c r="K115" s="276" t="str">
        <f>VLOOKUP(C115,FI!$C$4:$K$999,8,0)</f>
        <v>AUR</v>
      </c>
      <c r="L115" s="275" cm="1">
        <f t="array" aca="1" ref="L115" ca="1">_xlfn.IFS(AND($E115&lt;&gt;"",$M115="Pending",$K115="CTA"),TODAY()-$G115,AND($E115&lt;&gt;"",$M115="Pending",$K115="AUR"),TODAY()-$H115,AND($E115&lt;&gt;"",$M115="Pending",$K115="STT"),TODAY()-$I115,OR(K115="Closed",K115=""),"")</f>
        <v>5</v>
      </c>
      <c r="M115" s="276" t="str">
        <f>VLOOKUP(C115,FI!$C$4:$K$939,9,0)</f>
        <v>Pending</v>
      </c>
      <c r="N115" s="269" t="str">
        <f t="shared" ca="1" si="7"/>
        <v>Overdue</v>
      </c>
      <c r="O115" s="293"/>
    </row>
    <row r="116" spans="1:15" ht="34.950000000000003" customHeight="1" x14ac:dyDescent="0.25">
      <c r="A116" s="269">
        <v>9</v>
      </c>
      <c r="B116" s="283" t="s">
        <v>21</v>
      </c>
      <c r="C116" s="282" t="s">
        <v>277</v>
      </c>
      <c r="D116" s="281" t="str">
        <f>VLOOKUP(C116,FI!$C$4:$J$75,2,0)</f>
        <v xml:space="preserve">Confirmation of Butterfly Valve with Supervisory Switch Status Indication to Fire Alarm System </v>
      </c>
      <c r="E116" s="269">
        <f>IF(VLOOKUP(C116,FI!$C$4:$J$939,6,0)="","",VLOOKUP(C116,FI!$C$4:$J$939,6,0))</f>
        <v>0</v>
      </c>
      <c r="F116" s="272"/>
      <c r="G116" s="272">
        <f>IF(VLOOKUP(C116,FI!$C$4:$J$939,4,0)="","",VLOOKUP(C116,FI!$C$4:$J$939,4,0))</f>
        <v>46044</v>
      </c>
      <c r="H116" s="273">
        <f>IF(VLOOKUP(C116,FI!$C$4:$AA$939,13,0)="","",IF(E116=0,VLOOKUP(C116,FI!$C$4:$AA$939,13,0),IF(E116=1,VLOOKUP(C116,FI!$C$4:$AA$939,17,0),IF(E116=2,VLOOKUP(C116,FI!$C$4:$AA$939,22,0),""))))</f>
        <v>46059</v>
      </c>
      <c r="I116" s="273" t="str">
        <f>IF(VLOOKUP(C116,FI!$C$4:$AA$939,14,0)="","",IF(E116=0,VLOOKUP(C116,FI!$C$4:$AA$939,14,0),IF(E116=1,VLOOKUP(C116,FI!$C$4:$AA$939,18,0),IF(E116=2,VLOOKUP(C116,FI!$C$4:$AA$939,23,0),""))))</f>
        <v/>
      </c>
      <c r="J116" s="273" t="str">
        <f>IF(VLOOKUP(C116,FI!$C$4:$AA$46,15,0)="","",IF(E116=0,VLOOKUP(C116,FI!$C$4:$AA$46,15,0),IF(E116=1,VLOOKUP(C116,FI!$C$4:$AA$46,20,0),IF(E116=2,VLOOKUP(C116,FI!$C$4:$AA$46,25,0),""))))</f>
        <v/>
      </c>
      <c r="K116" s="276" t="str">
        <f>VLOOKUP(C116,FI!$C$4:$K$999,8,0)</f>
        <v>AUR</v>
      </c>
      <c r="L116" s="275" cm="1">
        <f t="array" aca="1" ref="L116" ca="1">_xlfn.IFS(AND($E116&lt;&gt;"",$M116="Pending",$K116="CTA"),TODAY()-$G116,AND($E116&lt;&gt;"",$M116="Pending",$K116="AUR"),TODAY()-$H116,AND($E116&lt;&gt;"",$M116="Pending",$K116="STT"),TODAY()-$I116,OR(K116="Closed",K116=""),"")</f>
        <v>5</v>
      </c>
      <c r="M116" s="276" t="str">
        <f>VLOOKUP(C116,FI!$C$4:$K$939,9,0)</f>
        <v>Pending</v>
      </c>
      <c r="N116" s="269" t="str">
        <f t="shared" ca="1" si="7"/>
        <v>Overdue</v>
      </c>
      <c r="O116" s="293"/>
    </row>
    <row r="117" spans="1:15" ht="34.950000000000003" customHeight="1" x14ac:dyDescent="0.25">
      <c r="A117" s="269">
        <v>10</v>
      </c>
      <c r="B117" s="283" t="s">
        <v>21</v>
      </c>
      <c r="C117" s="282" t="s">
        <v>279</v>
      </c>
      <c r="D117" s="281" t="str">
        <f>VLOOKUP(C117,FI!$C$4:$J$75,2,0)</f>
        <v>Confirm the details of the first and second horn tones activation in the Nitrogen Suppression System</v>
      </c>
      <c r="E117" s="269">
        <f>IF(VLOOKUP(C117,FI!$C$4:$J$939,6,0)="","",VLOOKUP(C117,FI!$C$4:$J$939,6,0))</f>
        <v>0</v>
      </c>
      <c r="F117" s="272"/>
      <c r="G117" s="272">
        <f>IF(VLOOKUP(C117,FI!$C$4:$J$939,4,0)="","",VLOOKUP(C117,FI!$C$4:$J$939,4,0))</f>
        <v>46044</v>
      </c>
      <c r="H117" s="273">
        <f>IF(VLOOKUP(C117,FI!$C$4:$AA$939,13,0)="","",IF(E117=0,VLOOKUP(C117,FI!$C$4:$AA$939,13,0),IF(E117=1,VLOOKUP(C117,FI!$C$4:$AA$939,17,0),IF(E117=2,VLOOKUP(C117,FI!$C$4:$AA$939,22,0),""))))</f>
        <v>46062</v>
      </c>
      <c r="I117" s="273" t="str">
        <f>IF(VLOOKUP(C117,FI!$C$4:$AA$939,14,0)="","",IF(E117=0,VLOOKUP(C117,FI!$C$4:$AA$939,14,0),IF(E117=1,VLOOKUP(C117,FI!$C$4:$AA$939,18,0),IF(E117=2,VLOOKUP(C117,FI!$C$4:$AA$939,23,0),""))))</f>
        <v/>
      </c>
      <c r="J117" s="273" t="str">
        <f>IF(VLOOKUP(C117,FI!$C$4:$AA$46,15,0)="","",IF(E117=0,VLOOKUP(C117,FI!$C$4:$AA$46,15,0),IF(E117=1,VLOOKUP(C117,FI!$C$4:$AA$46,20,0),IF(E117=2,VLOOKUP(C117,FI!$C$4:$AA$46,25,0),""))))</f>
        <v/>
      </c>
      <c r="K117" s="276" t="str">
        <f>VLOOKUP(C117,FI!$C$4:$K$999,8,0)</f>
        <v>AUR</v>
      </c>
      <c r="L117" s="275" cm="1">
        <f t="array" aca="1" ref="L117" ca="1">_xlfn.IFS(AND($E117&lt;&gt;"",$M117="Pending",$K117="CTA"),TODAY()-$G117,AND($E117&lt;&gt;"",$M117="Pending",$K117="AUR"),TODAY()-$H117,AND($E117&lt;&gt;"",$M117="Pending",$K117="STT"),TODAY()-$I117,OR(K117="Closed",K117=""),"")</f>
        <v>2</v>
      </c>
      <c r="M117" s="276" t="str">
        <f>VLOOKUP(C117,FI!$C$4:$K$939,9,0)</f>
        <v>Pending</v>
      </c>
      <c r="N117" s="269" t="str">
        <f t="shared" ca="1" si="7"/>
        <v/>
      </c>
      <c r="O117" s="293"/>
    </row>
    <row r="118" spans="1:15" ht="34.950000000000003" customHeight="1" x14ac:dyDescent="0.25">
      <c r="A118" s="269">
        <v>11</v>
      </c>
      <c r="B118" s="283" t="s">
        <v>21</v>
      </c>
      <c r="C118" s="282" t="s">
        <v>281</v>
      </c>
      <c r="D118" s="281" t="str">
        <f>VLOOKUP(C118,FI!$C$4:$J$75,2,0)</f>
        <v>Confirmation of the Details of the Activation of the LED Indication R0</v>
      </c>
      <c r="E118" s="269">
        <f>IF(VLOOKUP(C118,FI!$C$4:$J$939,6,0)="","",VLOOKUP(C118,FI!$C$4:$J$939,6,0))</f>
        <v>0</v>
      </c>
      <c r="F118" s="272"/>
      <c r="G118" s="272">
        <f>IF(VLOOKUP(C118,FI!$C$4:$J$939,4,0)="","",VLOOKUP(C118,FI!$C$4:$J$939,4,0))</f>
        <v>46042</v>
      </c>
      <c r="H118" s="273">
        <f>IF(VLOOKUP(C118,FI!$C$4:$AA$939,13,0)="","",IF(E118=0,VLOOKUP(C118,FI!$C$4:$AA$939,13,0),IF(E118=1,VLOOKUP(C118,FI!$C$4:$AA$939,17,0),IF(E118=2,VLOOKUP(C118,FI!$C$4:$AA$939,22,0),""))))</f>
        <v>46062</v>
      </c>
      <c r="I118" s="273" t="str">
        <f>IF(VLOOKUP(C118,FI!$C$4:$AA$939,14,0)="","",IF(E118=0,VLOOKUP(C118,FI!$C$4:$AA$939,14,0),IF(E118=1,VLOOKUP(C118,FI!$C$4:$AA$939,18,0),IF(E118=2,VLOOKUP(C118,FI!$C$4:$AA$939,23,0),""))))</f>
        <v/>
      </c>
      <c r="J118" s="273" t="str">
        <f>IF(VLOOKUP(C118,FI!$C$4:$AA$46,15,0)="","",IF(E118=0,VLOOKUP(C118,FI!$C$4:$AA$46,15,0),IF(E118=1,VLOOKUP(C118,FI!$C$4:$AA$46,20,0),IF(E118=2,VLOOKUP(C118,FI!$C$4:$AA$46,25,0),""))))</f>
        <v/>
      </c>
      <c r="K118" s="276" t="str">
        <f>VLOOKUP(C118,FI!$C$4:$K$999,8,0)</f>
        <v>AUR</v>
      </c>
      <c r="L118" s="275" cm="1">
        <f t="array" aca="1" ref="L118" ca="1">_xlfn.IFS(AND($E118&lt;&gt;"",$M118="Pending",$K118="CTA"),TODAY()-$G118,AND($E118&lt;&gt;"",$M118="Pending",$K118="AUR"),TODAY()-$H118,AND($E118&lt;&gt;"",$M118="Pending",$K118="STT"),TODAY()-$I118,OR(K118="Closed",K118=""),"")</f>
        <v>2</v>
      </c>
      <c r="M118" s="276" t="str">
        <f>VLOOKUP(C118,FI!$C$4:$K$939,9,0)</f>
        <v>Pending</v>
      </c>
      <c r="N118" s="269" t="str">
        <f t="shared" ca="1" si="7"/>
        <v/>
      </c>
      <c r="O118" s="293"/>
    </row>
    <row r="119" spans="1:15" ht="34.950000000000003" customHeight="1" x14ac:dyDescent="0.25">
      <c r="A119" s="269">
        <v>12</v>
      </c>
      <c r="B119" s="283" t="s">
        <v>21</v>
      </c>
      <c r="C119" s="282" t="s">
        <v>283</v>
      </c>
      <c r="D119" s="281" t="str">
        <f>VLOOKUP(C119,FI!$C$4:$J$75,2,0)</f>
        <v xml:space="preserve">Confirmation of the Details of the First and Second Horn Tones Activation </v>
      </c>
      <c r="E119" s="269">
        <f>IF(VLOOKUP(C119,FI!$C$4:$J$939,6,0)="","",VLOOKUP(C119,FI!$C$4:$J$939,6,0))</f>
        <v>0</v>
      </c>
      <c r="F119" s="272"/>
      <c r="G119" s="272">
        <f>IF(VLOOKUP(C119,FI!$C$4:$J$939,4,0)="","",VLOOKUP(C119,FI!$C$4:$J$939,4,0))</f>
        <v>46042</v>
      </c>
      <c r="H119" s="273">
        <f>IF(VLOOKUP(C119,FI!$C$4:$AA$939,13,0)="","",IF(E119=0,VLOOKUP(C119,FI!$C$4:$AA$939,13,0),IF(E119=1,VLOOKUP(C119,FI!$C$4:$AA$939,17,0),IF(E119=2,VLOOKUP(C119,FI!$C$4:$AA$939,22,0),""))))</f>
        <v>46062</v>
      </c>
      <c r="I119" s="273" t="str">
        <f>IF(VLOOKUP(C119,FI!$C$4:$AA$939,14,0)="","",IF(E119=0,VLOOKUP(C119,FI!$C$4:$AA$939,14,0),IF(E119=1,VLOOKUP(C119,FI!$C$4:$AA$939,18,0),IF(E119=2,VLOOKUP(C119,FI!$C$4:$AA$939,23,0),""))))</f>
        <v/>
      </c>
      <c r="J119" s="273" t="str">
        <f>IF(VLOOKUP(C119,FI!$C$4:$AA$46,15,0)="","",IF(E119=0,VLOOKUP(C119,FI!$C$4:$AA$46,15,0),IF(E119=1,VLOOKUP(C119,FI!$C$4:$AA$46,20,0),IF(E119=2,VLOOKUP(C119,FI!$C$4:$AA$46,25,0),""))))</f>
        <v/>
      </c>
      <c r="K119" s="276" t="str">
        <f>VLOOKUP(C119,FI!$C$4:$K$999,8,0)</f>
        <v>AUR</v>
      </c>
      <c r="L119" s="275" cm="1">
        <f t="array" aca="1" ref="L119" ca="1">_xlfn.IFS(AND($E119&lt;&gt;"",$M119="Pending",$K119="CTA"),TODAY()-$G119,AND($E119&lt;&gt;"",$M119="Pending",$K119="AUR"),TODAY()-$H119,AND($E119&lt;&gt;"",$M119="Pending",$K119="STT"),TODAY()-$I119,OR(K119="Closed",K119=""),"")</f>
        <v>2</v>
      </c>
      <c r="M119" s="276" t="str">
        <f>VLOOKUP(C119,FI!$C$4:$K$939,9,0)</f>
        <v>Pending</v>
      </c>
      <c r="N119" s="269" t="str">
        <f t="shared" ca="1" si="7"/>
        <v/>
      </c>
      <c r="O119" s="293"/>
    </row>
    <row r="120" spans="1:15" ht="34.950000000000003" customHeight="1" x14ac:dyDescent="0.25">
      <c r="A120" s="269">
        <v>13</v>
      </c>
      <c r="B120" s="283" t="s">
        <v>21</v>
      </c>
      <c r="C120" s="282" t="s">
        <v>285</v>
      </c>
      <c r="D120" s="281" t="str">
        <f>VLOOKUP(C120,FI!$C$4:$J$75,2,0)</f>
        <v>Confirmation of the Details of the Strobe Light &amp; Second Horn Activated for all Genset to the Pre Action System</v>
      </c>
      <c r="E120" s="269">
        <f>IF(VLOOKUP(C120,FI!$C$4:$J$939,6,0)="","",VLOOKUP(C120,FI!$C$4:$J$939,6,0))</f>
        <v>0</v>
      </c>
      <c r="F120" s="272"/>
      <c r="G120" s="272">
        <f>IF(VLOOKUP(C120,FI!$C$4:$J$939,4,0)="","",VLOOKUP(C120,FI!$C$4:$J$939,4,0))</f>
        <v>46042</v>
      </c>
      <c r="H120" s="273">
        <f>IF(VLOOKUP(C120,FI!$C$4:$AA$939,13,0)="","",IF(E120=0,VLOOKUP(C120,FI!$C$4:$AA$939,13,0),IF(E120=1,VLOOKUP(C120,FI!$C$4:$AA$939,17,0),IF(E120=2,VLOOKUP(C120,FI!$C$4:$AA$939,22,0),""))))</f>
        <v>46062</v>
      </c>
      <c r="I120" s="273" t="str">
        <f>IF(VLOOKUP(C120,FI!$C$4:$AA$939,14,0)="","",IF(E120=0,VLOOKUP(C120,FI!$C$4:$AA$939,14,0),IF(E120=1,VLOOKUP(C120,FI!$C$4:$AA$939,18,0),IF(E120=2,VLOOKUP(C120,FI!$C$4:$AA$939,23,0),""))))</f>
        <v/>
      </c>
      <c r="J120" s="273" t="str">
        <f>IF(VLOOKUP(C120,FI!$C$4:$AA$46,15,0)="","",IF(E120=0,VLOOKUP(C120,FI!$C$4:$AA$46,15,0),IF(E120=1,VLOOKUP(C120,FI!$C$4:$AA$46,20,0),IF(E120=2,VLOOKUP(C120,FI!$C$4:$AA$46,25,0),""))))</f>
        <v/>
      </c>
      <c r="K120" s="276" t="str">
        <f>VLOOKUP(C120,FI!$C$4:$K$999,8,0)</f>
        <v>AUR</v>
      </c>
      <c r="L120" s="275" cm="1">
        <f t="array" aca="1" ref="L120" ca="1">_xlfn.IFS(AND($E120&lt;&gt;"",$M120="Pending",$K120="CTA"),TODAY()-$G120,AND($E120&lt;&gt;"",$M120="Pending",$K120="AUR"),TODAY()-$H120,AND($E120&lt;&gt;"",$M120="Pending",$K120="STT"),TODAY()-$I120,OR(K120="Closed",K120=""),"")</f>
        <v>2</v>
      </c>
      <c r="M120" s="276" t="str">
        <f>VLOOKUP(C120,FI!$C$4:$K$939,9,0)</f>
        <v>Pending</v>
      </c>
      <c r="N120" s="269" t="str">
        <f t="shared" ca="1" si="7"/>
        <v/>
      </c>
      <c r="O120" s="293"/>
    </row>
    <row r="121" spans="1:15" ht="34.950000000000003" customHeight="1" x14ac:dyDescent="0.25">
      <c r="A121" s="269">
        <v>14</v>
      </c>
      <c r="B121" s="283" t="s">
        <v>21</v>
      </c>
      <c r="C121" s="282" t="s">
        <v>287</v>
      </c>
      <c r="D121" s="281" t="str">
        <f>VLOOKUP(C121,FI!$C$4:$J$75,2,0)</f>
        <v>Confirmation of 2-Layer Silent Nozzle – IG-100 System due to height more than 5 m. 2nd-6th FL</v>
      </c>
      <c r="E121" s="269">
        <f>IF(VLOOKUP(C121,FI!$C$4:$J$939,6,0)="","",VLOOKUP(C121,FI!$C$4:$J$939,6,0))</f>
        <v>0</v>
      </c>
      <c r="F121" s="272"/>
      <c r="G121" s="272">
        <f>IF(VLOOKUP(C121,FI!$C$4:$J$939,4,0)="","",VLOOKUP(C121,FI!$C$4:$J$939,4,0))</f>
        <v>46051</v>
      </c>
      <c r="H121" s="273">
        <f>IF(VLOOKUP(C121,FI!$C$4:$AA$939,13,0)="","",IF(E121=0,VLOOKUP(C121,FI!$C$4:$AA$939,13,0),IF(E121=1,VLOOKUP(C121,FI!$C$4:$AA$939,17,0),IF(E121=2,VLOOKUP(C121,FI!$C$4:$AA$939,22,0),""))))</f>
        <v>46062</v>
      </c>
      <c r="I121" s="273" t="str">
        <f>IF(VLOOKUP(C121,FI!$C$4:$AA$939,14,0)="","",IF(E121=0,VLOOKUP(C121,FI!$C$4:$AA$939,14,0),IF(E121=1,VLOOKUP(C121,FI!$C$4:$AA$939,18,0),IF(E121=2,VLOOKUP(C121,FI!$C$4:$AA$939,23,0),""))))</f>
        <v/>
      </c>
      <c r="J121" s="273" t="str">
        <f>IF(VLOOKUP(C121,FI!$C$4:$AA$46,15,0)="","",IF(E121=0,VLOOKUP(C121,FI!$C$4:$AA$46,15,0),IF(E121=1,VLOOKUP(C121,FI!$C$4:$AA$46,20,0),IF(E121=2,VLOOKUP(C121,FI!$C$4:$AA$46,25,0),""))))</f>
        <v/>
      </c>
      <c r="K121" s="276" t="str">
        <f>VLOOKUP(C121,FI!$C$4:$K$999,8,0)</f>
        <v>AUR</v>
      </c>
      <c r="L121" s="275" cm="1">
        <f t="array" aca="1" ref="L121" ca="1">_xlfn.IFS(AND($E121&lt;&gt;"",$M121="Pending",$K121="CTA"),TODAY()-$G121,AND($E121&lt;&gt;"",$M121="Pending",$K121="AUR"),TODAY()-$H121,AND($E121&lt;&gt;"",$M121="Pending",$K121="STT"),TODAY()-$I121,OR(K121="Closed",K121=""),"")</f>
        <v>2</v>
      </c>
      <c r="M121" s="276" t="str">
        <f>VLOOKUP(C121,FI!$C$4:$K$939,9,0)</f>
        <v>Pending</v>
      </c>
      <c r="N121" s="269" t="str">
        <f t="shared" ca="1" si="7"/>
        <v/>
      </c>
      <c r="O121" s="277"/>
    </row>
    <row r="122" spans="1:15" ht="32.25" hidden="1" customHeight="1" x14ac:dyDescent="0.25">
      <c r="A122" s="269">
        <v>15</v>
      </c>
      <c r="B122" s="283" t="s">
        <v>21</v>
      </c>
      <c r="C122" s="282" t="s">
        <v>289</v>
      </c>
      <c r="D122" s="281">
        <f>VLOOKUP(C122,FI!$C$4:$J$75,2,0)</f>
        <v>0</v>
      </c>
      <c r="E122" s="269" t="str">
        <f>IF(VLOOKUP(C122,FI!$C$4:$J$939,6,0)="","",VLOOKUP(C122,FI!$C$4:$J$939,6,0))</f>
        <v/>
      </c>
      <c r="F122" s="272"/>
      <c r="G122" s="272" t="str">
        <f>IF(VLOOKUP(C122,FI!$C$4:$J$939,4,0)="","",VLOOKUP(C122,FI!$C$4:$J$939,4,0))</f>
        <v/>
      </c>
      <c r="H122" s="273"/>
      <c r="I122" s="273" t="str">
        <f>IF(VLOOKUP(C122,FI!$C$4:$AA$939,14,0)="","",IF(E122=0,VLOOKUP(C122,FI!$C$4:$AA$939,14,0),IF(E122=1,VLOOKUP(C122,FI!$C$4:$AA$939,18,0),IF(E122=2,VLOOKUP(C122,FI!$C$4:$AA$939,23,0),""))))</f>
        <v/>
      </c>
      <c r="J122" s="273" t="str">
        <f>IF(VLOOKUP(C122,FI!$C$4:$AA$46,15,0)="","",IF(E122=0,VLOOKUP(C122,FI!$C$4:$AA$46,15,0),IF(E122=1,VLOOKUP(C122,FI!$C$4:$AA$46,20,0),IF(E122=2,VLOOKUP(C122,FI!$C$4:$AA$46,25,0),""))))</f>
        <v/>
      </c>
      <c r="K122" s="276">
        <f>VLOOKUP(C122,FI!$C$4:$K$999,8,0)</f>
        <v>0</v>
      </c>
      <c r="L122" s="275" t="e" cm="1">
        <f t="array" aca="1" ref="L122" ca="1">_xlfn.IFS(AND($E122&lt;&gt;"",$M122="Pending",$K122="CTA"),TODAY()-$G122,AND($E122&lt;&gt;"",$M122="Pending",$K122="AUR"),TODAY()-$H122,AND($E122&lt;&gt;"",$M122="Pending",$K122="STT"),TODAY()-$I122,OR(K122="Closed",K122=""),"")</f>
        <v>#N/A</v>
      </c>
      <c r="M122" s="276">
        <f>VLOOKUP(C122,FI!$C$4:$K$939,9,0)</f>
        <v>0</v>
      </c>
      <c r="N122" s="269" t="str">
        <f t="shared" si="7"/>
        <v/>
      </c>
      <c r="O122" s="293"/>
    </row>
    <row r="123" spans="1:15" ht="32.25" hidden="1" customHeight="1" x14ac:dyDescent="0.25">
      <c r="A123" s="269">
        <v>16</v>
      </c>
      <c r="B123" s="283" t="s">
        <v>21</v>
      </c>
      <c r="C123" s="282" t="s">
        <v>290</v>
      </c>
      <c r="D123" s="281">
        <f>VLOOKUP(C123,FI!$C$4:$J$75,2,0)</f>
        <v>0</v>
      </c>
      <c r="E123" s="269" t="str">
        <f>IF(VLOOKUP(C123,FI!$C$4:$J$939,6,0)="","",VLOOKUP(C123,FI!$C$4:$J$939,6,0))</f>
        <v/>
      </c>
      <c r="F123" s="272"/>
      <c r="G123" s="272" t="str">
        <f>IF(VLOOKUP(C123,FI!$C$4:$J$939,4,0)="","",VLOOKUP(C123,FI!$C$4:$J$939,4,0))</f>
        <v/>
      </c>
      <c r="H123" s="273"/>
      <c r="I123" s="273" t="str">
        <f>IF(VLOOKUP(C123,FI!$C$4:$AA$939,14,0)="","",IF(E123=0,VLOOKUP(C123,FI!$C$4:$AA$939,14,0),IF(E123=1,VLOOKUP(C123,FI!$C$4:$AA$939,18,0),IF(E123=2,VLOOKUP(C123,FI!$C$4:$AA$939,23,0),""))))</f>
        <v/>
      </c>
      <c r="J123" s="273" t="str">
        <f>IF(VLOOKUP(C123,FI!$C$4:$AA$46,15,0)="","",IF(E123=0,VLOOKUP(C123,FI!$C$4:$AA$46,15,0),IF(E123=1,VLOOKUP(C123,FI!$C$4:$AA$46,20,0),IF(E123=2,VLOOKUP(C123,FI!$C$4:$AA$46,25,0),""))))</f>
        <v/>
      </c>
      <c r="K123" s="276">
        <f>VLOOKUP(C123,FI!$C$4:$K$999,8,0)</f>
        <v>0</v>
      </c>
      <c r="L123" s="275" t="e" cm="1">
        <f t="array" aca="1" ref="L123" ca="1">_xlfn.IFS(AND($E123&lt;&gt;"",$M123="Pending",$K123="CTA"),TODAY()-$G123,AND($E123&lt;&gt;"",$M123="Pending",$K123="AUR"),TODAY()-$H123,AND($E123&lt;&gt;"",$M123="Pending",$K123="STT"),TODAY()-$I123,OR(K123="Closed",K123=""),"")</f>
        <v>#N/A</v>
      </c>
      <c r="M123" s="276">
        <f>VLOOKUP(C123,FI!$C$4:$K$939,9,0)</f>
        <v>0</v>
      </c>
      <c r="N123" s="269" t="str">
        <f t="shared" si="7"/>
        <v/>
      </c>
      <c r="O123" s="293"/>
    </row>
    <row r="124" spans="1:15" ht="32.25" hidden="1" customHeight="1" x14ac:dyDescent="0.25">
      <c r="A124" s="269">
        <v>17</v>
      </c>
      <c r="B124" s="283" t="s">
        <v>21</v>
      </c>
      <c r="C124" s="282" t="s">
        <v>291</v>
      </c>
      <c r="D124" s="281">
        <f>VLOOKUP(C124,FI!$C$4:$J$75,2,0)</f>
        <v>0</v>
      </c>
      <c r="E124" s="269" t="str">
        <f>IF(VLOOKUP(C124,FI!$C$4:$J$939,6,0)="","",VLOOKUP(C124,FI!$C$4:$J$939,6,0))</f>
        <v/>
      </c>
      <c r="F124" s="272"/>
      <c r="G124" s="272" t="str">
        <f>IF(VLOOKUP(C124,FI!$C$4:$J$939,4,0)="","",VLOOKUP(C124,FI!$C$4:$J$939,4,0))</f>
        <v/>
      </c>
      <c r="H124" s="273"/>
      <c r="I124" s="273" t="str">
        <f>IF(VLOOKUP(C124,FI!$C$4:$AA$939,14,0)="","",IF(E124=0,VLOOKUP(C124,FI!$C$4:$AA$939,14,0),IF(E124=1,VLOOKUP(C124,FI!$C$4:$AA$939,18,0),IF(E124=2,VLOOKUP(C124,FI!$C$4:$AA$939,23,0),""))))</f>
        <v/>
      </c>
      <c r="J124" s="273" t="str">
        <f>IF(VLOOKUP(C124,FI!$C$4:$AA$46,15,0)="","",IF(E124=0,VLOOKUP(C124,FI!$C$4:$AA$46,15,0),IF(E124=1,VLOOKUP(C124,FI!$C$4:$AA$46,20,0),IF(E124=2,VLOOKUP(C124,FI!$C$4:$AA$46,25,0),""))))</f>
        <v/>
      </c>
      <c r="K124" s="276">
        <f>VLOOKUP(C124,FI!$C$4:$K$999,8,0)</f>
        <v>0</v>
      </c>
      <c r="L124" s="275" t="e" cm="1">
        <f t="array" aca="1" ref="L124" ca="1">_xlfn.IFS(AND($E124&lt;&gt;"",$M124="Pending",$K124="CTA"),TODAY()-$G124,AND($E124&lt;&gt;"",$M124="Pending",$K124="AUR"),TODAY()-$H124,AND($E124&lt;&gt;"",$M124="Pending",$K124="STT"),TODAY()-$I124,OR(K124="Closed",K124=""),"")</f>
        <v>#N/A</v>
      </c>
      <c r="M124" s="276">
        <f>VLOOKUP(C124,FI!$C$4:$K$939,9,0)</f>
        <v>0</v>
      </c>
      <c r="N124" s="269" t="str">
        <f t="shared" si="7"/>
        <v/>
      </c>
      <c r="O124" s="293"/>
    </row>
    <row r="125" spans="1:15" ht="32.25" hidden="1" customHeight="1" x14ac:dyDescent="0.25">
      <c r="A125" s="269">
        <v>18</v>
      </c>
      <c r="B125" s="283" t="s">
        <v>21</v>
      </c>
      <c r="C125" s="282" t="s">
        <v>376</v>
      </c>
      <c r="D125" s="281" t="e">
        <f>VLOOKUP(C125,FI!$C$4:$J$75,2,0)</f>
        <v>#N/A</v>
      </c>
      <c r="E125" s="269" t="e">
        <f>IF(VLOOKUP(C125,FI!$C$4:$J$939,6,0)="","",VLOOKUP(C125,FI!$C$4:$J$939,6,0))</f>
        <v>#N/A</v>
      </c>
      <c r="F125" s="272"/>
      <c r="G125" s="272" t="e">
        <f>IF(VLOOKUP(C125,FI!$C$4:$J$939,4,0)="","",VLOOKUP(C125,FI!$C$4:$J$939,4,0))</f>
        <v>#N/A</v>
      </c>
      <c r="H125" s="273"/>
      <c r="I125" s="273" t="e">
        <f>IF(VLOOKUP(C125,FI!$C$4:$AA$939,14,0)="","",IF(E125=0,VLOOKUP(C125,FI!$C$4:$AA$939,14,0),IF(E125=1,VLOOKUP(C125,FI!$C$4:$AA$939,18,0),IF(E125=2,VLOOKUP(C125,FI!$C$4:$AA$939,23,0),""))))</f>
        <v>#N/A</v>
      </c>
      <c r="J125" s="273" t="e">
        <f>IF(VLOOKUP(C125,FI!$C$4:$AA$46,15,0)="","",IF(E125=0,VLOOKUP(C125,FI!$C$4:$AA$46,15,0),IF(E125=1,VLOOKUP(C125,FI!$C$4:$AA$46,20,0),IF(E125=2,VLOOKUP(C125,FI!$C$4:$AA$46,25,0),""))))</f>
        <v>#N/A</v>
      </c>
      <c r="K125" s="276" t="e">
        <f>VLOOKUP(C125,FI!$C$4:$K$999,8,0)</f>
        <v>#N/A</v>
      </c>
      <c r="L125" s="275" t="e" cm="1">
        <f t="array" aca="1" ref="L125" ca="1">_xlfn.IFS(AND($E125&lt;&gt;"",$M125="Pending",$K125="CTA"),TODAY()-$G125,AND($E125&lt;&gt;"",$M125="Pending",$K125="AUR"),TODAY()-$H125,AND($E125&lt;&gt;"",$M125="Pending",$K125="STT"),TODAY()-$I125,OR(K125="Closed",K125=""),"")</f>
        <v>#N/A</v>
      </c>
      <c r="M125" s="276" t="e">
        <f>VLOOKUP(C125,FI!$C$4:$K$939,9,0)</f>
        <v>#N/A</v>
      </c>
      <c r="N125" s="269" t="e">
        <f t="shared" si="7"/>
        <v>#N/A</v>
      </c>
      <c r="O125" s="293"/>
    </row>
    <row r="126" spans="1:15" ht="32.25" hidden="1" customHeight="1" x14ac:dyDescent="0.25">
      <c r="A126" s="269">
        <v>19</v>
      </c>
      <c r="B126" s="283" t="s">
        <v>21</v>
      </c>
      <c r="C126" s="282" t="s">
        <v>377</v>
      </c>
      <c r="D126" s="281" t="e">
        <f>VLOOKUP(C126,FI!$C$4:$J$75,2,0)</f>
        <v>#N/A</v>
      </c>
      <c r="E126" s="269" t="e">
        <f>IF(VLOOKUP(C126,FI!$C$4:$J$939,6,0)="","",VLOOKUP(C126,FI!$C$4:$J$939,6,0))</f>
        <v>#N/A</v>
      </c>
      <c r="F126" s="272"/>
      <c r="G126" s="272" t="e">
        <f>IF(VLOOKUP(C126,FI!$C$4:$J$939,4,0)="","",VLOOKUP(C126,FI!$C$4:$J$939,4,0))</f>
        <v>#N/A</v>
      </c>
      <c r="H126" s="273"/>
      <c r="I126" s="273" t="e">
        <f>IF(VLOOKUP(C126,FI!$C$4:$AA$939,14,0)="","",IF(E126=0,VLOOKUP(C126,FI!$C$4:$AA$939,14,0),IF(E126=1,VLOOKUP(C126,FI!$C$4:$AA$939,18,0),IF(E126=2,VLOOKUP(C126,FI!$C$4:$AA$939,23,0),""))))</f>
        <v>#N/A</v>
      </c>
      <c r="J126" s="273" t="e">
        <f>IF(VLOOKUP(C126,FI!$C$4:$AA$46,15,0)="","",IF(E126=0,VLOOKUP(C126,FI!$C$4:$AA$46,15,0),IF(E126=1,VLOOKUP(C126,FI!$C$4:$AA$46,20,0),IF(E126=2,VLOOKUP(C126,FI!$C$4:$AA$46,25,0),""))))</f>
        <v>#N/A</v>
      </c>
      <c r="K126" s="276" t="e">
        <f>VLOOKUP(C126,FI!$C$4:$K$999,8,0)</f>
        <v>#N/A</v>
      </c>
      <c r="L126" s="275" t="e" cm="1">
        <f t="array" aca="1" ref="L126" ca="1">_xlfn.IFS(AND($E126&lt;&gt;"",$M126="Pending",$K126="CTA"),TODAY()-$G126,AND($E126&lt;&gt;"",$M126="Pending",$K126="AUR"),TODAY()-$H126,AND($E126&lt;&gt;"",$M126="Pending",$K126="STT"),TODAY()-$I126,OR(K126="Closed",K126=""),"")</f>
        <v>#N/A</v>
      </c>
      <c r="M126" s="276" t="e">
        <f>VLOOKUP(C126,FI!$C$4:$K$939,9,0)</f>
        <v>#N/A</v>
      </c>
      <c r="N126" s="269" t="e">
        <f t="shared" si="7"/>
        <v>#N/A</v>
      </c>
      <c r="O126" s="293"/>
    </row>
    <row r="127" spans="1:15" ht="32.25" hidden="1" customHeight="1" x14ac:dyDescent="0.25">
      <c r="A127" s="269">
        <v>20</v>
      </c>
      <c r="B127" s="283" t="s">
        <v>21</v>
      </c>
      <c r="C127" s="282" t="s">
        <v>378</v>
      </c>
      <c r="D127" s="281" t="e">
        <f>VLOOKUP(C127,FI!$C$4:$J$75,2,0)</f>
        <v>#N/A</v>
      </c>
      <c r="E127" s="269" t="e">
        <f>IF(VLOOKUP(C127,FI!$C$4:$J$939,6,0)="","",VLOOKUP(C127,FI!$C$4:$J$939,6,0))</f>
        <v>#N/A</v>
      </c>
      <c r="F127" s="272"/>
      <c r="G127" s="272" t="e">
        <f>IF(VLOOKUP(C127,FI!$C$4:$J$939,4,0)="","",VLOOKUP(C127,FI!$C$4:$J$939,4,0))</f>
        <v>#N/A</v>
      </c>
      <c r="H127" s="273"/>
      <c r="I127" s="273" t="e">
        <f>IF(VLOOKUP(C127,FI!$C$4:$AA$939,14,0)="","",IF(E127=0,VLOOKUP(C127,FI!$C$4:$AA$939,14,0),IF(E127=1,VLOOKUP(C127,FI!$C$4:$AA$939,18,0),IF(E127=2,VLOOKUP(C127,FI!$C$4:$AA$939,23,0),""))))</f>
        <v>#N/A</v>
      </c>
      <c r="J127" s="273" t="e">
        <f>IF(VLOOKUP(C127,FI!$C$4:$AA$46,15,0)="","",IF(E127=0,VLOOKUP(C127,FI!$C$4:$AA$46,15,0),IF(E127=1,VLOOKUP(C127,FI!$C$4:$AA$46,20,0),IF(E127=2,VLOOKUP(C127,FI!$C$4:$AA$46,25,0),""))))</f>
        <v>#N/A</v>
      </c>
      <c r="K127" s="276" t="e">
        <f>VLOOKUP(C127,FI!$C$4:$K$999,8,0)</f>
        <v>#N/A</v>
      </c>
      <c r="L127" s="275" t="e" cm="1">
        <f t="array" aca="1" ref="L127" ca="1">_xlfn.IFS(AND($E127&lt;&gt;"",$M127="Pending",$K127="CTA"),TODAY()-$G127,AND($E127&lt;&gt;"",$M127="Pending",$K127="AUR"),TODAY()-$H127,AND($E127&lt;&gt;"",$M127="Pending",$K127="STT"),TODAY()-$I127,OR(K127="Closed",K127=""),"")</f>
        <v>#N/A</v>
      </c>
      <c r="M127" s="276" t="e">
        <f>VLOOKUP(C127,FI!$C$4:$K$939,9,0)</f>
        <v>#N/A</v>
      </c>
      <c r="N127" s="269" t="e">
        <f t="shared" si="7"/>
        <v>#N/A</v>
      </c>
      <c r="O127" s="277"/>
    </row>
    <row r="128" spans="1:15" ht="32.25" hidden="1" customHeight="1" x14ac:dyDescent="0.25">
      <c r="A128" s="269"/>
      <c r="B128" s="283"/>
      <c r="C128" s="301"/>
      <c r="D128" s="281"/>
      <c r="E128" s="293"/>
      <c r="F128" s="272"/>
      <c r="G128" s="272"/>
      <c r="H128" s="273"/>
      <c r="I128" s="273" t="e">
        <f>IF(VLOOKUP(C128,FI!$C$4:$AA$939,14,0)="","",IF(E128=0,VLOOKUP(C128,FI!$C$4:$AA$939,14,0),IF(E128=1,VLOOKUP(C128,FI!$C$4:$AA$939,18,0),IF(E128=2,VLOOKUP(C128,FI!$C$4:$AA$939,23,0),""))))</f>
        <v>#N/A</v>
      </c>
      <c r="J128" s="273" t="e">
        <f>IF(VLOOKUP(C128,FI!$C$4:$AA$46,15,0)="","",IF(E128=0,VLOOKUP(C128,FI!$C$4:$AA$46,15,0),IF(E128=1,VLOOKUP(C128,FI!$C$4:$AA$46,20,0),IF(E128=2,VLOOKUP(C128,FI!$C$4:$AA$46,25,0),""))))</f>
        <v>#N/A</v>
      </c>
      <c r="K128" s="276" t="e">
        <f>VLOOKUP(C128,FI!$C$4:$K$999,8,0)</f>
        <v>#N/A</v>
      </c>
      <c r="L128" s="273"/>
      <c r="M128" s="276"/>
      <c r="N128" s="269" t="str">
        <f t="shared" si="7"/>
        <v/>
      </c>
      <c r="O128" s="277"/>
    </row>
    <row r="129" spans="1:15" ht="32.25" hidden="1" customHeight="1" x14ac:dyDescent="0.25">
      <c r="A129" s="285" t="s">
        <v>379</v>
      </c>
      <c r="B129" s="302"/>
      <c r="C129" s="303"/>
      <c r="D129" s="304"/>
      <c r="E129" s="287"/>
      <c r="F129" s="287" t="s">
        <v>370</v>
      </c>
      <c r="G129" s="287"/>
      <c r="H129" s="287"/>
      <c r="I129" s="287"/>
      <c r="J129" s="287"/>
      <c r="K129" s="287"/>
      <c r="L129" s="287"/>
      <c r="M129" s="287"/>
      <c r="N129" s="287"/>
      <c r="O129" s="287"/>
    </row>
    <row r="130" spans="1:15" ht="32.25" customHeight="1" x14ac:dyDescent="0.25">
      <c r="A130" s="269">
        <v>1</v>
      </c>
      <c r="B130" s="283" t="s">
        <v>22</v>
      </c>
      <c r="C130" s="282" t="s">
        <v>341</v>
      </c>
      <c r="D130" s="281" t="str">
        <f>VLOOKUP(C130,HY!$C$4:$J$92,2,0)</f>
        <v>Water Meter Type for Toilet Room</v>
      </c>
      <c r="E130" s="269">
        <f>IF(VLOOKUP(C130,HY!$C$4:$J$939,6,0)="","",VLOOKUP(C130,HY!$C$4:$J$939,6,0))</f>
        <v>0</v>
      </c>
      <c r="F130" s="272"/>
      <c r="G130" s="272">
        <f>IF(VLOOKUP(C130,HY!$C$4:$J$939,4,0)="","",VLOOKUP(C130,HY!$C$4:$J$939,4,0))</f>
        <v>46042</v>
      </c>
      <c r="H130" s="273">
        <f>IF(VLOOKUP(C130,HY!$C$4:$AA$939,13,0)="","",IF(E130=0,VLOOKUP(C130,HY!$C$4:$AA$939,13,0),IF(E130=1,VLOOKUP(C130,HY!$C$4:$AA$939,17,0),IF(E130=2,VLOOKUP(C130,HY!$C$4:$AA$939,22,0),""))))</f>
        <v>46062</v>
      </c>
      <c r="I130" s="273" t="str">
        <f>IF(VLOOKUP(C130,HY!$C$4:$AA$939,14,0)="","",IF(E130=0,VLOOKUP(C130,HY!$C$4:$AA$939,14,0),IF(E130=1,VLOOKUP(C130,HY!$C$4:$AA$939,18,0),IF(E130=2,VLOOKUP(C130,HY!$C$4:$AA$939,23,0),""))))</f>
        <v/>
      </c>
      <c r="J130" s="273" t="str">
        <f>IF(VLOOKUP(C130,HY!$C$4:$AA$46,15,0)="","",IF(E130=0,VLOOKUP(C130,HY!$C$4:$AA$46,15,0),IF(#REF!=1,VLOOKUP(C130,HY!$C$4:$AA$46,20,0),IF(#REF!=2,VLOOKUP(C130,HY!$C$4:$AA$46,25,0),""))))</f>
        <v/>
      </c>
      <c r="K130" s="276" t="str">
        <f>VLOOKUP(C130,HY!$C$4:$K$999,8,0)</f>
        <v>AUR</v>
      </c>
      <c r="L130" s="275" cm="1">
        <f t="array" aca="1" ref="L130" ca="1">_xlfn.IFS(AND($E130&lt;&gt;"",$M130="Pending",$K130="CTA"),TODAY()-$G130,AND($E130&lt;&gt;"",$M130="Pending",$K130="AUR"),TODAY()-$H130,AND($E130&lt;&gt;"",$M130="Pending",$K130="STT"),TODAY()-$I130,OR(K130="Closed",K130=""),"")</f>
        <v>2</v>
      </c>
      <c r="M130" s="276" t="str">
        <f>VLOOKUP(C130,HY!$C$4:$K$939,9,0)</f>
        <v>Pending</v>
      </c>
      <c r="N130" s="269" t="str">
        <f t="shared" ref="N130:N141" ca="1" si="8">IF(AND(E130&lt;&gt;"",M130="Pending"),IF(L130&gt;=5,"Overdue",IF(L130&gt;=3,"High","")),"")</f>
        <v/>
      </c>
      <c r="O130" s="293"/>
    </row>
    <row r="131" spans="1:15" ht="32.25" customHeight="1" x14ac:dyDescent="0.25">
      <c r="A131" s="269">
        <v>2</v>
      </c>
      <c r="B131" s="283" t="s">
        <v>22</v>
      </c>
      <c r="C131" s="282" t="s">
        <v>343</v>
      </c>
      <c r="D131" s="281" t="str">
        <f>VLOOKUP(C131,HY!$C$4:$J$92,2,0)</f>
        <v>Confirm fit Out Scope</v>
      </c>
      <c r="E131" s="269">
        <f>IF(VLOOKUP(C131,HY!$C$4:$J$939,6,0)="","",VLOOKUP(C131,HY!$C$4:$J$939,6,0))</f>
        <v>0</v>
      </c>
      <c r="F131" s="272"/>
      <c r="G131" s="272">
        <f>IF(VLOOKUP(C131,HY!$C$4:$J$939,4,0)="","",VLOOKUP(C131,HY!$C$4:$J$939,4,0))</f>
        <v>46042</v>
      </c>
      <c r="H131" s="273">
        <f>IF(VLOOKUP(C131,HY!$C$4:$AA$939,13,0)="","",IF(E131=0,VLOOKUP(C131,HY!$C$4:$AA$939,13,0),IF(E131=1,VLOOKUP(C131,HY!$C$4:$AA$939,17,0),IF(E131=2,VLOOKUP(C131,HY!$C$4:$AA$939,22,0),""))))</f>
        <v>46062</v>
      </c>
      <c r="I131" s="273" t="str">
        <f>IF(VLOOKUP(C131,HY!$C$4:$AA$939,14,0)="","",IF(E131=0,VLOOKUP(C131,HY!$C$4:$AA$939,14,0),IF(E131=1,VLOOKUP(C131,HY!$C$4:$AA$939,18,0),IF(E131=2,VLOOKUP(C131,HY!$C$4:$AA$939,23,0),""))))</f>
        <v/>
      </c>
      <c r="J131" s="273" t="str">
        <f>IF(VLOOKUP(C131,HY!$C$4:$AA$46,15,0)="","",IF(E131=0,VLOOKUP(C131,HY!$C$4:$AA$46,15,0),IF(#REF!=1,VLOOKUP(C131,HY!$C$4:$AA$46,20,0),IF(#REF!=2,VLOOKUP(C131,HY!$C$4:$AA$46,25,0),""))))</f>
        <v/>
      </c>
      <c r="K131" s="276" t="str">
        <f>VLOOKUP(C131,HY!$C$4:$K$999,8,0)</f>
        <v>AUR</v>
      </c>
      <c r="L131" s="275" cm="1">
        <f t="array" aca="1" ref="L131" ca="1">_xlfn.IFS(AND($E131&lt;&gt;"",$M131="Pending",$K131="CTA"),TODAY()-$G131,AND($E131&lt;&gt;"",$M131="Pending",$K131="AUR"),TODAY()-$H131,AND($E131&lt;&gt;"",$M131="Pending",$K131="STT"),TODAY()-$I131,OR(K131="Closed",K131=""),"")</f>
        <v>2</v>
      </c>
      <c r="M131" s="276" t="str">
        <f>VLOOKUP(C131,HY!$C$4:$K$939,9,0)</f>
        <v>Pending</v>
      </c>
      <c r="N131" s="269" t="str">
        <f t="shared" ca="1" si="8"/>
        <v/>
      </c>
      <c r="O131" s="293"/>
    </row>
    <row r="132" spans="1:15" ht="32.25" customHeight="1" x14ac:dyDescent="0.25">
      <c r="A132" s="269">
        <v>3</v>
      </c>
      <c r="B132" s="283" t="s">
        <v>22</v>
      </c>
      <c r="C132" s="282" t="s">
        <v>345</v>
      </c>
      <c r="D132" s="281" t="str">
        <f>VLOOKUP(C132,HY!$C$4:$J$92,2,0)</f>
        <v>Confirm Sewage Submersible Pump Control Panel Scope</v>
      </c>
      <c r="E132" s="269">
        <f>IF(VLOOKUP(C132,HY!$C$4:$J$939,6,0)="","",VLOOKUP(C132,HY!$C$4:$J$939,6,0))</f>
        <v>0</v>
      </c>
      <c r="F132" s="272"/>
      <c r="G132" s="272">
        <f>IF(VLOOKUP(C132,HY!$C$4:$J$939,4,0)="","",VLOOKUP(C132,HY!$C$4:$J$939,4,0))</f>
        <v>46042</v>
      </c>
      <c r="H132" s="273">
        <f>IF(VLOOKUP(C132,HY!$C$4:$AA$939,13,0)="","",IF(E132=0,VLOOKUP(C132,HY!$C$4:$AA$939,13,0),IF(E132=1,VLOOKUP(C132,HY!$C$4:$AA$939,17,0),IF(E132=2,VLOOKUP(C132,HY!$C$4:$AA$939,22,0),""))))</f>
        <v>46062</v>
      </c>
      <c r="I132" s="273" t="str">
        <f>IF(VLOOKUP(C132,HY!$C$4:$AA$939,14,0)="","",IF(E132=0,VLOOKUP(C132,HY!$C$4:$AA$939,14,0),IF(E132=1,VLOOKUP(C132,HY!$C$4:$AA$939,18,0),IF(E132=2,VLOOKUP(C132,HY!$C$4:$AA$939,23,0),""))))</f>
        <v/>
      </c>
      <c r="J132" s="273" t="str">
        <f>IF(VLOOKUP(C132,HY!$C$4:$AA$46,15,0)="","",IF(E132=0,VLOOKUP(C132,HY!$C$4:$AA$46,15,0),IF(#REF!=1,VLOOKUP(C132,HY!$C$4:$AA$46,20,0),IF(#REF!=2,VLOOKUP(C132,HY!$C$4:$AA$46,25,0),""))))</f>
        <v/>
      </c>
      <c r="K132" s="276" t="str">
        <f>VLOOKUP(C132,HY!$C$4:$K$999,8,0)</f>
        <v>AUR</v>
      </c>
      <c r="L132" s="275" cm="1">
        <f t="array" aca="1" ref="L132" ca="1">_xlfn.IFS(AND($E132&lt;&gt;"",$M132="Pending",$K132="CTA"),TODAY()-$G132,AND($E132&lt;&gt;"",$M132="Pending",$K132="AUR"),TODAY()-$H132,AND($E132&lt;&gt;"",$M132="Pending",$K132="STT"),TODAY()-$I132,OR(K132="Closed",K132=""),"")</f>
        <v>2</v>
      </c>
      <c r="M132" s="276" t="str">
        <f>VLOOKUP(C132,HY!$C$4:$K$939,9,0)</f>
        <v>Pending</v>
      </c>
      <c r="N132" s="269" t="str">
        <f t="shared" ca="1" si="8"/>
        <v/>
      </c>
      <c r="O132" s="293"/>
    </row>
    <row r="133" spans="1:15" ht="32.25" customHeight="1" x14ac:dyDescent="0.25">
      <c r="A133" s="269">
        <v>4</v>
      </c>
      <c r="B133" s="283" t="s">
        <v>22</v>
      </c>
      <c r="C133" s="282" t="s">
        <v>347</v>
      </c>
      <c r="D133" s="281" t="str">
        <f>VLOOKUP(C133,HY!$C$4:$J$92,2,0)</f>
        <v>Propose to use 20 Inched BSP SCh20 for Generator Exhaust Pipe</v>
      </c>
      <c r="E133" s="269">
        <f>IF(VLOOKUP(C133,HY!$C$4:$J$939,6,0)="","",VLOOKUP(C133,HY!$C$4:$J$939,6,0))</f>
        <v>0</v>
      </c>
      <c r="F133" s="272"/>
      <c r="G133" s="272">
        <f>IF(VLOOKUP(C133,HY!$C$4:$J$939,4,0)="","",VLOOKUP(C133,HY!$C$4:$J$939,4,0))</f>
        <v>46042</v>
      </c>
      <c r="H133" s="273">
        <f>IF(VLOOKUP(C133,HY!$C$4:$AA$939,13,0)="","",IF(E133=0,VLOOKUP(C133,HY!$C$4:$AA$939,13,0),IF(E133=1,VLOOKUP(C133,HY!$C$4:$AA$939,17,0),IF(E133=2,VLOOKUP(C133,HY!$C$4:$AA$939,22,0),""))))</f>
        <v>46044</v>
      </c>
      <c r="I133" s="273" t="str">
        <f>IF(VLOOKUP(C133,HY!$C$4:$AA$939,14,0)="","",IF(E133=0,VLOOKUP(C133,HY!$C$4:$AA$939,14,0),IF(E133=1,VLOOKUP(C133,HY!$C$4:$AA$939,18,0),IF(E133=2,VLOOKUP(C133,HY!$C$4:$AA$939,23,0),""))))</f>
        <v/>
      </c>
      <c r="J133" s="273" t="str">
        <f>IF(VLOOKUP(C133,HY!$C$4:$AA$46,15,0)="","",IF(E133=0,VLOOKUP(C133,HY!$C$4:$AA$46,15,0),IF(#REF!=1,VLOOKUP(C133,HY!$C$4:$AA$46,20,0),IF(#REF!=2,VLOOKUP(C133,HY!$C$4:$AA$46,25,0),""))))</f>
        <v/>
      </c>
      <c r="K133" s="276" t="str">
        <f>VLOOKUP(C133,HY!$C$4:$K$999,8,0)</f>
        <v>AUR</v>
      </c>
      <c r="L133" s="275" cm="1">
        <f t="array" aca="1" ref="L133" ca="1">_xlfn.IFS(AND($E133&lt;&gt;"",$M133="Pending",$K133="CTA"),TODAY()-$G133,AND($E133&lt;&gt;"",$M133="Pending",$K133="AUR"),TODAY()-$H133,AND($E133&lt;&gt;"",$M133="Pending",$K133="STT"),TODAY()-$I133,OR(K133="Closed",K133=""),"")</f>
        <v>20</v>
      </c>
      <c r="M133" s="276" t="str">
        <f>VLOOKUP(C133,HY!$C$4:$K$939,9,0)</f>
        <v>Pending</v>
      </c>
      <c r="N133" s="269" t="str">
        <f t="shared" ca="1" si="8"/>
        <v>Overdue</v>
      </c>
      <c r="O133" s="316" t="s">
        <v>372</v>
      </c>
    </row>
    <row r="134" spans="1:15" ht="32.25" customHeight="1" x14ac:dyDescent="0.25">
      <c r="A134" s="269">
        <v>5</v>
      </c>
      <c r="B134" s="283" t="s">
        <v>22</v>
      </c>
      <c r="C134" s="282" t="s">
        <v>349</v>
      </c>
      <c r="D134" s="281" t="str">
        <f>VLOOKUP(C134,HY!$C$4:$J$92,2,0)</f>
        <v xml:space="preserve">Confirm to Connect with MWA by Existing Pipe or not </v>
      </c>
      <c r="E134" s="269">
        <f>IF(VLOOKUP(C134,HY!$C$4:$J$939,6,0)="","",VLOOKUP(C134,HY!$C$4:$J$939,6,0))</f>
        <v>0</v>
      </c>
      <c r="F134" s="272"/>
      <c r="G134" s="272">
        <f>IF(VLOOKUP(C134,HY!$C$4:$J$939,4,0)="","",VLOOKUP(C134,HY!$C$4:$J$939,4,0))</f>
        <v>46042</v>
      </c>
      <c r="H134" s="273">
        <f>IF(VLOOKUP(C134,HY!$C$4:$AA$939,13,0)="","",IF(E134=0,VLOOKUP(C134,HY!$C$4:$AA$939,13,0),IF(E134=1,VLOOKUP(C134,HY!$C$4:$AA$939,17,0),IF(E134=2,VLOOKUP(C134,HY!$C$4:$AA$939,22,0),""))))</f>
        <v>46062</v>
      </c>
      <c r="I134" s="273" t="str">
        <f>IF(VLOOKUP(C134,HY!$C$4:$AA$939,14,0)="","",IF(E134=0,VLOOKUP(C134,HY!$C$4:$AA$939,14,0),IF(E134=1,VLOOKUP(C134,HY!$C$4:$AA$939,18,0),IF(E134=2,VLOOKUP(C134,HY!$C$4:$AA$939,23,0),""))))</f>
        <v/>
      </c>
      <c r="J134" s="273" t="str">
        <f>IF(VLOOKUP(C134,HY!$C$4:$AA$46,15,0)="","",IF(E134=0,VLOOKUP(C134,HY!$C$4:$AA$46,15,0),IF(#REF!=1,VLOOKUP(C134,HY!$C$4:$AA$46,20,0),IF(#REF!=2,VLOOKUP(C134,HY!$C$4:$AA$46,25,0),""))))</f>
        <v/>
      </c>
      <c r="K134" s="276" t="str">
        <f>VLOOKUP(C134,HY!$C$4:$K$999,8,0)</f>
        <v>AUR</v>
      </c>
      <c r="L134" s="275" cm="1">
        <f t="array" aca="1" ref="L134" ca="1">_xlfn.IFS(AND($E134&lt;&gt;"",$M134="Pending",$K134="CTA"),TODAY()-$G134,AND($E134&lt;&gt;"",$M134="Pending",$K134="AUR"),TODAY()-$H134,AND($E134&lt;&gt;"",$M134="Pending",$K134="STT"),TODAY()-$I134,OR(K134="Closed",K134=""),"")</f>
        <v>2</v>
      </c>
      <c r="M134" s="276" t="str">
        <f>VLOOKUP(C134,HY!$C$4:$K$939,9,0)</f>
        <v>Pending</v>
      </c>
      <c r="N134" s="269" t="str">
        <f t="shared" ca="1" si="8"/>
        <v/>
      </c>
      <c r="O134" s="293"/>
    </row>
    <row r="135" spans="1:15" ht="32.25" customHeight="1" x14ac:dyDescent="0.25">
      <c r="A135" s="269">
        <v>6</v>
      </c>
      <c r="B135" s="283" t="s">
        <v>22</v>
      </c>
      <c r="C135" s="282" t="s">
        <v>351</v>
      </c>
      <c r="D135" s="281" t="str">
        <f>VLOOKUP(C135,HY!$C$4:$J$92,2,0)</f>
        <v>Confirm to Install Digital Water Meter at Softener Drain Line</v>
      </c>
      <c r="E135" s="269">
        <f>IF(VLOOKUP(C135,HY!$C$4:$J$939,6,0)="","",VLOOKUP(C135,HY!$C$4:$J$939,6,0))</f>
        <v>0</v>
      </c>
      <c r="F135" s="272"/>
      <c r="G135" s="272">
        <f>IF(VLOOKUP(C135,HY!$C$4:$J$939,4,0)="","",VLOOKUP(C135,HY!$C$4:$J$939,4,0))</f>
        <v>46042</v>
      </c>
      <c r="H135" s="273">
        <f>IF(VLOOKUP(C135,HY!$C$4:$AA$939,13,0)="","",IF(E135=0,VLOOKUP(C135,HY!$C$4:$AA$939,13,0),IF(E135=1,VLOOKUP(C135,HY!$C$4:$AA$939,17,0),IF(E135=2,VLOOKUP(C135,HY!$C$4:$AA$939,22,0),""))))</f>
        <v>46062</v>
      </c>
      <c r="I135" s="273" t="str">
        <f>IF(VLOOKUP(C135,HY!$C$4:$AA$939,14,0)="","",IF(E135=0,VLOOKUP(C135,HY!$C$4:$AA$939,14,0),IF(E135=1,VLOOKUP(C135,HY!$C$4:$AA$939,18,0),IF(E135=2,VLOOKUP(C135,HY!$C$4:$AA$939,23,0),""))))</f>
        <v/>
      </c>
      <c r="J135" s="273" t="str">
        <f>IF(VLOOKUP(C135,HY!$C$4:$AA$46,15,0)="","",IF(E135=0,VLOOKUP(C135,HY!$C$4:$AA$46,15,0),IF(#REF!=1,VLOOKUP(C135,HY!$C$4:$AA$46,20,0),IF(#REF!=2,VLOOKUP(C135,HY!$C$4:$AA$46,25,0),""))))</f>
        <v/>
      </c>
      <c r="K135" s="276" t="str">
        <f>VLOOKUP(C135,HY!$C$4:$K$999,8,0)</f>
        <v>AUR</v>
      </c>
      <c r="L135" s="275" cm="1">
        <f t="array" aca="1" ref="L135" ca="1">_xlfn.IFS(AND($E135&lt;&gt;"",$M135="Pending",$K135="CTA"),TODAY()-$G135,AND($E135&lt;&gt;"",$M135="Pending",$K135="AUR"),TODAY()-$H135,AND($E135&lt;&gt;"",$M135="Pending",$K135="STT"),TODAY()-$I135,OR(K135="Closed",K135=""),"")</f>
        <v>2</v>
      </c>
      <c r="M135" s="276" t="str">
        <f>VLOOKUP(C135,HY!$C$4:$K$939,9,0)</f>
        <v>Pending</v>
      </c>
      <c r="N135" s="269" t="str">
        <f t="shared" ca="1" si="8"/>
        <v/>
      </c>
      <c r="O135" s="293"/>
    </row>
    <row r="136" spans="1:15" ht="32.25" customHeight="1" x14ac:dyDescent="0.25">
      <c r="A136" s="269">
        <v>7</v>
      </c>
      <c r="B136" s="283" t="s">
        <v>22</v>
      </c>
      <c r="C136" s="282" t="s">
        <v>353</v>
      </c>
      <c r="D136" s="281" t="str">
        <f>VLOOKUP(C136,HY!$C$4:$J$92,2,0)</f>
        <v>Confirm Generator Exhaust Pipe (Head Type)</v>
      </c>
      <c r="E136" s="269">
        <f>IF(VLOOKUP(C136,HY!$C$4:$J$939,6,0)="","",VLOOKUP(C136,HY!$C$4:$J$939,6,0))</f>
        <v>0</v>
      </c>
      <c r="F136" s="272"/>
      <c r="G136" s="272">
        <f>IF(VLOOKUP(C136,HY!$C$4:$J$939,4,0)="","",VLOOKUP(C136,HY!$C$4:$J$939,4,0))</f>
        <v>46036</v>
      </c>
      <c r="H136" s="273">
        <f>IF(VLOOKUP(C136,HY!$C$4:$AA$939,13,0)="","",IF(E136=0,VLOOKUP(C136,HY!$C$4:$AA$939,13,0),IF(E136=1,VLOOKUP(C136,HY!$C$4:$AA$939,17,0),IF(E136=2,VLOOKUP(C136,HY!$C$4:$AA$939,22,0),""))))</f>
        <v>46044</v>
      </c>
      <c r="I136" s="273" t="str">
        <f>IF(VLOOKUP(C136,HY!$C$4:$AA$939,14,0)="","",IF(E136=0,VLOOKUP(C136,HY!$C$4:$AA$939,14,0),IF(E136=1,VLOOKUP(C136,HY!$C$4:$AA$939,18,0),IF(E136=2,VLOOKUP(C136,HY!$C$4:$AA$939,23,0),""))))</f>
        <v/>
      </c>
      <c r="J136" s="273" t="str">
        <f>IF(VLOOKUP(C136,HY!$C$4:$AA$46,15,0)="","",IF(E136=0,VLOOKUP(C136,HY!$C$4:$AA$46,15,0),IF(#REF!=1,VLOOKUP(C136,HY!$C$4:$AA$46,20,0),IF(#REF!=2,VLOOKUP(C136,HY!$C$4:$AA$46,25,0),""))))</f>
        <v/>
      </c>
      <c r="K136" s="276" t="str">
        <f>VLOOKUP(C136,HY!$C$4:$K$999,8,0)</f>
        <v>AUR</v>
      </c>
      <c r="L136" s="275" cm="1">
        <f t="array" aca="1" ref="L136" ca="1">_xlfn.IFS(AND($E136&lt;&gt;"",$M136="Pending",$K136="CTA"),TODAY()-$G136,AND($E136&lt;&gt;"",$M136="Pending",$K136="AUR"),TODAY()-$H136,AND($E136&lt;&gt;"",$M136="Pending",$K136="STT"),TODAY()-$I136,OR(K136="Closed",K136=""),"")</f>
        <v>20</v>
      </c>
      <c r="M136" s="276" t="str">
        <f>VLOOKUP(C136,HY!$C$4:$K$939,9,0)</f>
        <v>Pending</v>
      </c>
      <c r="N136" s="269" t="str">
        <f t="shared" ca="1" si="8"/>
        <v>Overdue</v>
      </c>
      <c r="O136" s="316" t="s">
        <v>372</v>
      </c>
    </row>
    <row r="137" spans="1:15" ht="32.25" customHeight="1" x14ac:dyDescent="0.25">
      <c r="A137" s="269">
        <v>8</v>
      </c>
      <c r="B137" s="283" t="s">
        <v>22</v>
      </c>
      <c r="C137" s="282" t="s">
        <v>355</v>
      </c>
      <c r="D137" s="281" t="str">
        <f>VLOOKUP(C137,HY!$C$4:$J$92,2,0)</f>
        <v>Details of the FUS-A and FUS-B pipelines for the day tank</v>
      </c>
      <c r="E137" s="269">
        <f>IF(VLOOKUP(C137,HY!$C$4:$J$939,6,0)="","",VLOOKUP(C137,HY!$C$4:$J$939,6,0))</f>
        <v>0</v>
      </c>
      <c r="F137" s="272"/>
      <c r="G137" s="272">
        <f>IF(VLOOKUP(C137,HY!$C$4:$J$939,4,0)="","",VLOOKUP(C137,HY!$C$4:$J$939,4,0))</f>
        <v>46036</v>
      </c>
      <c r="H137" s="273">
        <f>IF(VLOOKUP(C137,HY!$C$4:$AA$939,13,0)="","",IF(E137=0,VLOOKUP(C137,HY!$C$4:$AA$939,13,0),IF(E137=1,VLOOKUP(C137,HY!$C$4:$AA$939,17,0),IF(E137=2,VLOOKUP(C137,HY!$C$4:$AA$939,22,0),""))))</f>
        <v>46062</v>
      </c>
      <c r="I137" s="273" t="str">
        <f>IF(VLOOKUP(C137,HY!$C$4:$AA$939,14,0)="","",IF(E137=0,VLOOKUP(C137,HY!$C$4:$AA$939,14,0),IF(E137=1,VLOOKUP(C137,HY!$C$4:$AA$939,18,0),IF(E137=2,VLOOKUP(C137,HY!$C$4:$AA$939,23,0),""))))</f>
        <v/>
      </c>
      <c r="J137" s="273" t="str">
        <f>IF(VLOOKUP(C137,HY!$C$4:$AA$46,15,0)="","",IF(E137=0,VLOOKUP(C137,HY!$C$4:$AA$46,15,0),IF(#REF!=1,VLOOKUP(C137,HY!$C$4:$AA$46,20,0),IF(#REF!=2,VLOOKUP(C137,HY!$C$4:$AA$46,25,0),""))))</f>
        <v/>
      </c>
      <c r="K137" s="276" t="str">
        <f>VLOOKUP(C137,HY!$C$4:$K$999,8,0)</f>
        <v>AUR</v>
      </c>
      <c r="L137" s="275" cm="1">
        <f t="array" aca="1" ref="L137" ca="1">_xlfn.IFS(AND($E137&lt;&gt;"",$M137="Pending",$K137="CTA"),TODAY()-$G137,AND($E137&lt;&gt;"",$M137="Pending",$K137="AUR"),TODAY()-$H137,AND($E137&lt;&gt;"",$M137="Pending",$K137="STT"),TODAY()-$I137,OR(K137="Closed",K137=""),"")</f>
        <v>2</v>
      </c>
      <c r="M137" s="276" t="str">
        <f>VLOOKUP(C137,HY!$C$4:$K$939,9,0)</f>
        <v>Pending</v>
      </c>
      <c r="N137" s="269" t="str">
        <f t="shared" ca="1" si="8"/>
        <v/>
      </c>
      <c r="O137" s="293"/>
    </row>
    <row r="138" spans="1:15" ht="34.950000000000003" customHeight="1" x14ac:dyDescent="0.25">
      <c r="A138" s="269">
        <v>9</v>
      </c>
      <c r="B138" s="283" t="s">
        <v>22</v>
      </c>
      <c r="C138" s="282" t="s">
        <v>357</v>
      </c>
      <c r="D138" s="281" t="str">
        <f>VLOOKUP(C138,HY!$C$4:$J$92,2,0)</f>
        <v>Confirm whether flow meters are required for the FOU-A and FOU-B drain lines</v>
      </c>
      <c r="E138" s="269">
        <f>IF(VLOOKUP(C138,HY!$C$4:$J$939,6,0)="","",VLOOKUP(C138,HY!$C$4:$J$939,6,0))</f>
        <v>0</v>
      </c>
      <c r="F138" s="272"/>
      <c r="G138" s="272">
        <f>IF(VLOOKUP(C138,HY!$C$4:$J$939,4,0)="","",VLOOKUP(C138,HY!$C$4:$J$939,4,0))</f>
        <v>46063</v>
      </c>
      <c r="H138" s="273">
        <f>IF(VLOOKUP(C138,HY!$C$4:$AA$939,13,0)="","",IF(E138=0,VLOOKUP(C138,HY!$C$4:$AA$939,13,0),IF(E138=1,VLOOKUP(C138,HY!$C$4:$AA$939,17,0),IF(E138=2,VLOOKUP(C138,HY!$C$4:$AA$939,22,0),""))))</f>
        <v>46064</v>
      </c>
      <c r="I138" s="273" t="str">
        <f>IF(VLOOKUP(C138,HY!$C$4:$AA$939,14,0)="","",IF(E138=0,VLOOKUP(C138,HY!$C$4:$AA$939,14,0),IF(E138=1,VLOOKUP(C138,HY!$C$4:$AA$939,18,0),IF(E138=2,VLOOKUP(C138,HY!$C$4:$AA$939,23,0),""))))</f>
        <v/>
      </c>
      <c r="J138" s="273" t="str">
        <f>IF(VLOOKUP(C138,HY!$C$4:$AA$46,15,0)="","",IF(E138=0,VLOOKUP(C138,HY!$C$4:$AA$46,15,0),IF(E1=1,VLOOKUP(C138,HY!$C$4:$AA$46,20,0),IF(E1=2,VLOOKUP(C138,HY!$C$4:$AA$46,25,0),""))))</f>
        <v/>
      </c>
      <c r="K138" s="276" t="str">
        <f>VLOOKUP(C138,HY!$C$4:$K$999,8,0)</f>
        <v>AUR</v>
      </c>
      <c r="L138" s="275" cm="1">
        <f t="array" aca="1" ref="L138" ca="1">_xlfn.IFS(AND($E138&lt;&gt;"",$M138="Pending",$K138="CTA"),TODAY()-$G138,AND($E138&lt;&gt;"",$M138="Pending",$K138="AUR"),TODAY()-$H138,AND($E138&lt;&gt;"",$M138="Pending",$K138="STT"),TODAY()-$I138,OR(K138="Closed",K138=""),"")</f>
        <v>0</v>
      </c>
      <c r="M138" s="276" t="str">
        <f>VLOOKUP(C138,HY!$C$4:$K$939,9,0)</f>
        <v>Pending</v>
      </c>
      <c r="N138" s="269" t="str">
        <f t="shared" ca="1" si="8"/>
        <v/>
      </c>
      <c r="O138" s="310"/>
    </row>
    <row r="139" spans="1:15" ht="34.950000000000003" customHeight="1" x14ac:dyDescent="0.25">
      <c r="A139" s="269">
        <v>10</v>
      </c>
      <c r="B139" s="283" t="s">
        <v>22</v>
      </c>
      <c r="C139" s="282" t="s">
        <v>359</v>
      </c>
      <c r="D139" s="281" t="str">
        <f>VLOOKUP(C139,HY!$C$4:$J$92,2,0)</f>
        <v>Confirmation of Gate Valve Installation Details for FUS-A, FUS-B, FUO-A, FUO-B and FUPSL Lines at Pump Room</v>
      </c>
      <c r="E139" s="269">
        <f>IF(VLOOKUP(C139,HY!$C$4:$J$939,6,0)="","",VLOOKUP(C139,HY!$C$4:$J$939,6,0))</f>
        <v>0</v>
      </c>
      <c r="F139" s="272"/>
      <c r="G139" s="272">
        <f>IF(VLOOKUP(C139,HY!$C$4:$J$939,4,0)="","",VLOOKUP(C139,HY!$C$4:$J$939,4,0))</f>
        <v>46041</v>
      </c>
      <c r="H139" s="273">
        <f>IF(VLOOKUP(C139,HY!$C$4:$AA$939,13,0)="","",IF(E139=0,VLOOKUP(C139,HY!$C$4:$AA$939,13,0),IF(E139=1,VLOOKUP(C139,HY!$C$4:$AA$939,17,0),IF(E139=2,VLOOKUP(C139,HY!$C$4:$AA$939,22,0),""))))</f>
        <v>46062</v>
      </c>
      <c r="I139" s="273" t="str">
        <f>IF(VLOOKUP(C139,HY!$C$4:$AA$939,14,0)="","",IF(E139=0,VLOOKUP(C139,HY!$C$4:$AA$939,14,0),IF(E139=1,VLOOKUP(C139,HY!$C$4:$AA$939,18,0),IF(E139=2,VLOOKUP(C139,HY!$C$4:$AA$939,23,0),""))))</f>
        <v/>
      </c>
      <c r="J139" s="273" t="str">
        <f>IF(VLOOKUP(C139,HY!$C$4:$AA$46,15,0)="","",IF(E139=0,VLOOKUP(C139,HY!$C$4:$AA$46,15,0),IF(E2=1,VLOOKUP(C139,HY!$C$4:$AA$46,20,0),IF(E2=2,VLOOKUP(C139,HY!$C$4:$AA$46,25,0),""))))</f>
        <v/>
      </c>
      <c r="K139" s="276" t="str">
        <f>VLOOKUP(C139,HY!$C$4:$K$999,8,0)</f>
        <v>AUR</v>
      </c>
      <c r="L139" s="275" cm="1">
        <f t="array" aca="1" ref="L139" ca="1">_xlfn.IFS(AND($E139&lt;&gt;"",$M139="Pending",$K139="CTA"),TODAY()-$G139,AND($E139&lt;&gt;"",$M139="Pending",$K139="AUR"),TODAY()-$H139,AND($E139&lt;&gt;"",$M139="Pending",$K139="STT"),TODAY()-$I139,OR(K139="Closed",K139=""),"")</f>
        <v>2</v>
      </c>
      <c r="M139" s="276" t="str">
        <f>VLOOKUP(C139,HY!$C$4:$K$939,9,0)</f>
        <v>Pending</v>
      </c>
      <c r="N139" s="269" t="str">
        <f t="shared" ca="1" si="8"/>
        <v/>
      </c>
      <c r="O139" s="293"/>
    </row>
    <row r="140" spans="1:15" ht="32.25" customHeight="1" x14ac:dyDescent="0.25">
      <c r="A140" s="269">
        <v>11</v>
      </c>
      <c r="B140" s="283" t="s">
        <v>22</v>
      </c>
      <c r="C140" s="282" t="s">
        <v>361</v>
      </c>
      <c r="D140" s="281" t="str">
        <f>VLOOKUP(C140,HY!$C$4:$J$92,2,0)</f>
        <v>Clarification on Fuel Consumption Meter (FCM) Intent</v>
      </c>
      <c r="E140" s="269">
        <f>IF(VLOOKUP(C140,HY!$C$4:$J$939,6,0)="","",VLOOKUP(C140,HY!$C$4:$J$939,6,0))</f>
        <v>0</v>
      </c>
      <c r="F140" s="272"/>
      <c r="G140" s="272">
        <f>IF(VLOOKUP(C140,HY!$C$4:$J$939,4,0)="","",VLOOKUP(C140,HY!$C$4:$J$939,4,0))</f>
        <v>46049</v>
      </c>
      <c r="H140" s="273">
        <f>IF(VLOOKUP(C140,HY!$C$4:$AA$939,13,0)="","",IF(E140=0,VLOOKUP(C140,HY!$C$4:$AA$939,13,0),IF(E140=1,VLOOKUP(C140,HY!$C$4:$AA$939,17,0),IF(E140=2,VLOOKUP(C140,HY!$C$4:$AA$939,22,0),""))))</f>
        <v>46062</v>
      </c>
      <c r="I140" s="273" t="str">
        <f>IF(VLOOKUP(C140,HY!$C$4:$AA$939,14,0)="","",IF(E140=0,VLOOKUP(C140,HY!$C$4:$AA$939,14,0),IF(E140=1,VLOOKUP(C140,HY!$C$4:$AA$939,18,0),IF(E140=2,VLOOKUP(C140,HY!$C$4:$AA$939,23,0),""))))</f>
        <v/>
      </c>
      <c r="J140" s="273"/>
      <c r="K140" s="276" t="str">
        <f>VLOOKUP(C140,HY!$C$4:$K$999,8,0)</f>
        <v>AUR</v>
      </c>
      <c r="L140" s="275" cm="1">
        <f t="array" aca="1" ref="L140" ca="1">_xlfn.IFS(AND($E140&lt;&gt;"",$M140="Pending",$K140="CTA"),TODAY()-$G140,AND($E140&lt;&gt;"",$M140="Pending",$K140="AUR"),TODAY()-$H140,AND($E140&lt;&gt;"",$M140="Pending",$K140="STT"),TODAY()-$I140,OR(K140="Closed",K140=""),"")</f>
        <v>2</v>
      </c>
      <c r="M140" s="276" t="str">
        <f>VLOOKUP(C140,HY!$C$4:$K$939,9,0)</f>
        <v>Pending</v>
      </c>
      <c r="N140" s="269" t="str">
        <f t="shared" ca="1" si="8"/>
        <v/>
      </c>
      <c r="O140" s="293"/>
    </row>
    <row r="141" spans="1:15" ht="32.25" hidden="1" customHeight="1" x14ac:dyDescent="0.25">
      <c r="A141" s="269"/>
      <c r="B141" s="283"/>
      <c r="C141" s="282"/>
      <c r="D141" s="281"/>
      <c r="E141" s="269"/>
      <c r="F141" s="272"/>
      <c r="G141" s="272"/>
      <c r="H141" s="273" t="str">
        <f t="shared" ref="H141" si="9">IF(G141="","",IF(WEEKDAY(G141,2)=6,G141+4,IF(OR(,WEEKDAY(G141,2)=3,WEEKDAY(G141,2)=4,WEEKDAY(G141,2)=5),G141+5,G141+3)))</f>
        <v/>
      </c>
      <c r="I141" s="273"/>
      <c r="J141" s="273"/>
      <c r="K141" s="273"/>
      <c r="L141" s="273"/>
      <c r="M141" s="276"/>
      <c r="N141" s="269" t="str">
        <f t="shared" si="8"/>
        <v/>
      </c>
      <c r="O141" s="277"/>
    </row>
    <row r="142" spans="1:15" ht="32.25" hidden="1" customHeight="1" x14ac:dyDescent="0.25">
      <c r="A142" s="285" t="s">
        <v>380</v>
      </c>
      <c r="B142" s="286"/>
      <c r="C142" s="287"/>
      <c r="D142" s="288"/>
      <c r="E142" s="287"/>
      <c r="F142" s="287" t="s">
        <v>370</v>
      </c>
      <c r="G142" s="287"/>
      <c r="H142" s="287"/>
      <c r="I142" s="287"/>
      <c r="J142" s="287"/>
      <c r="K142" s="287"/>
      <c r="L142" s="287"/>
      <c r="M142" s="287"/>
      <c r="N142" s="287"/>
      <c r="O142" s="287"/>
    </row>
    <row r="143" spans="1:15" ht="32.25" customHeight="1" x14ac:dyDescent="0.25">
      <c r="A143" s="269">
        <v>1</v>
      </c>
      <c r="B143" s="283" t="s">
        <v>20</v>
      </c>
      <c r="C143" s="284" t="s">
        <v>292</v>
      </c>
      <c r="D143" s="281" t="str">
        <f>VLOOKUP(C143,ME!$C$4:$J$81,2,0)</f>
        <v>FCU Fan Type</v>
      </c>
      <c r="E143" s="269">
        <f>IF(VLOOKUP(C143,ME!$C$4:$J$999,5,0)="","",VLOOKUP(C143,ME!$C$4:$J$999,7,0))</f>
        <v>0</v>
      </c>
      <c r="F143" s="272"/>
      <c r="G143" s="273">
        <f>IF(VLOOKUP(C143,ME!$C$4:$J$999,4,0)="","",VLOOKUP(C143,ME!$C$4:$J$999,4,0))</f>
        <v>46038</v>
      </c>
      <c r="H143" s="273">
        <f>IF(VLOOKUP(C143,ME!$C$4:$AA$939,13,0)="","",IF(E143=0,VLOOKUP(C143,ME!$C$4:$AA$939,13,0),IF(E143=1,VLOOKUP(C143,ME!$C$4:$AA$939,17,0),IF(E143=2,VLOOKUP(C143,ME!$C$4:$AA$939,22,0),""))))</f>
        <v>46044</v>
      </c>
      <c r="I143" s="273">
        <f>IF(VLOOKUP(C143,ME!$C$4:$AA$46,14,0)="","",IF(E143=0,VLOOKUP(C143,ME!$C$4:$AA$46,14,0),IF(E5=1,VLOOKUP(C143,ME!$C$4:$AA$46,19,0),IF(E5=2,VLOOKUP(C143,ME!$C$4:$AA$46,24,0),""))))</f>
        <v>46063</v>
      </c>
      <c r="J143" s="273" t="str">
        <f>IF(VLOOKUP(C143,ME!$C$4:$AA$46,15,0)="","",IF(E143=0,VLOOKUP(C143,ME!$C$4:$AA$46,15,0),IF(E5=1,VLOOKUP(C143,ME!$C$4:$AA$46,20,0),IF(E5=2,VLOOKUP(C143,ME!$C$4:$AA$46,25,0),""))))</f>
        <v/>
      </c>
      <c r="K143" s="276" t="str">
        <f>VLOOKUP(C143,ME!$C$4:$K$999,8,0)</f>
        <v>STT</v>
      </c>
      <c r="L143" s="275" cm="1">
        <f t="array" aca="1" ref="L143" ca="1">_xlfn.IFS(AND($E143&lt;&gt;"",$M143="Pending",$K143="CTA"),TODAY()-$G143,AND($E143&lt;&gt;"",$M143="Pending",$K143="AUR"),TODAY()-$H143,AND($E143&lt;&gt;"",$M143="Pending",$K143="STT"),TODAY()-$I143,OR(K143="Closed",K143=""),"")</f>
        <v>1</v>
      </c>
      <c r="M143" s="276" t="str">
        <f>VLOOKUP(C143,ME!$C$4:$K$34,9,0)</f>
        <v>Pending</v>
      </c>
      <c r="N143" s="269" t="str">
        <f t="shared" ref="N143:N155" ca="1" si="10">IF(AND(E143&lt;&gt;"",M143="Pending"),IF(L143&gt;=5,"Overdue",IF(L143&gt;=3,"High","")),"")</f>
        <v/>
      </c>
      <c r="O143" s="316" t="s">
        <v>372</v>
      </c>
    </row>
    <row r="144" spans="1:15" ht="32.25" hidden="1" customHeight="1" x14ac:dyDescent="0.25">
      <c r="A144" s="269">
        <v>2</v>
      </c>
      <c r="B144" s="283" t="s">
        <v>20</v>
      </c>
      <c r="C144" s="284" t="s">
        <v>294</v>
      </c>
      <c r="D144" s="281" t="str">
        <f>VLOOKUP(C144,ME!$C$4:$J$81,2,0)</f>
        <v>Gas Purging Fan Tag Number is 02-01-GPF-002 or 02-02-GPF-002 for 2nd FL</v>
      </c>
      <c r="E144" s="269">
        <f>IF(VLOOKUP(C144,ME!$C$4:$J$999,5,0)="","",VLOOKUP(C144,ME!$C$4:$J$999,7,0))</f>
        <v>0</v>
      </c>
      <c r="F144" s="272"/>
      <c r="G144" s="273">
        <f>IF(VLOOKUP(C144,ME!$C$4:$J$999,4,0)="","",VLOOKUP(C144,ME!$C$4:$J$999,4,0))</f>
        <v>46042</v>
      </c>
      <c r="H144" s="273" t="str">
        <f>IF(VLOOKUP(C144,ME!$C$4:$AA$939,13,0)="","",IF(E144=0,VLOOKUP(C144,ME!$C$4:$AA$939,13,0),IF(E144=1,VLOOKUP(C144,ME!$C$4:$AA$939,17,0),IF(E144=2,VLOOKUP(C144,ME!$C$4:$AA$939,22,0),""))))</f>
        <v/>
      </c>
      <c r="I144" s="273" t="str">
        <f>IF(VLOOKUP(C144,ME!$C$4:$AA$46,14,0)="","",IF(E144=0,VLOOKUP(C144,ME!$C$4:$AA$46,14,0),IF(E6=1,VLOOKUP(C144,ME!$C$4:$AA$46,19,0),IF(E6=2,VLOOKUP(C144,ME!$C$4:$AA$46,24,0),""))))</f>
        <v/>
      </c>
      <c r="J144" s="273" t="str">
        <f>IF(VLOOKUP(C144,ME!$C$4:$AA$46,15,0)="","",IF(E144=0,VLOOKUP(C144,ME!$C$4:$AA$46,15,0),IF(E6=1,VLOOKUP(C144,ME!$C$4:$AA$46,20,0),IF(E6=2,VLOOKUP(C144,ME!$C$4:$AA$46,25,0),""))))</f>
        <v/>
      </c>
      <c r="K144" s="276" t="str">
        <f>VLOOKUP(C144,ME!$C$4:$K$999,8,0)</f>
        <v>CTA</v>
      </c>
      <c r="L144" s="275" t="e" cm="1">
        <f t="array" aca="1" ref="L144" ca="1">_xlfn.IFS(AND($E144&lt;&gt;"",$M144="Pending",$K144="CTA"),TODAY()-$G144,AND($E144&lt;&gt;"",$M144="Pending",$K144="AUR"),TODAY()-$H144,AND($E144&lt;&gt;"",$M144="Pending",$K144="STT"),TODAY()-$I144,OR(K144="Closed",K144=""),"")</f>
        <v>#N/A</v>
      </c>
      <c r="M144" s="321" t="str">
        <f>VLOOKUP(C144,ME!$C$4:$K$34,9,0)</f>
        <v>CANCEL</v>
      </c>
      <c r="N144" s="269" t="str">
        <f t="shared" si="10"/>
        <v/>
      </c>
      <c r="O144" s="293"/>
    </row>
    <row r="145" spans="1:15" ht="32.25" customHeight="1" x14ac:dyDescent="0.25">
      <c r="A145" s="269">
        <v>3</v>
      </c>
      <c r="B145" s="283" t="s">
        <v>20</v>
      </c>
      <c r="C145" s="284" t="s">
        <v>297</v>
      </c>
      <c r="D145" s="281" t="str">
        <f>VLOOKUP(C145,ME!$C$4:$J$81,2,0)</f>
        <v>Correct reference of the Supply Air of FCU 2nd FL (No. 001 to 012)</v>
      </c>
      <c r="E145" s="269">
        <f>IF(VLOOKUP(C145,ME!$C$4:$J$999,5,0)="","",VLOOKUP(C145,ME!$C$4:$J$999,7,0))</f>
        <v>0</v>
      </c>
      <c r="F145" s="272"/>
      <c r="G145" s="273">
        <f>IF(VLOOKUP(C145,ME!$C$4:$J$999,4,0)="","",VLOOKUP(C145,ME!$C$4:$J$999,4,0))</f>
        <v>46038</v>
      </c>
      <c r="H145" s="273">
        <f>IF(VLOOKUP(C145,ME!$C$4:$AA$939,13,0)="","",IF(E145=0,VLOOKUP(C145,ME!$C$4:$AA$939,13,0),IF(E145=1,VLOOKUP(C145,ME!$C$4:$AA$939,17,0),IF(E145=2,VLOOKUP(C145,ME!$C$4:$AA$939,22,0),""))))</f>
        <v>46044</v>
      </c>
      <c r="I145" s="273">
        <f>IF(VLOOKUP(C145,ME!$C$4:$AA$46,14,0)="","",IF(E145=0,VLOOKUP(C145,ME!$C$4:$AA$46,14,0),IF(E7=1,VLOOKUP(C145,ME!$C$4:$AA$46,19,0),IF(E7=2,VLOOKUP(C145,ME!$C$4:$AA$46,24,0),""))))</f>
        <v>46063</v>
      </c>
      <c r="J145" s="273" t="str">
        <f>IF(VLOOKUP(C145,ME!$C$4:$AA$46,15,0)="","",IF(E145=0,VLOOKUP(C145,ME!$C$4:$AA$46,15,0),IF(E7=1,VLOOKUP(C145,ME!$C$4:$AA$46,20,0),IF(E7=2,VLOOKUP(C145,ME!$C$4:$AA$46,25,0),""))))</f>
        <v/>
      </c>
      <c r="K145" s="276" t="str">
        <f>VLOOKUP(C145,ME!$C$4:$K$999,8,0)</f>
        <v>STT</v>
      </c>
      <c r="L145" s="275" cm="1">
        <f t="array" aca="1" ref="L145" ca="1">_xlfn.IFS(AND($E145&lt;&gt;"",$M145="Pending",$K145="CTA"),TODAY()-$G145,AND($E145&lt;&gt;"",$M145="Pending",$K145="AUR"),TODAY()-$H145,AND($E145&lt;&gt;"",$M145="Pending",$K145="STT"),TODAY()-$I145,OR(K145="Closed",K145=""),"")</f>
        <v>1</v>
      </c>
      <c r="M145" s="276" t="str">
        <f>VLOOKUP(C145,ME!$C$4:$K$34,9,0)</f>
        <v>Pending</v>
      </c>
      <c r="N145" s="269" t="str">
        <f t="shared" ca="1" si="10"/>
        <v/>
      </c>
      <c r="O145" s="316" t="s">
        <v>372</v>
      </c>
    </row>
    <row r="146" spans="1:15" ht="32.25" hidden="1" customHeight="1" x14ac:dyDescent="0.25">
      <c r="A146" s="269">
        <v>4</v>
      </c>
      <c r="B146" s="283" t="s">
        <v>20</v>
      </c>
      <c r="C146" s="284" t="s">
        <v>299</v>
      </c>
      <c r="D146" s="281" t="str">
        <f>VLOOKUP(C146,ME!$C$4:$J$81,2,0)</f>
        <v>CCU is not Equipped with a motorized Damper? 2nd - 4th FL</v>
      </c>
      <c r="E146" s="269">
        <f>IF(VLOOKUP(C146,ME!$C$4:$J$999,5,0)="","",VLOOKUP(C146,ME!$C$4:$J$999,7,0))</f>
        <v>0</v>
      </c>
      <c r="F146" s="272"/>
      <c r="G146" s="273">
        <f>IF(VLOOKUP(C146,ME!$C$4:$J$999,4,0)="","",VLOOKUP(C146,ME!$C$4:$J$999,4,0))</f>
        <v>46038</v>
      </c>
      <c r="H146" s="273">
        <f>IF(VLOOKUP(C146,ME!$C$4:$AA$939,13,0)="","",IF(E146=0,VLOOKUP(C146,ME!$C$4:$AA$939,13,0),IF(E146=1,VLOOKUP(C146,ME!$C$4:$AA$939,17,0),IF(E146=2,VLOOKUP(C146,ME!$C$4:$AA$939,22,0),""))))</f>
        <v>46043</v>
      </c>
      <c r="I146" s="273">
        <f>IF(VLOOKUP(C146,ME!$C$4:$AA$46,14,0)="","",IF(E146=0,VLOOKUP(C146,ME!$C$4:$AA$46,14,0),IF(E8=1,VLOOKUP(C146,ME!$C$4:$AA$46,19,0),IF(E8=2,VLOOKUP(C146,ME!$C$4:$AA$46,24,0),""))))</f>
        <v>46049</v>
      </c>
      <c r="J146" s="273">
        <f>IF(VLOOKUP(C146,ME!$C$4:$AA$46,15,0)="","",IF(E146=0,VLOOKUP(C146,ME!$C$4:$AA$46,15,0),IF(E8=1,VLOOKUP(C146,ME!$C$4:$AA$46,20,0),IF(E8=2,VLOOKUP(C146,ME!$C$4:$AA$46,25,0),""))))</f>
        <v>46049</v>
      </c>
      <c r="K146" s="276" t="str">
        <f>VLOOKUP(C146,ME!$C$4:$K$999,8,0)</f>
        <v>Closed</v>
      </c>
      <c r="L146" s="275" t="str" cm="1">
        <f t="array" aca="1" ref="L146" ca="1">_xlfn.IFS(AND($E146&lt;&gt;"",$M146="Pending",$K146="CTA"),TODAY()-$G146,AND($E146&lt;&gt;"",$M146="Pending",$K146="AUR"),TODAY()-$H146,AND($E146&lt;&gt;"",$M146="Pending",$K146="STT"),TODAY()-$I146,OR(K146="Closed",K146=""),"")</f>
        <v/>
      </c>
      <c r="M146" s="276" t="str">
        <f>VLOOKUP(C146,ME!$C$4:$K$34,9,0)</f>
        <v>B</v>
      </c>
      <c r="N146" s="269" t="str">
        <f t="shared" si="10"/>
        <v/>
      </c>
      <c r="O146" s="316" t="s">
        <v>372</v>
      </c>
    </row>
    <row r="147" spans="1:15" ht="32.25" hidden="1" customHeight="1" x14ac:dyDescent="0.25">
      <c r="A147" s="269">
        <v>5</v>
      </c>
      <c r="B147" s="283" t="s">
        <v>20</v>
      </c>
      <c r="C147" s="284" t="s">
        <v>301</v>
      </c>
      <c r="D147" s="281" t="str">
        <f>VLOOKUP(C147,ME!$C$4:$J$81,2,0)</f>
        <v>MEP Pipe at 2.1m. conflict with door height 2.8 meters 1st Floor</v>
      </c>
      <c r="E147" s="269">
        <f>IF(VLOOKUP(C147,ME!$C$4:$J$999,5,0)="","",VLOOKUP(C147,ME!$C$4:$J$999,7,0))</f>
        <v>0</v>
      </c>
      <c r="F147" s="272"/>
      <c r="G147" s="273">
        <f>IF(VLOOKUP(C147,ME!$C$4:$J$999,4,0)="","",VLOOKUP(C147,ME!$C$4:$J$999,4,0))</f>
        <v>46043</v>
      </c>
      <c r="H147" s="273">
        <f>IF(VLOOKUP(C147,ME!$C$4:$AA$939,13,0)="","",IF(E147=0,VLOOKUP(C147,ME!$C$4:$AA$939,13,0),IF(E147=1,VLOOKUP(C147,ME!$C$4:$AA$939,17,0),IF(E147=2,VLOOKUP(C147,ME!$C$4:$AA$939,22,0),""))))</f>
        <v>46048</v>
      </c>
      <c r="I147" s="273">
        <f>IF(VLOOKUP(C147,ME!$C$4:$AA$46,14,0)="","",IF(E147=0,VLOOKUP(C147,ME!$C$4:$AA$46,14,0),IF(E9=1,VLOOKUP(C147,ME!$C$4:$AA$46,19,0),IF(E9=2,VLOOKUP(C147,ME!$C$4:$AA$46,24,0),""))))</f>
        <v>46050</v>
      </c>
      <c r="J147" s="273">
        <f>IF(VLOOKUP(C147,ME!$C$4:$AA$46,15,0)="","",IF(E147=0,VLOOKUP(C147,ME!$C$4:$AA$46,15,0),IF(E9=1,VLOOKUP(C147,ME!$C$4:$AA$46,20,0),IF(E9=2,VLOOKUP(C147,ME!$C$4:$AA$46,25,0),""))))</f>
        <v>46051</v>
      </c>
      <c r="K147" s="276" t="str">
        <f>VLOOKUP(C147,ME!$C$4:$K$999,8,0)</f>
        <v>Closed</v>
      </c>
      <c r="L147" s="275" t="str" cm="1">
        <f t="array" aca="1" ref="L147" ca="1">_xlfn.IFS(AND($E147&lt;&gt;"",$M147="Pending",$K147="CTA"),TODAY()-$G147,AND($E147&lt;&gt;"",$M147="Pending",$K147="AUR"),TODAY()-$H147,AND($E147&lt;&gt;"",$M147="Pending",$K147="STT"),TODAY()-$I147,OR(K147="Closed",K147=""),"")</f>
        <v/>
      </c>
      <c r="M147" s="276" t="str">
        <f>VLOOKUP(C147,ME!$C$4:$K$34,9,0)</f>
        <v>B</v>
      </c>
      <c r="N147" s="269" t="str">
        <f t="shared" si="10"/>
        <v/>
      </c>
      <c r="O147" s="293"/>
    </row>
    <row r="148" spans="1:15" ht="32.25" customHeight="1" x14ac:dyDescent="0.25">
      <c r="A148" s="269">
        <v>6</v>
      </c>
      <c r="B148" s="283" t="s">
        <v>20</v>
      </c>
      <c r="C148" s="284" t="s">
        <v>303</v>
      </c>
      <c r="D148" s="281" t="str">
        <f>VLOOKUP(C148,ME!$C$4:$J$81,2,0)</f>
        <v>Cooling Coil amount and type for PAHU 1st &amp; Roof FL</v>
      </c>
      <c r="E148" s="269">
        <f>IF(VLOOKUP(C148,ME!$C$4:$J$999,5,0)="","",VLOOKUP(C148,ME!$C$4:$J$999,7,0))</f>
        <v>0</v>
      </c>
      <c r="F148" s="272"/>
      <c r="G148" s="273">
        <f>IF(VLOOKUP(C148,ME!$C$4:$J$999,4,0)="","",VLOOKUP(C148,ME!$C$4:$J$999,4,0))</f>
        <v>46034</v>
      </c>
      <c r="H148" s="273">
        <f>IF(VLOOKUP(C148,ME!$C$4:$AA$939,13,0)="","",IF(E148=0,VLOOKUP(C148,ME!$C$4:$AA$939,13,0),IF(E148=1,VLOOKUP(C148,ME!$C$4:$AA$939,17,0),IF(E148=2,VLOOKUP(C148,ME!$C$4:$AA$939,22,0),""))))</f>
        <v>46062</v>
      </c>
      <c r="I148" s="273">
        <f>IF(VLOOKUP(C148,ME!$C$4:$AA$46,14,0)="","",IF(E148=0,VLOOKUP(C148,ME!$C$4:$AA$46,14,0),IF(E10=1,VLOOKUP(C148,ME!$C$4:$AA$46,19,0),IF(E10=2,VLOOKUP(C148,ME!$C$4:$AA$46,24,0),""))))</f>
        <v>46063</v>
      </c>
      <c r="J148" s="273" t="str">
        <f>IF(VLOOKUP(C148,ME!$C$4:$AA$46,15,0)="","",IF(E148=0,VLOOKUP(C148,ME!$C$4:$AA$46,15,0),IF(E10=1,VLOOKUP(C148,ME!$C$4:$AA$46,20,0),IF(E10=2,VLOOKUP(C148,ME!$C$4:$AA$46,25,0),""))))</f>
        <v/>
      </c>
      <c r="K148" s="276" t="str">
        <f>VLOOKUP(C148,ME!$C$4:$K$999,8,0)</f>
        <v>STT</v>
      </c>
      <c r="L148" s="275" cm="1">
        <f t="array" aca="1" ref="L148" ca="1">_xlfn.IFS(AND($E148&lt;&gt;"",$M148="Pending",$K148="CTA"),TODAY()-$G148,AND($E148&lt;&gt;"",$M148="Pending",$K148="AUR"),TODAY()-$H148,AND($E148&lt;&gt;"",$M148="Pending",$K148="STT"),TODAY()-$I148,OR(K148="Closed",K148=""),"")</f>
        <v>1</v>
      </c>
      <c r="M148" s="276" t="str">
        <f>VLOOKUP(C148,ME!$C$4:$K$34,9,0)</f>
        <v>Pending</v>
      </c>
      <c r="N148" s="269" t="str">
        <f t="shared" ca="1" si="10"/>
        <v/>
      </c>
      <c r="O148" s="293"/>
    </row>
    <row r="149" spans="1:15" ht="32.25" customHeight="1" x14ac:dyDescent="0.25">
      <c r="A149" s="269">
        <v>7</v>
      </c>
      <c r="B149" s="283" t="s">
        <v>20</v>
      </c>
      <c r="C149" s="284" t="s">
        <v>305</v>
      </c>
      <c r="D149" s="281" t="str">
        <f>VLOOKUP(C149,ME!$C$4:$J$81,2,0)</f>
        <v>PAHU Supply Air Conflict  1st FL</v>
      </c>
      <c r="E149" s="269">
        <f>IF(VLOOKUP(C149,ME!$C$4:$J$999,5,0)="","",VLOOKUP(C149,ME!$C$4:$J$999,7,0))</f>
        <v>0</v>
      </c>
      <c r="F149" s="272"/>
      <c r="G149" s="273">
        <f>IF(VLOOKUP(C149,ME!$C$4:$J$999,4,0)="","",VLOOKUP(C149,ME!$C$4:$J$999,4,0))</f>
        <v>46034</v>
      </c>
      <c r="H149" s="273">
        <f>IF(VLOOKUP(C149,ME!$C$4:$AA$939,13,0)="","",IF(E149=0,VLOOKUP(C149,ME!$C$4:$AA$939,13,0),IF(E149=1,VLOOKUP(C149,ME!$C$4:$AA$939,17,0),IF(E149=2,VLOOKUP(C149,ME!$C$4:$AA$939,22,0),""))))</f>
        <v>46044</v>
      </c>
      <c r="I149" s="273">
        <f>IF(VLOOKUP(C149,ME!$C$4:$AA$46,14,0)="","",IF(E149=0,VLOOKUP(C149,ME!$C$4:$AA$46,14,0),IF(E11=1,VLOOKUP(C149,ME!$C$4:$AA$46,19,0),IF(E11=2,VLOOKUP(C149,ME!$C$4:$AA$46,24,0),""))))</f>
        <v>46063</v>
      </c>
      <c r="J149" s="273" t="str">
        <f>IF(VLOOKUP(C149,ME!$C$4:$AA$46,15,0)="","",IF(E149=0,VLOOKUP(C149,ME!$C$4:$AA$46,15,0),IF(E11=1,VLOOKUP(C149,ME!$C$4:$AA$46,20,0),IF(E11=2,VLOOKUP(C149,ME!$C$4:$AA$46,25,0),""))))</f>
        <v/>
      </c>
      <c r="K149" s="276" t="str">
        <f>VLOOKUP(C149,ME!$C$4:$K$999,8,0)</f>
        <v>STT</v>
      </c>
      <c r="L149" s="275" cm="1">
        <f t="array" aca="1" ref="L149" ca="1">_xlfn.IFS(AND($E149&lt;&gt;"",$M149="Pending",$K149="CTA"),TODAY()-$G149,AND($E149&lt;&gt;"",$M149="Pending",$K149="AUR"),TODAY()-$H149,AND($E149&lt;&gt;"",$M149="Pending",$K149="STT"),TODAY()-$I149,OR(K149="Closed",K149=""),"")</f>
        <v>1</v>
      </c>
      <c r="M149" s="276" t="str">
        <f>VLOOKUP(C149,ME!$C$4:$K$34,9,0)</f>
        <v>Pending</v>
      </c>
      <c r="N149" s="269" t="str">
        <f t="shared" ca="1" si="10"/>
        <v/>
      </c>
      <c r="O149" s="316" t="s">
        <v>372</v>
      </c>
    </row>
    <row r="150" spans="1:15" ht="32.25" hidden="1" customHeight="1" x14ac:dyDescent="0.25">
      <c r="A150" s="269">
        <v>8</v>
      </c>
      <c r="B150" s="283" t="s">
        <v>20</v>
      </c>
      <c r="C150" s="284" t="s">
        <v>307</v>
      </c>
      <c r="D150" s="281" t="str">
        <f>VLOOKUP(C150,ME!$C$4:$J$81,2,0)</f>
        <v>Add Isolation Valve and Check Valve for DRG-ME-0103, 0104 and 0105</v>
      </c>
      <c r="E150" s="269">
        <f>IF(VLOOKUP(C150,ME!$C$4:$J$999,5,0)="","",VLOOKUP(C150,ME!$C$4:$J$999,7,0))</f>
        <v>0</v>
      </c>
      <c r="F150" s="272"/>
      <c r="G150" s="273">
        <f>IF(VLOOKUP(C150,ME!$C$4:$J$999,4,0)="","",VLOOKUP(C150,ME!$C$4:$J$999,4,0))</f>
        <v>46034</v>
      </c>
      <c r="H150" s="273">
        <f>IF(VLOOKUP(C150,ME!$C$4:$AA$939,13,0)="","",IF(E150=0,VLOOKUP(C150,ME!$C$4:$AA$939,13,0),IF(E150=1,VLOOKUP(C150,ME!$C$4:$AA$939,17,0),IF(E150=2,VLOOKUP(C150,ME!$C$4:$AA$939,22,0),""))))</f>
        <v>46044</v>
      </c>
      <c r="I150" s="273">
        <f>IF(VLOOKUP(C150,ME!$C$4:$AA$46,14,0)="","",IF(E150=0,VLOOKUP(C150,ME!$C$4:$AA$46,14,0),IF(E12=1,VLOOKUP(C150,ME!$C$4:$AA$46,19,0),IF(E12=2,VLOOKUP(C150,ME!$C$4:$AA$46,24,0),""))))</f>
        <v>46063</v>
      </c>
      <c r="J150" s="273" t="str">
        <f>IF(VLOOKUP(C150,ME!$C$4:$AA$46,15,0)="","",IF(E150=0,VLOOKUP(C150,ME!$C$4:$AA$46,15,0),IF(E12=1,VLOOKUP(C150,ME!$C$4:$AA$46,20,0),IF(E12=2,VLOOKUP(C150,ME!$C$4:$AA$46,25,0),""))))</f>
        <v/>
      </c>
      <c r="K150" s="276" t="str">
        <f>VLOOKUP(C150,ME!$C$4:$K$999,8,0)</f>
        <v>STT</v>
      </c>
      <c r="L150" s="275" t="e" cm="1">
        <f t="array" aca="1" ref="L150" ca="1">_xlfn.IFS(AND($E150&lt;&gt;"",$M150="Pending",$K150="CTA"),TODAY()-$G150,AND($E150&lt;&gt;"",$M150="Pending",$K150="AUR"),TODAY()-$H150,AND($E150&lt;&gt;"",$M150="Pending",$K150="STT"),TODAY()-$I150,OR(K150="Closed",K150=""),"")</f>
        <v>#N/A</v>
      </c>
      <c r="M150" s="321" t="str">
        <f>VLOOKUP(C150,ME!$C$4:$K$34,9,0)</f>
        <v>CANCEL</v>
      </c>
      <c r="N150" s="269" t="str">
        <f t="shared" si="10"/>
        <v/>
      </c>
      <c r="O150" s="316" t="s">
        <v>372</v>
      </c>
    </row>
    <row r="151" spans="1:15" ht="32.25" hidden="1" customHeight="1" x14ac:dyDescent="0.25">
      <c r="A151" s="269">
        <v>9</v>
      </c>
      <c r="B151" s="283" t="s">
        <v>20</v>
      </c>
      <c r="C151" s="284" t="s">
        <v>309</v>
      </c>
      <c r="D151" s="281" t="str">
        <f>VLOOKUP(C151,ME!$C$4:$J$81,2,0)</f>
        <v>Add  Isolation Valves for 4th &amp;5 th FL</v>
      </c>
      <c r="E151" s="269">
        <f>IF(VLOOKUP(C151,ME!$C$4:$J$999,5,0)="","",VLOOKUP(C151,ME!$C$4:$J$999,7,0))</f>
        <v>0</v>
      </c>
      <c r="F151" s="272"/>
      <c r="G151" s="273">
        <f>IF(VLOOKUP(C151,ME!$C$4:$J$999,4,0)="","",VLOOKUP(C151,ME!$C$4:$J$999,4,0))</f>
        <v>46044</v>
      </c>
      <c r="H151" s="273" t="str">
        <f>IF(VLOOKUP(C151,ME!$C$4:$AA$939,13,0)="","",IF(E151=0,VLOOKUP(C151,ME!$C$4:$AA$939,13,0),IF(E151=1,VLOOKUP(C151,ME!$C$4:$AA$939,17,0),IF(E151=2,VLOOKUP(C151,ME!$C$4:$AA$939,22,0),""))))</f>
        <v/>
      </c>
      <c r="I151" s="273">
        <f>IF(VLOOKUP(C151,ME!$C$4:$AA$46,14,0)="","",IF(E151=0,VLOOKUP(C151,ME!$C$4:$AA$46,14,0),IF(E13=1,VLOOKUP(C151,ME!$C$4:$AA$46,19,0),IF(E13=2,VLOOKUP(C151,ME!$C$4:$AA$46,24,0),""))))</f>
        <v>46063</v>
      </c>
      <c r="J151" s="273" t="str">
        <f>IF(VLOOKUP(C151,ME!$C$4:$AA$46,15,0)="","",IF(E151=0,VLOOKUP(C151,ME!$C$4:$AA$46,15,0),IF(E13=1,VLOOKUP(C151,ME!$C$4:$AA$46,20,0),IF(E13=2,VLOOKUP(C151,ME!$C$4:$AA$46,25,0),""))))</f>
        <v/>
      </c>
      <c r="K151" s="276" t="str">
        <f>VLOOKUP(C151,ME!$C$4:$K$999,8,0)</f>
        <v>STT</v>
      </c>
      <c r="L151" s="275" t="e" cm="1">
        <f t="array" aca="1" ref="L151" ca="1">_xlfn.IFS(AND($E151&lt;&gt;"",$M151="Pending",$K151="CTA"),TODAY()-$G151,AND($E151&lt;&gt;"",$M151="Pending",$K151="AUR"),TODAY()-$H151,AND($E151&lt;&gt;"",$M151="Pending",$K151="STT"),TODAY()-$I151,OR(K151="Closed",K151=""),"")</f>
        <v>#N/A</v>
      </c>
      <c r="M151" s="321" t="str">
        <f>VLOOKUP(C151,ME!$C$4:$K$34,9,0)</f>
        <v>CANCEL</v>
      </c>
      <c r="N151" s="269" t="str">
        <f t="shared" si="10"/>
        <v/>
      </c>
      <c r="O151" s="316" t="s">
        <v>372</v>
      </c>
    </row>
    <row r="152" spans="1:15" ht="34.950000000000003" customHeight="1" x14ac:dyDescent="0.25">
      <c r="A152" s="269">
        <v>10</v>
      </c>
      <c r="B152" s="283" t="s">
        <v>20</v>
      </c>
      <c r="C152" s="284" t="s">
        <v>311</v>
      </c>
      <c r="D152" s="281" t="str">
        <f>VLOOKUP(C152,ME!$C$4:$J$81,2,0)</f>
        <v>Change CVV Cable from 2C-1.5 mm2 to 4C-1.5 mm2 in MCC Panel for DRG-ME-8000, 8001, 8002, 8003</v>
      </c>
      <c r="E152" s="269">
        <f>IF(VLOOKUP(C152,ME!$C$4:$J$999,5,0)="","",VLOOKUP(C152,ME!$C$4:$J$999,7,0))</f>
        <v>0</v>
      </c>
      <c r="F152" s="272"/>
      <c r="G152" s="273">
        <f>IF(VLOOKUP(C152,ME!$C$4:$J$999,4,0)="","",VLOOKUP(C152,ME!$C$4:$J$999,4,0))</f>
        <v>46044</v>
      </c>
      <c r="H152" s="273">
        <f>IF(VLOOKUP(C152,ME!$C$4:$AA$939,13,0)="","",IF(E152=0,VLOOKUP(C152,ME!$C$4:$AA$939,13,0),IF(E152=1,VLOOKUP(C152,ME!$C$4:$AA$939,17,0),IF(E152=2,VLOOKUP(C152,ME!$C$4:$AA$939,22,0),""))))</f>
        <v>46062</v>
      </c>
      <c r="I152" s="273">
        <f>IF(VLOOKUP(C152,ME!$C$4:$AA$46,14,0)="","",IF(E152=0,VLOOKUP(C152,ME!$C$4:$AA$46,14,0),IF(E14=1,VLOOKUP(C152,ME!$C$4:$AA$46,19,0),IF(E14=2,VLOOKUP(C152,ME!$C$4:$AA$46,24,0),""))))</f>
        <v>46063</v>
      </c>
      <c r="J152" s="273" t="str">
        <f>IF(VLOOKUP(C152,ME!$C$4:$AA$46,15,0)="","",IF(E152=0,VLOOKUP(C152,ME!$C$4:$AA$46,15,0),IF(E14=1,VLOOKUP(C152,ME!$C$4:$AA$46,20,0),IF(E14=2,VLOOKUP(C152,ME!$C$4:$AA$46,25,0),""))))</f>
        <v/>
      </c>
      <c r="K152" s="276" t="str">
        <f>VLOOKUP(C152,ME!$C$4:$K$999,8,0)</f>
        <v>STT</v>
      </c>
      <c r="L152" s="275" cm="1">
        <f t="array" aca="1" ref="L152" ca="1">_xlfn.IFS(AND($E152&lt;&gt;"",$M152="Pending",$K152="CTA"),TODAY()-$G152,AND($E152&lt;&gt;"",$M152="Pending",$K152="AUR"),TODAY()-$H152,AND($E152&lt;&gt;"",$M152="Pending",$K152="STT"),TODAY()-$I152,OR(K152="Closed",K152=""),"")</f>
        <v>1</v>
      </c>
      <c r="M152" s="276" t="str">
        <f>VLOOKUP(C152,ME!$C$4:$K$34,9,0)</f>
        <v>Pending</v>
      </c>
      <c r="N152" s="269" t="str">
        <f t="shared" ca="1" si="10"/>
        <v/>
      </c>
      <c r="O152" s="293"/>
    </row>
    <row r="153" spans="1:15" ht="34.950000000000003" customHeight="1" x14ac:dyDescent="0.25">
      <c r="A153" s="269">
        <v>11</v>
      </c>
      <c r="B153" s="283" t="s">
        <v>20</v>
      </c>
      <c r="C153" s="284" t="s">
        <v>313</v>
      </c>
      <c r="D153" s="281" t="str">
        <f>VLOOKUP(C153,ME!$C$4:$J$81,2,0)</f>
        <v>Power Supply and cable size from MCC Panel in Drawing 523213-02-DRG-ME-0201</v>
      </c>
      <c r="E153" s="269">
        <f>IF(VLOOKUP(C153,ME!$C$4:$J$999,5,0)="","",VLOOKUP(C153,ME!$C$4:$J$999,7,0))</f>
        <v>0</v>
      </c>
      <c r="F153" s="272"/>
      <c r="G153" s="273">
        <f>IF(VLOOKUP(C153,ME!$C$4:$J$999,4,0)="","",VLOOKUP(C153,ME!$C$4:$J$999,4,0))</f>
        <v>46034</v>
      </c>
      <c r="H153" s="273">
        <f>IF(VLOOKUP(C153,ME!$C$4:$AA$939,13,0)="","",IF(E153=0,VLOOKUP(C153,ME!$C$4:$AA$939,13,0),IF(E153=1,VLOOKUP(C153,ME!$C$4:$AA$939,17,0),IF(E153=2,VLOOKUP(C153,ME!$C$4:$AA$939,22,0),""))))</f>
        <v>46062</v>
      </c>
      <c r="I153" s="273">
        <f>IF(VLOOKUP(C153,ME!$C$4:$AA$46,14,0)="","",IF(E153=0,VLOOKUP(C153,ME!$C$4:$AA$46,14,0),IF(E15=1,VLOOKUP(C153,ME!$C$4:$AA$46,19,0),IF(E15=2,VLOOKUP(C153,ME!$C$4:$AA$46,24,0),""))))</f>
        <v>46063</v>
      </c>
      <c r="J153" s="273" t="str">
        <f>IF(VLOOKUP(C153,ME!$C$4:$AA$46,15,0)="","",IF(E153=0,VLOOKUP(C153,ME!$C$4:$AA$46,15,0),IF(E15=1,VLOOKUP(C153,ME!$C$4:$AA$46,20,0),IF(E15=2,VLOOKUP(C153,ME!$C$4:$AA$46,25,0),""))))</f>
        <v/>
      </c>
      <c r="K153" s="276" t="str">
        <f>VLOOKUP(C153,ME!$C$4:$K$999,8,0)</f>
        <v>STT</v>
      </c>
      <c r="L153" s="275" cm="1">
        <f t="array" aca="1" ref="L153" ca="1">_xlfn.IFS(AND($E153&lt;&gt;"",$M153="Pending",$K153="CTA"),TODAY()-$G153,AND($E153&lt;&gt;"",$M153="Pending",$K153="AUR"),TODAY()-$H153,AND($E153&lt;&gt;"",$M153="Pending",$K153="STT"),TODAY()-$I153,OR(K153="Closed",K153=""),"")</f>
        <v>1</v>
      </c>
      <c r="M153" s="276" t="str">
        <f>VLOOKUP(C153,ME!$C$4:$K$34,9,0)</f>
        <v>Pending</v>
      </c>
      <c r="N153" s="269" t="str">
        <f t="shared" ca="1" si="10"/>
        <v/>
      </c>
      <c r="O153" s="293"/>
    </row>
    <row r="154" spans="1:15" ht="32.25" customHeight="1" x14ac:dyDescent="0.25">
      <c r="A154" s="269">
        <v>12</v>
      </c>
      <c r="B154" s="283" t="s">
        <v>20</v>
      </c>
      <c r="C154" s="284" t="s">
        <v>315</v>
      </c>
      <c r="D154" s="281" t="str">
        <f>VLOOKUP(C154,ME!$C$4:$J$81,2,0)</f>
        <v>DP Sensor for Fan Wall at DATA HALL is Required</v>
      </c>
      <c r="E154" s="269">
        <f>IF(VLOOKUP(C154,ME!$C$4:$J$999,5,0)="","",VLOOKUP(C154,ME!$C$4:$J$999,7,0))</f>
        <v>0</v>
      </c>
      <c r="F154" s="272"/>
      <c r="G154" s="273">
        <f>IF(VLOOKUP(C154,ME!$C$4:$J$999,4,0)="","",VLOOKUP(C154,ME!$C$4:$J$999,4,0))</f>
        <v>46044</v>
      </c>
      <c r="H154" s="273">
        <f>IF(VLOOKUP(C154,ME!$C$4:$AA$939,13,0)="","",IF(E154=0,VLOOKUP(C154,ME!$C$4:$AA$939,13,0),IF(E154=1,VLOOKUP(C154,ME!$C$4:$AA$939,17,0),IF(E154=2,VLOOKUP(C154,ME!$C$4:$AA$939,22,0),""))))</f>
        <v>46062</v>
      </c>
      <c r="I154" s="273">
        <f>IF(VLOOKUP(C154,ME!$C$4:$AA$46,14,0)="","",IF(E154=0,VLOOKUP(C154,ME!$C$4:$AA$46,14,0),IF(E16=1,VLOOKUP(C154,ME!$C$4:$AA$46,19,0),IF(E16=2,VLOOKUP(C154,ME!$C$4:$AA$46,24,0),""))))</f>
        <v>46063</v>
      </c>
      <c r="J154" s="273" t="str">
        <f>IF(VLOOKUP(C154,ME!$C$4:$AA$46,15,0)="","",IF(E154=0,VLOOKUP(C154,ME!$C$4:$AA$46,15,0),IF(E16=1,VLOOKUP(C154,ME!$C$4:$AA$46,20,0),IF(E16=2,VLOOKUP(C154,ME!$C$4:$AA$46,25,0),""))))</f>
        <v/>
      </c>
      <c r="K154" s="276" t="str">
        <f>VLOOKUP(C154,ME!$C$4:$K$999,8,0)</f>
        <v>STT</v>
      </c>
      <c r="L154" s="275" cm="1">
        <f t="array" aca="1" ref="L154" ca="1">_xlfn.IFS(AND($E154&lt;&gt;"",$M154="Pending",$K154="CTA"),TODAY()-$G154,AND($E154&lt;&gt;"",$M154="Pending",$K154="AUR"),TODAY()-$H154,AND($E154&lt;&gt;"",$M154="Pending",$K154="STT"),TODAY()-$I154,OR(K154="Closed",K154=""),"")</f>
        <v>1</v>
      </c>
      <c r="M154" s="276" t="str">
        <f>VLOOKUP(C154,ME!$C$4:$K$34,9,0)</f>
        <v>Pending</v>
      </c>
      <c r="N154" s="269" t="str">
        <f t="shared" ca="1" si="10"/>
        <v/>
      </c>
      <c r="O154" s="293"/>
    </row>
    <row r="155" spans="1:15" ht="32.25" customHeight="1" x14ac:dyDescent="0.25">
      <c r="A155" s="269">
        <v>13</v>
      </c>
      <c r="B155" s="283" t="s">
        <v>20</v>
      </c>
      <c r="C155" s="284" t="s">
        <v>317</v>
      </c>
      <c r="D155" s="281" t="str">
        <f>VLOOKUP(C155,ME!$C$4:$J$81,2,0)</f>
        <v>Verify position for 02-01-EAF-019</v>
      </c>
      <c r="E155" s="269">
        <f>IF(VLOOKUP(C155,ME!$C$4:$J$999,5,0)="","",VLOOKUP(C155,ME!$C$4:$J$999,7,0))</f>
        <v>0</v>
      </c>
      <c r="F155" s="272"/>
      <c r="G155" s="273">
        <f>IF(VLOOKUP(C155,ME!$C$4:$J$999,4,0)="","",VLOOKUP(C155,ME!$C$4:$J$999,4,0))</f>
        <v>46034</v>
      </c>
      <c r="H155" s="273">
        <f>IF(VLOOKUP(C155,ME!$C$4:$AA$939,13,0)="","",IF(E155=0,VLOOKUP(C155,ME!$C$4:$AA$939,13,0),IF(E155=1,VLOOKUP(C155,ME!$C$4:$AA$939,17,0),IF(E155=2,VLOOKUP(C155,ME!$C$4:$AA$939,22,0),""))))</f>
        <v>46062</v>
      </c>
      <c r="I155" s="273">
        <f>IF(VLOOKUP(C155,ME!$C$4:$AA$46,14,0)="","",IF(E155=0,VLOOKUP(C155,ME!$C$4:$AA$46,14,0),IF(E17=1,VLOOKUP(C155,ME!$C$4:$AA$46,19,0),IF(E17=2,VLOOKUP(C155,ME!$C$4:$AA$46,24,0),""))))</f>
        <v>46063</v>
      </c>
      <c r="J155" s="273" t="str">
        <f>IF(VLOOKUP(C155,ME!$C$4:$AA$46,15,0)="","",IF(E155=0,VLOOKUP(C155,ME!$C$4:$AA$46,15,0),IF(E17=1,VLOOKUP(C155,ME!$C$4:$AA$46,20,0),IF(E17=2,VLOOKUP(C155,ME!$C$4:$AA$46,25,0),""))))</f>
        <v/>
      </c>
      <c r="K155" s="276" t="str">
        <f>VLOOKUP(C155,ME!$C$4:$K$999,8,0)</f>
        <v>STT</v>
      </c>
      <c r="L155" s="275" cm="1">
        <f t="array" aca="1" ref="L155" ca="1">_xlfn.IFS(AND($E155&lt;&gt;"",$M155="Pending",$K155="CTA"),TODAY()-$G155,AND($E155&lt;&gt;"",$M155="Pending",$K155="AUR"),TODAY()-$H155,AND($E155&lt;&gt;"",$M155="Pending",$K155="STT"),TODAY()-$I155,OR(K155="Closed",K155=""),"")</f>
        <v>1</v>
      </c>
      <c r="M155" s="276" t="str">
        <f>VLOOKUP(C155,ME!$C$4:$K$34,9,0)</f>
        <v>Pending</v>
      </c>
      <c r="N155" s="269" t="str">
        <f t="shared" ca="1" si="10"/>
        <v/>
      </c>
      <c r="O155" s="293"/>
    </row>
    <row r="156" spans="1:15" ht="32.25" customHeight="1" x14ac:dyDescent="0.25">
      <c r="A156" s="269">
        <v>14</v>
      </c>
      <c r="B156" s="283" t="s">
        <v>20</v>
      </c>
      <c r="C156" s="284" t="s">
        <v>319</v>
      </c>
      <c r="D156" s="281" t="str">
        <f>VLOOKUP(C156,ME!$C$4:$J$81,2,0)</f>
        <v>Pressure Gauge for ACMV Riser Needed?</v>
      </c>
      <c r="E156" s="269">
        <f>IF(VLOOKUP(C156,ME!$C$4:$J$999,5,0)="","",VLOOKUP(C156,ME!$C$4:$J$999,7,0))</f>
        <v>0</v>
      </c>
      <c r="F156" s="272"/>
      <c r="G156" s="273">
        <f>IF(VLOOKUP(C156,ME!$C$4:$J$999,4,0)="","",VLOOKUP(C156,ME!$C$4:$J$999,4,0))</f>
        <v>46042</v>
      </c>
      <c r="H156" s="273">
        <f>IF(VLOOKUP(C156,ME!$C$4:$AA$939,13,0)="","",IF(E156=0,VLOOKUP(C156,ME!$C$4:$AA$939,13,0),IF(E156=1,VLOOKUP(C156,ME!$C$4:$AA$939,17,0),IF(E156=2,VLOOKUP(C156,ME!$C$4:$AA$939,22,0),""))))</f>
        <v>46064</v>
      </c>
      <c r="I156" s="273" t="str">
        <f>IF(VLOOKUP(C156,ME!$C$4:$AA$46,14,0)="","",IF(E156=0,VLOOKUP(C156,ME!$C$4:$AA$46,14,0),IF(E18=1,VLOOKUP(C156,ME!$C$4:$AA$46,19,0),IF(E18=2,VLOOKUP(C156,ME!$C$4:$AA$46,24,0),""))))</f>
        <v/>
      </c>
      <c r="J156" s="273" t="str">
        <f>IF(VLOOKUP(C156,ME!$C$4:$AA$46,15,0)="","",IF(E156=0,VLOOKUP(C156,ME!$C$4:$AA$46,15,0),IF(E18=1,VLOOKUP(C156,ME!$C$4:$AA$46,20,0),IF(E18=2,VLOOKUP(C156,ME!$C$4:$AA$46,25,0),""))))</f>
        <v/>
      </c>
      <c r="K156" s="276" t="str">
        <f>VLOOKUP(C156,ME!$C$4:$K$999,8,0)</f>
        <v>AUR</v>
      </c>
      <c r="L156" s="275" cm="1">
        <f t="array" aca="1" ref="L156" ca="1">_xlfn.IFS(AND($E156&lt;&gt;"",$M156="Pending",$K156="CTA"),TODAY()-$G156,AND($E156&lt;&gt;"",$M156="Pending",$K156="AUR"),TODAY()-$H156,AND($E156&lt;&gt;"",$M156="Pending",$K156="STT"),TODAY()-$I156,OR(K156="Closed",K156=""),"")</f>
        <v>0</v>
      </c>
      <c r="M156" s="276" t="str">
        <f>VLOOKUP(C156,ME!$C$4:$K$34,9,0)</f>
        <v>Pending</v>
      </c>
      <c r="N156" s="269" t="str">
        <f t="shared" ref="N156:N162" ca="1" si="11">IF(AND(E156&lt;&gt;"",M156="Pending"),IF(L156&gt;=5,"Overdue",IF(L156&gt;=3,"High","")),"")</f>
        <v/>
      </c>
      <c r="O156" s="293"/>
    </row>
    <row r="157" spans="1:15" ht="34.950000000000003" customHeight="1" x14ac:dyDescent="0.25">
      <c r="A157" s="269">
        <v>15</v>
      </c>
      <c r="B157" s="283" t="s">
        <v>20</v>
      </c>
      <c r="C157" s="284" t="s">
        <v>321</v>
      </c>
      <c r="D157" s="281" t="str">
        <f>VLOOKUP(C157,ME!$C$4:$J$81,2,0)</f>
        <v>Confirm Temp/Hum. amount In LV Room A and B 2nd Floor.(Total 4 or 6 set) 2nd FL</v>
      </c>
      <c r="E157" s="269">
        <f>IF(VLOOKUP(C157,ME!$C$4:$J$999,5,0)="","",VLOOKUP(C157,ME!$C$4:$J$999,7,0))</f>
        <v>0</v>
      </c>
      <c r="F157" s="272"/>
      <c r="G157" s="273">
        <f>IF(VLOOKUP(C157,ME!$C$4:$J$999,4,0)="","",VLOOKUP(C157,ME!$C$4:$J$999,4,0))</f>
        <v>46049</v>
      </c>
      <c r="H157" s="273">
        <f>IF(VLOOKUP(C157,ME!$C$4:$AA$939,13,0)="","",IF(E157=0,VLOOKUP(C157,ME!$C$4:$AA$939,13,0),IF(E157=1,VLOOKUP(C157,ME!$C$4:$AA$939,17,0),IF(E157=2,VLOOKUP(C157,ME!$C$4:$AA$939,22,0),""))))</f>
        <v>46062</v>
      </c>
      <c r="I157" s="273" t="str">
        <f>IF(VLOOKUP(C157,ME!$C$4:$AA$46,14,0)="","",IF(E157=0,VLOOKUP(C157,ME!$C$4:$AA$46,14,0),IF(E19=1,VLOOKUP(C157,ME!$C$4:$AA$46,19,0),IF(E19=2,VLOOKUP(C157,ME!$C$4:$AA$46,24,0),""))))</f>
        <v/>
      </c>
      <c r="J157" s="273" t="str">
        <f>IF(VLOOKUP(C157,ME!$C$4:$AA$46,15,0)="","",IF(E157=0,VLOOKUP(C157,ME!$C$4:$AA$46,15,0),IF(E19=1,VLOOKUP(C157,ME!$C$4:$AA$46,20,0),IF(E19=2,VLOOKUP(C157,ME!$C$4:$AA$46,25,0),""))))</f>
        <v/>
      </c>
      <c r="K157" s="276" t="str">
        <f>VLOOKUP(C157,ME!$C$4:$K$999,8,0)</f>
        <v>AUR</v>
      </c>
      <c r="L157" s="275" cm="1">
        <f t="array" aca="1" ref="L157" ca="1">_xlfn.IFS(AND($E157&lt;&gt;"",$M157="Pending",$K157="CTA"),TODAY()-$G157,AND($E157&lt;&gt;"",$M157="Pending",$K157="AUR"),TODAY()-$H157,AND($E157&lt;&gt;"",$M157="Pending",$K157="STT"),TODAY()-$I157,OR(K157="Closed",K157=""),"")</f>
        <v>2</v>
      </c>
      <c r="M157" s="276" t="str">
        <f>VLOOKUP(C157,ME!$C$4:$K$34,9,0)</f>
        <v>Pending</v>
      </c>
      <c r="N157" s="269" t="str">
        <f t="shared" ca="1" si="11"/>
        <v/>
      </c>
      <c r="O157" s="293"/>
    </row>
    <row r="158" spans="1:15" ht="34.950000000000003" customHeight="1" x14ac:dyDescent="0.25">
      <c r="A158" s="269">
        <v>16</v>
      </c>
      <c r="B158" s="283" t="s">
        <v>20</v>
      </c>
      <c r="C158" s="284" t="s">
        <v>323</v>
      </c>
      <c r="D158" s="281" t="str">
        <f>VLOOKUP(C158,ME!$C$4:$J$81,2,0)</f>
        <v>Confirm for Fresh Air Fan  for TH-BKK2-02-01-FAF-005 N2 Cylinder Room  1st Floor</v>
      </c>
      <c r="E158" s="269">
        <f>IF(VLOOKUP(C158,ME!$C$4:$J$999,5,0)="","",VLOOKUP(C158,ME!$C$4:$J$999,7,0))</f>
        <v>0</v>
      </c>
      <c r="F158" s="272"/>
      <c r="G158" s="273">
        <f>IF(VLOOKUP(C158,ME!$C$4:$J$999,4,0)="","",VLOOKUP(C158,ME!$C$4:$J$999,4,0))</f>
        <v>46045</v>
      </c>
      <c r="H158" s="273">
        <f>IF(VLOOKUP(C158,ME!$C$4:$AA$939,13,0)="","",IF(E158=0,VLOOKUP(C158,ME!$C$4:$AA$939,13,0),IF(E158=1,VLOOKUP(C158,ME!$C$4:$AA$939,17,0),IF(E158=2,VLOOKUP(C158,ME!$C$4:$AA$939,22,0),""))))</f>
        <v>46062</v>
      </c>
      <c r="I158" s="273" t="str">
        <f>IF(VLOOKUP(C158,ME!$C$4:$AA$46,14,0)="","",IF(E158=0,VLOOKUP(C158,ME!$C$4:$AA$46,14,0),IF(E20=1,VLOOKUP(C158,ME!$C$4:$AA$46,19,0),IF(E20=2,VLOOKUP(C158,ME!$C$4:$AA$46,24,0),""))))</f>
        <v/>
      </c>
      <c r="J158" s="273" t="str">
        <f>IF(VLOOKUP(C158,ME!$C$4:$AA$46,15,0)="","",IF(E158=0,VLOOKUP(C158,ME!$C$4:$AA$46,15,0),IF(E20=1,VLOOKUP(C158,ME!$C$4:$AA$46,20,0),IF(E20=2,VLOOKUP(C158,ME!$C$4:$AA$46,25,0),""))))</f>
        <v/>
      </c>
      <c r="K158" s="276" t="str">
        <f>VLOOKUP(C158,ME!$C$4:$K$999,8,0)</f>
        <v>AUR</v>
      </c>
      <c r="L158" s="275" cm="1">
        <f t="array" aca="1" ref="L158" ca="1">_xlfn.IFS(AND($E158&lt;&gt;"",$M158="Pending",$K158="CTA"),TODAY()-$G158,AND($E158&lt;&gt;"",$M158="Pending",$K158="AUR"),TODAY()-$H158,AND($E158&lt;&gt;"",$M158="Pending",$K158="STT"),TODAY()-$I158,OR(K158="Closed",K158=""),"")</f>
        <v>2</v>
      </c>
      <c r="M158" s="276" t="str">
        <f>VLOOKUP(C158,ME!$C$4:$K$34,9,0)</f>
        <v>Pending</v>
      </c>
      <c r="N158" s="269" t="str">
        <f t="shared" ca="1" si="11"/>
        <v/>
      </c>
      <c r="O158" s="293"/>
    </row>
    <row r="159" spans="1:15" ht="34.950000000000003" customHeight="1" x14ac:dyDescent="0.25">
      <c r="A159" s="269">
        <v>17</v>
      </c>
      <c r="B159" s="283" t="s">
        <v>20</v>
      </c>
      <c r="C159" s="284" t="s">
        <v>325</v>
      </c>
      <c r="D159" s="281" t="str">
        <f>VLOOKUP(C159,ME!$C$4:$J$81,2,0)</f>
        <v>Please Confirm the Power Supply for the Motorized Damper 2nd to 6th FL</v>
      </c>
      <c r="E159" s="269">
        <f>IF(VLOOKUP(C159,ME!$C$4:$J$999,5,0)="","",VLOOKUP(C159,ME!$C$4:$J$999,7,0))</f>
        <v>0</v>
      </c>
      <c r="F159" s="272"/>
      <c r="G159" s="273">
        <f>IF(VLOOKUP(C159,ME!$C$4:$J$999,4,0)="","",VLOOKUP(C159,ME!$C$4:$J$999,4,0))</f>
        <v>46053</v>
      </c>
      <c r="H159" s="273">
        <f>IF(VLOOKUP(C159,ME!$C$4:$AA$939,13,0)="","",IF(E159=0,VLOOKUP(C159,ME!$C$4:$AA$939,13,0),IF(E159=1,VLOOKUP(C159,ME!$C$4:$AA$939,17,0),IF(E159=2,VLOOKUP(C159,ME!$C$4:$AA$939,22,0),""))))</f>
        <v>46062</v>
      </c>
      <c r="I159" s="273" t="str">
        <f>IF(VLOOKUP(C159,ME!$C$4:$AA$46,14,0)="","",IF(E159=0,VLOOKUP(C159,ME!$C$4:$AA$46,14,0),IF(E21=1,VLOOKUP(C159,ME!$C$4:$AA$46,19,0),IF(E21=2,VLOOKUP(C159,ME!$C$4:$AA$46,24,0),""))))</f>
        <v/>
      </c>
      <c r="J159" s="273" t="str">
        <f>IF(VLOOKUP(C159,ME!$C$4:$AA$46,15,0)="","",IF(E159=0,VLOOKUP(C159,ME!$C$4:$AA$46,15,0),IF(E21=1,VLOOKUP(C159,ME!$C$4:$AA$46,20,0),IF(E21=2,VLOOKUP(C159,ME!$C$4:$AA$46,25,0),""))))</f>
        <v/>
      </c>
      <c r="K159" s="276" t="str">
        <f>VLOOKUP(C159,ME!$C$4:$K$999,8,0)</f>
        <v>AUR</v>
      </c>
      <c r="L159" s="275" cm="1">
        <f t="array" aca="1" ref="L159" ca="1">_xlfn.IFS(AND($E159&lt;&gt;"",$M159="Pending",$K159="CTA"),TODAY()-$G159,AND($E159&lt;&gt;"",$M159="Pending",$K159="AUR"),TODAY()-$H159,AND($E159&lt;&gt;"",$M159="Pending",$K159="STT"),TODAY()-$I159,OR(K159="Closed",K159=""),"")</f>
        <v>2</v>
      </c>
      <c r="M159" s="276" t="str">
        <f>VLOOKUP(C159,ME!$C$4:$K$34,9,0)</f>
        <v>Pending</v>
      </c>
      <c r="N159" s="269" t="str">
        <f t="shared" ca="1" si="11"/>
        <v/>
      </c>
      <c r="O159" s="293"/>
    </row>
    <row r="160" spans="1:15" ht="32.25" customHeight="1" x14ac:dyDescent="0.25">
      <c r="A160" s="269">
        <v>18</v>
      </c>
      <c r="B160" s="283" t="s">
        <v>20</v>
      </c>
      <c r="C160" s="284" t="s">
        <v>327</v>
      </c>
      <c r="D160" s="281" t="str">
        <f>VLOOKUP(C160,ME!$C$4:$J$81,2,0)</f>
        <v>Confirmation of Harmonic Filter Type (AHF)</v>
      </c>
      <c r="E160" s="269">
        <f>IF(VLOOKUP(C160,ME!$C$4:$J$999,5,0)="","",VLOOKUP(C160,ME!$C$4:$J$999,7,0))</f>
        <v>0</v>
      </c>
      <c r="F160" s="272"/>
      <c r="G160" s="273">
        <f>IF(VLOOKUP(C160,ME!$C$4:$J$999,4,0)="","",VLOOKUP(C160,ME!$C$4:$J$999,4,0))</f>
        <v>46053</v>
      </c>
      <c r="H160" s="273">
        <f>IF(VLOOKUP(C160,ME!$C$4:$AA$939,13,0)="","",IF(E160=0,VLOOKUP(C160,ME!$C$4:$AA$939,13,0),IF(E160=1,VLOOKUP(C160,ME!$C$4:$AA$939,17,0),IF(E160=2,VLOOKUP(C160,ME!$C$4:$AA$939,22,0),""))))</f>
        <v>46064</v>
      </c>
      <c r="I160" s="273" t="str">
        <f>IF(VLOOKUP(C160,ME!$C$4:$AA$46,14,0)="","",IF(E160=0,VLOOKUP(C160,ME!$C$4:$AA$46,14,0),IF(E22=1,VLOOKUP(C160,ME!$C$4:$AA$46,19,0),IF(E22=2,VLOOKUP(C160,ME!$C$4:$AA$46,24,0),""))))</f>
        <v/>
      </c>
      <c r="J160" s="273" t="str">
        <f>IF(VLOOKUP(C160,ME!$C$4:$AA$46,15,0)="","",IF(E160=0,VLOOKUP(C160,ME!$C$4:$AA$46,15,0),IF(E22=1,VLOOKUP(C160,ME!$C$4:$AA$46,20,0),IF(E22=2,VLOOKUP(C160,ME!$C$4:$AA$46,25,0),""))))</f>
        <v/>
      </c>
      <c r="K160" s="276" t="str">
        <f>VLOOKUP(C160,ME!$C$4:$K$999,8,0)</f>
        <v>AUR</v>
      </c>
      <c r="L160" s="275" cm="1">
        <f t="array" aca="1" ref="L160" ca="1">_xlfn.IFS(AND($E160&lt;&gt;"",$M160="Pending",$K160="CTA"),TODAY()-$G160,AND($E160&lt;&gt;"",$M160="Pending",$K160="AUR"),TODAY()-$H160,AND($E160&lt;&gt;"",$M160="Pending",$K160="STT"),TODAY()-$I160,OR(K160="Closed",K160=""),"")</f>
        <v>0</v>
      </c>
      <c r="M160" s="276" t="str">
        <f>VLOOKUP(C160,ME!$C$4:$K$34,9,0)</f>
        <v>Pending</v>
      </c>
      <c r="N160" s="269" t="str">
        <f t="shared" ca="1" si="11"/>
        <v/>
      </c>
      <c r="O160" s="293"/>
    </row>
    <row r="161" spans="1:15" ht="34.950000000000003" customHeight="1" x14ac:dyDescent="0.25">
      <c r="A161" s="269">
        <v>19</v>
      </c>
      <c r="B161" s="283" t="s">
        <v>20</v>
      </c>
      <c r="C161" s="284" t="s">
        <v>329</v>
      </c>
      <c r="D161" s="281" t="str">
        <f>VLOOKUP(C161,ME!$C$4:$J$81,2,0)</f>
        <v>FCU as the Spec (HH-D Double Skin) Sizing too Big. It Can't Install in Room - 02-02-FCU-001&amp;002 2nd FL</v>
      </c>
      <c r="E161" s="269">
        <f>IF(VLOOKUP(C161,ME!$C$4:$J$999,5,0)="","",VLOOKUP(C161,ME!$C$4:$J$999,7,0))</f>
        <v>0</v>
      </c>
      <c r="F161" s="272"/>
      <c r="G161" s="273">
        <f>IF(VLOOKUP(C161,ME!$C$4:$J$999,4,0)="","",VLOOKUP(C161,ME!$C$4:$J$999,4,0))</f>
        <v>46053</v>
      </c>
      <c r="H161" s="273">
        <f>IF(VLOOKUP(C161,ME!$C$4:$AA$939,13,0)="","",IF(E161=0,VLOOKUP(C161,ME!$C$4:$AA$939,13,0),IF(E161=1,VLOOKUP(C161,ME!$C$4:$AA$939,17,0),IF(E161=2,VLOOKUP(C161,ME!$C$4:$AA$939,22,0),""))))</f>
        <v>46064</v>
      </c>
      <c r="I161" s="273" t="str">
        <f>IF(VLOOKUP(C161,ME!$C$4:$AA$46,14,0)="","",IF(E161=0,VLOOKUP(C161,ME!$C$4:$AA$46,14,0),IF(E23=1,VLOOKUP(C161,ME!$C$4:$AA$46,19,0),IF(E23=2,VLOOKUP(C161,ME!$C$4:$AA$46,24,0),""))))</f>
        <v/>
      </c>
      <c r="J161" s="273" t="str">
        <f>IF(VLOOKUP(C161,ME!$C$4:$AA$46,15,0)="","",IF(E161=0,VLOOKUP(C161,ME!$C$4:$AA$46,15,0),IF(E23=1,VLOOKUP(C161,ME!$C$4:$AA$46,20,0),IF(E23=2,VLOOKUP(C161,ME!$C$4:$AA$46,25,0),""))))</f>
        <v/>
      </c>
      <c r="K161" s="276" t="str">
        <f>VLOOKUP(C161,ME!$C$4:$K$999,8,0)</f>
        <v>AUR</v>
      </c>
      <c r="L161" s="275" cm="1">
        <f t="array" aca="1" ref="L161" ca="1">_xlfn.IFS(AND($E161&lt;&gt;"",$M161="Pending",$K161="CTA"),TODAY()-$G161,AND($E161&lt;&gt;"",$M161="Pending",$K161="AUR"),TODAY()-$H161,AND($E161&lt;&gt;"",$M161="Pending",$K161="STT"),TODAY()-$I161,OR(K161="Closed",K161=""),"")</f>
        <v>0</v>
      </c>
      <c r="M161" s="276" t="str">
        <f>VLOOKUP(C161,ME!$C$4:$K$34,9,0)</f>
        <v>Pending</v>
      </c>
      <c r="N161" s="269" t="str">
        <f t="shared" ca="1" si="11"/>
        <v/>
      </c>
      <c r="O161" s="293"/>
    </row>
    <row r="162" spans="1:15" ht="34.950000000000003" customHeight="1" x14ac:dyDescent="0.25">
      <c r="A162" s="269">
        <v>20</v>
      </c>
      <c r="B162" s="283" t="s">
        <v>20</v>
      </c>
      <c r="C162" s="284" t="s">
        <v>331</v>
      </c>
      <c r="D162" s="281" t="str">
        <f>VLOOKUP(C162,ME!$C$4:$J$81,2,0)</f>
        <v>Confirm PRD at 5th FL (for TX LV MSB 3, UPS Room A, B, C and D)</v>
      </c>
      <c r="E162" s="269">
        <f>IF(VLOOKUP(C162,ME!$C$4:$J$999,5,0)="","",VLOOKUP(C162,ME!$C$4:$J$999,7,0))</f>
        <v>0</v>
      </c>
      <c r="F162" s="272"/>
      <c r="G162" s="273">
        <f>IF(VLOOKUP(C162,ME!$C$4:$J$999,4,0)="","",VLOOKUP(C162,ME!$C$4:$J$999,4,0))</f>
        <v>46059</v>
      </c>
      <c r="H162" s="273">
        <f>IF(VLOOKUP(C162,ME!$C$4:$AA$939,13,0)="","",IF(E162=0,VLOOKUP(C162,ME!$C$4:$AA$939,13,0),IF(E162=1,VLOOKUP(C162,ME!$C$4:$AA$939,17,0),IF(E162=2,VLOOKUP(C162,ME!$C$4:$AA$939,22,0),""))))</f>
        <v>46064</v>
      </c>
      <c r="I162" s="273" t="str">
        <f>IF(VLOOKUP(C162,ME!$C$4:$AA$46,14,0)="","",IF(E162=0,VLOOKUP(C162,ME!$C$4:$AA$46,14,0),IF(E24=1,VLOOKUP(C162,ME!$C$4:$AA$46,19,0),IF(E24=2,VLOOKUP(C162,ME!$C$4:$AA$46,24,0),""))))</f>
        <v/>
      </c>
      <c r="J162" s="273" t="str">
        <f>IF(VLOOKUP(C162,ME!$C$4:$AA$46,15,0)="","",IF(E162=0,VLOOKUP(C162,ME!$C$4:$AA$46,15,0),IF(E24=1,VLOOKUP(C162,ME!$C$4:$AA$46,20,0),IF(E24=2,VLOOKUP(C162,ME!$C$4:$AA$46,25,0),""))))</f>
        <v/>
      </c>
      <c r="K162" s="276" t="str">
        <f>VLOOKUP(C162,ME!$C$4:$K$999,8,0)</f>
        <v>AUR</v>
      </c>
      <c r="L162" s="275" cm="1">
        <f t="array" aca="1" ref="L162" ca="1">_xlfn.IFS(AND($E162&lt;&gt;"",$M162="Pending",$K162="CTA"),TODAY()-$G162,AND($E162&lt;&gt;"",$M162="Pending",$K162="AUR"),TODAY()-$H162,AND($E162&lt;&gt;"",$M162="Pending",$K162="STT"),TODAY()-$I162,OR(K162="Closed",K162=""),"")</f>
        <v>0</v>
      </c>
      <c r="M162" s="276" t="str">
        <f>VLOOKUP(C162,ME!$C$4:$K$34,9,0)</f>
        <v>Pending</v>
      </c>
      <c r="N162" s="269" t="str">
        <f t="shared" ca="1" si="11"/>
        <v/>
      </c>
      <c r="O162" s="293"/>
    </row>
    <row r="163" spans="1:15" ht="34.950000000000003" customHeight="1" x14ac:dyDescent="0.25">
      <c r="A163" s="269">
        <v>21</v>
      </c>
      <c r="B163" s="283" t="s">
        <v>20</v>
      </c>
      <c r="C163" s="284" t="s">
        <v>333</v>
      </c>
      <c r="D163" s="281" t="str">
        <f>VLOOKUP(C163,ME!$C$4:$J$81,2,0)</f>
        <v>Confirm Air Flow Value for TH-BKK2-02-01-FAF-001 and 002 1st FL</v>
      </c>
      <c r="E163" s="269">
        <f>IF(VLOOKUP(C163,ME!$C$4:$J$999,5,0)="","",VLOOKUP(C163,ME!$C$4:$J$999,7,0))</f>
        <v>0</v>
      </c>
      <c r="F163" s="272"/>
      <c r="G163" s="273">
        <f>IF(VLOOKUP(C163,ME!$C$4:$J$999,4,0)="","",VLOOKUP(C163,ME!$C$4:$J$999,4,0))</f>
        <v>46059</v>
      </c>
      <c r="H163" s="273">
        <f>IF(VLOOKUP(C163,ME!$C$4:$AA$939,13,0)="","",IF(E163=0,VLOOKUP(C163,ME!$C$4:$AA$939,13,0),IF(E163=1,VLOOKUP(C163,ME!$C$4:$AA$939,17,0),IF(E163=2,VLOOKUP(C163,ME!$C$4:$AA$939,22,0),""))))</f>
        <v>46064</v>
      </c>
      <c r="I163" s="273" t="str">
        <f>IF(VLOOKUP(C163,ME!$C$4:$AA$46,14,0)="","",IF(E163=0,VLOOKUP(C163,ME!$C$4:$AA$46,14,0),IF(E25=1,VLOOKUP(C163,ME!$C$4:$AA$46,19,0),IF(E25=2,VLOOKUP(C163,ME!$C$4:$AA$46,24,0),""))))</f>
        <v/>
      </c>
      <c r="J163" s="273" t="str">
        <f>IF(VLOOKUP(C163,ME!$C$4:$AA$46,15,0)="","",IF(E163=0,VLOOKUP(C163,ME!$C$4:$AA$46,15,0),IF(E25=1,VLOOKUP(C163,ME!$C$4:$AA$46,20,0),IF(E25=2,VLOOKUP(C163,ME!$C$4:$AA$46,25,0),""))))</f>
        <v/>
      </c>
      <c r="K163" s="276" t="str">
        <f>VLOOKUP(C163,ME!$C$4:$K$999,8,0)</f>
        <v>AUR</v>
      </c>
      <c r="L163" s="275" cm="1">
        <f t="array" aca="1" ref="L163" ca="1">_xlfn.IFS(AND($E163&lt;&gt;"",$M163="Pending",$K163="CTA"),TODAY()-$G163,AND($E163&lt;&gt;"",$M163="Pending",$K163="AUR"),TODAY()-$H163,AND($E163&lt;&gt;"",$M163="Pending",$K163="STT"),TODAY()-$I163,OR(K163="Closed",K163=""),"")</f>
        <v>0</v>
      </c>
      <c r="M163" s="276" t="str">
        <f>VLOOKUP(C163,ME!$C$4:$K$34,9,0)</f>
        <v>Pending</v>
      </c>
      <c r="N163" s="269" t="str">
        <f ca="1">IF(AND(E163&lt;&gt;"",M163="Pending"),IF(L163&gt;=5,"Overdue",IF(L163&gt;=3,"High","")),"")</f>
        <v/>
      </c>
      <c r="O163" s="293"/>
    </row>
    <row r="164" spans="1:15" ht="34.950000000000003" customHeight="1" x14ac:dyDescent="0.25">
      <c r="A164" s="269">
        <v>22</v>
      </c>
      <c r="B164" s="283" t="s">
        <v>20</v>
      </c>
      <c r="C164" s="284" t="s">
        <v>335</v>
      </c>
      <c r="D164" s="281" t="str">
        <f>VLOOKUP(C164,ME!$C$4:$J$81,2,0)</f>
        <v>Need Slab to Beam Height 4.1 m for Installing DUCT at PAU Room Roof FL (Currently  h=2.6m.)</v>
      </c>
      <c r="E164" s="269">
        <f>IF(VLOOKUP(C164,ME!$C$4:$J$999,5,0)="","",VLOOKUP(C164,ME!$C$4:$J$999,7,0))</f>
        <v>0</v>
      </c>
      <c r="F164" s="272"/>
      <c r="G164" s="273">
        <f>IF(VLOOKUP(C164,ME!$C$4:$J$999,4,0)="","",VLOOKUP(C164,ME!$C$4:$J$999,4,0))</f>
        <v>46059</v>
      </c>
      <c r="H164" s="273">
        <f>IF(VLOOKUP(C164,ME!$C$4:$AA$939,13,0)="","",IF(E164=0,VLOOKUP(C164,ME!$C$4:$AA$939,13,0),IF(E164=1,VLOOKUP(C164,ME!$C$4:$AA$939,17,0),IF(E164=2,VLOOKUP(C164,ME!$C$4:$AA$939,22,0),""))))</f>
        <v>46064</v>
      </c>
      <c r="I164" s="273" t="str">
        <f>IF(VLOOKUP(C164,ME!$C$4:$AA$46,14,0)="","",IF(E164=0,VLOOKUP(C164,ME!$C$4:$AA$46,14,0),IF(E26=1,VLOOKUP(C164,ME!$C$4:$AA$46,19,0),IF(E26=2,VLOOKUP(C164,ME!$C$4:$AA$46,24,0),""))))</f>
        <v/>
      </c>
      <c r="J164" s="273" t="str">
        <f>IF(VLOOKUP(C164,ME!$C$4:$AA$46,15,0)="","",IF(E164=0,VLOOKUP(C164,ME!$C$4:$AA$46,15,0),IF(E26=1,VLOOKUP(C164,ME!$C$4:$AA$46,20,0),IF(E26=2,VLOOKUP(C164,ME!$C$4:$AA$46,25,0),""))))</f>
        <v/>
      </c>
      <c r="K164" s="276" t="str">
        <f>VLOOKUP(C164,ME!$C$4:$K$999,8,0)</f>
        <v>AUR</v>
      </c>
      <c r="L164" s="275" cm="1">
        <f t="array" aca="1" ref="L164" ca="1">_xlfn.IFS(AND($E164&lt;&gt;"",$M164="Pending",$K164="CTA"),TODAY()-$G164,AND($E164&lt;&gt;"",$M164="Pending",$K164="AUR"),TODAY()-$H164,AND($E164&lt;&gt;"",$M164="Pending",$K164="STT"),TODAY()-$I164,OR(K164="Closed",K164=""),"")</f>
        <v>0</v>
      </c>
      <c r="M164" s="276" t="str">
        <f>VLOOKUP(C164,ME!$C$4:$K$34,9,0)</f>
        <v>Pending</v>
      </c>
      <c r="N164" s="269" t="str">
        <f ca="1">IF(AND(E164&lt;&gt;"",M164="Pending"),IF(L164&gt;=5,"Overdue",IF(L164&gt;=3,"High","")),"")</f>
        <v/>
      </c>
      <c r="O164" s="293"/>
    </row>
    <row r="165" spans="1:15" ht="34.950000000000003" customHeight="1" x14ac:dyDescent="0.25">
      <c r="A165" s="269">
        <v>23</v>
      </c>
      <c r="B165" s="283" t="s">
        <v>20</v>
      </c>
      <c r="C165" s="284" t="s">
        <v>337</v>
      </c>
      <c r="D165" s="281" t="str">
        <f>VLOOKUP(C165,ME!$C$4:$J$81,2,0)</f>
        <v>Confirm weather TH-BKK2-02-06-CH-001, 002 and 003 are provided with MDV or not?</v>
      </c>
      <c r="E165" s="269">
        <f>IF(VLOOKUP(C165,ME!$C$4:$J$999,5,0)="","",VLOOKUP(C165,ME!$C$4:$J$999,7,0))</f>
        <v>0</v>
      </c>
      <c r="F165" s="272"/>
      <c r="G165" s="273">
        <f>IF(VLOOKUP(C165,ME!$C$4:$J$999,4,0)="","",VLOOKUP(C165,ME!$C$4:$J$999,4,0))</f>
        <v>46063</v>
      </c>
      <c r="H165" s="273">
        <f>IF(VLOOKUP(C165,ME!$C$4:$AA$939,13,0)="","",IF(E165=0,VLOOKUP(C165,ME!$C$4:$AA$939,13,0),IF(E165=1,VLOOKUP(C165,ME!$C$4:$AA$939,17,0),IF(E165=2,VLOOKUP(C165,ME!$C$4:$AA$939,22,0),""))))</f>
        <v>46064</v>
      </c>
      <c r="I165" s="273" t="str">
        <f>IF(VLOOKUP(C165,ME!$C$4:$AA$46,14,0)="","",IF(E165=0,VLOOKUP(C165,ME!$C$4:$AA$46,14,0),IF(E27=1,VLOOKUP(C165,ME!$C$4:$AA$46,19,0),IF(E27=2,VLOOKUP(C165,ME!$C$4:$AA$46,24,0),""))))</f>
        <v/>
      </c>
      <c r="J165" s="273" t="str">
        <f>IF(VLOOKUP(C165,ME!$C$4:$AA$46,15,0)="","",IF(E165=0,VLOOKUP(C165,ME!$C$4:$AA$46,15,0),IF(E27=1,VLOOKUP(C165,ME!$C$4:$AA$46,20,0),IF(E27=2,VLOOKUP(C165,ME!$C$4:$AA$46,25,0),""))))</f>
        <v/>
      </c>
      <c r="K165" s="276" t="str">
        <f>VLOOKUP(C165,ME!$C$4:$K$999,8,0)</f>
        <v>AUR</v>
      </c>
      <c r="L165" s="275" cm="1">
        <f t="array" aca="1" ref="L165" ca="1">_xlfn.IFS(AND($E165&lt;&gt;"",$M165="Pending",$K165="CTA"),TODAY()-$G165,AND($E165&lt;&gt;"",$M165="Pending",$K165="AUR"),TODAY()-$H165,AND($E165&lt;&gt;"",$M165="Pending",$K165="STT"),TODAY()-$I165,OR(K165="Closed",K165=""),"")</f>
        <v>0</v>
      </c>
      <c r="M165" s="276" t="str">
        <f>VLOOKUP(C165,ME!$C$4:$K$34,9,0)</f>
        <v>Pending</v>
      </c>
      <c r="N165" s="269" t="str">
        <f t="shared" ref="N165" ca="1" si="12">IF(AND(E165&lt;&gt;"",M165="Pending"),IF(L165&gt;=5,"Overdue",IF(L165&gt;=3,"High","")),"")</f>
        <v/>
      </c>
      <c r="O165" s="293"/>
    </row>
    <row r="166" spans="1:15" ht="34.950000000000003" customHeight="1" x14ac:dyDescent="0.25">
      <c r="A166" s="269">
        <v>24</v>
      </c>
      <c r="B166" s="283" t="s">
        <v>20</v>
      </c>
      <c r="C166" s="284" t="s">
        <v>339</v>
      </c>
      <c r="D166" s="281" t="str">
        <f>VLOOKUP(C166,ME!$C$4:$J$81,2,0)</f>
        <v>Confirm whether the FCU power supply requirement is 3 Phase or Single Phase on DRG-ME-0203</v>
      </c>
      <c r="E166" s="269">
        <f>IF(VLOOKUP(C166,ME!$C$4:$J$999,5,0)="","",VLOOKUP(C166,ME!$C$4:$J$999,7,0))</f>
        <v>0</v>
      </c>
      <c r="F166" s="272"/>
      <c r="G166" s="273">
        <f>IF(VLOOKUP(C166,ME!$C$4:$J$999,4,0)="","",VLOOKUP(C166,ME!$C$4:$J$999,4,0))</f>
        <v>46063</v>
      </c>
      <c r="H166" s="273" t="str">
        <f>IF(VLOOKUP(C166,ME!$C$4:$AA$939,13,0)="","",IF(E166=0,VLOOKUP(C166,ME!$C$4:$AA$939,13,0),IF(E166=1,VLOOKUP(C166,ME!$C$4:$AA$939,17,0),IF(E166=2,VLOOKUP(C166,ME!$C$4:$AA$939,22,0),""))))</f>
        <v/>
      </c>
      <c r="I166" s="273" t="str">
        <f>IF(VLOOKUP(C166,ME!$C$4:$AA$46,14,0)="","",IF(E166=0,VLOOKUP(C166,ME!$C$4:$AA$46,14,0),IF(E28=1,VLOOKUP(C166,ME!$C$4:$AA$46,19,0),IF(E28=2,VLOOKUP(C166,ME!$C$4:$AA$46,24,0),""))))</f>
        <v/>
      </c>
      <c r="J166" s="273" t="str">
        <f>IF(VLOOKUP(C166,ME!$C$4:$AA$46,15,0)="","",IF(E166=0,VLOOKUP(C166,ME!$C$4:$AA$46,15,0),IF(E28=1,VLOOKUP(C166,ME!$C$4:$AA$46,20,0),IF(E28=2,VLOOKUP(C166,ME!$C$4:$AA$46,25,0),""))))</f>
        <v/>
      </c>
      <c r="K166" s="276" t="str">
        <f>VLOOKUP(C166,ME!$C$4:$K$999,8,0)</f>
        <v>CTA</v>
      </c>
      <c r="L166" s="275" cm="1">
        <f t="array" aca="1" ref="L166" ca="1">_xlfn.IFS(AND($E166&lt;&gt;"",$M166="Pending",$K166="CTA"),TODAY()-$G166,AND($E166&lt;&gt;"",$M166="Pending",$K166="AUR"),TODAY()-$H166,AND($E166&lt;&gt;"",$M166="Pending",$K166="STT"),TODAY()-$I166,OR(K166="Closed",K166=""),"")</f>
        <v>1</v>
      </c>
      <c r="M166" s="276" t="str">
        <f>VLOOKUP(C166,ME!$C$4:$K$34,9,0)</f>
        <v>Pending</v>
      </c>
      <c r="N166" s="269" t="str">
        <f ca="1">IF(AND(E166&lt;&gt;"",M166="Pending"),IF(L166&gt;=5,"Overdue",IF(L166&gt;=3,"High","")),"")</f>
        <v/>
      </c>
      <c r="O166" s="293"/>
    </row>
    <row r="167" spans="1:15" ht="32.25" hidden="1" customHeight="1" x14ac:dyDescent="0.25">
      <c r="A167" s="269"/>
      <c r="B167" s="283"/>
      <c r="C167" s="301"/>
      <c r="D167" s="281"/>
      <c r="E167" s="269"/>
      <c r="F167" s="272"/>
      <c r="G167" s="273" t="e">
        <f>IF(VLOOKUP(C167,ME!$C$4:$J$999,4,0)="","",VLOOKUP(C167,ME!$C$4:$J$999,4,0))</f>
        <v>#N/A</v>
      </c>
      <c r="H167" s="273" t="e">
        <f>IF(VLOOKUP(C167,ME!$C$4:$AA$939,13,0)="","",IF(E167=0,VLOOKUP(C167,ME!$C$4:$AA$939,13,0),IF(E167=1,VLOOKUP(C167,ME!$C$4:$AA$939,17,0),IF(E167=2,VLOOKUP(C167,ME!$C$4:$AA$939,22,0),""))))</f>
        <v>#N/A</v>
      </c>
      <c r="I167" s="273" t="e">
        <f>IF(VLOOKUP(C167,ME!$C$4:$AA$46,14,0)="","",IF(E167=0,VLOOKUP(C167,ME!$C$4:$AA$46,14,0),IF(E29=1,VLOOKUP(C167,ME!$C$4:$AA$46,19,0),IF(E29=2,VLOOKUP(C167,ME!$C$4:$AA$46,24,0),""))))</f>
        <v>#N/A</v>
      </c>
      <c r="J167" s="273" t="e">
        <f>IF(VLOOKUP(C167,ME!$C$4:$AA$46,15,0)="","",IF(E167=0,VLOOKUP(C167,ME!$C$4:$AA$46,15,0),IF(E29=1,VLOOKUP(C167,ME!$C$4:$AA$46,20,0),IF(E29=2,VLOOKUP(C167,ME!$C$4:$AA$46,25,0),""))))</f>
        <v>#N/A</v>
      </c>
      <c r="K167" s="276" t="e">
        <f>VLOOKUP(C167,ME!$C$4:$K$999,8,0)</f>
        <v>#N/A</v>
      </c>
      <c r="L167" s="275" t="e" cm="1">
        <f t="array" aca="1" ref="L167" ca="1">_xlfn.IFS(AND($E167&lt;&gt;"",$M167="Pending",$K167="CTA"),TODAY()-$G167,AND($E167&lt;&gt;"",$M167="Pending",$K167="AUR"),TODAY()-$H167,AND($E167&lt;&gt;"",$M167="Pending",$K167="STT"),TODAY()-$I167,OR(K167="Closed",K167=""),"")</f>
        <v>#N/A</v>
      </c>
      <c r="M167" s="276" t="e">
        <f>VLOOKUP(C167,ME!$C$4:$K$34,9,0)</f>
        <v>#N/A</v>
      </c>
      <c r="N167" s="269" t="e">
        <f>IF(AND(E167&lt;&gt;"",M167="Pending"),IF(L167&gt;=5,"Overdue",IF(L167&gt;=3,"High","")),"")</f>
        <v>#N/A</v>
      </c>
      <c r="O167" s="293"/>
    </row>
    <row r="168" spans="1:15" ht="32.25" hidden="1" customHeight="1" x14ac:dyDescent="0.25">
      <c r="A168" s="285" t="s">
        <v>381</v>
      </c>
      <c r="B168" s="302"/>
      <c r="C168" s="303"/>
      <c r="D168" s="305"/>
      <c r="E168" s="287"/>
      <c r="F168" s="287" t="s">
        <v>370</v>
      </c>
      <c r="G168" s="287"/>
      <c r="H168" s="356"/>
      <c r="I168" s="356"/>
      <c r="J168" s="356"/>
      <c r="K168" s="356"/>
      <c r="L168" s="356"/>
      <c r="M168" s="356"/>
      <c r="N168" s="356"/>
      <c r="O168" s="356"/>
    </row>
    <row r="169" spans="1:15" ht="34.950000000000003" customHeight="1" x14ac:dyDescent="0.25">
      <c r="A169" s="269">
        <v>1</v>
      </c>
      <c r="B169" s="283" t="s">
        <v>68</v>
      </c>
      <c r="C169" s="291" t="s">
        <v>69</v>
      </c>
      <c r="D169" s="306" t="str">
        <f>VLOOKUP(C169,ST!$C$4:$J$17,2,0)</f>
        <v>Request for Additional Steel Manufacturers Approval due to Material Stock Unavailability</v>
      </c>
      <c r="E169" s="275">
        <f>IF(VLOOKUP(C169,ST!$C$4:$J$999,6,0)="","",VLOOKUP(C169,ST!$C$4:$J$999,6,0))</f>
        <v>0</v>
      </c>
      <c r="F169" s="272"/>
      <c r="G169" s="273">
        <f>IF(VLOOKUP(C169,ST!$C$4:$J$999,4,0)="","",VLOOKUP(C169,ST!$C$4:$J$999,4,0))</f>
        <v>46063</v>
      </c>
      <c r="H169" s="273">
        <f>IF(VLOOKUP(C169,ST!$C$4:$AA$939,12,0)="","",IF(E169=0,VLOOKUP(C169,ST!$C$4:$AA$939,12,0),IF(E169=1,VLOOKUP(C169,ST!$C$4:$AA$939,17,0),IF(E169=2,VLOOKUP(C169,ST!$C$4:$AA$939,22,0),""))))</f>
        <v>46064</v>
      </c>
      <c r="I169" s="273">
        <f>IF(VLOOKUP(C169,ST!$C$4:$AA$46,13,0)="","",IF(E169=0,VLOOKUP(C169,ST!$C$4:$AA$46,13,0),IF(E31=1,VLOOKUP(C169,ST!$C$4:$AA$46,18,0),IF(E31=2,VLOOKUP(C169,ST!$C$4:$AA$46,23,0),""))))</f>
        <v>46064</v>
      </c>
      <c r="J169" s="273" t="str">
        <f>IF(VLOOKUP(C169,ST!$C$4:$AA$46,14,0)="","",IF(E169=0,VLOOKUP(C169,ST!$C$4:$AA$46,14,0),IF(E31=1,VLOOKUP(C169,ST!$C$4:$AA$46,19,0),IF(E31=2,VLOOKUP(C169,ST!$C$4:$AA$46,24,0),""))))</f>
        <v/>
      </c>
      <c r="K169" s="276" t="str">
        <f>VLOOKUP(C169,ST!$C$4:$K$999,7,0)</f>
        <v>STT</v>
      </c>
      <c r="L169" s="275" cm="1">
        <f t="array" aca="1" ref="L169" ca="1">_xlfn.IFS(AND($E169&lt;&gt;"",$M169="Pending",$K169="CTA"),TODAY()-$G169,AND($E169&lt;&gt;"",$M169="Pending",$K169="AUR"),TODAY()-$H169,AND($E169&lt;&gt;"",$M169="Pending",$K169="STT"),TODAY()-$I169,OR(K169="Closed",K169=""),"")</f>
        <v>0</v>
      </c>
      <c r="M169" s="276" t="str">
        <f>VLOOKUP(C169,ST!$C$4:$K$34,8,0)</f>
        <v>Pending</v>
      </c>
      <c r="N169" s="269" t="str">
        <f ca="1">IF(AND(E169&lt;&gt;"",M169="Pending"),IF(L169&gt;=5,"Overdue",IF(L169&gt;=3,"High","")),"")</f>
        <v/>
      </c>
      <c r="O169" s="293"/>
    </row>
    <row r="170" spans="1:15" ht="32.25" hidden="1" customHeight="1" x14ac:dyDescent="0.25">
      <c r="A170" s="269">
        <v>2</v>
      </c>
      <c r="B170" s="283" t="s">
        <v>68</v>
      </c>
      <c r="C170" s="291" t="s">
        <v>72</v>
      </c>
      <c r="D170" s="306">
        <f>VLOOKUP(C170,ST!$C$4:$J$17,2,0)</f>
        <v>0</v>
      </c>
      <c r="E170" s="275" t="str">
        <f>IF(VLOOKUP(C170,ST!$C$4:$J$999,6,0)="","",VLOOKUP(C170,ST!$C$4:$J$999,6,0))</f>
        <v/>
      </c>
      <c r="F170" s="272"/>
      <c r="G170" s="272"/>
      <c r="H170" s="273" t="str">
        <f>IF(VLOOKUP(C170,ST!$C$4:$AA$939,11,0)="","",IF(E170=0,VLOOKUP(C170,ST!$C$4:$AA$939,11,0),IF(E170=1,VLOOKUP(C170,ST!$C$4:$AA$939,16,0),IF(E170=2,VLOOKUP(C170,ST!$C$4:$AA$939,21,0),""))))</f>
        <v/>
      </c>
      <c r="I170" s="273"/>
      <c r="J170" s="273" t="str">
        <f>IF(VLOOKUP(C170,ST!$C$4:$AA$46,15,0)="","",IF(E170=0,VLOOKUP(C170,ST!$C$4:$AA$46,15,0),IF(E25=1,VLOOKUP(C170,ST!$C$4:$AA$46,20,0),IF(E25=2,VLOOKUP(C170,ST!$C$4:$AA$46,25,0),""))))</f>
        <v/>
      </c>
      <c r="K170" s="276">
        <f>VLOOKUP(C170,ST!$C$4:$K$999,8,0)</f>
        <v>0</v>
      </c>
      <c r="L170" s="273"/>
      <c r="M170" s="276" t="e">
        <f>VLOOKUP(C170,ME!$C$4:$K$34,9,0)</f>
        <v>#N/A</v>
      </c>
      <c r="N170" s="269" t="e">
        <f>IF(AND(E170&lt;&gt;"",M170="Pending"),IF(L170&gt;=5,"Overdue",IF(L170&gt;=3,"High","")),"")</f>
        <v>#N/A</v>
      </c>
      <c r="O170" s="277"/>
    </row>
    <row r="171" spans="1:15" ht="32.25" hidden="1" customHeight="1" x14ac:dyDescent="0.25">
      <c r="A171" s="269"/>
      <c r="B171" s="270"/>
      <c r="C171" s="269"/>
      <c r="D171" s="271"/>
      <c r="E171" s="269"/>
      <c r="F171" s="272"/>
      <c r="G171" s="272"/>
      <c r="H171" s="273" t="e">
        <f>IF(VLOOKUP(C171,ST!$C$4:$AA$939,11,0)="","",IF(E171=0,VLOOKUP(C171,ST!$C$4:$AA$939,11,0),IF(E171=1,VLOOKUP(C171,ST!$C$4:$AA$939,16,0),IF(E171=2,VLOOKUP(C171,ST!$C$4:$AA$939,21,0),""))))</f>
        <v>#N/A</v>
      </c>
      <c r="I171" s="274"/>
      <c r="J171" s="273" t="e">
        <f>IF(VLOOKUP(C171,ST!$C$4:$AA$46,15,0)="","",IF(E171=0,VLOOKUP(C171,ST!$C$4:$AA$46,15,0),IF(E26=1,VLOOKUP(C171,ST!$C$4:$AA$46,20,0),IF(E26=2,VLOOKUP(C171,ST!$C$4:$AA$46,25,0),""))))</f>
        <v>#N/A</v>
      </c>
      <c r="K171" s="276" t="e">
        <f>VLOOKUP(C171,ST!$C$4:$K$999,8,0)</f>
        <v>#N/A</v>
      </c>
      <c r="L171" s="274"/>
      <c r="M171" s="276" t="e">
        <f>VLOOKUP(C171,ME!$C$4:$K$34,9,0)</f>
        <v>#N/A</v>
      </c>
      <c r="N171" s="269" t="e">
        <f>IF(AND(E171&lt;&gt;"",M171="Pending"),IF(L171&gt;=5,"Overdue",IF(L171&gt;=3,"High","")),"")</f>
        <v>#N/A</v>
      </c>
      <c r="O171" s="277"/>
    </row>
    <row r="172" spans="1:15" ht="32.25" hidden="1" customHeight="1" x14ac:dyDescent="0.25">
      <c r="F172" s="307"/>
      <c r="G172" s="308"/>
      <c r="H172" s="278"/>
      <c r="I172" s="278"/>
      <c r="J172" s="278"/>
      <c r="K172" s="278"/>
      <c r="L172" s="278"/>
    </row>
    <row r="173" spans="1:15" ht="32.25" hidden="1" customHeight="1" x14ac:dyDescent="0.25">
      <c r="F173" s="308"/>
      <c r="G173" s="308"/>
      <c r="H173" s="278"/>
      <c r="I173" s="278"/>
      <c r="J173" s="278"/>
      <c r="K173" s="278"/>
      <c r="L173" s="278"/>
    </row>
    <row r="174" spans="1:15" ht="32.25" customHeight="1" x14ac:dyDescent="0.25">
      <c r="F174" s="308"/>
      <c r="G174" s="308"/>
      <c r="H174" s="278"/>
      <c r="I174" s="278"/>
      <c r="J174" s="278"/>
      <c r="K174" s="278"/>
      <c r="L174" s="278"/>
    </row>
    <row r="175" spans="1:15" ht="32.25" customHeight="1" x14ac:dyDescent="0.25">
      <c r="F175" s="308"/>
      <c r="G175" s="308"/>
      <c r="H175" s="278"/>
      <c r="I175" s="278"/>
      <c r="J175" s="278"/>
      <c r="K175" s="278"/>
      <c r="L175" s="278"/>
    </row>
    <row r="176" spans="1:15" ht="13.2" x14ac:dyDescent="0.25">
      <c r="F176" s="308"/>
      <c r="G176" s="308"/>
      <c r="H176" s="278"/>
      <c r="I176" s="278"/>
      <c r="J176" s="278"/>
      <c r="K176" s="278"/>
      <c r="L176" s="278"/>
    </row>
    <row r="177" spans="6:12" ht="13.2" x14ac:dyDescent="0.25">
      <c r="F177" s="308"/>
      <c r="G177" s="308"/>
      <c r="H177" s="278"/>
      <c r="I177" s="278"/>
      <c r="J177" s="278"/>
      <c r="K177" s="278"/>
      <c r="L177" s="278"/>
    </row>
    <row r="178" spans="6:12" ht="13.2" x14ac:dyDescent="0.25">
      <c r="F178" s="308"/>
      <c r="G178" s="308"/>
      <c r="H178" s="278"/>
      <c r="I178" s="278"/>
      <c r="J178" s="278"/>
      <c r="K178" s="278"/>
      <c r="L178" s="278"/>
    </row>
    <row r="179" spans="6:12" ht="13.2" x14ac:dyDescent="0.25">
      <c r="F179" s="308"/>
      <c r="G179" s="308"/>
      <c r="H179" s="278"/>
      <c r="I179" s="278"/>
      <c r="J179" s="278"/>
      <c r="K179" s="278"/>
      <c r="L179" s="278"/>
    </row>
    <row r="180" spans="6:12" ht="13.2" x14ac:dyDescent="0.25">
      <c r="F180" s="308"/>
      <c r="G180" s="308"/>
      <c r="H180" s="278"/>
      <c r="I180" s="278"/>
      <c r="J180" s="278"/>
      <c r="K180" s="278"/>
      <c r="L180" s="278"/>
    </row>
    <row r="181" spans="6:12" ht="13.2" x14ac:dyDescent="0.25">
      <c r="F181" s="308"/>
      <c r="G181" s="308"/>
      <c r="H181" s="278"/>
      <c r="I181" s="278"/>
      <c r="J181" s="278"/>
      <c r="K181" s="278"/>
      <c r="L181" s="278"/>
    </row>
    <row r="182" spans="6:12" ht="13.2" x14ac:dyDescent="0.25">
      <c r="F182" s="308"/>
      <c r="G182" s="308"/>
      <c r="H182" s="278"/>
      <c r="I182" s="278"/>
      <c r="J182" s="278"/>
      <c r="K182" s="278"/>
      <c r="L182" s="278"/>
    </row>
    <row r="183" spans="6:12" ht="13.2" x14ac:dyDescent="0.25">
      <c r="F183" s="308"/>
      <c r="G183" s="308"/>
      <c r="H183" s="278"/>
      <c r="I183" s="278"/>
      <c r="J183" s="278"/>
      <c r="K183" s="278"/>
      <c r="L183" s="278"/>
    </row>
    <row r="184" spans="6:12" ht="13.2" x14ac:dyDescent="0.25">
      <c r="F184" s="308"/>
      <c r="G184" s="308"/>
      <c r="H184" s="278"/>
      <c r="I184" s="278"/>
      <c r="J184" s="278"/>
      <c r="K184" s="278"/>
      <c r="L184" s="278"/>
    </row>
    <row r="185" spans="6:12" ht="13.2" x14ac:dyDescent="0.25">
      <c r="F185" s="308"/>
      <c r="G185" s="308"/>
      <c r="H185" s="278"/>
      <c r="I185" s="278"/>
      <c r="J185" s="278"/>
      <c r="K185" s="278"/>
      <c r="L185" s="278"/>
    </row>
    <row r="186" spans="6:12" ht="13.2" x14ac:dyDescent="0.25">
      <c r="F186" s="308"/>
      <c r="G186" s="308"/>
      <c r="H186" s="278"/>
      <c r="I186" s="278"/>
      <c r="J186" s="278"/>
      <c r="K186" s="278"/>
      <c r="L186" s="278"/>
    </row>
    <row r="187" spans="6:12" ht="13.2" x14ac:dyDescent="0.25">
      <c r="F187" s="308"/>
      <c r="G187" s="308"/>
      <c r="H187" s="278"/>
      <c r="I187" s="278"/>
      <c r="J187" s="278"/>
      <c r="K187" s="278"/>
      <c r="L187" s="278"/>
    </row>
    <row r="188" spans="6:12" ht="13.2" x14ac:dyDescent="0.25">
      <c r="F188" s="308"/>
      <c r="G188" s="308"/>
      <c r="H188" s="278"/>
      <c r="I188" s="278"/>
      <c r="J188" s="278"/>
      <c r="K188" s="278"/>
      <c r="L188" s="278"/>
    </row>
    <row r="189" spans="6:12" ht="13.2" x14ac:dyDescent="0.25">
      <c r="F189" s="308"/>
      <c r="G189" s="308"/>
      <c r="H189" s="278"/>
      <c r="I189" s="278"/>
      <c r="J189" s="278"/>
      <c r="K189" s="278"/>
      <c r="L189" s="278"/>
    </row>
    <row r="190" spans="6:12" ht="13.2" x14ac:dyDescent="0.25">
      <c r="F190" s="308"/>
      <c r="G190" s="308"/>
      <c r="H190" s="278"/>
      <c r="I190" s="278"/>
      <c r="J190" s="278"/>
      <c r="K190" s="278"/>
      <c r="L190" s="278"/>
    </row>
    <row r="191" spans="6:12" ht="13.2" x14ac:dyDescent="0.25">
      <c r="F191" s="308"/>
      <c r="G191" s="308"/>
      <c r="H191" s="278"/>
      <c r="I191" s="278"/>
      <c r="J191" s="278"/>
      <c r="K191" s="278"/>
      <c r="L191" s="278"/>
    </row>
    <row r="192" spans="6:12" ht="13.2" x14ac:dyDescent="0.25">
      <c r="F192" s="308"/>
      <c r="G192" s="308"/>
      <c r="H192" s="278"/>
      <c r="I192" s="278"/>
      <c r="J192" s="278"/>
      <c r="K192" s="278"/>
      <c r="L192" s="278"/>
    </row>
    <row r="193" spans="6:12" ht="13.2" x14ac:dyDescent="0.25">
      <c r="F193" s="308"/>
      <c r="G193" s="308"/>
      <c r="H193" s="278"/>
      <c r="I193" s="278"/>
      <c r="J193" s="278"/>
      <c r="K193" s="278"/>
      <c r="L193" s="278"/>
    </row>
    <row r="194" spans="6:12" ht="13.2" x14ac:dyDescent="0.25">
      <c r="F194" s="308"/>
      <c r="G194" s="308"/>
      <c r="H194" s="278"/>
      <c r="I194" s="278"/>
      <c r="J194" s="278"/>
      <c r="K194" s="278"/>
      <c r="L194" s="278"/>
    </row>
    <row r="195" spans="6:12" ht="13.2" x14ac:dyDescent="0.25">
      <c r="F195" s="308"/>
      <c r="G195" s="308"/>
      <c r="H195" s="278"/>
      <c r="I195" s="278"/>
      <c r="J195" s="278"/>
      <c r="K195" s="278"/>
      <c r="L195" s="278"/>
    </row>
    <row r="196" spans="6:12" ht="13.2" x14ac:dyDescent="0.25">
      <c r="F196" s="308"/>
      <c r="G196" s="308"/>
      <c r="H196" s="278"/>
      <c r="I196" s="278"/>
      <c r="J196" s="278"/>
      <c r="K196" s="278"/>
      <c r="L196" s="278"/>
    </row>
    <row r="197" spans="6:12" ht="13.2" x14ac:dyDescent="0.25">
      <c r="F197" s="308"/>
      <c r="G197" s="308"/>
      <c r="H197" s="278"/>
      <c r="I197" s="278"/>
      <c r="J197" s="278"/>
      <c r="K197" s="278"/>
      <c r="L197" s="278"/>
    </row>
    <row r="198" spans="6:12" ht="13.2" x14ac:dyDescent="0.25">
      <c r="F198" s="308"/>
      <c r="G198" s="308"/>
      <c r="H198" s="278"/>
      <c r="I198" s="278"/>
      <c r="J198" s="278"/>
      <c r="K198" s="278"/>
      <c r="L198" s="278"/>
    </row>
    <row r="199" spans="6:12" ht="13.2" x14ac:dyDescent="0.25">
      <c r="F199" s="308"/>
      <c r="G199" s="308"/>
      <c r="H199" s="278"/>
      <c r="I199" s="278"/>
      <c r="J199" s="278"/>
      <c r="K199" s="278"/>
      <c r="L199" s="278"/>
    </row>
    <row r="200" spans="6:12" ht="13.2" x14ac:dyDescent="0.25">
      <c r="F200" s="308"/>
      <c r="G200" s="308"/>
      <c r="H200" s="278"/>
      <c r="I200" s="278"/>
      <c r="J200" s="278"/>
      <c r="K200" s="278"/>
      <c r="L200" s="278"/>
    </row>
    <row r="201" spans="6:12" ht="13.2" x14ac:dyDescent="0.25">
      <c r="F201" s="308"/>
      <c r="G201" s="308"/>
      <c r="H201" s="278"/>
      <c r="I201" s="278"/>
      <c r="J201" s="278"/>
      <c r="K201" s="278"/>
      <c r="L201" s="278"/>
    </row>
    <row r="202" spans="6:12" ht="13.2" x14ac:dyDescent="0.25">
      <c r="F202" s="308"/>
      <c r="G202" s="308"/>
      <c r="H202" s="278"/>
      <c r="I202" s="278"/>
      <c r="J202" s="278"/>
      <c r="K202" s="278"/>
      <c r="L202" s="278"/>
    </row>
    <row r="203" spans="6:12" ht="13.2" x14ac:dyDescent="0.25">
      <c r="F203" s="308"/>
      <c r="G203" s="308"/>
      <c r="H203" s="278"/>
      <c r="I203" s="278"/>
      <c r="J203" s="278"/>
      <c r="K203" s="278"/>
      <c r="L203" s="278"/>
    </row>
    <row r="204" spans="6:12" ht="13.2" x14ac:dyDescent="0.25">
      <c r="F204" s="308"/>
      <c r="G204" s="308"/>
      <c r="H204" s="278"/>
      <c r="I204" s="278"/>
      <c r="J204" s="278"/>
      <c r="K204" s="278"/>
      <c r="L204" s="278"/>
    </row>
    <row r="205" spans="6:12" ht="13.2" x14ac:dyDescent="0.25">
      <c r="F205" s="308"/>
      <c r="G205" s="308"/>
      <c r="H205" s="278"/>
      <c r="I205" s="278"/>
      <c r="J205" s="278"/>
      <c r="K205" s="278"/>
      <c r="L205" s="278"/>
    </row>
    <row r="206" spans="6:12" ht="13.2" x14ac:dyDescent="0.25">
      <c r="F206" s="308"/>
      <c r="G206" s="308"/>
      <c r="H206" s="278"/>
      <c r="I206" s="278"/>
      <c r="J206" s="278"/>
      <c r="K206" s="278"/>
      <c r="L206" s="278"/>
    </row>
    <row r="207" spans="6:12" ht="13.2" x14ac:dyDescent="0.25">
      <c r="F207" s="308"/>
      <c r="G207" s="308"/>
      <c r="H207" s="278"/>
      <c r="I207" s="278"/>
      <c r="J207" s="278"/>
      <c r="K207" s="278"/>
      <c r="L207" s="278"/>
    </row>
    <row r="208" spans="6:12" ht="13.2" x14ac:dyDescent="0.25">
      <c r="F208" s="308"/>
      <c r="G208" s="308"/>
      <c r="H208" s="278"/>
      <c r="I208" s="278"/>
      <c r="J208" s="278"/>
      <c r="K208" s="278"/>
      <c r="L208" s="278"/>
    </row>
    <row r="209" spans="6:12" ht="13.2" x14ac:dyDescent="0.25">
      <c r="F209" s="308"/>
      <c r="G209" s="308"/>
      <c r="H209" s="278"/>
      <c r="I209" s="278"/>
      <c r="J209" s="278"/>
      <c r="K209" s="278"/>
      <c r="L209" s="278"/>
    </row>
    <row r="210" spans="6:12" ht="13.2" x14ac:dyDescent="0.25">
      <c r="F210" s="308"/>
      <c r="G210" s="308"/>
      <c r="H210" s="278"/>
      <c r="I210" s="278"/>
      <c r="J210" s="278"/>
      <c r="K210" s="278"/>
      <c r="L210" s="278"/>
    </row>
    <row r="211" spans="6:12" ht="13.2" x14ac:dyDescent="0.25">
      <c r="F211" s="308"/>
      <c r="G211" s="308"/>
      <c r="H211" s="278"/>
      <c r="I211" s="278"/>
      <c r="J211" s="278"/>
      <c r="K211" s="278"/>
      <c r="L211" s="278"/>
    </row>
    <row r="212" spans="6:12" ht="13.2" x14ac:dyDescent="0.25">
      <c r="F212" s="308"/>
      <c r="G212" s="308"/>
      <c r="H212" s="278"/>
      <c r="I212" s="278"/>
      <c r="J212" s="278"/>
      <c r="K212" s="278"/>
      <c r="L212" s="278"/>
    </row>
    <row r="213" spans="6:12" ht="13.2" x14ac:dyDescent="0.25">
      <c r="F213" s="308"/>
      <c r="G213" s="308"/>
      <c r="H213" s="278"/>
      <c r="I213" s="278"/>
      <c r="J213" s="278"/>
      <c r="K213" s="278"/>
      <c r="L213" s="278"/>
    </row>
    <row r="214" spans="6:12" ht="13.2" x14ac:dyDescent="0.25">
      <c r="F214" s="308"/>
      <c r="G214" s="308"/>
      <c r="H214" s="278"/>
      <c r="I214" s="278"/>
      <c r="J214" s="278"/>
      <c r="K214" s="278"/>
      <c r="L214" s="278"/>
    </row>
    <row r="215" spans="6:12" ht="13.2" x14ac:dyDescent="0.25">
      <c r="F215" s="308"/>
      <c r="G215" s="308"/>
      <c r="H215" s="278"/>
      <c r="I215" s="278"/>
      <c r="J215" s="278"/>
      <c r="K215" s="278"/>
      <c r="L215" s="278"/>
    </row>
    <row r="216" spans="6:12" ht="13.2" x14ac:dyDescent="0.25">
      <c r="F216" s="308"/>
      <c r="G216" s="308"/>
      <c r="H216" s="278"/>
      <c r="I216" s="278"/>
      <c r="J216" s="278"/>
      <c r="K216" s="278"/>
      <c r="L216" s="278"/>
    </row>
    <row r="217" spans="6:12" ht="13.2" x14ac:dyDescent="0.25">
      <c r="F217" s="308"/>
      <c r="G217" s="308"/>
      <c r="H217" s="278"/>
      <c r="I217" s="278"/>
      <c r="J217" s="278"/>
      <c r="K217" s="278"/>
      <c r="L217" s="278"/>
    </row>
    <row r="218" spans="6:12" ht="13.2" x14ac:dyDescent="0.25">
      <c r="F218" s="308"/>
      <c r="G218" s="308"/>
      <c r="H218" s="278"/>
      <c r="I218" s="278"/>
      <c r="J218" s="278"/>
      <c r="K218" s="278"/>
      <c r="L218" s="278"/>
    </row>
    <row r="219" spans="6:12" ht="13.2" x14ac:dyDescent="0.25">
      <c r="F219" s="308"/>
      <c r="G219" s="308"/>
      <c r="H219" s="278"/>
      <c r="I219" s="278"/>
      <c r="J219" s="278"/>
      <c r="K219" s="278"/>
      <c r="L219" s="278"/>
    </row>
    <row r="220" spans="6:12" ht="13.2" x14ac:dyDescent="0.25">
      <c r="F220" s="308"/>
      <c r="G220" s="308"/>
      <c r="H220" s="278"/>
      <c r="I220" s="278"/>
      <c r="J220" s="278"/>
      <c r="K220" s="278"/>
      <c r="L220" s="278"/>
    </row>
    <row r="221" spans="6:12" ht="13.2" x14ac:dyDescent="0.25">
      <c r="F221" s="308"/>
      <c r="G221" s="308"/>
      <c r="H221" s="278"/>
      <c r="I221" s="278"/>
      <c r="J221" s="278"/>
      <c r="K221" s="278"/>
      <c r="L221" s="278"/>
    </row>
    <row r="222" spans="6:12" ht="13.2" x14ac:dyDescent="0.25">
      <c r="F222" s="308"/>
      <c r="G222" s="308"/>
      <c r="H222" s="278"/>
      <c r="I222" s="278"/>
      <c r="J222" s="278"/>
      <c r="K222" s="278"/>
      <c r="L222" s="278"/>
    </row>
    <row r="223" spans="6:12" ht="13.2" x14ac:dyDescent="0.25">
      <c r="F223" s="308"/>
      <c r="G223" s="308"/>
      <c r="H223" s="278"/>
      <c r="I223" s="278"/>
      <c r="J223" s="278"/>
      <c r="K223" s="278"/>
      <c r="L223" s="278"/>
    </row>
    <row r="224" spans="6:12" ht="13.2" x14ac:dyDescent="0.25">
      <c r="F224" s="308"/>
      <c r="G224" s="308"/>
      <c r="H224" s="278"/>
      <c r="I224" s="278"/>
      <c r="J224" s="278"/>
      <c r="K224" s="278"/>
      <c r="L224" s="278"/>
    </row>
    <row r="225" spans="6:12" ht="13.2" x14ac:dyDescent="0.25">
      <c r="F225" s="308"/>
      <c r="G225" s="308"/>
      <c r="H225" s="278"/>
      <c r="I225" s="278"/>
      <c r="J225" s="278"/>
      <c r="K225" s="278"/>
      <c r="L225" s="278"/>
    </row>
    <row r="226" spans="6:12" ht="13.2" x14ac:dyDescent="0.25">
      <c r="F226" s="308"/>
      <c r="G226" s="308"/>
      <c r="H226" s="278"/>
      <c r="I226" s="278"/>
      <c r="J226" s="278"/>
      <c r="K226" s="278"/>
      <c r="L226" s="278"/>
    </row>
    <row r="227" spans="6:12" ht="13.2" x14ac:dyDescent="0.25">
      <c r="F227" s="308"/>
      <c r="G227" s="308"/>
      <c r="H227" s="278"/>
      <c r="I227" s="278"/>
      <c r="J227" s="278"/>
      <c r="K227" s="278"/>
      <c r="L227" s="278"/>
    </row>
    <row r="228" spans="6:12" ht="13.2" x14ac:dyDescent="0.25">
      <c r="F228" s="308"/>
      <c r="G228" s="308"/>
      <c r="H228" s="278"/>
      <c r="I228" s="278"/>
      <c r="J228" s="278"/>
      <c r="K228" s="278"/>
      <c r="L228" s="278"/>
    </row>
    <row r="229" spans="6:12" ht="13.2" x14ac:dyDescent="0.25">
      <c r="F229" s="308"/>
      <c r="G229" s="308"/>
      <c r="H229" s="278"/>
      <c r="I229" s="278"/>
      <c r="J229" s="278"/>
      <c r="K229" s="278"/>
      <c r="L229" s="278"/>
    </row>
    <row r="230" spans="6:12" ht="13.2" x14ac:dyDescent="0.25">
      <c r="F230" s="308"/>
      <c r="G230" s="308"/>
      <c r="H230" s="278"/>
      <c r="I230" s="278"/>
      <c r="J230" s="278"/>
      <c r="K230" s="278"/>
      <c r="L230" s="278"/>
    </row>
    <row r="231" spans="6:12" ht="13.2" x14ac:dyDescent="0.25">
      <c r="F231" s="308"/>
      <c r="G231" s="308"/>
      <c r="H231" s="278"/>
      <c r="I231" s="278"/>
      <c r="J231" s="278"/>
      <c r="K231" s="278"/>
      <c r="L231" s="278"/>
    </row>
    <row r="232" spans="6:12" ht="13.2" x14ac:dyDescent="0.25">
      <c r="F232" s="308"/>
      <c r="G232" s="308"/>
      <c r="H232" s="278"/>
      <c r="I232" s="278"/>
      <c r="J232" s="278"/>
      <c r="K232" s="278"/>
      <c r="L232" s="278"/>
    </row>
    <row r="233" spans="6:12" ht="13.2" x14ac:dyDescent="0.25">
      <c r="F233" s="308"/>
      <c r="G233" s="308"/>
      <c r="H233" s="278"/>
      <c r="I233" s="278"/>
      <c r="J233" s="278"/>
      <c r="K233" s="278"/>
      <c r="L233" s="278"/>
    </row>
    <row r="234" spans="6:12" ht="13.2" x14ac:dyDescent="0.25">
      <c r="F234" s="308"/>
      <c r="G234" s="308"/>
      <c r="H234" s="278"/>
      <c r="I234" s="278"/>
      <c r="J234" s="278"/>
      <c r="K234" s="278"/>
      <c r="L234" s="278"/>
    </row>
    <row r="235" spans="6:12" ht="13.2" x14ac:dyDescent="0.25">
      <c r="F235" s="308"/>
      <c r="G235" s="308"/>
      <c r="H235" s="278"/>
      <c r="I235" s="278"/>
      <c r="J235" s="278"/>
      <c r="K235" s="278"/>
      <c r="L235" s="278"/>
    </row>
    <row r="236" spans="6:12" ht="13.2" x14ac:dyDescent="0.25">
      <c r="F236" s="308"/>
      <c r="G236" s="308"/>
      <c r="H236" s="278"/>
      <c r="I236" s="278"/>
      <c r="J236" s="278"/>
      <c r="K236" s="278"/>
      <c r="L236" s="278"/>
    </row>
    <row r="237" spans="6:12" ht="13.2" x14ac:dyDescent="0.25">
      <c r="F237" s="308"/>
      <c r="G237" s="308"/>
      <c r="H237" s="278"/>
      <c r="I237" s="278"/>
      <c r="J237" s="278"/>
      <c r="K237" s="278"/>
      <c r="L237" s="278"/>
    </row>
    <row r="238" spans="6:12" ht="13.2" x14ac:dyDescent="0.25">
      <c r="F238" s="308"/>
      <c r="G238" s="308"/>
      <c r="H238" s="278"/>
      <c r="I238" s="278"/>
      <c r="J238" s="278"/>
      <c r="K238" s="278"/>
      <c r="L238" s="278"/>
    </row>
    <row r="239" spans="6:12" ht="13.2" x14ac:dyDescent="0.25">
      <c r="F239" s="308"/>
      <c r="G239" s="308"/>
      <c r="H239" s="278"/>
      <c r="I239" s="278"/>
      <c r="J239" s="278"/>
      <c r="K239" s="278"/>
      <c r="L239" s="278"/>
    </row>
    <row r="240" spans="6:12" ht="13.2" x14ac:dyDescent="0.25">
      <c r="F240" s="308"/>
      <c r="G240" s="308"/>
      <c r="H240" s="278"/>
      <c r="I240" s="278"/>
      <c r="J240" s="278"/>
      <c r="K240" s="278"/>
      <c r="L240" s="278"/>
    </row>
    <row r="241" spans="6:12" ht="13.2" x14ac:dyDescent="0.25">
      <c r="F241" s="308"/>
      <c r="G241" s="308"/>
      <c r="H241" s="278"/>
      <c r="I241" s="278"/>
      <c r="J241" s="278"/>
      <c r="K241" s="278"/>
      <c r="L241" s="278"/>
    </row>
    <row r="242" spans="6:12" ht="13.2" x14ac:dyDescent="0.25">
      <c r="F242" s="308"/>
      <c r="G242" s="308"/>
      <c r="H242" s="278"/>
      <c r="I242" s="278"/>
      <c r="J242" s="278"/>
      <c r="K242" s="278"/>
      <c r="L242" s="278"/>
    </row>
    <row r="243" spans="6:12" ht="13.2" x14ac:dyDescent="0.25">
      <c r="F243" s="308"/>
      <c r="G243" s="308"/>
      <c r="H243" s="278"/>
      <c r="I243" s="278"/>
      <c r="J243" s="278"/>
      <c r="K243" s="278"/>
      <c r="L243" s="278"/>
    </row>
    <row r="244" spans="6:12" ht="13.2" x14ac:dyDescent="0.25">
      <c r="F244" s="308"/>
      <c r="G244" s="308"/>
      <c r="H244" s="278"/>
      <c r="I244" s="278"/>
      <c r="J244" s="278"/>
      <c r="K244" s="278"/>
      <c r="L244" s="278"/>
    </row>
    <row r="245" spans="6:12" ht="13.2" x14ac:dyDescent="0.25">
      <c r="F245" s="308"/>
      <c r="G245" s="308"/>
      <c r="H245" s="278"/>
      <c r="I245" s="278"/>
      <c r="J245" s="278"/>
      <c r="K245" s="278"/>
      <c r="L245" s="278"/>
    </row>
    <row r="246" spans="6:12" ht="13.2" x14ac:dyDescent="0.25">
      <c r="F246" s="308"/>
      <c r="G246" s="308"/>
      <c r="H246" s="278"/>
      <c r="I246" s="278"/>
      <c r="J246" s="278"/>
      <c r="K246" s="278"/>
      <c r="L246" s="278"/>
    </row>
    <row r="247" spans="6:12" ht="13.2" x14ac:dyDescent="0.25">
      <c r="F247" s="308"/>
      <c r="G247" s="308"/>
      <c r="H247" s="278"/>
      <c r="I247" s="278"/>
      <c r="J247" s="278"/>
      <c r="K247" s="278"/>
      <c r="L247" s="278"/>
    </row>
    <row r="248" spans="6:12" ht="13.2" x14ac:dyDescent="0.25">
      <c r="F248" s="308"/>
      <c r="G248" s="308"/>
      <c r="H248" s="278"/>
      <c r="I248" s="278"/>
      <c r="J248" s="278"/>
      <c r="K248" s="278"/>
      <c r="L248" s="278"/>
    </row>
    <row r="249" spans="6:12" ht="13.2" x14ac:dyDescent="0.25">
      <c r="F249" s="308"/>
      <c r="G249" s="308"/>
      <c r="H249" s="278"/>
      <c r="I249" s="278"/>
      <c r="J249" s="278"/>
      <c r="K249" s="278"/>
      <c r="L249" s="278"/>
    </row>
    <row r="250" spans="6:12" ht="13.2" x14ac:dyDescent="0.25">
      <c r="F250" s="308"/>
      <c r="G250" s="308"/>
      <c r="H250" s="278"/>
      <c r="I250" s="278"/>
      <c r="J250" s="278"/>
      <c r="K250" s="278"/>
      <c r="L250" s="278"/>
    </row>
    <row r="251" spans="6:12" ht="13.2" x14ac:dyDescent="0.25">
      <c r="F251" s="308"/>
      <c r="G251" s="308"/>
      <c r="H251" s="278"/>
      <c r="I251" s="278"/>
      <c r="J251" s="278"/>
      <c r="K251" s="278"/>
      <c r="L251" s="278"/>
    </row>
    <row r="252" spans="6:12" ht="13.2" x14ac:dyDescent="0.25">
      <c r="F252" s="308"/>
      <c r="G252" s="308"/>
      <c r="H252" s="278"/>
      <c r="I252" s="278"/>
      <c r="J252" s="278"/>
      <c r="K252" s="278"/>
      <c r="L252" s="278"/>
    </row>
    <row r="253" spans="6:12" ht="13.2" x14ac:dyDescent="0.25">
      <c r="F253" s="308"/>
      <c r="G253" s="308"/>
      <c r="H253" s="278"/>
      <c r="I253" s="278"/>
      <c r="J253" s="278"/>
      <c r="K253" s="278"/>
      <c r="L253" s="278"/>
    </row>
    <row r="254" spans="6:12" ht="13.2" x14ac:dyDescent="0.25">
      <c r="F254" s="308"/>
      <c r="G254" s="308"/>
      <c r="H254" s="278"/>
      <c r="I254" s="278"/>
      <c r="J254" s="278"/>
      <c r="K254" s="278"/>
      <c r="L254" s="278"/>
    </row>
    <row r="255" spans="6:12" ht="13.2" x14ac:dyDescent="0.25">
      <c r="F255" s="308"/>
      <c r="G255" s="308"/>
      <c r="H255" s="278"/>
      <c r="I255" s="278"/>
      <c r="J255" s="278"/>
      <c r="K255" s="278"/>
      <c r="L255" s="278"/>
    </row>
    <row r="256" spans="6:12" ht="13.2" x14ac:dyDescent="0.25">
      <c r="F256" s="308"/>
      <c r="G256" s="308"/>
      <c r="H256" s="278"/>
      <c r="I256" s="278"/>
      <c r="J256" s="278"/>
      <c r="K256" s="278"/>
      <c r="L256" s="278"/>
    </row>
    <row r="257" spans="6:12" ht="13.2" x14ac:dyDescent="0.25">
      <c r="F257" s="308"/>
      <c r="G257" s="308"/>
      <c r="H257" s="278"/>
      <c r="I257" s="278"/>
      <c r="J257" s="278"/>
      <c r="K257" s="278"/>
      <c r="L257" s="278"/>
    </row>
    <row r="258" spans="6:12" ht="13.2" x14ac:dyDescent="0.25">
      <c r="F258" s="308"/>
      <c r="G258" s="308"/>
      <c r="H258" s="278"/>
      <c r="I258" s="278"/>
      <c r="J258" s="278"/>
      <c r="K258" s="278"/>
      <c r="L258" s="278"/>
    </row>
    <row r="259" spans="6:12" ht="13.2" x14ac:dyDescent="0.25">
      <c r="F259" s="308"/>
      <c r="G259" s="308"/>
      <c r="H259" s="278"/>
      <c r="I259" s="278"/>
      <c r="J259" s="278"/>
      <c r="K259" s="278"/>
      <c r="L259" s="278"/>
    </row>
    <row r="260" spans="6:12" ht="13.2" x14ac:dyDescent="0.25">
      <c r="H260" s="278"/>
      <c r="I260" s="278"/>
      <c r="J260" s="278"/>
      <c r="K260" s="278"/>
    </row>
    <row r="261" spans="6:12" ht="13.2" x14ac:dyDescent="0.25">
      <c r="H261" s="278"/>
      <c r="I261" s="278"/>
      <c r="J261" s="278"/>
      <c r="K261" s="278"/>
    </row>
    <row r="262" spans="6:12" ht="13.2" x14ac:dyDescent="0.25">
      <c r="H262" s="278"/>
      <c r="I262" s="278"/>
      <c r="J262" s="278"/>
      <c r="K262" s="278"/>
    </row>
    <row r="263" spans="6:12" ht="13.2" x14ac:dyDescent="0.25">
      <c r="H263" s="278"/>
      <c r="I263" s="278"/>
      <c r="J263" s="278"/>
      <c r="K263" s="278"/>
    </row>
    <row r="264" spans="6:12" ht="13.2" x14ac:dyDescent="0.25">
      <c r="H264" s="278"/>
      <c r="I264" s="278"/>
      <c r="J264" s="278"/>
      <c r="K264" s="278"/>
    </row>
    <row r="265" spans="6:12" ht="13.2" x14ac:dyDescent="0.25">
      <c r="H265" s="278"/>
      <c r="I265" s="278"/>
      <c r="J265" s="278"/>
      <c r="K265" s="278"/>
    </row>
    <row r="266" spans="6:12" ht="13.2" x14ac:dyDescent="0.25">
      <c r="H266" s="278"/>
      <c r="I266" s="278"/>
      <c r="J266" s="278"/>
      <c r="K266" s="278"/>
    </row>
    <row r="267" spans="6:12" ht="13.2" x14ac:dyDescent="0.25">
      <c r="H267" s="278"/>
      <c r="I267" s="278"/>
      <c r="J267" s="278"/>
      <c r="K267" s="278"/>
    </row>
    <row r="268" spans="6:12" ht="13.2" x14ac:dyDescent="0.25">
      <c r="H268" s="278"/>
      <c r="I268" s="278"/>
      <c r="J268" s="278"/>
      <c r="K268" s="278"/>
    </row>
    <row r="269" spans="6:12" ht="13.2" x14ac:dyDescent="0.25">
      <c r="H269" s="278"/>
      <c r="I269" s="278"/>
      <c r="J269" s="278"/>
      <c r="K269" s="278"/>
    </row>
    <row r="270" spans="6:12" ht="13.2" x14ac:dyDescent="0.25">
      <c r="H270" s="278"/>
      <c r="I270" s="278"/>
      <c r="J270" s="278"/>
      <c r="K270" s="278"/>
    </row>
    <row r="271" spans="6:12" ht="13.2" x14ac:dyDescent="0.25">
      <c r="H271" s="278"/>
      <c r="I271" s="278"/>
      <c r="J271" s="278"/>
      <c r="K271" s="278"/>
    </row>
    <row r="272" spans="6:12" ht="13.2" x14ac:dyDescent="0.25">
      <c r="H272" s="278"/>
      <c r="I272" s="278"/>
      <c r="J272" s="278"/>
      <c r="K272" s="278"/>
    </row>
    <row r="273" spans="8:11" ht="13.2" x14ac:dyDescent="0.25">
      <c r="H273" s="278"/>
      <c r="I273" s="278"/>
      <c r="J273" s="278"/>
      <c r="K273" s="278"/>
    </row>
    <row r="274" spans="8:11" ht="13.2" x14ac:dyDescent="0.25">
      <c r="H274" s="278"/>
      <c r="I274" s="278"/>
      <c r="J274" s="278"/>
      <c r="K274" s="278"/>
    </row>
    <row r="275" spans="8:11" ht="13.2" x14ac:dyDescent="0.25">
      <c r="H275" s="278"/>
      <c r="I275" s="278"/>
      <c r="J275" s="278"/>
      <c r="K275" s="278"/>
    </row>
    <row r="276" spans="8:11" ht="13.2" x14ac:dyDescent="0.25">
      <c r="H276" s="278"/>
      <c r="I276" s="278"/>
      <c r="J276" s="278"/>
      <c r="K276" s="278"/>
    </row>
    <row r="277" spans="8:11" ht="13.2" x14ac:dyDescent="0.25">
      <c r="H277" s="278"/>
      <c r="I277" s="278"/>
      <c r="J277" s="278"/>
      <c r="K277" s="278"/>
    </row>
    <row r="278" spans="8:11" ht="13.2" x14ac:dyDescent="0.25">
      <c r="H278" s="278"/>
      <c r="I278" s="278"/>
      <c r="J278" s="278"/>
      <c r="K278" s="278"/>
    </row>
    <row r="279" spans="8:11" ht="13.2" x14ac:dyDescent="0.25">
      <c r="H279" s="278"/>
      <c r="I279" s="278"/>
      <c r="J279" s="278"/>
      <c r="K279" s="278"/>
    </row>
    <row r="280" spans="8:11" ht="13.2" x14ac:dyDescent="0.25">
      <c r="H280" s="278"/>
      <c r="I280" s="278"/>
      <c r="J280" s="278"/>
      <c r="K280" s="278"/>
    </row>
    <row r="281" spans="8:11" ht="13.2" x14ac:dyDescent="0.25">
      <c r="H281" s="278"/>
      <c r="I281" s="278"/>
      <c r="J281" s="278"/>
      <c r="K281" s="278"/>
    </row>
    <row r="282" spans="8:11" ht="13.2" x14ac:dyDescent="0.25">
      <c r="H282" s="278"/>
      <c r="I282" s="278"/>
      <c r="J282" s="278"/>
      <c r="K282" s="278"/>
    </row>
    <row r="283" spans="8:11" ht="13.2" x14ac:dyDescent="0.25">
      <c r="H283" s="278"/>
      <c r="I283" s="278"/>
      <c r="J283" s="278"/>
      <c r="K283" s="278"/>
    </row>
    <row r="284" spans="8:11" ht="13.2" x14ac:dyDescent="0.25">
      <c r="H284" s="278"/>
      <c r="I284" s="278"/>
      <c r="J284" s="278"/>
      <c r="K284" s="278"/>
    </row>
    <row r="285" spans="8:11" ht="13.2" x14ac:dyDescent="0.25">
      <c r="H285" s="278"/>
      <c r="I285" s="278"/>
      <c r="J285" s="278"/>
      <c r="K285" s="278"/>
    </row>
    <row r="286" spans="8:11" ht="13.2" x14ac:dyDescent="0.25">
      <c r="H286" s="278"/>
      <c r="I286" s="278"/>
      <c r="J286" s="278"/>
      <c r="K286" s="278"/>
    </row>
    <row r="287" spans="8:11" ht="13.2" x14ac:dyDescent="0.25">
      <c r="H287" s="278"/>
      <c r="I287" s="278"/>
      <c r="J287" s="278"/>
      <c r="K287" s="278"/>
    </row>
    <row r="288" spans="8:11" ht="13.2" x14ac:dyDescent="0.25">
      <c r="H288" s="278"/>
      <c r="I288" s="278"/>
      <c r="J288" s="278"/>
      <c r="K288" s="278"/>
    </row>
    <row r="289" spans="8:11" ht="13.2" x14ac:dyDescent="0.25">
      <c r="H289" s="278"/>
      <c r="I289" s="278"/>
      <c r="J289" s="278"/>
      <c r="K289" s="278"/>
    </row>
    <row r="290" spans="8:11" ht="13.2" x14ac:dyDescent="0.25">
      <c r="H290" s="278"/>
      <c r="I290" s="278"/>
      <c r="J290" s="278"/>
      <c r="K290" s="278"/>
    </row>
    <row r="291" spans="8:11" ht="13.2" x14ac:dyDescent="0.25">
      <c r="H291" s="278"/>
      <c r="I291" s="278"/>
      <c r="J291" s="278"/>
      <c r="K291" s="278"/>
    </row>
    <row r="292" spans="8:11" ht="13.2" x14ac:dyDescent="0.25">
      <c r="H292" s="278"/>
      <c r="I292" s="278"/>
      <c r="J292" s="278"/>
      <c r="K292" s="278"/>
    </row>
    <row r="293" spans="8:11" ht="13.2" x14ac:dyDescent="0.25">
      <c r="H293" s="278"/>
      <c r="I293" s="278"/>
      <c r="J293" s="278"/>
      <c r="K293" s="278"/>
    </row>
    <row r="294" spans="8:11" ht="13.2" x14ac:dyDescent="0.25">
      <c r="H294" s="278"/>
      <c r="I294" s="278"/>
      <c r="J294" s="278"/>
      <c r="K294" s="278"/>
    </row>
    <row r="295" spans="8:11" ht="13.2" x14ac:dyDescent="0.25">
      <c r="H295" s="278"/>
      <c r="I295" s="278"/>
      <c r="J295" s="278"/>
      <c r="K295" s="278"/>
    </row>
    <row r="296" spans="8:11" ht="13.2" x14ac:dyDescent="0.25">
      <c r="H296" s="278"/>
      <c r="I296" s="278"/>
      <c r="J296" s="278"/>
      <c r="K296" s="278"/>
    </row>
    <row r="297" spans="8:11" ht="13.2" x14ac:dyDescent="0.25">
      <c r="H297" s="278"/>
      <c r="I297" s="278"/>
      <c r="J297" s="278"/>
      <c r="K297" s="278"/>
    </row>
    <row r="298" spans="8:11" ht="13.2" x14ac:dyDescent="0.25">
      <c r="H298" s="278"/>
      <c r="I298" s="278"/>
      <c r="J298" s="278"/>
      <c r="K298" s="278"/>
    </row>
    <row r="299" spans="8:11" ht="13.2" x14ac:dyDescent="0.25">
      <c r="H299" s="278"/>
      <c r="I299" s="278"/>
      <c r="J299" s="278"/>
      <c r="K299" s="278"/>
    </row>
    <row r="300" spans="8:11" ht="13.2" x14ac:dyDescent="0.25">
      <c r="H300" s="278"/>
      <c r="I300" s="278"/>
      <c r="J300" s="278"/>
      <c r="K300" s="278"/>
    </row>
    <row r="301" spans="8:11" ht="13.2" x14ac:dyDescent="0.25">
      <c r="H301" s="278"/>
      <c r="I301" s="278"/>
      <c r="J301" s="278"/>
      <c r="K301" s="278"/>
    </row>
    <row r="302" spans="8:11" ht="13.2" x14ac:dyDescent="0.25">
      <c r="H302" s="278"/>
      <c r="I302" s="278"/>
      <c r="J302" s="278"/>
      <c r="K302" s="278"/>
    </row>
    <row r="303" spans="8:11" ht="13.2" x14ac:dyDescent="0.25">
      <c r="H303" s="278"/>
      <c r="I303" s="278"/>
      <c r="J303" s="278"/>
      <c r="K303" s="278"/>
    </row>
    <row r="304" spans="8:11" ht="13.2" x14ac:dyDescent="0.25">
      <c r="H304" s="278"/>
      <c r="I304" s="278"/>
      <c r="J304" s="278"/>
      <c r="K304" s="278"/>
    </row>
    <row r="305" spans="8:11" ht="13.2" x14ac:dyDescent="0.25">
      <c r="H305" s="278"/>
      <c r="I305" s="278"/>
      <c r="J305" s="278"/>
      <c r="K305" s="278"/>
    </row>
    <row r="306" spans="8:11" ht="13.2" x14ac:dyDescent="0.25">
      <c r="H306" s="278"/>
      <c r="I306" s="278"/>
      <c r="J306" s="278"/>
      <c r="K306" s="278"/>
    </row>
    <row r="307" spans="8:11" ht="13.2" x14ac:dyDescent="0.25">
      <c r="H307" s="278"/>
      <c r="I307" s="278"/>
      <c r="J307" s="278"/>
      <c r="K307" s="278"/>
    </row>
    <row r="308" spans="8:11" ht="13.2" x14ac:dyDescent="0.25">
      <c r="H308" s="278"/>
      <c r="I308" s="278"/>
      <c r="J308" s="278"/>
      <c r="K308" s="278"/>
    </row>
    <row r="309" spans="8:11" ht="13.2" x14ac:dyDescent="0.25">
      <c r="H309" s="278"/>
      <c r="I309" s="278"/>
      <c r="J309" s="278"/>
      <c r="K309" s="278"/>
    </row>
    <row r="310" spans="8:11" ht="13.2" x14ac:dyDescent="0.25">
      <c r="H310" s="278"/>
      <c r="I310" s="278"/>
      <c r="J310" s="278"/>
      <c r="K310" s="278"/>
    </row>
    <row r="311" spans="8:11" ht="13.2" x14ac:dyDescent="0.25">
      <c r="H311" s="278"/>
      <c r="I311" s="278"/>
      <c r="J311" s="278"/>
      <c r="K311" s="278"/>
    </row>
    <row r="312" spans="8:11" ht="13.2" x14ac:dyDescent="0.25">
      <c r="H312" s="278"/>
      <c r="I312" s="278"/>
      <c r="J312" s="278"/>
      <c r="K312" s="278"/>
    </row>
    <row r="313" spans="8:11" ht="13.2" x14ac:dyDescent="0.25">
      <c r="H313" s="278"/>
      <c r="I313" s="278"/>
      <c r="J313" s="278"/>
      <c r="K313" s="278"/>
    </row>
    <row r="314" spans="8:11" ht="13.2" x14ac:dyDescent="0.25">
      <c r="H314" s="278"/>
      <c r="I314" s="278"/>
      <c r="J314" s="278"/>
      <c r="K314" s="278"/>
    </row>
    <row r="315" spans="8:11" ht="13.2" x14ac:dyDescent="0.25">
      <c r="H315" s="278"/>
      <c r="I315" s="278"/>
      <c r="J315" s="278"/>
      <c r="K315" s="278"/>
    </row>
    <row r="316" spans="8:11" ht="13.2" x14ac:dyDescent="0.25">
      <c r="H316" s="278"/>
      <c r="I316" s="278"/>
      <c r="J316" s="278"/>
      <c r="K316" s="278"/>
    </row>
    <row r="317" spans="8:11" ht="13.2" x14ac:dyDescent="0.25">
      <c r="H317" s="278"/>
      <c r="I317" s="278"/>
      <c r="J317" s="278"/>
      <c r="K317" s="278"/>
    </row>
    <row r="318" spans="8:11" ht="13.2" x14ac:dyDescent="0.25">
      <c r="H318" s="278"/>
      <c r="I318" s="278"/>
      <c r="J318" s="278"/>
      <c r="K318" s="278"/>
    </row>
    <row r="319" spans="8:11" ht="13.2" x14ac:dyDescent="0.25">
      <c r="H319" s="278"/>
      <c r="I319" s="278"/>
      <c r="J319" s="278"/>
      <c r="K319" s="278"/>
    </row>
    <row r="320" spans="8:11" ht="13.2" x14ac:dyDescent="0.25">
      <c r="H320" s="278"/>
      <c r="I320" s="278"/>
      <c r="J320" s="278"/>
      <c r="K320" s="278"/>
    </row>
    <row r="321" spans="8:11" ht="13.2" x14ac:dyDescent="0.25">
      <c r="H321" s="278"/>
      <c r="I321" s="278"/>
      <c r="J321" s="278"/>
      <c r="K321" s="278"/>
    </row>
    <row r="322" spans="8:11" ht="13.2" x14ac:dyDescent="0.25">
      <c r="H322" s="278"/>
      <c r="I322" s="278"/>
      <c r="J322" s="278"/>
      <c r="K322" s="278"/>
    </row>
    <row r="323" spans="8:11" ht="13.2" x14ac:dyDescent="0.25">
      <c r="H323" s="278"/>
      <c r="I323" s="278"/>
      <c r="J323" s="278"/>
      <c r="K323" s="278"/>
    </row>
    <row r="324" spans="8:11" ht="13.2" x14ac:dyDescent="0.25">
      <c r="H324" s="278"/>
      <c r="I324" s="278"/>
      <c r="J324" s="278"/>
      <c r="K324" s="278"/>
    </row>
    <row r="325" spans="8:11" ht="13.2" x14ac:dyDescent="0.25">
      <c r="H325" s="278"/>
      <c r="I325" s="278"/>
      <c r="J325" s="278"/>
      <c r="K325" s="278"/>
    </row>
    <row r="326" spans="8:11" ht="13.2" x14ac:dyDescent="0.25">
      <c r="H326" s="278"/>
      <c r="I326" s="278"/>
      <c r="J326" s="278"/>
      <c r="K326" s="278"/>
    </row>
    <row r="327" spans="8:11" ht="13.2" x14ac:dyDescent="0.25">
      <c r="H327" s="278"/>
      <c r="I327" s="278"/>
      <c r="J327" s="278"/>
      <c r="K327" s="278"/>
    </row>
    <row r="328" spans="8:11" ht="13.2" x14ac:dyDescent="0.25">
      <c r="H328" s="278"/>
      <c r="I328" s="278"/>
      <c r="J328" s="278"/>
      <c r="K328" s="278"/>
    </row>
    <row r="329" spans="8:11" ht="13.2" x14ac:dyDescent="0.25">
      <c r="H329" s="278"/>
      <c r="I329" s="278"/>
      <c r="J329" s="278"/>
      <c r="K329" s="278"/>
    </row>
    <row r="330" spans="8:11" ht="13.2" x14ac:dyDescent="0.25">
      <c r="H330" s="278"/>
      <c r="I330" s="278"/>
      <c r="J330" s="278"/>
      <c r="K330" s="278"/>
    </row>
    <row r="331" spans="8:11" ht="13.2" x14ac:dyDescent="0.25">
      <c r="H331" s="278"/>
      <c r="I331" s="278"/>
      <c r="J331" s="278"/>
      <c r="K331" s="278"/>
    </row>
    <row r="332" spans="8:11" ht="13.2" x14ac:dyDescent="0.25">
      <c r="H332" s="278"/>
      <c r="I332" s="278"/>
      <c r="J332" s="278"/>
      <c r="K332" s="278"/>
    </row>
    <row r="333" spans="8:11" ht="13.2" x14ac:dyDescent="0.25">
      <c r="H333" s="278"/>
      <c r="I333" s="278"/>
      <c r="J333" s="278"/>
      <c r="K333" s="278"/>
    </row>
    <row r="334" spans="8:11" ht="13.2" x14ac:dyDescent="0.25">
      <c r="H334" s="278"/>
      <c r="I334" s="278"/>
      <c r="J334" s="278"/>
      <c r="K334" s="278"/>
    </row>
    <row r="335" spans="8:11" ht="13.2" x14ac:dyDescent="0.25">
      <c r="H335" s="278"/>
      <c r="I335" s="278"/>
      <c r="J335" s="278"/>
      <c r="K335" s="278"/>
    </row>
    <row r="336" spans="8:11" ht="13.2" x14ac:dyDescent="0.25">
      <c r="H336" s="278"/>
      <c r="I336" s="278"/>
      <c r="J336" s="278"/>
      <c r="K336" s="278"/>
    </row>
    <row r="337" spans="8:11" ht="13.2" x14ac:dyDescent="0.25">
      <c r="H337" s="278"/>
      <c r="I337" s="278"/>
      <c r="J337" s="278"/>
      <c r="K337" s="278"/>
    </row>
    <row r="338" spans="8:11" ht="13.2" x14ac:dyDescent="0.25">
      <c r="H338" s="278"/>
      <c r="I338" s="278"/>
      <c r="J338" s="278"/>
      <c r="K338" s="278"/>
    </row>
    <row r="339" spans="8:11" ht="13.2" x14ac:dyDescent="0.25">
      <c r="H339" s="278"/>
      <c r="I339" s="278"/>
      <c r="J339" s="278"/>
      <c r="K339" s="278"/>
    </row>
    <row r="340" spans="8:11" ht="13.2" x14ac:dyDescent="0.25">
      <c r="H340" s="278"/>
      <c r="I340" s="278"/>
      <c r="J340" s="278"/>
      <c r="K340" s="278"/>
    </row>
    <row r="341" spans="8:11" ht="13.2" x14ac:dyDescent="0.25">
      <c r="H341" s="278"/>
      <c r="I341" s="278"/>
      <c r="J341" s="278"/>
      <c r="K341" s="278"/>
    </row>
    <row r="342" spans="8:11" ht="13.2" x14ac:dyDescent="0.25">
      <c r="H342" s="278"/>
      <c r="I342" s="278"/>
      <c r="J342" s="278"/>
      <c r="K342" s="278"/>
    </row>
    <row r="343" spans="8:11" ht="13.2" x14ac:dyDescent="0.25">
      <c r="H343" s="278"/>
      <c r="I343" s="278"/>
      <c r="J343" s="278"/>
      <c r="K343" s="278"/>
    </row>
    <row r="344" spans="8:11" ht="13.2" x14ac:dyDescent="0.25">
      <c r="H344" s="278"/>
      <c r="I344" s="278"/>
      <c r="J344" s="278"/>
      <c r="K344" s="278"/>
    </row>
    <row r="345" spans="8:11" ht="13.2" x14ac:dyDescent="0.25">
      <c r="H345" s="278"/>
      <c r="I345" s="278"/>
      <c r="J345" s="278"/>
      <c r="K345" s="278"/>
    </row>
    <row r="346" spans="8:11" ht="13.2" x14ac:dyDescent="0.25">
      <c r="H346" s="278"/>
      <c r="I346" s="278"/>
      <c r="J346" s="278"/>
      <c r="K346" s="278"/>
    </row>
    <row r="347" spans="8:11" ht="13.2" x14ac:dyDescent="0.25">
      <c r="H347" s="278"/>
      <c r="I347" s="278"/>
      <c r="J347" s="278"/>
      <c r="K347" s="278"/>
    </row>
    <row r="348" spans="8:11" ht="13.2" x14ac:dyDescent="0.25">
      <c r="H348" s="278"/>
      <c r="I348" s="278"/>
      <c r="J348" s="278"/>
      <c r="K348" s="278"/>
    </row>
    <row r="349" spans="8:11" ht="13.2" x14ac:dyDescent="0.25">
      <c r="H349" s="278"/>
      <c r="I349" s="278"/>
      <c r="J349" s="278"/>
      <c r="K349" s="278"/>
    </row>
    <row r="350" spans="8:11" ht="13.2" x14ac:dyDescent="0.25">
      <c r="H350" s="278"/>
      <c r="I350" s="278"/>
      <c r="J350" s="278"/>
      <c r="K350" s="278"/>
    </row>
    <row r="351" spans="8:11" ht="13.2" x14ac:dyDescent="0.25">
      <c r="H351" s="278"/>
      <c r="I351" s="278"/>
      <c r="J351" s="278"/>
      <c r="K351" s="278"/>
    </row>
    <row r="352" spans="8:11" ht="13.2" x14ac:dyDescent="0.25">
      <c r="H352" s="278"/>
      <c r="I352" s="278"/>
      <c r="J352" s="278"/>
      <c r="K352" s="278"/>
    </row>
    <row r="353" spans="8:11" ht="13.2" x14ac:dyDescent="0.25">
      <c r="H353" s="278"/>
      <c r="I353" s="278"/>
      <c r="J353" s="278"/>
      <c r="K353" s="278"/>
    </row>
    <row r="354" spans="8:11" ht="13.2" x14ac:dyDescent="0.25">
      <c r="H354" s="278"/>
      <c r="I354" s="278"/>
      <c r="J354" s="278"/>
      <c r="K354" s="278"/>
    </row>
    <row r="355" spans="8:11" ht="13.2" x14ac:dyDescent="0.25">
      <c r="H355" s="278"/>
      <c r="I355" s="278"/>
      <c r="J355" s="278"/>
      <c r="K355" s="278"/>
    </row>
    <row r="356" spans="8:11" ht="13.2" x14ac:dyDescent="0.25">
      <c r="H356" s="278"/>
      <c r="I356" s="278"/>
      <c r="J356" s="278"/>
      <c r="K356" s="278"/>
    </row>
    <row r="357" spans="8:11" ht="13.2" x14ac:dyDescent="0.25">
      <c r="H357" s="278"/>
      <c r="I357" s="278"/>
      <c r="J357" s="278"/>
      <c r="K357" s="278"/>
    </row>
    <row r="358" spans="8:11" ht="13.2" x14ac:dyDescent="0.25">
      <c r="H358" s="278"/>
      <c r="I358" s="278"/>
      <c r="J358" s="278"/>
      <c r="K358" s="278"/>
    </row>
    <row r="359" spans="8:11" ht="13.2" x14ac:dyDescent="0.25">
      <c r="H359" s="278"/>
      <c r="I359" s="278"/>
      <c r="J359" s="278"/>
      <c r="K359" s="278"/>
    </row>
    <row r="360" spans="8:11" ht="13.2" x14ac:dyDescent="0.25">
      <c r="H360" s="278"/>
      <c r="I360" s="278"/>
      <c r="J360" s="278"/>
      <c r="K360" s="278"/>
    </row>
    <row r="361" spans="8:11" ht="13.2" x14ac:dyDescent="0.25">
      <c r="H361" s="278"/>
      <c r="I361" s="278"/>
      <c r="J361" s="278"/>
      <c r="K361" s="278"/>
    </row>
    <row r="362" spans="8:11" ht="13.2" x14ac:dyDescent="0.25">
      <c r="H362" s="278"/>
      <c r="I362" s="278"/>
      <c r="J362" s="278"/>
      <c r="K362" s="278"/>
    </row>
    <row r="363" spans="8:11" ht="13.2" x14ac:dyDescent="0.25">
      <c r="H363" s="278"/>
      <c r="I363" s="278"/>
      <c r="J363" s="278"/>
      <c r="K363" s="278"/>
    </row>
    <row r="364" spans="8:11" ht="13.2" x14ac:dyDescent="0.25">
      <c r="H364" s="278"/>
      <c r="I364" s="278"/>
      <c r="J364" s="278"/>
      <c r="K364" s="278"/>
    </row>
    <row r="365" spans="8:11" ht="13.2" x14ac:dyDescent="0.25">
      <c r="H365" s="278"/>
      <c r="I365" s="278"/>
      <c r="J365" s="278"/>
      <c r="K365" s="278"/>
    </row>
    <row r="366" spans="8:11" ht="13.2" x14ac:dyDescent="0.25">
      <c r="H366" s="278"/>
      <c r="I366" s="278"/>
      <c r="J366" s="278"/>
      <c r="K366" s="278"/>
    </row>
    <row r="367" spans="8:11" ht="13.2" x14ac:dyDescent="0.25">
      <c r="H367" s="278"/>
      <c r="I367" s="278"/>
      <c r="J367" s="278"/>
      <c r="K367" s="278"/>
    </row>
    <row r="368" spans="8:11" ht="13.2" x14ac:dyDescent="0.25">
      <c r="H368" s="278"/>
      <c r="I368" s="278"/>
      <c r="J368" s="278"/>
      <c r="K368" s="278"/>
    </row>
    <row r="369" spans="8:11" ht="13.2" x14ac:dyDescent="0.25">
      <c r="H369" s="278"/>
      <c r="I369" s="278"/>
      <c r="J369" s="278"/>
      <c r="K369" s="278"/>
    </row>
    <row r="370" spans="8:11" ht="13.2" x14ac:dyDescent="0.25">
      <c r="H370" s="278"/>
      <c r="I370" s="278"/>
      <c r="J370" s="278"/>
      <c r="K370" s="278"/>
    </row>
    <row r="371" spans="8:11" ht="13.2" x14ac:dyDescent="0.25">
      <c r="H371" s="278"/>
      <c r="I371" s="278"/>
      <c r="J371" s="278"/>
      <c r="K371" s="278"/>
    </row>
    <row r="372" spans="8:11" ht="13.2" x14ac:dyDescent="0.25">
      <c r="H372" s="278"/>
      <c r="I372" s="278"/>
      <c r="J372" s="278"/>
      <c r="K372" s="278"/>
    </row>
    <row r="373" spans="8:11" ht="13.2" x14ac:dyDescent="0.25">
      <c r="H373" s="278"/>
      <c r="I373" s="278"/>
      <c r="J373" s="278"/>
      <c r="K373" s="278"/>
    </row>
    <row r="374" spans="8:11" ht="13.2" x14ac:dyDescent="0.25">
      <c r="H374" s="278"/>
      <c r="I374" s="278"/>
      <c r="J374" s="278"/>
      <c r="K374" s="278"/>
    </row>
    <row r="375" spans="8:11" ht="13.2" x14ac:dyDescent="0.25">
      <c r="H375" s="278"/>
      <c r="I375" s="278"/>
      <c r="J375" s="278"/>
      <c r="K375" s="278"/>
    </row>
    <row r="376" spans="8:11" ht="13.2" x14ac:dyDescent="0.25">
      <c r="H376" s="278"/>
      <c r="I376" s="278"/>
      <c r="J376" s="278"/>
      <c r="K376" s="278"/>
    </row>
    <row r="377" spans="8:11" ht="13.2" x14ac:dyDescent="0.25">
      <c r="H377" s="278"/>
      <c r="I377" s="278"/>
      <c r="J377" s="278"/>
      <c r="K377" s="278"/>
    </row>
    <row r="378" spans="8:11" ht="13.2" x14ac:dyDescent="0.25">
      <c r="H378" s="278"/>
      <c r="I378" s="278"/>
      <c r="J378" s="278"/>
      <c r="K378" s="278"/>
    </row>
    <row r="379" spans="8:11" ht="13.2" x14ac:dyDescent="0.25">
      <c r="H379" s="278"/>
      <c r="I379" s="278"/>
      <c r="J379" s="278"/>
      <c r="K379" s="278"/>
    </row>
    <row r="380" spans="8:11" ht="13.2" x14ac:dyDescent="0.25">
      <c r="H380" s="278"/>
      <c r="I380" s="278"/>
      <c r="J380" s="278"/>
      <c r="K380" s="278"/>
    </row>
    <row r="381" spans="8:11" ht="13.2" x14ac:dyDescent="0.25">
      <c r="H381" s="278"/>
      <c r="I381" s="278"/>
      <c r="J381" s="278"/>
      <c r="K381" s="278"/>
    </row>
    <row r="382" spans="8:11" ht="13.2" x14ac:dyDescent="0.25">
      <c r="H382" s="278"/>
      <c r="I382" s="278"/>
      <c r="J382" s="278"/>
      <c r="K382" s="278"/>
    </row>
    <row r="383" spans="8:11" ht="13.2" x14ac:dyDescent="0.25">
      <c r="H383" s="278"/>
      <c r="I383" s="278"/>
      <c r="J383" s="278"/>
      <c r="K383" s="278"/>
    </row>
    <row r="384" spans="8:11" ht="13.2" x14ac:dyDescent="0.25">
      <c r="H384" s="278"/>
      <c r="I384" s="278"/>
      <c r="J384" s="278"/>
      <c r="K384" s="278"/>
    </row>
    <row r="385" spans="8:11" ht="13.2" x14ac:dyDescent="0.25">
      <c r="H385" s="278"/>
      <c r="I385" s="278"/>
      <c r="J385" s="278"/>
      <c r="K385" s="278"/>
    </row>
    <row r="386" spans="8:11" ht="13.2" x14ac:dyDescent="0.25">
      <c r="H386" s="278"/>
      <c r="I386" s="278"/>
      <c r="J386" s="278"/>
      <c r="K386" s="278"/>
    </row>
    <row r="387" spans="8:11" ht="13.2" x14ac:dyDescent="0.25">
      <c r="H387" s="278"/>
      <c r="I387" s="278"/>
      <c r="J387" s="278"/>
      <c r="K387" s="278"/>
    </row>
    <row r="388" spans="8:11" ht="13.2" x14ac:dyDescent="0.25">
      <c r="H388" s="278"/>
      <c r="I388" s="278"/>
      <c r="J388" s="278"/>
      <c r="K388" s="278"/>
    </row>
    <row r="389" spans="8:11" ht="13.2" x14ac:dyDescent="0.25">
      <c r="H389" s="278"/>
      <c r="I389" s="278"/>
      <c r="J389" s="278"/>
      <c r="K389" s="278"/>
    </row>
    <row r="390" spans="8:11" ht="13.2" x14ac:dyDescent="0.25">
      <c r="H390" s="278"/>
      <c r="I390" s="278"/>
      <c r="J390" s="278"/>
      <c r="K390" s="278"/>
    </row>
    <row r="391" spans="8:11" ht="13.2" x14ac:dyDescent="0.25">
      <c r="H391" s="278"/>
      <c r="I391" s="278"/>
      <c r="J391" s="278"/>
      <c r="K391" s="278"/>
    </row>
    <row r="392" spans="8:11" ht="13.2" x14ac:dyDescent="0.25">
      <c r="H392" s="278"/>
      <c r="I392" s="278"/>
      <c r="J392" s="278"/>
      <c r="K392" s="278"/>
    </row>
    <row r="393" spans="8:11" ht="13.2" x14ac:dyDescent="0.25">
      <c r="H393" s="278"/>
      <c r="I393" s="278"/>
      <c r="J393" s="278"/>
      <c r="K393" s="278"/>
    </row>
    <row r="394" spans="8:11" ht="13.2" x14ac:dyDescent="0.25">
      <c r="H394" s="278"/>
      <c r="I394" s="278"/>
      <c r="J394" s="278"/>
      <c r="K394" s="278"/>
    </row>
    <row r="395" spans="8:11" ht="13.2" x14ac:dyDescent="0.25">
      <c r="H395" s="278"/>
      <c r="I395" s="278"/>
      <c r="J395" s="278"/>
      <c r="K395" s="278"/>
    </row>
    <row r="396" spans="8:11" ht="13.2" x14ac:dyDescent="0.25">
      <c r="H396" s="278"/>
      <c r="I396" s="278"/>
      <c r="J396" s="278"/>
      <c r="K396" s="278"/>
    </row>
    <row r="397" spans="8:11" ht="13.2" x14ac:dyDescent="0.25">
      <c r="H397" s="278"/>
      <c r="I397" s="278"/>
      <c r="J397" s="278"/>
      <c r="K397" s="278"/>
    </row>
    <row r="398" spans="8:11" ht="13.2" x14ac:dyDescent="0.25">
      <c r="H398" s="278"/>
      <c r="I398" s="278"/>
      <c r="J398" s="278"/>
      <c r="K398" s="278"/>
    </row>
    <row r="399" spans="8:11" ht="13.2" x14ac:dyDescent="0.25">
      <c r="H399" s="278"/>
      <c r="I399" s="278"/>
      <c r="J399" s="278"/>
      <c r="K399" s="278"/>
    </row>
    <row r="400" spans="8:11" ht="13.2" x14ac:dyDescent="0.25">
      <c r="H400" s="278"/>
      <c r="I400" s="278"/>
      <c r="J400" s="278"/>
      <c r="K400" s="278"/>
    </row>
    <row r="401" spans="8:11" ht="13.2" x14ac:dyDescent="0.25">
      <c r="H401" s="278"/>
      <c r="I401" s="278"/>
      <c r="J401" s="278"/>
      <c r="K401" s="278"/>
    </row>
    <row r="402" spans="8:11" ht="13.2" x14ac:dyDescent="0.25">
      <c r="H402" s="278"/>
      <c r="I402" s="278"/>
      <c r="J402" s="278"/>
      <c r="K402" s="278"/>
    </row>
    <row r="403" spans="8:11" ht="13.2" x14ac:dyDescent="0.25">
      <c r="H403" s="278"/>
      <c r="I403" s="278"/>
      <c r="J403" s="278"/>
      <c r="K403" s="278"/>
    </row>
    <row r="404" spans="8:11" ht="13.2" x14ac:dyDescent="0.25">
      <c r="H404" s="278"/>
      <c r="I404" s="278"/>
      <c r="J404" s="278"/>
      <c r="K404" s="278"/>
    </row>
    <row r="405" spans="8:11" ht="13.2" x14ac:dyDescent="0.25">
      <c r="H405" s="278"/>
      <c r="I405" s="278"/>
      <c r="J405" s="278"/>
      <c r="K405" s="278"/>
    </row>
    <row r="406" spans="8:11" ht="13.2" x14ac:dyDescent="0.25">
      <c r="H406" s="278"/>
      <c r="I406" s="278"/>
      <c r="J406" s="278"/>
      <c r="K406" s="278"/>
    </row>
    <row r="407" spans="8:11" ht="13.2" x14ac:dyDescent="0.25">
      <c r="H407" s="278"/>
      <c r="I407" s="278"/>
      <c r="J407" s="278"/>
      <c r="K407" s="278"/>
    </row>
    <row r="408" spans="8:11" ht="13.2" x14ac:dyDescent="0.25">
      <c r="H408" s="278"/>
      <c r="I408" s="278"/>
      <c r="J408" s="278"/>
      <c r="K408" s="278"/>
    </row>
    <row r="409" spans="8:11" ht="13.2" x14ac:dyDescent="0.25">
      <c r="H409" s="278"/>
      <c r="I409" s="278"/>
      <c r="J409" s="278"/>
      <c r="K409" s="278"/>
    </row>
    <row r="410" spans="8:11" ht="13.2" x14ac:dyDescent="0.25">
      <c r="H410" s="278"/>
      <c r="I410" s="278"/>
      <c r="J410" s="278"/>
      <c r="K410" s="278"/>
    </row>
    <row r="411" spans="8:11" ht="13.2" x14ac:dyDescent="0.25">
      <c r="H411" s="278"/>
      <c r="I411" s="278"/>
      <c r="J411" s="278"/>
      <c r="K411" s="278"/>
    </row>
    <row r="412" spans="8:11" ht="13.2" x14ac:dyDescent="0.25">
      <c r="H412" s="278"/>
      <c r="I412" s="278"/>
      <c r="J412" s="278"/>
      <c r="K412" s="278"/>
    </row>
    <row r="413" spans="8:11" ht="13.2" x14ac:dyDescent="0.25">
      <c r="H413" s="278"/>
      <c r="I413" s="278"/>
      <c r="J413" s="278"/>
      <c r="K413" s="278"/>
    </row>
    <row r="414" spans="8:11" ht="13.2" x14ac:dyDescent="0.25">
      <c r="H414" s="278"/>
      <c r="I414" s="278"/>
      <c r="J414" s="278"/>
      <c r="K414" s="278"/>
    </row>
    <row r="415" spans="8:11" ht="13.2" x14ac:dyDescent="0.25">
      <c r="H415" s="278"/>
      <c r="I415" s="278"/>
      <c r="J415" s="278"/>
      <c r="K415" s="278"/>
    </row>
    <row r="416" spans="8:11" ht="13.2" x14ac:dyDescent="0.25">
      <c r="H416" s="278"/>
      <c r="I416" s="278"/>
      <c r="J416" s="278"/>
      <c r="K416" s="278"/>
    </row>
    <row r="417" spans="8:11" ht="13.2" x14ac:dyDescent="0.25">
      <c r="H417" s="278"/>
      <c r="I417" s="278"/>
      <c r="J417" s="278"/>
      <c r="K417" s="278"/>
    </row>
    <row r="418" spans="8:11" ht="13.2" x14ac:dyDescent="0.25">
      <c r="H418" s="278"/>
      <c r="I418" s="278"/>
      <c r="J418" s="278"/>
      <c r="K418" s="278"/>
    </row>
    <row r="419" spans="8:11" ht="13.2" x14ac:dyDescent="0.25">
      <c r="H419" s="278"/>
      <c r="I419" s="278"/>
      <c r="J419" s="278"/>
      <c r="K419" s="278"/>
    </row>
    <row r="420" spans="8:11" ht="13.2" x14ac:dyDescent="0.25">
      <c r="H420" s="278"/>
      <c r="I420" s="278"/>
      <c r="J420" s="278"/>
      <c r="K420" s="278"/>
    </row>
    <row r="421" spans="8:11" ht="13.2" x14ac:dyDescent="0.25">
      <c r="H421" s="278"/>
      <c r="I421" s="278"/>
      <c r="J421" s="278"/>
      <c r="K421" s="278"/>
    </row>
    <row r="422" spans="8:11" ht="13.2" x14ac:dyDescent="0.25">
      <c r="H422" s="278"/>
      <c r="I422" s="278"/>
      <c r="J422" s="278"/>
      <c r="K422" s="278"/>
    </row>
    <row r="423" spans="8:11" ht="13.2" x14ac:dyDescent="0.25">
      <c r="H423" s="278"/>
      <c r="I423" s="278"/>
      <c r="J423" s="278"/>
      <c r="K423" s="278"/>
    </row>
    <row r="424" spans="8:11" ht="13.2" x14ac:dyDescent="0.25">
      <c r="H424" s="278"/>
      <c r="I424" s="278"/>
      <c r="J424" s="278"/>
      <c r="K424" s="278"/>
    </row>
    <row r="425" spans="8:11" ht="13.2" x14ac:dyDescent="0.25">
      <c r="H425" s="278"/>
      <c r="I425" s="278"/>
      <c r="J425" s="278"/>
      <c r="K425" s="278"/>
    </row>
    <row r="426" spans="8:11" ht="13.2" x14ac:dyDescent="0.25">
      <c r="H426" s="278"/>
      <c r="I426" s="278"/>
      <c r="J426" s="278"/>
      <c r="K426" s="278"/>
    </row>
    <row r="427" spans="8:11" ht="13.2" x14ac:dyDescent="0.25">
      <c r="H427" s="278"/>
      <c r="I427" s="278"/>
      <c r="J427" s="278"/>
      <c r="K427" s="278"/>
    </row>
    <row r="428" spans="8:11" ht="13.2" x14ac:dyDescent="0.25">
      <c r="H428" s="278"/>
      <c r="I428" s="278"/>
      <c r="J428" s="278"/>
      <c r="K428" s="278"/>
    </row>
    <row r="429" spans="8:11" ht="13.2" x14ac:dyDescent="0.25">
      <c r="H429" s="278"/>
      <c r="I429" s="278"/>
      <c r="J429" s="278"/>
      <c r="K429" s="278"/>
    </row>
    <row r="430" spans="8:11" ht="13.2" x14ac:dyDescent="0.25">
      <c r="H430" s="278"/>
      <c r="I430" s="278"/>
      <c r="J430" s="278"/>
      <c r="K430" s="278"/>
    </row>
    <row r="431" spans="8:11" ht="13.2" x14ac:dyDescent="0.25">
      <c r="H431" s="278"/>
      <c r="I431" s="278"/>
      <c r="J431" s="278"/>
      <c r="K431" s="278"/>
    </row>
    <row r="432" spans="8:11" ht="13.2" x14ac:dyDescent="0.25">
      <c r="H432" s="278"/>
      <c r="I432" s="278"/>
      <c r="J432" s="278"/>
      <c r="K432" s="278"/>
    </row>
    <row r="433" spans="8:11" ht="13.2" x14ac:dyDescent="0.25">
      <c r="H433" s="278"/>
      <c r="I433" s="278"/>
      <c r="J433" s="278"/>
      <c r="K433" s="278"/>
    </row>
    <row r="434" spans="8:11" ht="13.2" x14ac:dyDescent="0.25">
      <c r="H434" s="278"/>
      <c r="I434" s="278"/>
      <c r="J434" s="278"/>
      <c r="K434" s="278"/>
    </row>
    <row r="435" spans="8:11" ht="13.2" x14ac:dyDescent="0.25">
      <c r="H435" s="278"/>
      <c r="I435" s="278"/>
      <c r="J435" s="278"/>
      <c r="K435" s="278"/>
    </row>
    <row r="436" spans="8:11" ht="13.2" x14ac:dyDescent="0.25">
      <c r="H436" s="278"/>
      <c r="I436" s="278"/>
      <c r="J436" s="278"/>
      <c r="K436" s="278"/>
    </row>
    <row r="437" spans="8:11" ht="13.2" x14ac:dyDescent="0.25">
      <c r="H437" s="278"/>
      <c r="I437" s="278"/>
      <c r="J437" s="278"/>
      <c r="K437" s="278"/>
    </row>
    <row r="438" spans="8:11" ht="13.2" x14ac:dyDescent="0.25">
      <c r="H438" s="278"/>
      <c r="I438" s="278"/>
      <c r="J438" s="278"/>
      <c r="K438" s="278"/>
    </row>
    <row r="439" spans="8:11" ht="13.2" x14ac:dyDescent="0.25">
      <c r="H439" s="278"/>
      <c r="I439" s="278"/>
      <c r="J439" s="278"/>
      <c r="K439" s="278"/>
    </row>
    <row r="440" spans="8:11" ht="13.2" x14ac:dyDescent="0.25">
      <c r="H440" s="278"/>
      <c r="I440" s="278"/>
      <c r="J440" s="278"/>
      <c r="K440" s="278"/>
    </row>
    <row r="441" spans="8:11" ht="13.2" x14ac:dyDescent="0.25">
      <c r="H441" s="278"/>
      <c r="I441" s="278"/>
      <c r="J441" s="278"/>
      <c r="K441" s="278"/>
    </row>
    <row r="442" spans="8:11" ht="13.2" x14ac:dyDescent="0.25">
      <c r="H442" s="278"/>
      <c r="I442" s="278"/>
      <c r="J442" s="278"/>
      <c r="K442" s="278"/>
    </row>
    <row r="443" spans="8:11" ht="13.2" x14ac:dyDescent="0.25">
      <c r="H443" s="278"/>
      <c r="I443" s="278"/>
      <c r="J443" s="278"/>
      <c r="K443" s="278"/>
    </row>
    <row r="444" spans="8:11" ht="13.2" x14ac:dyDescent="0.25">
      <c r="H444" s="278"/>
      <c r="I444" s="278"/>
      <c r="J444" s="278"/>
      <c r="K444" s="278"/>
    </row>
    <row r="445" spans="8:11" ht="13.2" x14ac:dyDescent="0.25">
      <c r="H445" s="278"/>
      <c r="I445" s="278"/>
      <c r="J445" s="278"/>
      <c r="K445" s="278"/>
    </row>
    <row r="446" spans="8:11" ht="13.2" x14ac:dyDescent="0.25">
      <c r="H446" s="278"/>
      <c r="I446" s="278"/>
      <c r="J446" s="278"/>
      <c r="K446" s="278"/>
    </row>
    <row r="447" spans="8:11" ht="13.2" x14ac:dyDescent="0.25">
      <c r="H447" s="278"/>
      <c r="I447" s="278"/>
      <c r="J447" s="278"/>
      <c r="K447" s="278"/>
    </row>
    <row r="448" spans="8:11" ht="13.2" x14ac:dyDescent="0.25">
      <c r="H448" s="278"/>
      <c r="I448" s="278"/>
      <c r="J448" s="278"/>
      <c r="K448" s="278"/>
    </row>
    <row r="449" spans="8:11" ht="13.2" x14ac:dyDescent="0.25">
      <c r="H449" s="278"/>
      <c r="I449" s="278"/>
      <c r="J449" s="278"/>
      <c r="K449" s="278"/>
    </row>
    <row r="450" spans="8:11" ht="13.2" x14ac:dyDescent="0.25">
      <c r="H450" s="278"/>
      <c r="I450" s="278"/>
      <c r="J450" s="278"/>
      <c r="K450" s="278"/>
    </row>
    <row r="451" spans="8:11" ht="13.2" x14ac:dyDescent="0.25">
      <c r="H451" s="278"/>
      <c r="I451" s="278"/>
      <c r="J451" s="278"/>
      <c r="K451" s="278"/>
    </row>
    <row r="452" spans="8:11" ht="13.2" x14ac:dyDescent="0.25">
      <c r="H452" s="278"/>
      <c r="I452" s="278"/>
      <c r="J452" s="278"/>
      <c r="K452" s="278"/>
    </row>
    <row r="453" spans="8:11" ht="13.2" x14ac:dyDescent="0.25">
      <c r="H453" s="278"/>
      <c r="I453" s="278"/>
      <c r="J453" s="278"/>
      <c r="K453" s="278"/>
    </row>
    <row r="454" spans="8:11" ht="13.2" x14ac:dyDescent="0.25">
      <c r="H454" s="278"/>
      <c r="I454" s="278"/>
      <c r="J454" s="278"/>
      <c r="K454" s="278"/>
    </row>
    <row r="455" spans="8:11" ht="13.2" x14ac:dyDescent="0.25">
      <c r="H455" s="278"/>
      <c r="I455" s="278"/>
      <c r="J455" s="278"/>
      <c r="K455" s="278"/>
    </row>
    <row r="456" spans="8:11" ht="13.2" x14ac:dyDescent="0.25">
      <c r="H456" s="278"/>
      <c r="I456" s="278"/>
      <c r="J456" s="278"/>
      <c r="K456" s="278"/>
    </row>
    <row r="457" spans="8:11" ht="13.2" x14ac:dyDescent="0.25">
      <c r="H457" s="278"/>
      <c r="I457" s="278"/>
      <c r="J457" s="278"/>
      <c r="K457" s="278"/>
    </row>
    <row r="458" spans="8:11" ht="13.2" x14ac:dyDescent="0.25">
      <c r="H458" s="278"/>
      <c r="I458" s="278"/>
      <c r="J458" s="278"/>
      <c r="K458" s="278"/>
    </row>
    <row r="459" spans="8:11" ht="13.2" x14ac:dyDescent="0.25">
      <c r="H459" s="278"/>
      <c r="I459" s="278"/>
      <c r="J459" s="278"/>
      <c r="K459" s="278"/>
    </row>
    <row r="460" spans="8:11" ht="13.2" x14ac:dyDescent="0.25">
      <c r="H460" s="278"/>
      <c r="I460" s="278"/>
      <c r="J460" s="278"/>
      <c r="K460" s="278"/>
    </row>
    <row r="461" spans="8:11" ht="13.2" x14ac:dyDescent="0.25">
      <c r="H461" s="278"/>
      <c r="I461" s="278"/>
      <c r="J461" s="278"/>
      <c r="K461" s="278"/>
    </row>
    <row r="462" spans="8:11" ht="13.2" x14ac:dyDescent="0.25">
      <c r="H462" s="278"/>
      <c r="I462" s="278"/>
      <c r="J462" s="278"/>
      <c r="K462" s="278"/>
    </row>
    <row r="463" spans="8:11" ht="13.2" x14ac:dyDescent="0.25">
      <c r="H463" s="278"/>
      <c r="I463" s="278"/>
      <c r="J463" s="278"/>
      <c r="K463" s="278"/>
    </row>
    <row r="464" spans="8:11" ht="13.2" x14ac:dyDescent="0.25">
      <c r="H464" s="278"/>
      <c r="I464" s="278"/>
      <c r="J464" s="278"/>
      <c r="K464" s="278"/>
    </row>
    <row r="465" spans="8:11" ht="13.2" x14ac:dyDescent="0.25">
      <c r="H465" s="278"/>
      <c r="I465" s="278"/>
      <c r="J465" s="278"/>
      <c r="K465" s="278"/>
    </row>
    <row r="466" spans="8:11" ht="13.2" x14ac:dyDescent="0.25">
      <c r="H466" s="278"/>
      <c r="I466" s="278"/>
      <c r="J466" s="278"/>
      <c r="K466" s="278"/>
    </row>
    <row r="467" spans="8:11" ht="13.2" x14ac:dyDescent="0.25">
      <c r="H467" s="278"/>
      <c r="I467" s="278"/>
      <c r="J467" s="278"/>
      <c r="K467" s="278"/>
    </row>
    <row r="468" spans="8:11" ht="13.2" x14ac:dyDescent="0.25">
      <c r="H468" s="278"/>
      <c r="I468" s="278"/>
      <c r="J468" s="278"/>
      <c r="K468" s="278"/>
    </row>
    <row r="469" spans="8:11" ht="13.2" x14ac:dyDescent="0.25">
      <c r="H469" s="278"/>
      <c r="I469" s="278"/>
      <c r="J469" s="278"/>
      <c r="K469" s="278"/>
    </row>
    <row r="470" spans="8:11" ht="13.2" x14ac:dyDescent="0.25">
      <c r="H470" s="278"/>
      <c r="I470" s="278"/>
      <c r="J470" s="278"/>
      <c r="K470" s="278"/>
    </row>
    <row r="471" spans="8:11" ht="13.2" x14ac:dyDescent="0.25">
      <c r="H471" s="278"/>
      <c r="I471" s="278"/>
      <c r="J471" s="278"/>
      <c r="K471" s="278"/>
    </row>
    <row r="472" spans="8:11" ht="13.2" x14ac:dyDescent="0.25">
      <c r="H472" s="278"/>
      <c r="I472" s="278"/>
      <c r="J472" s="278"/>
      <c r="K472" s="278"/>
    </row>
    <row r="473" spans="8:11" ht="13.2" x14ac:dyDescent="0.25">
      <c r="H473" s="278"/>
      <c r="I473" s="278"/>
      <c r="J473" s="278"/>
      <c r="K473" s="278"/>
    </row>
    <row r="474" spans="8:11" ht="13.2" x14ac:dyDescent="0.25">
      <c r="H474" s="278"/>
      <c r="I474" s="278"/>
      <c r="J474" s="278"/>
      <c r="K474" s="278"/>
    </row>
    <row r="475" spans="8:11" ht="13.2" x14ac:dyDescent="0.25">
      <c r="H475" s="278"/>
      <c r="I475" s="278"/>
      <c r="J475" s="278"/>
      <c r="K475" s="278"/>
    </row>
    <row r="476" spans="8:11" ht="13.2" x14ac:dyDescent="0.25">
      <c r="H476" s="278"/>
      <c r="I476" s="278"/>
      <c r="J476" s="278"/>
      <c r="K476" s="278"/>
    </row>
    <row r="477" spans="8:11" ht="13.2" x14ac:dyDescent="0.25">
      <c r="H477" s="278"/>
      <c r="I477" s="278"/>
      <c r="J477" s="278"/>
      <c r="K477" s="278"/>
    </row>
    <row r="478" spans="8:11" ht="13.2" x14ac:dyDescent="0.25">
      <c r="H478" s="278"/>
      <c r="I478" s="278"/>
      <c r="J478" s="278"/>
      <c r="K478" s="278"/>
    </row>
    <row r="479" spans="8:11" ht="13.2" x14ac:dyDescent="0.25">
      <c r="H479" s="278"/>
      <c r="I479" s="278"/>
      <c r="J479" s="278"/>
      <c r="K479" s="278"/>
    </row>
    <row r="480" spans="8:11" ht="13.2" x14ac:dyDescent="0.25">
      <c r="H480" s="278"/>
      <c r="I480" s="278"/>
      <c r="J480" s="278"/>
      <c r="K480" s="278"/>
    </row>
    <row r="481" spans="8:11" ht="13.2" x14ac:dyDescent="0.25">
      <c r="H481" s="278"/>
      <c r="I481" s="278"/>
      <c r="J481" s="278"/>
      <c r="K481" s="278"/>
    </row>
    <row r="482" spans="8:11" ht="13.2" x14ac:dyDescent="0.25">
      <c r="H482" s="278"/>
      <c r="I482" s="278"/>
      <c r="J482" s="278"/>
      <c r="K482" s="278"/>
    </row>
    <row r="483" spans="8:11" ht="13.2" x14ac:dyDescent="0.25">
      <c r="H483" s="278"/>
      <c r="I483" s="278"/>
      <c r="J483" s="278"/>
      <c r="K483" s="278"/>
    </row>
    <row r="484" spans="8:11" ht="13.2" x14ac:dyDescent="0.25">
      <c r="H484" s="278"/>
      <c r="I484" s="278"/>
      <c r="J484" s="278"/>
      <c r="K484" s="278"/>
    </row>
    <row r="485" spans="8:11" ht="13.2" x14ac:dyDescent="0.25">
      <c r="H485" s="278"/>
      <c r="I485" s="278"/>
      <c r="J485" s="278"/>
      <c r="K485" s="278"/>
    </row>
    <row r="486" spans="8:11" ht="13.2" x14ac:dyDescent="0.25">
      <c r="H486" s="278"/>
      <c r="I486" s="278"/>
      <c r="J486" s="278"/>
      <c r="K486" s="278"/>
    </row>
    <row r="487" spans="8:11" ht="13.2" x14ac:dyDescent="0.25">
      <c r="H487" s="278"/>
      <c r="I487" s="278"/>
      <c r="J487" s="278"/>
      <c r="K487" s="278"/>
    </row>
    <row r="488" spans="8:11" ht="13.2" x14ac:dyDescent="0.25">
      <c r="H488" s="278"/>
      <c r="I488" s="278"/>
      <c r="J488" s="278"/>
      <c r="K488" s="278"/>
    </row>
    <row r="489" spans="8:11" ht="13.2" x14ac:dyDescent="0.25">
      <c r="H489" s="278"/>
      <c r="I489" s="278"/>
      <c r="J489" s="278"/>
      <c r="K489" s="278"/>
    </row>
    <row r="490" spans="8:11" ht="13.2" x14ac:dyDescent="0.25">
      <c r="H490" s="278"/>
      <c r="I490" s="278"/>
      <c r="J490" s="278"/>
      <c r="K490" s="278"/>
    </row>
    <row r="491" spans="8:11" ht="13.2" x14ac:dyDescent="0.25">
      <c r="H491" s="278"/>
      <c r="I491" s="278"/>
      <c r="J491" s="278"/>
      <c r="K491" s="278"/>
    </row>
    <row r="492" spans="8:11" ht="13.2" x14ac:dyDescent="0.25">
      <c r="H492" s="278"/>
      <c r="I492" s="278"/>
      <c r="J492" s="278"/>
      <c r="K492" s="278"/>
    </row>
    <row r="493" spans="8:11" ht="13.2" x14ac:dyDescent="0.25">
      <c r="H493" s="278"/>
      <c r="I493" s="278"/>
      <c r="J493" s="278"/>
      <c r="K493" s="278"/>
    </row>
    <row r="494" spans="8:11" ht="13.2" x14ac:dyDescent="0.25">
      <c r="H494" s="278"/>
      <c r="I494" s="278"/>
      <c r="J494" s="278"/>
      <c r="K494" s="278"/>
    </row>
    <row r="495" spans="8:11" ht="13.2" x14ac:dyDescent="0.25">
      <c r="H495" s="278"/>
      <c r="I495" s="278"/>
      <c r="J495" s="278"/>
      <c r="K495" s="278"/>
    </row>
    <row r="496" spans="8:11" ht="13.2" x14ac:dyDescent="0.25">
      <c r="H496" s="278"/>
      <c r="I496" s="278"/>
      <c r="J496" s="278"/>
      <c r="K496" s="278"/>
    </row>
    <row r="497" spans="8:11" ht="13.2" x14ac:dyDescent="0.25">
      <c r="H497" s="278"/>
      <c r="I497" s="278"/>
      <c r="J497" s="278"/>
      <c r="K497" s="278"/>
    </row>
    <row r="498" spans="8:11" ht="13.2" x14ac:dyDescent="0.25">
      <c r="H498" s="278"/>
      <c r="I498" s="278"/>
      <c r="J498" s="278"/>
      <c r="K498" s="278"/>
    </row>
    <row r="499" spans="8:11" ht="13.2" x14ac:dyDescent="0.25">
      <c r="H499" s="278"/>
      <c r="I499" s="278"/>
      <c r="J499" s="278"/>
      <c r="K499" s="278"/>
    </row>
    <row r="500" spans="8:11" ht="13.2" x14ac:dyDescent="0.25">
      <c r="H500" s="278"/>
      <c r="I500" s="278"/>
      <c r="J500" s="278"/>
      <c r="K500" s="278"/>
    </row>
    <row r="501" spans="8:11" ht="13.2" x14ac:dyDescent="0.25">
      <c r="H501" s="278"/>
      <c r="I501" s="278"/>
      <c r="J501" s="278"/>
      <c r="K501" s="278"/>
    </row>
    <row r="502" spans="8:11" ht="13.2" x14ac:dyDescent="0.25">
      <c r="H502" s="278"/>
      <c r="I502" s="278"/>
      <c r="J502" s="278"/>
      <c r="K502" s="278"/>
    </row>
    <row r="503" spans="8:11" ht="13.2" x14ac:dyDescent="0.25">
      <c r="H503" s="278"/>
      <c r="I503" s="278"/>
      <c r="J503" s="278"/>
      <c r="K503" s="278"/>
    </row>
    <row r="504" spans="8:11" ht="13.2" x14ac:dyDescent="0.25">
      <c r="H504" s="278"/>
      <c r="I504" s="278"/>
      <c r="J504" s="278"/>
      <c r="K504" s="278"/>
    </row>
    <row r="505" spans="8:11" ht="13.2" x14ac:dyDescent="0.25">
      <c r="H505" s="278"/>
      <c r="I505" s="278"/>
      <c r="J505" s="278"/>
      <c r="K505" s="278"/>
    </row>
    <row r="506" spans="8:11" ht="13.2" x14ac:dyDescent="0.25">
      <c r="H506" s="278"/>
      <c r="I506" s="278"/>
      <c r="J506" s="278"/>
      <c r="K506" s="278"/>
    </row>
    <row r="507" spans="8:11" ht="13.2" x14ac:dyDescent="0.25">
      <c r="H507" s="278"/>
      <c r="I507" s="278"/>
      <c r="J507" s="278"/>
      <c r="K507" s="278"/>
    </row>
    <row r="508" spans="8:11" ht="13.2" x14ac:dyDescent="0.25">
      <c r="H508" s="278"/>
      <c r="I508" s="278"/>
      <c r="J508" s="278"/>
      <c r="K508" s="278"/>
    </row>
    <row r="509" spans="8:11" ht="13.2" x14ac:dyDescent="0.25">
      <c r="H509" s="278"/>
      <c r="I509" s="278"/>
      <c r="J509" s="278"/>
      <c r="K509" s="278"/>
    </row>
    <row r="510" spans="8:11" ht="13.2" x14ac:dyDescent="0.25">
      <c r="H510" s="278"/>
      <c r="I510" s="278"/>
      <c r="J510" s="278"/>
      <c r="K510" s="278"/>
    </row>
    <row r="511" spans="8:11" ht="13.2" x14ac:dyDescent="0.25">
      <c r="H511" s="278"/>
      <c r="I511" s="278"/>
      <c r="J511" s="278"/>
      <c r="K511" s="278"/>
    </row>
    <row r="512" spans="8:11" ht="13.2" x14ac:dyDescent="0.25">
      <c r="H512" s="278"/>
      <c r="I512" s="278"/>
      <c r="J512" s="278"/>
      <c r="K512" s="278"/>
    </row>
    <row r="513" spans="8:11" ht="13.2" x14ac:dyDescent="0.25">
      <c r="H513" s="278"/>
      <c r="I513" s="278"/>
      <c r="J513" s="278"/>
      <c r="K513" s="278"/>
    </row>
    <row r="514" spans="8:11" ht="13.2" x14ac:dyDescent="0.25">
      <c r="H514" s="278"/>
      <c r="I514" s="278"/>
      <c r="J514" s="278"/>
      <c r="K514" s="278"/>
    </row>
    <row r="515" spans="8:11" ht="13.2" x14ac:dyDescent="0.25">
      <c r="H515" s="278"/>
      <c r="I515" s="278"/>
      <c r="J515" s="278"/>
      <c r="K515" s="278"/>
    </row>
    <row r="516" spans="8:11" ht="13.2" x14ac:dyDescent="0.25">
      <c r="H516" s="278"/>
      <c r="I516" s="278"/>
      <c r="J516" s="278"/>
      <c r="K516" s="278"/>
    </row>
    <row r="517" spans="8:11" ht="13.2" x14ac:dyDescent="0.25">
      <c r="H517" s="278"/>
      <c r="I517" s="278"/>
      <c r="J517" s="278"/>
      <c r="K517" s="278"/>
    </row>
    <row r="518" spans="8:11" ht="13.2" x14ac:dyDescent="0.25">
      <c r="H518" s="278"/>
      <c r="I518" s="278"/>
      <c r="J518" s="278"/>
      <c r="K518" s="278"/>
    </row>
    <row r="519" spans="8:11" ht="13.2" x14ac:dyDescent="0.25">
      <c r="H519" s="278"/>
      <c r="I519" s="278"/>
      <c r="J519" s="278"/>
      <c r="K519" s="278"/>
    </row>
    <row r="520" spans="8:11" ht="13.2" x14ac:dyDescent="0.25">
      <c r="H520" s="278"/>
      <c r="I520" s="278"/>
      <c r="J520" s="278"/>
      <c r="K520" s="278"/>
    </row>
    <row r="521" spans="8:11" ht="13.2" x14ac:dyDescent="0.25">
      <c r="H521" s="278"/>
      <c r="I521" s="278"/>
      <c r="J521" s="278"/>
      <c r="K521" s="278"/>
    </row>
    <row r="522" spans="8:11" ht="13.2" x14ac:dyDescent="0.25">
      <c r="H522" s="278"/>
      <c r="I522" s="278"/>
      <c r="J522" s="278"/>
      <c r="K522" s="278"/>
    </row>
    <row r="523" spans="8:11" ht="13.2" x14ac:dyDescent="0.25">
      <c r="H523" s="278"/>
      <c r="I523" s="278"/>
      <c r="J523" s="278"/>
      <c r="K523" s="278"/>
    </row>
    <row r="524" spans="8:11" ht="13.2" x14ac:dyDescent="0.25">
      <c r="H524" s="278"/>
      <c r="I524" s="278"/>
      <c r="J524" s="278"/>
      <c r="K524" s="278"/>
    </row>
    <row r="525" spans="8:11" ht="13.2" x14ac:dyDescent="0.25">
      <c r="H525" s="278"/>
      <c r="I525" s="278"/>
      <c r="J525" s="278"/>
      <c r="K525" s="278"/>
    </row>
    <row r="526" spans="8:11" ht="13.2" x14ac:dyDescent="0.25">
      <c r="H526" s="278"/>
      <c r="I526" s="278"/>
      <c r="J526" s="278"/>
      <c r="K526" s="278"/>
    </row>
    <row r="527" spans="8:11" ht="13.2" x14ac:dyDescent="0.25">
      <c r="H527" s="278"/>
      <c r="I527" s="278"/>
      <c r="J527" s="278"/>
      <c r="K527" s="278"/>
    </row>
    <row r="528" spans="8:11" ht="13.2" x14ac:dyDescent="0.25">
      <c r="H528" s="278"/>
      <c r="I528" s="278"/>
      <c r="J528" s="278"/>
      <c r="K528" s="278"/>
    </row>
    <row r="529" spans="8:11" ht="13.2" x14ac:dyDescent="0.25">
      <c r="H529" s="278"/>
      <c r="I529" s="278"/>
      <c r="J529" s="278"/>
      <c r="K529" s="278"/>
    </row>
    <row r="530" spans="8:11" ht="13.2" x14ac:dyDescent="0.25">
      <c r="H530" s="278"/>
      <c r="I530" s="278"/>
      <c r="J530" s="278"/>
      <c r="K530" s="278"/>
    </row>
    <row r="531" spans="8:11" ht="13.2" x14ac:dyDescent="0.25">
      <c r="H531" s="278"/>
      <c r="I531" s="278"/>
      <c r="J531" s="278"/>
      <c r="K531" s="278"/>
    </row>
    <row r="532" spans="8:11" ht="13.2" x14ac:dyDescent="0.25">
      <c r="H532" s="278"/>
      <c r="I532" s="278"/>
      <c r="J532" s="278"/>
      <c r="K532" s="278"/>
    </row>
    <row r="533" spans="8:11" ht="13.2" x14ac:dyDescent="0.25">
      <c r="H533" s="278"/>
      <c r="I533" s="278"/>
      <c r="J533" s="278"/>
      <c r="K533" s="278"/>
    </row>
    <row r="534" spans="8:11" ht="13.2" x14ac:dyDescent="0.25">
      <c r="H534" s="278"/>
      <c r="I534" s="278"/>
      <c r="J534" s="278"/>
      <c r="K534" s="278"/>
    </row>
    <row r="535" spans="8:11" ht="13.2" x14ac:dyDescent="0.25">
      <c r="H535" s="278"/>
      <c r="I535" s="278"/>
      <c r="J535" s="278"/>
      <c r="K535" s="278"/>
    </row>
    <row r="536" spans="8:11" ht="13.2" x14ac:dyDescent="0.25">
      <c r="H536" s="278"/>
      <c r="I536" s="278"/>
      <c r="J536" s="278"/>
      <c r="K536" s="278"/>
    </row>
    <row r="537" spans="8:11" ht="13.2" x14ac:dyDescent="0.25">
      <c r="H537" s="278"/>
      <c r="I537" s="278"/>
      <c r="J537" s="278"/>
      <c r="K537" s="278"/>
    </row>
    <row r="538" spans="8:11" ht="13.2" x14ac:dyDescent="0.25">
      <c r="H538" s="278"/>
      <c r="I538" s="278"/>
      <c r="J538" s="278"/>
      <c r="K538" s="278"/>
    </row>
    <row r="539" spans="8:11" ht="13.2" x14ac:dyDescent="0.25">
      <c r="H539" s="278"/>
      <c r="I539" s="278"/>
      <c r="J539" s="278"/>
      <c r="K539" s="278"/>
    </row>
    <row r="540" spans="8:11" ht="13.2" x14ac:dyDescent="0.25">
      <c r="H540" s="278"/>
      <c r="I540" s="278"/>
      <c r="J540" s="278"/>
      <c r="K540" s="278"/>
    </row>
    <row r="541" spans="8:11" ht="13.2" x14ac:dyDescent="0.25">
      <c r="H541" s="278"/>
      <c r="I541" s="278"/>
      <c r="J541" s="278"/>
      <c r="K541" s="278"/>
    </row>
    <row r="542" spans="8:11" ht="13.2" x14ac:dyDescent="0.25">
      <c r="H542" s="278"/>
      <c r="I542" s="278"/>
      <c r="J542" s="278"/>
      <c r="K542" s="278"/>
    </row>
    <row r="543" spans="8:11" ht="13.2" x14ac:dyDescent="0.25">
      <c r="H543" s="278"/>
      <c r="I543" s="278"/>
      <c r="J543" s="278"/>
      <c r="K543" s="278"/>
    </row>
    <row r="544" spans="8:11" ht="13.2" x14ac:dyDescent="0.25">
      <c r="H544" s="278"/>
      <c r="I544" s="278"/>
      <c r="J544" s="278"/>
      <c r="K544" s="278"/>
    </row>
    <row r="545" spans="8:11" ht="13.2" x14ac:dyDescent="0.25">
      <c r="H545" s="278"/>
      <c r="I545" s="278"/>
      <c r="J545" s="278"/>
      <c r="K545" s="278"/>
    </row>
    <row r="546" spans="8:11" ht="13.2" x14ac:dyDescent="0.25">
      <c r="H546" s="278"/>
      <c r="I546" s="278"/>
      <c r="J546" s="278"/>
      <c r="K546" s="278"/>
    </row>
    <row r="547" spans="8:11" ht="13.2" x14ac:dyDescent="0.25">
      <c r="H547" s="278"/>
      <c r="I547" s="278"/>
      <c r="J547" s="278"/>
      <c r="K547" s="278"/>
    </row>
    <row r="548" spans="8:11" ht="13.2" x14ac:dyDescent="0.25">
      <c r="H548" s="278"/>
      <c r="I548" s="278"/>
      <c r="J548" s="278"/>
      <c r="K548" s="278"/>
    </row>
    <row r="549" spans="8:11" ht="13.2" x14ac:dyDescent="0.25">
      <c r="H549" s="278"/>
      <c r="I549" s="278"/>
      <c r="J549" s="278"/>
      <c r="K549" s="278"/>
    </row>
    <row r="550" spans="8:11" ht="13.2" x14ac:dyDescent="0.25">
      <c r="H550" s="278"/>
      <c r="I550" s="278"/>
      <c r="J550" s="278"/>
      <c r="K550" s="278"/>
    </row>
    <row r="551" spans="8:11" ht="13.2" x14ac:dyDescent="0.25">
      <c r="H551" s="278"/>
      <c r="I551" s="278"/>
      <c r="J551" s="278"/>
      <c r="K551" s="278"/>
    </row>
    <row r="552" spans="8:11" ht="13.2" x14ac:dyDescent="0.25">
      <c r="H552" s="278"/>
      <c r="I552" s="278"/>
      <c r="J552" s="278"/>
      <c r="K552" s="278"/>
    </row>
    <row r="553" spans="8:11" ht="13.2" x14ac:dyDescent="0.25">
      <c r="H553" s="278"/>
      <c r="I553" s="278"/>
      <c r="J553" s="278"/>
      <c r="K553" s="278"/>
    </row>
    <row r="554" spans="8:11" ht="13.2" x14ac:dyDescent="0.25">
      <c r="H554" s="278"/>
      <c r="I554" s="278"/>
      <c r="J554" s="278"/>
      <c r="K554" s="278"/>
    </row>
    <row r="555" spans="8:11" ht="13.2" x14ac:dyDescent="0.25">
      <c r="H555" s="278"/>
      <c r="I555" s="278"/>
      <c r="J555" s="278"/>
      <c r="K555" s="278"/>
    </row>
    <row r="556" spans="8:11" ht="13.2" x14ac:dyDescent="0.25">
      <c r="H556" s="278"/>
      <c r="I556" s="278"/>
      <c r="J556" s="278"/>
      <c r="K556" s="278"/>
    </row>
    <row r="557" spans="8:11" ht="13.2" x14ac:dyDescent="0.25">
      <c r="H557" s="278"/>
      <c r="I557" s="278"/>
      <c r="J557" s="278"/>
      <c r="K557" s="278"/>
    </row>
    <row r="558" spans="8:11" ht="13.2" x14ac:dyDescent="0.25">
      <c r="H558" s="278"/>
      <c r="I558" s="278"/>
      <c r="J558" s="278"/>
      <c r="K558" s="278"/>
    </row>
    <row r="559" spans="8:11" ht="13.2" x14ac:dyDescent="0.25">
      <c r="H559" s="278"/>
      <c r="I559" s="278"/>
      <c r="J559" s="278"/>
      <c r="K559" s="278"/>
    </row>
    <row r="560" spans="8:11" ht="13.2" x14ac:dyDescent="0.25">
      <c r="H560" s="278"/>
      <c r="I560" s="278"/>
      <c r="J560" s="278"/>
      <c r="K560" s="278"/>
    </row>
    <row r="561" spans="8:11" ht="13.2" x14ac:dyDescent="0.25">
      <c r="H561" s="278"/>
      <c r="I561" s="278"/>
      <c r="J561" s="278"/>
      <c r="K561" s="278"/>
    </row>
    <row r="562" spans="8:11" ht="13.2" x14ac:dyDescent="0.25">
      <c r="H562" s="278"/>
      <c r="I562" s="278"/>
      <c r="J562" s="278"/>
      <c r="K562" s="278"/>
    </row>
    <row r="563" spans="8:11" ht="13.2" x14ac:dyDescent="0.25">
      <c r="H563" s="278"/>
      <c r="I563" s="278"/>
      <c r="J563" s="278"/>
      <c r="K563" s="278"/>
    </row>
    <row r="564" spans="8:11" ht="13.2" x14ac:dyDescent="0.25">
      <c r="H564" s="278"/>
      <c r="I564" s="278"/>
      <c r="J564" s="278"/>
      <c r="K564" s="278"/>
    </row>
    <row r="565" spans="8:11" ht="13.2" x14ac:dyDescent="0.25">
      <c r="H565" s="278"/>
      <c r="I565" s="278"/>
      <c r="J565" s="278"/>
      <c r="K565" s="278"/>
    </row>
    <row r="566" spans="8:11" ht="13.2" x14ac:dyDescent="0.25">
      <c r="H566" s="278"/>
      <c r="I566" s="278"/>
      <c r="J566" s="278"/>
      <c r="K566" s="278"/>
    </row>
    <row r="567" spans="8:11" ht="13.2" x14ac:dyDescent="0.25">
      <c r="H567" s="278"/>
      <c r="I567" s="278"/>
      <c r="J567" s="278"/>
      <c r="K567" s="278"/>
    </row>
    <row r="568" spans="8:11" ht="13.2" x14ac:dyDescent="0.25">
      <c r="H568" s="278"/>
      <c r="I568" s="278"/>
      <c r="J568" s="278"/>
      <c r="K568" s="278"/>
    </row>
    <row r="569" spans="8:11" ht="13.2" x14ac:dyDescent="0.25">
      <c r="H569" s="278"/>
      <c r="I569" s="278"/>
      <c r="J569" s="278"/>
      <c r="K569" s="278"/>
    </row>
    <row r="570" spans="8:11" ht="13.2" x14ac:dyDescent="0.25">
      <c r="H570" s="278"/>
      <c r="I570" s="278"/>
      <c r="J570" s="278"/>
      <c r="K570" s="278"/>
    </row>
    <row r="571" spans="8:11" ht="13.2" x14ac:dyDescent="0.25">
      <c r="H571" s="278"/>
      <c r="I571" s="278"/>
      <c r="J571" s="278"/>
      <c r="K571" s="278"/>
    </row>
    <row r="572" spans="8:11" ht="13.2" x14ac:dyDescent="0.25">
      <c r="H572" s="278"/>
      <c r="I572" s="278"/>
      <c r="J572" s="278"/>
      <c r="K572" s="278"/>
    </row>
    <row r="573" spans="8:11" ht="13.2" x14ac:dyDescent="0.25">
      <c r="H573" s="278"/>
      <c r="I573" s="278"/>
      <c r="J573" s="278"/>
      <c r="K573" s="278"/>
    </row>
    <row r="574" spans="8:11" ht="13.2" x14ac:dyDescent="0.25">
      <c r="H574" s="278"/>
      <c r="I574" s="278"/>
      <c r="J574" s="278"/>
      <c r="K574" s="278"/>
    </row>
    <row r="575" spans="8:11" ht="13.2" x14ac:dyDescent="0.25">
      <c r="H575" s="278"/>
      <c r="I575" s="278"/>
      <c r="J575" s="278"/>
      <c r="K575" s="278"/>
    </row>
    <row r="576" spans="8:11" ht="13.2" x14ac:dyDescent="0.25">
      <c r="H576" s="278"/>
      <c r="I576" s="278"/>
      <c r="J576" s="278"/>
      <c r="K576" s="278"/>
    </row>
    <row r="577" spans="8:11" ht="13.2" x14ac:dyDescent="0.25">
      <c r="H577" s="278"/>
      <c r="I577" s="278"/>
      <c r="J577" s="278"/>
      <c r="K577" s="278"/>
    </row>
    <row r="578" spans="8:11" ht="13.2" x14ac:dyDescent="0.25">
      <c r="H578" s="278"/>
      <c r="I578" s="278"/>
      <c r="J578" s="278"/>
      <c r="K578" s="278"/>
    </row>
    <row r="579" spans="8:11" ht="13.2" x14ac:dyDescent="0.25">
      <c r="H579" s="278"/>
      <c r="I579" s="278"/>
      <c r="J579" s="278"/>
      <c r="K579" s="278"/>
    </row>
    <row r="580" spans="8:11" ht="13.2" x14ac:dyDescent="0.25">
      <c r="H580" s="278"/>
      <c r="I580" s="278"/>
      <c r="J580" s="278"/>
      <c r="K580" s="278"/>
    </row>
    <row r="581" spans="8:11" ht="13.2" x14ac:dyDescent="0.25">
      <c r="H581" s="278"/>
      <c r="I581" s="278"/>
      <c r="J581" s="278"/>
      <c r="K581" s="278"/>
    </row>
    <row r="582" spans="8:11" ht="13.2" x14ac:dyDescent="0.25">
      <c r="H582" s="278"/>
      <c r="I582" s="278"/>
      <c r="J582" s="278"/>
      <c r="K582" s="278"/>
    </row>
    <row r="583" spans="8:11" ht="13.2" x14ac:dyDescent="0.25">
      <c r="H583" s="278"/>
      <c r="I583" s="278"/>
      <c r="J583" s="278"/>
      <c r="K583" s="278"/>
    </row>
    <row r="584" spans="8:11" ht="13.2" x14ac:dyDescent="0.25">
      <c r="H584" s="278"/>
      <c r="I584" s="278"/>
      <c r="J584" s="278"/>
      <c r="K584" s="278"/>
    </row>
    <row r="585" spans="8:11" ht="13.2" x14ac:dyDescent="0.25">
      <c r="H585" s="278"/>
      <c r="I585" s="278"/>
      <c r="J585" s="278"/>
      <c r="K585" s="278"/>
    </row>
    <row r="586" spans="8:11" ht="13.2" x14ac:dyDescent="0.25">
      <c r="H586" s="278"/>
      <c r="I586" s="278"/>
      <c r="J586" s="278"/>
      <c r="K586" s="278"/>
    </row>
    <row r="587" spans="8:11" ht="13.2" x14ac:dyDescent="0.25">
      <c r="H587" s="278"/>
      <c r="I587" s="278"/>
      <c r="J587" s="278"/>
      <c r="K587" s="278"/>
    </row>
    <row r="588" spans="8:11" ht="13.2" x14ac:dyDescent="0.25">
      <c r="H588" s="278"/>
      <c r="I588" s="278"/>
      <c r="J588" s="278"/>
      <c r="K588" s="278"/>
    </row>
    <row r="589" spans="8:11" ht="13.2" x14ac:dyDescent="0.25">
      <c r="H589" s="278"/>
      <c r="I589" s="278"/>
      <c r="J589" s="278"/>
      <c r="K589" s="278"/>
    </row>
    <row r="590" spans="8:11" ht="13.2" x14ac:dyDescent="0.25">
      <c r="H590" s="278"/>
      <c r="I590" s="278"/>
      <c r="J590" s="278"/>
      <c r="K590" s="278"/>
    </row>
    <row r="591" spans="8:11" ht="13.2" x14ac:dyDescent="0.25">
      <c r="H591" s="278"/>
      <c r="I591" s="278"/>
      <c r="J591" s="278"/>
      <c r="K591" s="278"/>
    </row>
    <row r="592" spans="8:11" ht="13.2" x14ac:dyDescent="0.25">
      <c r="H592" s="278"/>
      <c r="I592" s="278"/>
      <c r="J592" s="278"/>
      <c r="K592" s="278"/>
    </row>
    <row r="593" spans="8:11" ht="13.2" x14ac:dyDescent="0.25">
      <c r="H593" s="278"/>
      <c r="I593" s="278"/>
      <c r="J593" s="278"/>
      <c r="K593" s="278"/>
    </row>
    <row r="594" spans="8:11" ht="13.2" x14ac:dyDescent="0.25">
      <c r="H594" s="278"/>
      <c r="I594" s="278"/>
      <c r="J594" s="278"/>
      <c r="K594" s="278"/>
    </row>
    <row r="595" spans="8:11" ht="13.2" x14ac:dyDescent="0.25">
      <c r="H595" s="278"/>
      <c r="I595" s="278"/>
      <c r="J595" s="278"/>
      <c r="K595" s="278"/>
    </row>
    <row r="596" spans="8:11" ht="13.2" x14ac:dyDescent="0.25">
      <c r="H596" s="278"/>
      <c r="I596" s="278"/>
      <c r="J596" s="278"/>
      <c r="K596" s="278"/>
    </row>
    <row r="597" spans="8:11" ht="13.2" x14ac:dyDescent="0.25">
      <c r="H597" s="278"/>
      <c r="I597" s="278"/>
      <c r="J597" s="278"/>
      <c r="K597" s="278"/>
    </row>
    <row r="598" spans="8:11" ht="13.2" x14ac:dyDescent="0.25">
      <c r="H598" s="278"/>
      <c r="I598" s="278"/>
      <c r="J598" s="278"/>
      <c r="K598" s="278"/>
    </row>
    <row r="599" spans="8:11" ht="13.2" x14ac:dyDescent="0.25">
      <c r="H599" s="278"/>
      <c r="I599" s="278"/>
      <c r="J599" s="278"/>
      <c r="K599" s="278"/>
    </row>
    <row r="600" spans="8:11" ht="13.2" x14ac:dyDescent="0.25">
      <c r="H600" s="278"/>
      <c r="I600" s="278"/>
      <c r="J600" s="278"/>
      <c r="K600" s="278"/>
    </row>
    <row r="601" spans="8:11" ht="13.2" x14ac:dyDescent="0.25">
      <c r="H601" s="278"/>
      <c r="I601" s="278"/>
      <c r="J601" s="278"/>
      <c r="K601" s="278"/>
    </row>
    <row r="602" spans="8:11" ht="13.2" x14ac:dyDescent="0.25">
      <c r="H602" s="278"/>
      <c r="I602" s="278"/>
      <c r="J602" s="278"/>
      <c r="K602" s="278"/>
    </row>
    <row r="603" spans="8:11" ht="13.2" x14ac:dyDescent="0.25">
      <c r="H603" s="278"/>
      <c r="I603" s="278"/>
      <c r="J603" s="278"/>
      <c r="K603" s="278"/>
    </row>
    <row r="604" spans="8:11" ht="13.2" x14ac:dyDescent="0.25">
      <c r="H604" s="278"/>
      <c r="I604" s="278"/>
      <c r="J604" s="278"/>
      <c r="K604" s="278"/>
    </row>
    <row r="605" spans="8:11" ht="13.2" x14ac:dyDescent="0.25">
      <c r="H605" s="278"/>
      <c r="I605" s="278"/>
      <c r="J605" s="278"/>
      <c r="K605" s="278"/>
    </row>
    <row r="606" spans="8:11" ht="13.2" x14ac:dyDescent="0.25">
      <c r="H606" s="278"/>
      <c r="I606" s="278"/>
      <c r="J606" s="278"/>
      <c r="K606" s="278"/>
    </row>
    <row r="607" spans="8:11" ht="13.2" x14ac:dyDescent="0.25">
      <c r="H607" s="278"/>
      <c r="I607" s="278"/>
      <c r="J607" s="278"/>
      <c r="K607" s="278"/>
    </row>
    <row r="608" spans="8:11" ht="13.2" x14ac:dyDescent="0.25">
      <c r="H608" s="278"/>
      <c r="I608" s="278"/>
      <c r="J608" s="278"/>
      <c r="K608" s="278"/>
    </row>
    <row r="609" spans="8:11" ht="13.2" x14ac:dyDescent="0.25">
      <c r="H609" s="278"/>
      <c r="I609" s="278"/>
      <c r="J609" s="278"/>
      <c r="K609" s="278"/>
    </row>
    <row r="610" spans="8:11" ht="13.2" x14ac:dyDescent="0.25">
      <c r="H610" s="278"/>
      <c r="I610" s="278"/>
      <c r="J610" s="278"/>
      <c r="K610" s="278"/>
    </row>
    <row r="611" spans="8:11" ht="13.2" x14ac:dyDescent="0.25">
      <c r="H611" s="278"/>
      <c r="I611" s="278"/>
      <c r="J611" s="278"/>
      <c r="K611" s="278"/>
    </row>
    <row r="612" spans="8:11" ht="13.2" x14ac:dyDescent="0.25">
      <c r="H612" s="278"/>
      <c r="I612" s="278"/>
      <c r="J612" s="278"/>
      <c r="K612" s="278"/>
    </row>
    <row r="613" spans="8:11" ht="13.2" x14ac:dyDescent="0.25">
      <c r="H613" s="278"/>
      <c r="I613" s="278"/>
      <c r="J613" s="278"/>
      <c r="K613" s="278"/>
    </row>
    <row r="614" spans="8:11" ht="13.2" x14ac:dyDescent="0.25">
      <c r="H614" s="278"/>
      <c r="I614" s="278"/>
      <c r="J614" s="278"/>
      <c r="K614" s="278"/>
    </row>
    <row r="615" spans="8:11" ht="13.2" x14ac:dyDescent="0.25">
      <c r="H615" s="278"/>
      <c r="I615" s="278"/>
      <c r="J615" s="278"/>
      <c r="K615" s="278"/>
    </row>
    <row r="616" spans="8:11" ht="13.2" x14ac:dyDescent="0.25">
      <c r="H616" s="278"/>
      <c r="I616" s="278"/>
      <c r="J616" s="278"/>
      <c r="K616" s="278"/>
    </row>
    <row r="617" spans="8:11" ht="13.2" x14ac:dyDescent="0.25">
      <c r="H617" s="278"/>
      <c r="I617" s="278"/>
      <c r="J617" s="278"/>
      <c r="K617" s="278"/>
    </row>
    <row r="618" spans="8:11" ht="13.2" x14ac:dyDescent="0.25">
      <c r="H618" s="278"/>
      <c r="I618" s="278"/>
      <c r="J618" s="278"/>
      <c r="K618" s="278"/>
    </row>
    <row r="619" spans="8:11" ht="13.2" x14ac:dyDescent="0.25">
      <c r="H619" s="278"/>
      <c r="I619" s="278"/>
      <c r="J619" s="278"/>
      <c r="K619" s="278"/>
    </row>
    <row r="620" spans="8:11" ht="13.2" x14ac:dyDescent="0.25">
      <c r="H620" s="278"/>
      <c r="I620" s="278"/>
      <c r="J620" s="278"/>
      <c r="K620" s="278"/>
    </row>
    <row r="621" spans="8:11" ht="13.2" x14ac:dyDescent="0.25">
      <c r="H621" s="278"/>
      <c r="I621" s="278"/>
      <c r="J621" s="278"/>
      <c r="K621" s="278"/>
    </row>
    <row r="622" spans="8:11" ht="13.2" x14ac:dyDescent="0.25">
      <c r="H622" s="278"/>
      <c r="I622" s="278"/>
      <c r="J622" s="278"/>
      <c r="K622" s="278"/>
    </row>
    <row r="623" spans="8:11" ht="13.2" x14ac:dyDescent="0.25">
      <c r="H623" s="278"/>
      <c r="I623" s="278"/>
      <c r="J623" s="278"/>
      <c r="K623" s="278"/>
    </row>
    <row r="624" spans="8:11" ht="13.2" x14ac:dyDescent="0.25">
      <c r="H624" s="278"/>
      <c r="I624" s="278"/>
      <c r="J624" s="278"/>
      <c r="K624" s="278"/>
    </row>
    <row r="625" spans="8:11" ht="13.2" x14ac:dyDescent="0.25">
      <c r="H625" s="278"/>
      <c r="I625" s="278"/>
      <c r="J625" s="278"/>
      <c r="K625" s="278"/>
    </row>
    <row r="626" spans="8:11" ht="13.2" x14ac:dyDescent="0.25">
      <c r="H626" s="278"/>
      <c r="I626" s="278"/>
      <c r="J626" s="278"/>
      <c r="K626" s="278"/>
    </row>
    <row r="627" spans="8:11" ht="13.2" x14ac:dyDescent="0.25">
      <c r="H627" s="278"/>
      <c r="I627" s="278"/>
      <c r="J627" s="278"/>
      <c r="K627" s="278"/>
    </row>
    <row r="628" spans="8:11" ht="13.2" x14ac:dyDescent="0.25">
      <c r="H628" s="278"/>
      <c r="I628" s="278"/>
      <c r="J628" s="278"/>
      <c r="K628" s="278"/>
    </row>
    <row r="629" spans="8:11" ht="13.2" x14ac:dyDescent="0.25">
      <c r="H629" s="278"/>
      <c r="I629" s="278"/>
      <c r="J629" s="278"/>
      <c r="K629" s="278"/>
    </row>
    <row r="630" spans="8:11" ht="13.2" x14ac:dyDescent="0.25">
      <c r="H630" s="278"/>
      <c r="I630" s="278"/>
      <c r="J630" s="278"/>
      <c r="K630" s="278"/>
    </row>
    <row r="631" spans="8:11" ht="13.2" x14ac:dyDescent="0.25">
      <c r="H631" s="278"/>
      <c r="I631" s="278"/>
      <c r="J631" s="278"/>
      <c r="K631" s="278"/>
    </row>
    <row r="632" spans="8:11" ht="13.2" x14ac:dyDescent="0.25">
      <c r="H632" s="278"/>
      <c r="I632" s="278"/>
      <c r="J632" s="278"/>
      <c r="K632" s="278"/>
    </row>
    <row r="633" spans="8:11" ht="13.2" x14ac:dyDescent="0.25">
      <c r="H633" s="278"/>
      <c r="I633" s="278"/>
      <c r="J633" s="278"/>
      <c r="K633" s="278"/>
    </row>
    <row r="634" spans="8:11" ht="13.2" x14ac:dyDescent="0.25">
      <c r="H634" s="278"/>
      <c r="I634" s="278"/>
      <c r="J634" s="278"/>
      <c r="K634" s="278"/>
    </row>
    <row r="635" spans="8:11" ht="13.2" x14ac:dyDescent="0.25">
      <c r="H635" s="278"/>
      <c r="I635" s="278"/>
      <c r="J635" s="278"/>
      <c r="K635" s="278"/>
    </row>
    <row r="636" spans="8:11" ht="13.2" x14ac:dyDescent="0.25">
      <c r="H636" s="278"/>
      <c r="I636" s="278"/>
      <c r="J636" s="278"/>
      <c r="K636" s="278"/>
    </row>
    <row r="637" spans="8:11" ht="13.2" x14ac:dyDescent="0.25">
      <c r="H637" s="278"/>
      <c r="I637" s="278"/>
      <c r="J637" s="278"/>
      <c r="K637" s="278"/>
    </row>
    <row r="638" spans="8:11" ht="13.2" x14ac:dyDescent="0.25">
      <c r="H638" s="278"/>
      <c r="I638" s="278"/>
      <c r="J638" s="278"/>
      <c r="K638" s="278"/>
    </row>
    <row r="639" spans="8:11" ht="13.2" x14ac:dyDescent="0.25">
      <c r="H639" s="278"/>
      <c r="I639" s="278"/>
      <c r="J639" s="278"/>
      <c r="K639" s="278"/>
    </row>
    <row r="640" spans="8:11" ht="13.2" x14ac:dyDescent="0.25">
      <c r="H640" s="278"/>
      <c r="I640" s="278"/>
      <c r="J640" s="278"/>
      <c r="K640" s="278"/>
    </row>
    <row r="641" spans="8:11" ht="13.2" x14ac:dyDescent="0.25">
      <c r="H641" s="278"/>
      <c r="I641" s="278"/>
      <c r="J641" s="278"/>
      <c r="K641" s="278"/>
    </row>
    <row r="642" spans="8:11" ht="13.2" x14ac:dyDescent="0.25">
      <c r="H642" s="278"/>
      <c r="I642" s="278"/>
      <c r="J642" s="278"/>
      <c r="K642" s="278"/>
    </row>
    <row r="643" spans="8:11" ht="13.2" x14ac:dyDescent="0.25">
      <c r="H643" s="278"/>
      <c r="I643" s="278"/>
      <c r="J643" s="278"/>
      <c r="K643" s="278"/>
    </row>
    <row r="644" spans="8:11" ht="13.2" x14ac:dyDescent="0.25">
      <c r="H644" s="278"/>
      <c r="I644" s="278"/>
      <c r="J644" s="278"/>
      <c r="K644" s="278"/>
    </row>
    <row r="645" spans="8:11" ht="13.2" x14ac:dyDescent="0.25">
      <c r="H645" s="278"/>
      <c r="I645" s="278"/>
      <c r="J645" s="278"/>
      <c r="K645" s="278"/>
    </row>
    <row r="646" spans="8:11" ht="13.2" x14ac:dyDescent="0.25">
      <c r="H646" s="278"/>
      <c r="I646" s="278"/>
      <c r="J646" s="278"/>
      <c r="K646" s="278"/>
    </row>
    <row r="647" spans="8:11" ht="13.2" x14ac:dyDescent="0.25">
      <c r="H647" s="278"/>
      <c r="I647" s="278"/>
      <c r="J647" s="278"/>
      <c r="K647" s="278"/>
    </row>
    <row r="648" spans="8:11" ht="13.2" x14ac:dyDescent="0.25">
      <c r="H648" s="278"/>
      <c r="I648" s="278"/>
      <c r="J648" s="278"/>
      <c r="K648" s="278"/>
    </row>
    <row r="649" spans="8:11" ht="13.2" x14ac:dyDescent="0.25">
      <c r="H649" s="278"/>
      <c r="I649" s="278"/>
      <c r="J649" s="278"/>
      <c r="K649" s="278"/>
    </row>
    <row r="650" spans="8:11" ht="13.2" x14ac:dyDescent="0.25">
      <c r="H650" s="278"/>
      <c r="I650" s="278"/>
      <c r="J650" s="278"/>
      <c r="K650" s="278"/>
    </row>
    <row r="651" spans="8:11" ht="13.2" x14ac:dyDescent="0.25">
      <c r="H651" s="278"/>
      <c r="I651" s="278"/>
      <c r="J651" s="278"/>
      <c r="K651" s="278"/>
    </row>
    <row r="652" spans="8:11" ht="13.2" x14ac:dyDescent="0.25">
      <c r="H652" s="278"/>
      <c r="I652" s="278"/>
      <c r="J652" s="278"/>
      <c r="K652" s="278"/>
    </row>
    <row r="653" spans="8:11" ht="13.2" x14ac:dyDescent="0.25">
      <c r="H653" s="278"/>
      <c r="I653" s="278"/>
      <c r="J653" s="278"/>
      <c r="K653" s="278"/>
    </row>
    <row r="654" spans="8:11" ht="13.2" x14ac:dyDescent="0.25">
      <c r="H654" s="278"/>
      <c r="I654" s="278"/>
      <c r="J654" s="278"/>
      <c r="K654" s="278"/>
    </row>
    <row r="655" spans="8:11" ht="13.2" x14ac:dyDescent="0.25">
      <c r="H655" s="278"/>
      <c r="I655" s="278"/>
      <c r="J655" s="278"/>
      <c r="K655" s="278"/>
    </row>
    <row r="656" spans="8:11" ht="13.2" x14ac:dyDescent="0.25">
      <c r="H656" s="278"/>
      <c r="I656" s="278"/>
      <c r="J656" s="278"/>
      <c r="K656" s="278"/>
    </row>
    <row r="657" spans="8:11" ht="13.2" x14ac:dyDescent="0.25">
      <c r="H657" s="278"/>
      <c r="I657" s="278"/>
      <c r="J657" s="278"/>
      <c r="K657" s="278"/>
    </row>
    <row r="658" spans="8:11" ht="13.2" x14ac:dyDescent="0.25">
      <c r="H658" s="278"/>
      <c r="I658" s="278"/>
      <c r="J658" s="278"/>
      <c r="K658" s="278"/>
    </row>
    <row r="659" spans="8:11" ht="13.2" x14ac:dyDescent="0.25">
      <c r="H659" s="278"/>
      <c r="I659" s="278"/>
      <c r="J659" s="278"/>
      <c r="K659" s="278"/>
    </row>
    <row r="660" spans="8:11" ht="13.2" x14ac:dyDescent="0.25">
      <c r="H660" s="278"/>
      <c r="I660" s="278"/>
      <c r="J660" s="278"/>
      <c r="K660" s="278"/>
    </row>
    <row r="661" spans="8:11" ht="13.2" x14ac:dyDescent="0.25">
      <c r="H661" s="278"/>
      <c r="I661" s="278"/>
      <c r="J661" s="278"/>
      <c r="K661" s="278"/>
    </row>
    <row r="662" spans="8:11" ht="13.2" x14ac:dyDescent="0.25">
      <c r="H662" s="278"/>
      <c r="I662" s="278"/>
      <c r="J662" s="278"/>
      <c r="K662" s="278"/>
    </row>
    <row r="663" spans="8:11" ht="13.2" x14ac:dyDescent="0.25">
      <c r="H663" s="278"/>
      <c r="I663" s="278"/>
      <c r="J663" s="278"/>
      <c r="K663" s="278"/>
    </row>
    <row r="664" spans="8:11" ht="13.2" x14ac:dyDescent="0.25">
      <c r="H664" s="278"/>
      <c r="I664" s="278"/>
      <c r="J664" s="278"/>
      <c r="K664" s="278"/>
    </row>
    <row r="665" spans="8:11" ht="13.2" x14ac:dyDescent="0.25">
      <c r="H665" s="278"/>
      <c r="I665" s="278"/>
      <c r="J665" s="278"/>
      <c r="K665" s="278"/>
    </row>
    <row r="666" spans="8:11" ht="13.2" x14ac:dyDescent="0.25">
      <c r="H666" s="278"/>
      <c r="I666" s="278"/>
      <c r="J666" s="278"/>
      <c r="K666" s="278"/>
    </row>
    <row r="667" spans="8:11" ht="13.2" x14ac:dyDescent="0.25">
      <c r="H667" s="278"/>
      <c r="I667" s="278"/>
      <c r="J667" s="278"/>
      <c r="K667" s="278"/>
    </row>
    <row r="668" spans="8:11" ht="13.2" x14ac:dyDescent="0.25">
      <c r="H668" s="278"/>
      <c r="I668" s="278"/>
      <c r="J668" s="278"/>
      <c r="K668" s="278"/>
    </row>
    <row r="669" spans="8:11" ht="13.2" x14ac:dyDescent="0.25">
      <c r="H669" s="278"/>
      <c r="I669" s="278"/>
      <c r="J669" s="278"/>
      <c r="K669" s="278"/>
    </row>
    <row r="670" spans="8:11" ht="13.2" x14ac:dyDescent="0.25">
      <c r="H670" s="278"/>
      <c r="I670" s="278"/>
      <c r="J670" s="278"/>
      <c r="K670" s="278"/>
    </row>
    <row r="671" spans="8:11" ht="13.2" x14ac:dyDescent="0.25">
      <c r="H671" s="278"/>
      <c r="I671" s="278"/>
      <c r="J671" s="278"/>
      <c r="K671" s="278"/>
    </row>
    <row r="672" spans="8:11" ht="13.2" x14ac:dyDescent="0.25">
      <c r="H672" s="278"/>
      <c r="I672" s="278"/>
      <c r="J672" s="278"/>
      <c r="K672" s="278"/>
    </row>
    <row r="673" spans="8:11" ht="13.2" x14ac:dyDescent="0.25">
      <c r="H673" s="278"/>
      <c r="I673" s="278"/>
      <c r="J673" s="278"/>
      <c r="K673" s="278"/>
    </row>
    <row r="674" spans="8:11" ht="13.2" x14ac:dyDescent="0.25">
      <c r="H674" s="278"/>
      <c r="I674" s="278"/>
      <c r="J674" s="278"/>
      <c r="K674" s="278"/>
    </row>
    <row r="675" spans="8:11" ht="13.2" x14ac:dyDescent="0.25">
      <c r="H675" s="278"/>
      <c r="I675" s="278"/>
      <c r="J675" s="278"/>
      <c r="K675" s="278"/>
    </row>
    <row r="676" spans="8:11" ht="13.2" x14ac:dyDescent="0.25">
      <c r="H676" s="278"/>
      <c r="I676" s="278"/>
      <c r="J676" s="278"/>
      <c r="K676" s="278"/>
    </row>
    <row r="677" spans="8:11" ht="13.2" x14ac:dyDescent="0.25">
      <c r="H677" s="278"/>
      <c r="I677" s="278"/>
      <c r="J677" s="278"/>
      <c r="K677" s="278"/>
    </row>
    <row r="678" spans="8:11" ht="13.2" x14ac:dyDescent="0.25">
      <c r="H678" s="278"/>
      <c r="I678" s="278"/>
      <c r="J678" s="278"/>
      <c r="K678" s="278"/>
    </row>
    <row r="679" spans="8:11" ht="13.2" x14ac:dyDescent="0.25">
      <c r="H679" s="278"/>
      <c r="I679" s="278"/>
      <c r="J679" s="278"/>
      <c r="K679" s="278"/>
    </row>
    <row r="680" spans="8:11" ht="13.2" x14ac:dyDescent="0.25">
      <c r="H680" s="278"/>
      <c r="I680" s="278"/>
      <c r="J680" s="278"/>
      <c r="K680" s="278"/>
    </row>
    <row r="681" spans="8:11" ht="13.2" x14ac:dyDescent="0.25">
      <c r="H681" s="278"/>
      <c r="I681" s="278"/>
      <c r="J681" s="278"/>
      <c r="K681" s="278"/>
    </row>
    <row r="682" spans="8:11" ht="13.2" x14ac:dyDescent="0.25">
      <c r="H682" s="278"/>
      <c r="I682" s="278"/>
      <c r="J682" s="278"/>
      <c r="K682" s="278"/>
    </row>
    <row r="683" spans="8:11" ht="13.2" x14ac:dyDescent="0.25">
      <c r="H683" s="278"/>
      <c r="I683" s="278"/>
      <c r="J683" s="278"/>
      <c r="K683" s="278"/>
    </row>
    <row r="684" spans="8:11" ht="13.2" x14ac:dyDescent="0.25">
      <c r="H684" s="278"/>
      <c r="I684" s="278"/>
      <c r="J684" s="278"/>
      <c r="K684" s="278"/>
    </row>
    <row r="685" spans="8:11" ht="13.2" x14ac:dyDescent="0.25">
      <c r="H685" s="278"/>
      <c r="I685" s="278"/>
      <c r="J685" s="278"/>
      <c r="K685" s="278"/>
    </row>
    <row r="686" spans="8:11" ht="13.2" x14ac:dyDescent="0.25">
      <c r="H686" s="278"/>
      <c r="I686" s="278"/>
      <c r="J686" s="278"/>
      <c r="K686" s="278"/>
    </row>
    <row r="687" spans="8:11" ht="13.2" x14ac:dyDescent="0.25">
      <c r="H687" s="278"/>
      <c r="I687" s="278"/>
      <c r="J687" s="278"/>
      <c r="K687" s="278"/>
    </row>
    <row r="688" spans="8:11" ht="13.2" x14ac:dyDescent="0.25">
      <c r="H688" s="278"/>
      <c r="I688" s="278"/>
      <c r="J688" s="278"/>
      <c r="K688" s="278"/>
    </row>
    <row r="689" spans="8:11" ht="13.2" x14ac:dyDescent="0.25">
      <c r="H689" s="278"/>
      <c r="I689" s="278"/>
      <c r="J689" s="278"/>
      <c r="K689" s="278"/>
    </row>
    <row r="690" spans="8:11" ht="13.2" x14ac:dyDescent="0.25">
      <c r="H690" s="278"/>
      <c r="I690" s="278"/>
      <c r="J690" s="278"/>
      <c r="K690" s="278"/>
    </row>
    <row r="691" spans="8:11" ht="13.2" x14ac:dyDescent="0.25">
      <c r="H691" s="278"/>
      <c r="I691" s="278"/>
      <c r="J691" s="278"/>
      <c r="K691" s="278"/>
    </row>
    <row r="692" spans="8:11" ht="13.2" x14ac:dyDescent="0.25">
      <c r="H692" s="278"/>
      <c r="I692" s="278"/>
      <c r="J692" s="278"/>
      <c r="K692" s="278"/>
    </row>
    <row r="693" spans="8:11" ht="13.2" x14ac:dyDescent="0.25">
      <c r="H693" s="278"/>
      <c r="I693" s="278"/>
      <c r="J693" s="278"/>
      <c r="K693" s="278"/>
    </row>
    <row r="694" spans="8:11" ht="13.2" x14ac:dyDescent="0.25">
      <c r="H694" s="278"/>
      <c r="I694" s="278"/>
      <c r="J694" s="278"/>
      <c r="K694" s="278"/>
    </row>
    <row r="695" spans="8:11" ht="13.2" x14ac:dyDescent="0.25">
      <c r="H695" s="278"/>
      <c r="I695" s="278"/>
      <c r="J695" s="278"/>
      <c r="K695" s="278"/>
    </row>
    <row r="696" spans="8:11" ht="13.2" x14ac:dyDescent="0.25">
      <c r="H696" s="278"/>
      <c r="I696" s="278"/>
      <c r="J696" s="278"/>
      <c r="K696" s="278"/>
    </row>
    <row r="697" spans="8:11" ht="13.2" x14ac:dyDescent="0.25">
      <c r="H697" s="278"/>
      <c r="I697" s="278"/>
      <c r="J697" s="278"/>
      <c r="K697" s="278"/>
    </row>
    <row r="698" spans="8:11" ht="13.2" x14ac:dyDescent="0.25">
      <c r="H698" s="278"/>
      <c r="I698" s="278"/>
      <c r="J698" s="278"/>
      <c r="K698" s="278"/>
    </row>
    <row r="699" spans="8:11" ht="13.2" x14ac:dyDescent="0.25">
      <c r="H699" s="278"/>
      <c r="I699" s="278"/>
      <c r="J699" s="278"/>
      <c r="K699" s="278"/>
    </row>
    <row r="700" spans="8:11" ht="13.2" x14ac:dyDescent="0.25">
      <c r="H700" s="278"/>
      <c r="I700" s="278"/>
      <c r="J700" s="278"/>
      <c r="K700" s="278"/>
    </row>
    <row r="701" spans="8:11" ht="13.2" x14ac:dyDescent="0.25">
      <c r="H701" s="278"/>
      <c r="I701" s="278"/>
      <c r="J701" s="278"/>
      <c r="K701" s="278"/>
    </row>
    <row r="702" spans="8:11" ht="13.2" x14ac:dyDescent="0.25">
      <c r="H702" s="278"/>
      <c r="I702" s="278"/>
      <c r="J702" s="278"/>
      <c r="K702" s="278"/>
    </row>
    <row r="703" spans="8:11" ht="13.2" x14ac:dyDescent="0.25">
      <c r="H703" s="278"/>
      <c r="I703" s="278"/>
      <c r="J703" s="278"/>
      <c r="K703" s="278"/>
    </row>
    <row r="704" spans="8:11" ht="13.2" x14ac:dyDescent="0.25">
      <c r="H704" s="278"/>
      <c r="I704" s="278"/>
      <c r="J704" s="278"/>
      <c r="K704" s="278"/>
    </row>
    <row r="705" spans="8:11" ht="13.2" x14ac:dyDescent="0.25">
      <c r="H705" s="278"/>
      <c r="I705" s="278"/>
      <c r="J705" s="278"/>
      <c r="K705" s="278"/>
    </row>
    <row r="706" spans="8:11" ht="13.2" x14ac:dyDescent="0.25">
      <c r="H706" s="278"/>
      <c r="I706" s="278"/>
      <c r="J706" s="278"/>
      <c r="K706" s="278"/>
    </row>
    <row r="707" spans="8:11" ht="13.2" x14ac:dyDescent="0.25">
      <c r="H707" s="278"/>
      <c r="I707" s="278"/>
      <c r="J707" s="278"/>
      <c r="K707" s="278"/>
    </row>
    <row r="708" spans="8:11" ht="13.2" x14ac:dyDescent="0.25">
      <c r="H708" s="278"/>
      <c r="I708" s="278"/>
      <c r="J708" s="278"/>
      <c r="K708" s="278"/>
    </row>
    <row r="709" spans="8:11" ht="13.2" x14ac:dyDescent="0.25">
      <c r="H709" s="278"/>
      <c r="I709" s="278"/>
      <c r="J709" s="278"/>
      <c r="K709" s="278"/>
    </row>
    <row r="710" spans="8:11" ht="13.2" x14ac:dyDescent="0.25">
      <c r="H710" s="278"/>
      <c r="I710" s="278"/>
      <c r="J710" s="278"/>
      <c r="K710" s="278"/>
    </row>
    <row r="711" spans="8:11" ht="13.2" x14ac:dyDescent="0.25">
      <c r="H711" s="278"/>
      <c r="I711" s="278"/>
      <c r="J711" s="278"/>
      <c r="K711" s="278"/>
    </row>
    <row r="712" spans="8:11" ht="13.2" x14ac:dyDescent="0.25">
      <c r="H712" s="278"/>
      <c r="I712" s="278"/>
      <c r="J712" s="278"/>
      <c r="K712" s="278"/>
    </row>
    <row r="713" spans="8:11" ht="13.2" x14ac:dyDescent="0.25">
      <c r="H713" s="278"/>
      <c r="I713" s="278"/>
      <c r="J713" s="278"/>
      <c r="K713" s="278"/>
    </row>
    <row r="714" spans="8:11" ht="13.2" x14ac:dyDescent="0.25">
      <c r="H714" s="278"/>
      <c r="I714" s="278"/>
      <c r="J714" s="278"/>
      <c r="K714" s="278"/>
    </row>
    <row r="715" spans="8:11" ht="13.2" x14ac:dyDescent="0.25">
      <c r="H715" s="278"/>
      <c r="I715" s="278"/>
      <c r="J715" s="278"/>
      <c r="K715" s="278"/>
    </row>
    <row r="716" spans="8:11" ht="13.2" x14ac:dyDescent="0.25">
      <c r="H716" s="278"/>
      <c r="I716" s="278"/>
      <c r="J716" s="278"/>
      <c r="K716" s="278"/>
    </row>
    <row r="717" spans="8:11" ht="13.2" x14ac:dyDescent="0.25">
      <c r="H717" s="278"/>
      <c r="I717" s="278"/>
      <c r="J717" s="278"/>
      <c r="K717" s="278"/>
    </row>
    <row r="718" spans="8:11" ht="13.2" x14ac:dyDescent="0.25">
      <c r="H718" s="278"/>
      <c r="I718" s="278"/>
      <c r="J718" s="278"/>
      <c r="K718" s="278"/>
    </row>
    <row r="719" spans="8:11" ht="13.2" x14ac:dyDescent="0.25">
      <c r="H719" s="278"/>
      <c r="I719" s="278"/>
      <c r="J719" s="278"/>
      <c r="K719" s="278"/>
    </row>
    <row r="720" spans="8:11" ht="13.2" x14ac:dyDescent="0.25">
      <c r="H720" s="278"/>
      <c r="I720" s="278"/>
      <c r="J720" s="278"/>
      <c r="K720" s="278"/>
    </row>
    <row r="721" spans="8:11" ht="13.2" x14ac:dyDescent="0.25">
      <c r="H721" s="278"/>
      <c r="I721" s="278"/>
      <c r="J721" s="278"/>
      <c r="K721" s="278"/>
    </row>
    <row r="722" spans="8:11" ht="13.2" x14ac:dyDescent="0.25">
      <c r="H722" s="278"/>
      <c r="I722" s="278"/>
      <c r="J722" s="278"/>
      <c r="K722" s="278"/>
    </row>
    <row r="723" spans="8:11" ht="13.2" x14ac:dyDescent="0.25">
      <c r="H723" s="278"/>
      <c r="I723" s="278"/>
      <c r="J723" s="278"/>
      <c r="K723" s="278"/>
    </row>
    <row r="724" spans="8:11" ht="13.2" x14ac:dyDescent="0.25">
      <c r="H724" s="278"/>
      <c r="I724" s="278"/>
      <c r="J724" s="278"/>
      <c r="K724" s="278"/>
    </row>
    <row r="725" spans="8:11" ht="13.2" x14ac:dyDescent="0.25">
      <c r="H725" s="278"/>
      <c r="I725" s="278"/>
      <c r="J725" s="278"/>
      <c r="K725" s="278"/>
    </row>
    <row r="726" spans="8:11" ht="13.2" x14ac:dyDescent="0.25">
      <c r="H726" s="278"/>
      <c r="I726" s="278"/>
      <c r="J726" s="278"/>
      <c r="K726" s="278"/>
    </row>
    <row r="727" spans="8:11" ht="13.2" x14ac:dyDescent="0.25">
      <c r="H727" s="278"/>
      <c r="I727" s="278"/>
      <c r="J727" s="278"/>
      <c r="K727" s="278"/>
    </row>
    <row r="728" spans="8:11" ht="13.2" x14ac:dyDescent="0.25">
      <c r="H728" s="278"/>
      <c r="I728" s="278"/>
      <c r="J728" s="278"/>
      <c r="K728" s="278"/>
    </row>
    <row r="729" spans="8:11" ht="13.2" x14ac:dyDescent="0.25">
      <c r="H729" s="278"/>
      <c r="I729" s="278"/>
      <c r="J729" s="278"/>
      <c r="K729" s="278"/>
    </row>
    <row r="730" spans="8:11" ht="13.2" x14ac:dyDescent="0.25">
      <c r="H730" s="278"/>
      <c r="I730" s="278"/>
      <c r="J730" s="278"/>
      <c r="K730" s="278"/>
    </row>
    <row r="731" spans="8:11" ht="13.2" x14ac:dyDescent="0.25">
      <c r="H731" s="278"/>
      <c r="I731" s="278"/>
      <c r="J731" s="278"/>
      <c r="K731" s="278"/>
    </row>
    <row r="732" spans="8:11" ht="13.2" x14ac:dyDescent="0.25">
      <c r="H732" s="278"/>
      <c r="I732" s="278"/>
      <c r="J732" s="278"/>
      <c r="K732" s="278"/>
    </row>
    <row r="733" spans="8:11" ht="13.2" x14ac:dyDescent="0.25">
      <c r="H733" s="278"/>
      <c r="I733" s="278"/>
      <c r="J733" s="278"/>
      <c r="K733" s="278"/>
    </row>
    <row r="734" spans="8:11" ht="13.2" x14ac:dyDescent="0.25">
      <c r="H734" s="278"/>
      <c r="I734" s="278"/>
      <c r="J734" s="278"/>
      <c r="K734" s="278"/>
    </row>
    <row r="735" spans="8:11" ht="13.2" x14ac:dyDescent="0.25">
      <c r="H735" s="278"/>
      <c r="I735" s="278"/>
      <c r="J735" s="278"/>
      <c r="K735" s="278"/>
    </row>
    <row r="736" spans="8:11" ht="13.2" x14ac:dyDescent="0.25">
      <c r="H736" s="278"/>
      <c r="I736" s="278"/>
      <c r="J736" s="278"/>
      <c r="K736" s="278"/>
    </row>
    <row r="737" spans="8:11" ht="13.2" x14ac:dyDescent="0.25">
      <c r="H737" s="278"/>
      <c r="I737" s="278"/>
      <c r="J737" s="278"/>
      <c r="K737" s="278"/>
    </row>
    <row r="738" spans="8:11" ht="13.2" x14ac:dyDescent="0.25">
      <c r="H738" s="278"/>
      <c r="I738" s="278"/>
      <c r="J738" s="278"/>
      <c r="K738" s="278"/>
    </row>
    <row r="739" spans="8:11" ht="13.2" x14ac:dyDescent="0.25">
      <c r="H739" s="278"/>
      <c r="I739" s="278"/>
      <c r="J739" s="278"/>
      <c r="K739" s="278"/>
    </row>
    <row r="740" spans="8:11" ht="13.2" x14ac:dyDescent="0.25">
      <c r="H740" s="278"/>
      <c r="I740" s="278"/>
      <c r="J740" s="278"/>
      <c r="K740" s="278"/>
    </row>
    <row r="741" spans="8:11" ht="13.2" x14ac:dyDescent="0.25">
      <c r="H741" s="278"/>
      <c r="I741" s="278"/>
      <c r="J741" s="278"/>
      <c r="K741" s="278"/>
    </row>
    <row r="742" spans="8:11" ht="13.2" x14ac:dyDescent="0.25">
      <c r="H742" s="278"/>
      <c r="I742" s="278"/>
      <c r="J742" s="278"/>
      <c r="K742" s="278"/>
    </row>
    <row r="743" spans="8:11" ht="13.2" x14ac:dyDescent="0.25">
      <c r="H743" s="278"/>
      <c r="I743" s="278"/>
      <c r="J743" s="278"/>
      <c r="K743" s="278"/>
    </row>
    <row r="744" spans="8:11" ht="13.2" x14ac:dyDescent="0.25">
      <c r="H744" s="278"/>
      <c r="I744" s="278"/>
      <c r="J744" s="278"/>
      <c r="K744" s="278"/>
    </row>
    <row r="745" spans="8:11" ht="13.2" x14ac:dyDescent="0.25">
      <c r="H745" s="278"/>
      <c r="I745" s="278"/>
      <c r="J745" s="278"/>
      <c r="K745" s="278"/>
    </row>
    <row r="746" spans="8:11" ht="13.2" x14ac:dyDescent="0.25">
      <c r="H746" s="278"/>
      <c r="I746" s="278"/>
      <c r="J746" s="278"/>
      <c r="K746" s="278"/>
    </row>
    <row r="747" spans="8:11" ht="13.2" x14ac:dyDescent="0.25">
      <c r="H747" s="278"/>
      <c r="I747" s="278"/>
      <c r="J747" s="278"/>
      <c r="K747" s="278"/>
    </row>
    <row r="748" spans="8:11" ht="13.2" x14ac:dyDescent="0.25">
      <c r="H748" s="278"/>
      <c r="I748" s="278"/>
      <c r="J748" s="278"/>
      <c r="K748" s="278"/>
    </row>
    <row r="749" spans="8:11" ht="13.2" x14ac:dyDescent="0.25">
      <c r="H749" s="278"/>
      <c r="I749" s="278"/>
      <c r="J749" s="278"/>
      <c r="K749" s="278"/>
    </row>
    <row r="750" spans="8:11" ht="13.2" x14ac:dyDescent="0.25">
      <c r="H750" s="278"/>
      <c r="I750" s="278"/>
      <c r="J750" s="278"/>
      <c r="K750" s="278"/>
    </row>
    <row r="751" spans="8:11" ht="13.2" x14ac:dyDescent="0.25">
      <c r="H751" s="278"/>
      <c r="I751" s="278"/>
      <c r="J751" s="278"/>
      <c r="K751" s="278"/>
    </row>
    <row r="752" spans="8:11" ht="13.2" x14ac:dyDescent="0.25">
      <c r="H752" s="278"/>
      <c r="I752" s="278"/>
      <c r="J752" s="278"/>
      <c r="K752" s="278"/>
    </row>
    <row r="753" spans="8:11" ht="13.2" x14ac:dyDescent="0.25">
      <c r="H753" s="278"/>
      <c r="I753" s="278"/>
      <c r="J753" s="278"/>
      <c r="K753" s="278"/>
    </row>
    <row r="754" spans="8:11" ht="13.2" x14ac:dyDescent="0.25">
      <c r="H754" s="278"/>
      <c r="I754" s="278"/>
      <c r="J754" s="278"/>
      <c r="K754" s="278"/>
    </row>
    <row r="755" spans="8:11" ht="13.2" x14ac:dyDescent="0.25">
      <c r="H755" s="278"/>
      <c r="I755" s="278"/>
      <c r="J755" s="278"/>
      <c r="K755" s="278"/>
    </row>
    <row r="756" spans="8:11" ht="13.2" x14ac:dyDescent="0.25">
      <c r="H756" s="278"/>
      <c r="I756" s="278"/>
      <c r="J756" s="278"/>
      <c r="K756" s="278"/>
    </row>
    <row r="757" spans="8:11" ht="13.2" x14ac:dyDescent="0.25">
      <c r="H757" s="278"/>
      <c r="I757" s="278"/>
      <c r="J757" s="278"/>
      <c r="K757" s="278"/>
    </row>
    <row r="758" spans="8:11" ht="13.2" x14ac:dyDescent="0.25">
      <c r="H758" s="278"/>
      <c r="I758" s="278"/>
      <c r="J758" s="278"/>
      <c r="K758" s="278"/>
    </row>
    <row r="759" spans="8:11" ht="13.2" x14ac:dyDescent="0.25">
      <c r="H759" s="278"/>
      <c r="I759" s="278"/>
      <c r="J759" s="278"/>
      <c r="K759" s="278"/>
    </row>
    <row r="760" spans="8:11" ht="13.2" x14ac:dyDescent="0.25">
      <c r="H760" s="278"/>
      <c r="I760" s="278"/>
      <c r="J760" s="278"/>
      <c r="K760" s="278"/>
    </row>
    <row r="761" spans="8:11" ht="13.2" x14ac:dyDescent="0.25">
      <c r="H761" s="278"/>
      <c r="I761" s="278"/>
      <c r="J761" s="278"/>
      <c r="K761" s="278"/>
    </row>
    <row r="762" spans="8:11" ht="13.2" x14ac:dyDescent="0.25">
      <c r="H762" s="278"/>
      <c r="I762" s="278"/>
      <c r="J762" s="278"/>
      <c r="K762" s="278"/>
    </row>
    <row r="763" spans="8:11" ht="13.2" x14ac:dyDescent="0.25">
      <c r="H763" s="278"/>
      <c r="I763" s="278"/>
      <c r="J763" s="278"/>
      <c r="K763" s="278"/>
    </row>
    <row r="764" spans="8:11" ht="13.2" x14ac:dyDescent="0.25">
      <c r="H764" s="278"/>
      <c r="I764" s="278"/>
      <c r="J764" s="278"/>
      <c r="K764" s="278"/>
    </row>
    <row r="765" spans="8:11" ht="13.2" x14ac:dyDescent="0.25">
      <c r="H765" s="278"/>
      <c r="I765" s="278"/>
      <c r="J765" s="278"/>
      <c r="K765" s="278"/>
    </row>
    <row r="766" spans="8:11" ht="13.2" x14ac:dyDescent="0.25">
      <c r="H766" s="278"/>
      <c r="I766" s="278"/>
      <c r="J766" s="278"/>
      <c r="K766" s="278"/>
    </row>
    <row r="767" spans="8:11" ht="13.2" x14ac:dyDescent="0.25">
      <c r="H767" s="278"/>
      <c r="I767" s="278"/>
      <c r="J767" s="278"/>
      <c r="K767" s="278"/>
    </row>
    <row r="768" spans="8:11" ht="13.2" x14ac:dyDescent="0.25">
      <c r="H768" s="278"/>
      <c r="I768" s="278"/>
      <c r="J768" s="278"/>
      <c r="K768" s="278"/>
    </row>
    <row r="769" spans="8:11" ht="13.2" x14ac:dyDescent="0.25">
      <c r="H769" s="278"/>
      <c r="I769" s="278"/>
      <c r="J769" s="278"/>
      <c r="K769" s="278"/>
    </row>
    <row r="770" spans="8:11" ht="13.2" x14ac:dyDescent="0.25">
      <c r="H770" s="278"/>
      <c r="I770" s="278"/>
      <c r="J770" s="278"/>
      <c r="K770" s="278"/>
    </row>
    <row r="771" spans="8:11" ht="13.2" x14ac:dyDescent="0.25">
      <c r="H771" s="278"/>
      <c r="I771" s="278"/>
      <c r="J771" s="278"/>
      <c r="K771" s="278"/>
    </row>
    <row r="772" spans="8:11" ht="13.2" x14ac:dyDescent="0.25">
      <c r="H772" s="278"/>
      <c r="I772" s="278"/>
      <c r="J772" s="278"/>
      <c r="K772" s="278"/>
    </row>
    <row r="773" spans="8:11" ht="13.2" x14ac:dyDescent="0.25">
      <c r="H773" s="278"/>
      <c r="I773" s="278"/>
      <c r="J773" s="278"/>
      <c r="K773" s="278"/>
    </row>
    <row r="774" spans="8:11" ht="13.2" x14ac:dyDescent="0.25">
      <c r="H774" s="278"/>
      <c r="I774" s="278"/>
      <c r="J774" s="278"/>
      <c r="K774" s="278"/>
    </row>
    <row r="775" spans="8:11" ht="13.2" x14ac:dyDescent="0.25">
      <c r="H775" s="278"/>
      <c r="I775" s="278"/>
      <c r="J775" s="278"/>
      <c r="K775" s="278"/>
    </row>
    <row r="776" spans="8:11" ht="13.2" x14ac:dyDescent="0.25">
      <c r="H776" s="278"/>
      <c r="I776" s="278"/>
      <c r="J776" s="278"/>
      <c r="K776" s="278"/>
    </row>
    <row r="777" spans="8:11" ht="13.2" x14ac:dyDescent="0.25">
      <c r="H777" s="278"/>
      <c r="I777" s="278"/>
      <c r="J777" s="278"/>
      <c r="K777" s="278"/>
    </row>
    <row r="778" spans="8:11" ht="13.2" x14ac:dyDescent="0.25">
      <c r="H778" s="278"/>
      <c r="I778" s="278"/>
      <c r="J778" s="278"/>
      <c r="K778" s="278"/>
    </row>
    <row r="779" spans="8:11" ht="13.2" x14ac:dyDescent="0.25">
      <c r="H779" s="278"/>
      <c r="I779" s="278"/>
      <c r="J779" s="278"/>
      <c r="K779" s="278"/>
    </row>
    <row r="780" spans="8:11" ht="13.2" x14ac:dyDescent="0.25">
      <c r="H780" s="278"/>
      <c r="I780" s="278"/>
      <c r="J780" s="278"/>
      <c r="K780" s="278"/>
    </row>
    <row r="781" spans="8:11" ht="13.2" x14ac:dyDescent="0.25">
      <c r="H781" s="278"/>
      <c r="I781" s="278"/>
      <c r="J781" s="278"/>
      <c r="K781" s="278"/>
    </row>
    <row r="782" spans="8:11" ht="13.2" x14ac:dyDescent="0.25">
      <c r="H782" s="278"/>
      <c r="I782" s="278"/>
      <c r="J782" s="278"/>
      <c r="K782" s="278"/>
    </row>
    <row r="783" spans="8:11" ht="13.2" x14ac:dyDescent="0.25">
      <c r="H783" s="278"/>
      <c r="I783" s="278"/>
      <c r="J783" s="278"/>
      <c r="K783" s="278"/>
    </row>
    <row r="784" spans="8:11" ht="13.2" x14ac:dyDescent="0.25">
      <c r="H784" s="278"/>
      <c r="I784" s="278"/>
      <c r="J784" s="278"/>
      <c r="K784" s="278"/>
    </row>
    <row r="785" spans="8:11" ht="13.2" x14ac:dyDescent="0.25">
      <c r="H785" s="278"/>
      <c r="I785" s="278"/>
      <c r="J785" s="278"/>
      <c r="K785" s="278"/>
    </row>
    <row r="786" spans="8:11" ht="13.2" x14ac:dyDescent="0.25">
      <c r="H786" s="278"/>
      <c r="I786" s="278"/>
      <c r="J786" s="278"/>
      <c r="K786" s="278"/>
    </row>
    <row r="787" spans="8:11" ht="13.2" x14ac:dyDescent="0.25">
      <c r="H787" s="278"/>
      <c r="I787" s="278"/>
      <c r="J787" s="278"/>
      <c r="K787" s="278"/>
    </row>
    <row r="788" spans="8:11" ht="13.2" x14ac:dyDescent="0.25">
      <c r="H788" s="278"/>
      <c r="I788" s="278"/>
      <c r="J788" s="278"/>
      <c r="K788" s="278"/>
    </row>
    <row r="789" spans="8:11" ht="13.2" x14ac:dyDescent="0.25">
      <c r="H789" s="278"/>
      <c r="I789" s="278"/>
      <c r="J789" s="278"/>
      <c r="K789" s="278"/>
    </row>
    <row r="790" spans="8:11" ht="13.2" x14ac:dyDescent="0.25">
      <c r="H790" s="278"/>
      <c r="I790" s="278"/>
      <c r="J790" s="278"/>
      <c r="K790" s="278"/>
    </row>
    <row r="791" spans="8:11" ht="13.2" x14ac:dyDescent="0.25">
      <c r="H791" s="278"/>
      <c r="I791" s="278"/>
      <c r="J791" s="278"/>
      <c r="K791" s="278"/>
    </row>
    <row r="792" spans="8:11" ht="13.2" x14ac:dyDescent="0.25">
      <c r="H792" s="278"/>
      <c r="I792" s="278"/>
      <c r="J792" s="278"/>
      <c r="K792" s="278"/>
    </row>
    <row r="793" spans="8:11" ht="13.2" x14ac:dyDescent="0.25">
      <c r="H793" s="278"/>
      <c r="I793" s="278"/>
      <c r="J793" s="278"/>
      <c r="K793" s="278"/>
    </row>
    <row r="794" spans="8:11" ht="13.2" x14ac:dyDescent="0.25">
      <c r="H794" s="278"/>
      <c r="I794" s="278"/>
      <c r="J794" s="278"/>
      <c r="K794" s="278"/>
    </row>
    <row r="795" spans="8:11" ht="13.2" x14ac:dyDescent="0.25">
      <c r="H795" s="278"/>
      <c r="I795" s="278"/>
      <c r="J795" s="278"/>
      <c r="K795" s="278"/>
    </row>
    <row r="796" spans="8:11" ht="13.2" x14ac:dyDescent="0.25">
      <c r="H796" s="278"/>
      <c r="I796" s="278"/>
      <c r="J796" s="278"/>
      <c r="K796" s="278"/>
    </row>
    <row r="797" spans="8:11" ht="13.2" x14ac:dyDescent="0.25">
      <c r="H797" s="278"/>
      <c r="I797" s="278"/>
      <c r="J797" s="278"/>
      <c r="K797" s="278"/>
    </row>
    <row r="798" spans="8:11" ht="13.2" x14ac:dyDescent="0.25">
      <c r="H798" s="278"/>
      <c r="I798" s="278"/>
      <c r="J798" s="278"/>
      <c r="K798" s="278"/>
    </row>
    <row r="799" spans="8:11" ht="13.2" x14ac:dyDescent="0.25">
      <c r="H799" s="278"/>
      <c r="I799" s="278"/>
      <c r="J799" s="278"/>
      <c r="K799" s="278"/>
    </row>
    <row r="800" spans="8:11" ht="13.2" x14ac:dyDescent="0.25">
      <c r="H800" s="278"/>
      <c r="I800" s="278"/>
      <c r="J800" s="278"/>
      <c r="K800" s="278"/>
    </row>
    <row r="801" spans="8:11" ht="13.2" x14ac:dyDescent="0.25">
      <c r="H801" s="278"/>
      <c r="I801" s="278"/>
      <c r="J801" s="278"/>
      <c r="K801" s="278"/>
    </row>
    <row r="802" spans="8:11" ht="13.2" x14ac:dyDescent="0.25">
      <c r="H802" s="278"/>
      <c r="I802" s="278"/>
      <c r="J802" s="278"/>
      <c r="K802" s="278"/>
    </row>
    <row r="803" spans="8:11" ht="13.2" x14ac:dyDescent="0.25">
      <c r="H803" s="278"/>
      <c r="I803" s="278"/>
      <c r="J803" s="278"/>
      <c r="K803" s="278"/>
    </row>
    <row r="804" spans="8:11" ht="13.2" x14ac:dyDescent="0.25">
      <c r="H804" s="278"/>
      <c r="I804" s="278"/>
      <c r="J804" s="278"/>
      <c r="K804" s="278"/>
    </row>
    <row r="805" spans="8:11" ht="13.2" x14ac:dyDescent="0.25">
      <c r="H805" s="278"/>
      <c r="I805" s="278"/>
      <c r="J805" s="278"/>
      <c r="K805" s="278"/>
    </row>
    <row r="806" spans="8:11" ht="13.2" x14ac:dyDescent="0.25">
      <c r="H806" s="278"/>
      <c r="I806" s="278"/>
      <c r="J806" s="278"/>
      <c r="K806" s="278"/>
    </row>
    <row r="807" spans="8:11" ht="13.2" x14ac:dyDescent="0.25">
      <c r="H807" s="278"/>
      <c r="I807" s="278"/>
      <c r="J807" s="278"/>
      <c r="K807" s="278"/>
    </row>
    <row r="808" spans="8:11" ht="13.2" x14ac:dyDescent="0.25">
      <c r="H808" s="278"/>
      <c r="I808" s="278"/>
      <c r="J808" s="278"/>
      <c r="K808" s="278"/>
    </row>
    <row r="809" spans="8:11" ht="13.2" x14ac:dyDescent="0.25">
      <c r="H809" s="278"/>
      <c r="I809" s="278"/>
      <c r="J809" s="278"/>
      <c r="K809" s="278"/>
    </row>
    <row r="810" spans="8:11" ht="13.2" x14ac:dyDescent="0.25">
      <c r="H810" s="278"/>
      <c r="I810" s="278"/>
      <c r="J810" s="278"/>
      <c r="K810" s="278"/>
    </row>
    <row r="811" spans="8:11" ht="13.2" x14ac:dyDescent="0.25">
      <c r="H811" s="278"/>
      <c r="I811" s="278"/>
      <c r="J811" s="278"/>
      <c r="K811" s="278"/>
    </row>
    <row r="812" spans="8:11" ht="13.2" x14ac:dyDescent="0.25">
      <c r="H812" s="278"/>
      <c r="I812" s="278"/>
      <c r="J812" s="278"/>
      <c r="K812" s="278"/>
    </row>
    <row r="813" spans="8:11" ht="13.2" x14ac:dyDescent="0.25">
      <c r="H813" s="278"/>
      <c r="I813" s="278"/>
      <c r="J813" s="278"/>
      <c r="K813" s="278"/>
    </row>
    <row r="814" spans="8:11" ht="13.2" x14ac:dyDescent="0.25">
      <c r="H814" s="278"/>
      <c r="I814" s="278"/>
      <c r="J814" s="278"/>
      <c r="K814" s="278"/>
    </row>
  </sheetData>
  <autoFilter ref="A4:O173" xr:uid="{7F698B69-0ED2-4585-BFEA-5D04E2DA21ED}">
    <filterColumn colId="12">
      <filters>
        <filter val="Pending"/>
      </filters>
    </filterColumn>
  </autoFilter>
  <mergeCells count="1">
    <mergeCell ref="H2:J2"/>
  </mergeCells>
  <phoneticPr fontId="7" type="noConversion"/>
  <conditionalFormatting sqref="C5:C48">
    <cfRule type="expression" dxfId="115" priority="73">
      <formula>$I5="AUR"</formula>
    </cfRule>
    <cfRule type="expression" dxfId="114" priority="74">
      <formula>$I5="CTA"</formula>
    </cfRule>
    <cfRule type="expression" dxfId="113" priority="75">
      <formula>$I5="GAA"</formula>
    </cfRule>
  </conditionalFormatting>
  <conditionalFormatting sqref="C51:C105 C143:C166">
    <cfRule type="expression" dxfId="112" priority="70">
      <formula>$J51="AUR"</formula>
    </cfRule>
    <cfRule type="expression" dxfId="111" priority="71">
      <formula>$J51="CTA"</formula>
    </cfRule>
    <cfRule type="expression" dxfId="110" priority="72">
      <formula>$J51="GAA"</formula>
    </cfRule>
  </conditionalFormatting>
  <conditionalFormatting sqref="C108:C127">
    <cfRule type="expression" dxfId="109" priority="67">
      <formula>$J108="AUR"</formula>
    </cfRule>
    <cfRule type="expression" dxfId="108" priority="68">
      <formula>$J108="CTA"</formula>
    </cfRule>
    <cfRule type="expression" dxfId="107" priority="69">
      <formula>$J108="GAA"</formula>
    </cfRule>
  </conditionalFormatting>
  <conditionalFormatting sqref="C130:C141">
    <cfRule type="expression" dxfId="106" priority="66">
      <formula>$J130="GAA"</formula>
    </cfRule>
    <cfRule type="expression" dxfId="105" priority="64">
      <formula>$J130="AUR"</formula>
    </cfRule>
    <cfRule type="expression" dxfId="104" priority="65">
      <formula>$J130="CTA"</formula>
    </cfRule>
  </conditionalFormatting>
  <conditionalFormatting sqref="C169:C170">
    <cfRule type="expression" dxfId="103" priority="58">
      <formula>$I169="AUR"</formula>
    </cfRule>
    <cfRule type="expression" dxfId="102" priority="59">
      <formula>$I169="CTA"</formula>
    </cfRule>
    <cfRule type="expression" dxfId="101" priority="60">
      <formula>$I169="GAA"</formula>
    </cfRule>
  </conditionalFormatting>
  <conditionalFormatting sqref="M5:M48 M106 M108:M127">
    <cfRule type="expression" dxfId="100" priority="654">
      <formula>SUMPRODUCT((($M5="A")+($M5="B"))*1)</formula>
    </cfRule>
    <cfRule type="expression" dxfId="99" priority="655">
      <formula>#REF!="Pending"</formula>
    </cfRule>
    <cfRule type="expression" dxfId="98" priority="656">
      <formula>SUMPRODUCT(((($D5&lt;&gt;"")*($G5=""))+($M5="C"))*1)</formula>
    </cfRule>
  </conditionalFormatting>
  <conditionalFormatting sqref="M5:M49 M51:M106 M108:M128 M130:M141 M143:M167 M169:M171">
    <cfRule type="expression" dxfId="97" priority="53">
      <formula>M5="Pending"</formula>
    </cfRule>
  </conditionalFormatting>
  <conditionalFormatting sqref="M40:M48">
    <cfRule type="expression" dxfId="96" priority="1147">
      <formula>SUMPRODUCT((($M40="A")+($M40="B"))*1)</formula>
    </cfRule>
    <cfRule type="expression" dxfId="95" priority="1148">
      <formula>$M23="Pending"</formula>
    </cfRule>
    <cfRule type="expression" dxfId="94" priority="1149">
      <formula>SUMPRODUCT(((($D40&lt;&gt;"")*($G40=""))+($M40="C"))*1)</formula>
    </cfRule>
  </conditionalFormatting>
  <conditionalFormatting sqref="M42:M48">
    <cfRule type="expression" dxfId="93" priority="1136">
      <formula>$M21="Pending"</formula>
    </cfRule>
    <cfRule type="expression" dxfId="92" priority="1137">
      <formula>SUMPRODUCT(((($D42&lt;&gt;"")*($G42=""))+($M42="C"))*1)</formula>
    </cfRule>
  </conditionalFormatting>
  <conditionalFormatting sqref="M42:M49">
    <cfRule type="expression" dxfId="91" priority="937">
      <formula>SUMPRODUCT((($M42="A")+($M42="B"))*1)</formula>
    </cfRule>
  </conditionalFormatting>
  <conditionalFormatting sqref="M43:M48">
    <cfRule type="expression" dxfId="90" priority="25">
      <formula>$M18="Pending"</formula>
    </cfRule>
    <cfRule type="expression" dxfId="89" priority="26">
      <formula>SUMPRODUCT(((($D43&lt;&gt;"")*($G43=""))+($M43="C"))*1)</formula>
    </cfRule>
    <cfRule type="expression" dxfId="88" priority="1339">
      <formula>SUMPRODUCT((($M43="A")+($M43="B"))*1)</formula>
    </cfRule>
    <cfRule type="expression" dxfId="87" priority="1340">
      <formula>$M24="Pending"</formula>
    </cfRule>
    <cfRule type="expression" dxfId="86" priority="1341">
      <formula>SUMPRODUCT(((($D43&lt;&gt;"")*($G43=""))+($M43="C"))*1)</formula>
    </cfRule>
  </conditionalFormatting>
  <conditionalFormatting sqref="M48">
    <cfRule type="expression" dxfId="85" priority="17">
      <formula>$M21="Pending"</formula>
    </cfRule>
    <cfRule type="expression" dxfId="84" priority="18">
      <formula>SUMPRODUCT(((($D48&lt;&gt;"")*($G48=""))+($M48="C"))*1)</formula>
    </cfRule>
    <cfRule type="expression" dxfId="83" priority="1579">
      <formula>SUMPRODUCT(((($D48&lt;&gt;"")*($G48=""))+($M48="C"))*1)</formula>
    </cfRule>
    <cfRule type="expression" dxfId="82" priority="1583">
      <formula>SUMPRODUCT((($M48="A")+($M48="B"))*1)</formula>
    </cfRule>
    <cfRule type="expression" dxfId="81" priority="1584">
      <formula>$M27="Pending"</formula>
    </cfRule>
    <cfRule type="expression" dxfId="80" priority="16">
      <formula>SUMPRODUCT((($M48="A")+($M48="B"))*1)</formula>
    </cfRule>
    <cfRule type="expression" dxfId="79" priority="1585">
      <formula>SUMPRODUCT(((($D48&lt;&gt;"")*($G48=""))+($M48="C"))*1)</formula>
    </cfRule>
    <cfRule type="expression" dxfId="78" priority="1597">
      <formula>SUMPRODUCT((($M48="A")+($M48="B"))*1)</formula>
    </cfRule>
    <cfRule type="expression" dxfId="77" priority="1598">
      <formula>$M23="Pending"</formula>
    </cfRule>
    <cfRule type="expression" dxfId="76" priority="1599">
      <formula>SUMPRODUCT(((($D48&lt;&gt;"")*($G48=""))+($M48="C"))*1)</formula>
    </cfRule>
    <cfRule type="expression" dxfId="75" priority="1603">
      <formula>SUMPRODUCT(((($D48&lt;&gt;"")*($G48=""))+($M48="C"))*1)</formula>
    </cfRule>
    <cfRule type="expression" dxfId="74" priority="1612">
      <formula>$M15="Pending"</formula>
    </cfRule>
    <cfRule type="expression" dxfId="73" priority="1613">
      <formula>SUMPRODUCT(((($D48&lt;&gt;"")*($G48=""))+($M48="C"))*1)</formula>
    </cfRule>
    <cfRule type="expression" dxfId="72" priority="1713">
      <formula>$M26="Pending"</formula>
    </cfRule>
    <cfRule type="expression" dxfId="71" priority="1714">
      <formula>SUMPRODUCT(((($D48&lt;&gt;"")*($G48=""))+($M48="C"))*1)</formula>
    </cfRule>
    <cfRule type="expression" dxfId="70" priority="1723">
      <formula>$M22="Pending"</formula>
    </cfRule>
    <cfRule type="expression" dxfId="69" priority="1724">
      <formula>SUMPRODUCT(((($D48&lt;&gt;"")*($G48=""))+($M48="C"))*1)</formula>
    </cfRule>
    <cfRule type="expression" dxfId="68" priority="1559">
      <formula>SUMPRODUCT(((($D48&lt;&gt;"")*($G48=""))+($M48="C"))*1)</formula>
    </cfRule>
    <cfRule type="expression" dxfId="67" priority="1344">
      <formula>$M17="Pending"</formula>
    </cfRule>
    <cfRule type="expression" dxfId="66" priority="1345">
      <formula>SUMPRODUCT(((($D48&lt;&gt;"")*($G48=""))+($M48="C"))*1)</formula>
    </cfRule>
    <cfRule type="expression" dxfId="65" priority="1349">
      <formula>SUMPRODUCT((($M48="A")+($M48="B"))*1)</formula>
    </cfRule>
    <cfRule type="expression" dxfId="64" priority="1350">
      <formula>$M30="Pending"</formula>
    </cfRule>
    <cfRule type="expression" dxfId="63" priority="1351">
      <formula>SUMPRODUCT(((($D48&lt;&gt;"")*($G48=""))+($M48="C"))*1)</formula>
    </cfRule>
    <cfRule type="expression" dxfId="62" priority="1406">
      <formula>SUMPRODUCT((($M48="A")+($M48="B"))*1)</formula>
    </cfRule>
    <cfRule type="expression" dxfId="61" priority="1407">
      <formula>$M28="Pending"</formula>
    </cfRule>
    <cfRule type="expression" dxfId="60" priority="1408">
      <formula>SUMPRODUCT(((($D48&lt;&gt;"")*($G48=""))+($M48="C"))*1)</formula>
    </cfRule>
    <cfRule type="expression" dxfId="59" priority="1557">
      <formula>SUMPRODUCT((($M48="A")+($M48="B"))*1)</formula>
    </cfRule>
    <cfRule type="expression" dxfId="58" priority="1558">
      <formula>$M22="Pending"</formula>
    </cfRule>
    <cfRule type="expression" dxfId="57" priority="1602">
      <formula>$M19="Pending"</formula>
    </cfRule>
    <cfRule type="expression" dxfId="56" priority="1562">
      <formula>$M18="Pending"</formula>
    </cfRule>
    <cfRule type="expression" dxfId="55" priority="1563">
      <formula>SUMPRODUCT(((($D48&lt;&gt;"")*($G48=""))+($M48="C"))*1)</formula>
    </cfRule>
    <cfRule type="expression" dxfId="54" priority="1566">
      <formula>$M14="Pending"</formula>
    </cfRule>
    <cfRule type="expression" dxfId="53" priority="1567">
      <formula>SUMPRODUCT(((($D48&lt;&gt;"")*($G48=""))+($M48="C"))*1)</formula>
    </cfRule>
    <cfRule type="expression" dxfId="52" priority="1577">
      <formula>SUMPRODUCT((($M48="A")+($M48="B"))*1)</formula>
    </cfRule>
    <cfRule type="expression" dxfId="51" priority="1578">
      <formula>$M20="Pending"</formula>
    </cfRule>
  </conditionalFormatting>
  <conditionalFormatting sqref="M49">
    <cfRule type="expression" dxfId="50" priority="938">
      <formula>#REF!="Pending"</formula>
    </cfRule>
    <cfRule type="expression" dxfId="49" priority="939">
      <formula>SUMPRODUCT(((($D49&lt;&gt;"")*($G49=""))+($M49="C"))*1)</formula>
    </cfRule>
  </conditionalFormatting>
  <conditionalFormatting sqref="M106">
    <cfRule type="expression" dxfId="48" priority="1789">
      <formula>SUMPRODUCT((($M106="A")+($M106="B"))*1)</formula>
    </cfRule>
    <cfRule type="expression" dxfId="47" priority="1790">
      <formula>$M9="Pending"</formula>
    </cfRule>
    <cfRule type="expression" dxfId="46" priority="1791">
      <formula>SUMPRODUCT(((($D106&lt;&gt;"")*($G106=""))+($M106="C"))*1)</formula>
    </cfRule>
  </conditionalFormatting>
  <conditionalFormatting sqref="M108:M127">
    <cfRule type="expression" dxfId="45" priority="1896">
      <formula>$M5="Pending"</formula>
    </cfRule>
    <cfRule type="expression" dxfId="44" priority="1895">
      <formula>SUMPRODUCT((($M108="A")+($M108="B"))*1)</formula>
    </cfRule>
    <cfRule type="expression" dxfId="43" priority="1897">
      <formula>SUMPRODUCT(((($D108&lt;&gt;"")*($G108=""))+($M108="C"))*1)</formula>
    </cfRule>
  </conditionalFormatting>
  <conditionalFormatting sqref="M119">
    <cfRule type="expression" dxfId="42" priority="1792">
      <formula>$M14="Pending"</formula>
    </cfRule>
    <cfRule type="expression" dxfId="41" priority="1793">
      <formula>SUMPRODUCT(((($D119&lt;&gt;"")*($G119=""))+($M119="C"))*1)</formula>
    </cfRule>
  </conditionalFormatting>
  <conditionalFormatting sqref="M119:M128">
    <cfRule type="expression" dxfId="40" priority="963">
      <formula>SUMPRODUCT((($M119="A")+($M119="B"))*1)</formula>
    </cfRule>
  </conditionalFormatting>
  <conditionalFormatting sqref="M120:M127">
    <cfRule type="expression" dxfId="39" priority="1898">
      <formula>$M14="Pending"</formula>
    </cfRule>
    <cfRule type="expression" dxfId="38" priority="1899">
      <formula>SUMPRODUCT(((($D120&lt;&gt;"")*($G120=""))+($M120="C"))*1)</formula>
    </cfRule>
  </conditionalFormatting>
  <conditionalFormatting sqref="M121">
    <cfRule type="expression" dxfId="37" priority="1794">
      <formula>$M8="Pending"</formula>
    </cfRule>
    <cfRule type="expression" dxfId="36" priority="1795">
      <formula>SUMPRODUCT(((($D121&lt;&gt;"")*($G121=""))+($M121="C"))*1)</formula>
    </cfRule>
    <cfRule type="expression" dxfId="35" priority="1796">
      <formula>SUMPRODUCT((($M121="A")+($M121="B"))*1)</formula>
    </cfRule>
    <cfRule type="expression" dxfId="34" priority="1797">
      <formula>$M12="Pending"</formula>
    </cfRule>
    <cfRule type="expression" dxfId="33" priority="1798">
      <formula>SUMPRODUCT(((($D121&lt;&gt;"")*($G121=""))+($M121="C"))*1)</formula>
    </cfRule>
  </conditionalFormatting>
  <conditionalFormatting sqref="M124">
    <cfRule type="expression" dxfId="32" priority="1799">
      <formula>$M18="Pending"</formula>
    </cfRule>
    <cfRule type="expression" dxfId="31" priority="1802">
      <formula>SUMPRODUCT(((($D124&lt;&gt;"")*($G124=""))+($M124="C"))*1)</formula>
    </cfRule>
    <cfRule type="expression" dxfId="30" priority="1801">
      <formula>$M15="Pending"</formula>
    </cfRule>
    <cfRule type="expression" dxfId="29" priority="1800">
      <formula>SUMPRODUCT(((($D124&lt;&gt;"")*($G124=""))+($M124="C"))*1)</formula>
    </cfRule>
  </conditionalFormatting>
  <conditionalFormatting sqref="M125">
    <cfRule type="expression" dxfId="28" priority="1806">
      <formula>SUMPRODUCT(((($D125&lt;&gt;"")*($G125=""))+($M125="C"))*1)</formula>
    </cfRule>
    <cfRule type="expression" dxfId="27" priority="1805">
      <formula>$M15="Pending"</formula>
    </cfRule>
    <cfRule type="expression" dxfId="26" priority="1804">
      <formula>SUMPRODUCT(((($D125&lt;&gt;"")*($G125=""))+($M125="C"))*1)</formula>
    </cfRule>
    <cfRule type="expression" dxfId="25" priority="1803">
      <formula>$M18="Pending"</formula>
    </cfRule>
  </conditionalFormatting>
  <conditionalFormatting sqref="M126">
    <cfRule type="expression" dxfId="24" priority="1810">
      <formula>SUMPRODUCT(((($D126&lt;&gt;"")*($G126=""))+($M126="C"))*1)</formula>
    </cfRule>
    <cfRule type="expression" dxfId="23" priority="1809">
      <formula>$M15="Pending"</formula>
    </cfRule>
    <cfRule type="expression" dxfId="22" priority="1808">
      <formula>SUMPRODUCT(((($D126&lt;&gt;"")*($G126=""))+($M126="C"))*1)</formula>
    </cfRule>
    <cfRule type="expression" dxfId="21" priority="1807">
      <formula>$M18="Pending"</formula>
    </cfRule>
  </conditionalFormatting>
  <conditionalFormatting sqref="M127">
    <cfRule type="expression" dxfId="20" priority="1811">
      <formula>$M14="Pending"</formula>
    </cfRule>
    <cfRule type="expression" dxfId="19" priority="1812">
      <formula>SUMPRODUCT(((($D127&lt;&gt;"")*($G127=""))+($M127="C"))*1)</formula>
    </cfRule>
    <cfRule type="expression" dxfId="18" priority="1813">
      <formula>$M18="Pending"</formula>
    </cfRule>
    <cfRule type="expression" dxfId="17" priority="1814">
      <formula>SUMPRODUCT(((($D127&lt;&gt;"")*($G127=""))+($M127="C"))*1)</formula>
    </cfRule>
  </conditionalFormatting>
  <conditionalFormatting sqref="M128">
    <cfRule type="expression" dxfId="16" priority="1815">
      <formula>$M2="Pending"</formula>
    </cfRule>
    <cfRule type="expression" dxfId="15" priority="1816">
      <formula>SUMPRODUCT(((($D128&lt;&gt;"")*($G128=""))+($M128="C"))*1)</formula>
    </cfRule>
  </conditionalFormatting>
  <conditionalFormatting sqref="M130:M140">
    <cfRule type="expression" dxfId="14" priority="1900">
      <formula>SUMPRODUCT((($M130="A")+($M130="B"))*1)</formula>
    </cfRule>
    <cfRule type="expression" dxfId="13" priority="1901">
      <formula>$M3="Pending"</formula>
    </cfRule>
    <cfRule type="expression" dxfId="12" priority="1902">
      <formula>SUMPRODUCT(((($D130&lt;&gt;"")*($G130=""))+($M130="C"))*1)</formula>
    </cfRule>
  </conditionalFormatting>
  <conditionalFormatting sqref="M130:M141">
    <cfRule type="expression" dxfId="11" priority="511">
      <formula>SUMPRODUCT((($M130="A")+($M130="B"))*1)</formula>
    </cfRule>
    <cfRule type="expression" dxfId="10" priority="513">
      <formula>SUMPRODUCT(((($D130&lt;&gt;"")*($G130=""))+($M130="C"))*1)</formula>
    </cfRule>
    <cfRule type="expression" dxfId="9" priority="512">
      <formula>#REF!="Pending"</formula>
    </cfRule>
  </conditionalFormatting>
  <conditionalFormatting sqref="M139:M140">
    <cfRule type="expression" dxfId="8" priority="1231">
      <formula>SUMPRODUCT(((($D139&lt;&gt;"")*($G139=""))+($M139="C"))*1)</formula>
    </cfRule>
    <cfRule type="expression" dxfId="7" priority="1230">
      <formula>$M110="Pending"</formula>
    </cfRule>
    <cfRule type="expression" dxfId="6" priority="1229">
      <formula>SUMPRODUCT((($M139="A")+($M139="B"))*1)</formula>
    </cfRule>
  </conditionalFormatting>
  <conditionalFormatting sqref="N5:N49 N51:N106 N108:N128 N130:N141 N143:N167 N169:N171">
    <cfRule type="expression" dxfId="5" priority="40">
      <formula>$N5="High"</formula>
    </cfRule>
    <cfRule type="expression" dxfId="4" priority="39">
      <formula>$N5="Medium"</formula>
    </cfRule>
    <cfRule type="expression" dxfId="3" priority="38">
      <formula>$N5="Overdue"</formula>
    </cfRule>
  </conditionalFormatting>
  <conditionalFormatting sqref="N172:O458">
    <cfRule type="expression" dxfId="2" priority="128">
      <formula>$N172="High"</formula>
    </cfRule>
    <cfRule type="expression" dxfId="1" priority="127">
      <formula>$N172="Medium"</formula>
    </cfRule>
    <cfRule type="expression" dxfId="0" priority="76">
      <formula>$N172="Overdue"</formula>
    </cfRule>
  </conditionalFormatting>
  <printOptions horizontalCentered="1"/>
  <pageMargins left="0.7" right="0.7" top="0.75" bottom="0.75" header="0.3" footer="0.3"/>
  <pageSetup paperSize="8" scale="78" fitToHeight="0" orientation="landscape" r:id="rId1"/>
  <headerFooter>
    <oddHeader>&amp;L&amp;G&amp;C&amp;20Project Terra BKK2 Request for Information Submission List</oddHeader>
    <oddFooter>&amp;L&amp;D&amp;RPage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E03E14FF1E549983331AFDE2B2BCA" ma:contentTypeVersion="3" ma:contentTypeDescription="Create a new document." ma:contentTypeScope="" ma:versionID="1481982ed847af1ac7e8d27f43ce918c">
  <xsd:schema xmlns:xsd="http://www.w3.org/2001/XMLSchema" xmlns:xs="http://www.w3.org/2001/XMLSchema" xmlns:p="http://schemas.microsoft.com/office/2006/metadata/properties" xmlns:ns2="3bbd3dea-af03-4ff9-96ce-e5b9a62e0c91" targetNamespace="http://schemas.microsoft.com/office/2006/metadata/properties" ma:root="true" ma:fieldsID="bad0967c9e9b412bf1c7c1894e0067dd" ns2:_="">
    <xsd:import namespace="3bbd3dea-af03-4ff9-96ce-e5b9a62e0c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d3dea-af03-4ff9-96ce-e5b9a62e0c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343FC2-E7BF-4192-B83D-4DF63D70A5DB}">
  <ds:schemaRefs>
    <ds:schemaRef ds:uri="http://purl.org/dc/terms/"/>
    <ds:schemaRef ds:uri="2d5d47d3-606b-40af-a4fd-90ad21539f65"/>
    <ds:schemaRef ds:uri="http://schemas.openxmlformats.org/package/2006/metadata/core-properties"/>
    <ds:schemaRef ds:uri="http://purl.org/dc/elements/1.1/"/>
    <ds:schemaRef ds:uri="3a706f9f-819a-4be6-9c85-4c6e3ac78421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EEFAFC-5374-4373-91DA-483A8A23A2BE}"/>
</file>

<file path=customXml/itemProps3.xml><?xml version="1.0" encoding="utf-8"?>
<ds:datastoreItem xmlns:ds="http://schemas.openxmlformats.org/officeDocument/2006/customXml" ds:itemID="{8C1A476E-053B-4613-A380-4B1CC2A0C3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17</vt:i4>
      </vt:variant>
    </vt:vector>
  </HeadingPairs>
  <TitlesOfParts>
    <vt:vector size="20" baseType="lpstr">
      <vt:lpstr>Overview</vt:lpstr>
      <vt:lpstr>Summary</vt:lpstr>
      <vt:lpstr>Priority </vt:lpstr>
      <vt:lpstr>AR!Print_Area</vt:lpstr>
      <vt:lpstr>EL!Print_Area</vt:lpstr>
      <vt:lpstr>FI!Print_Area</vt:lpstr>
      <vt:lpstr>HY!Print_Area</vt:lpstr>
      <vt:lpstr>ME!Print_Area</vt:lpstr>
      <vt:lpstr>Overview!Print_Area</vt:lpstr>
      <vt:lpstr>'Priority '!Print_Area</vt:lpstr>
      <vt:lpstr>ST!Print_Area</vt:lpstr>
      <vt:lpstr>Summary!Print_Area</vt:lpstr>
      <vt:lpstr>AR!Print_Titles</vt:lpstr>
      <vt:lpstr>EL!Print_Titles</vt:lpstr>
      <vt:lpstr>FI!Print_Titles</vt:lpstr>
      <vt:lpstr>HY!Print_Titles</vt:lpstr>
      <vt:lpstr>ME!Print_Titles</vt:lpstr>
      <vt:lpstr>'Priority '!Print_Titles</vt:lpstr>
      <vt:lpstr>ST!Print_Titles</vt:lpstr>
      <vt:lpstr>Summary!Print_Titles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AL-Lenovo</dc:creator>
  <cp:keywords/>
  <dc:description/>
  <cp:lastModifiedBy>Panjarin Insuan</cp:lastModifiedBy>
  <cp:revision/>
  <cp:lastPrinted>2026-02-11T12:18:20Z</cp:lastPrinted>
  <dcterms:created xsi:type="dcterms:W3CDTF">2017-05-26T08:55:39Z</dcterms:created>
  <dcterms:modified xsi:type="dcterms:W3CDTF">2026-02-11T12:19:35Z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0x01010003CE03E14FF1E549983331AFDE2B2BCA</vt:lpwstr>
  </property>
  <property fmtid="{D5CDD505-2E9C-101B-9397-08002B2CF9AE}" pid="3" name="Order">
    <vt:r8>143000</vt:r8>
  </property>
  <property fmtid="{D5CDD505-2E9C-101B-9397-08002B2CF9AE}" pid="4" name="xd_ProgID">
    <vt:lpwstr/>
  </property>
  <property fmtid="{D5CDD505-2E9C-101B-9397-08002B2CF9AE}" pid="5" name="MediaServiceImageTags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xd_Signature">
    <vt:bool>false</vt:bool>
  </property>
</Properties>
</file>